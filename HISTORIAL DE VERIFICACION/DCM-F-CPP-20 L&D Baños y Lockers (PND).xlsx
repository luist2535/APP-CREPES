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repesywaffles-my.sharepoint.com/personal/claudia_caballero_crepesywaffles_com/Documents/Escritorio/PROGRAMA HACCP BARRANQUILLA/PROGRAMAS/4. PROGRAMA DE LIMPIEZA Y DESINFECCIÓN/1. HACCP LYD/Verificación Mensuales  L&amp;D/2026/"/>
    </mc:Choice>
  </mc:AlternateContent>
  <xr:revisionPtr revIDLastSave="589" documentId="13_ncr:1_{7FF0BC08-4775-4346-96BB-56624D9A7B8D}" xr6:coauthVersionLast="47" xr6:coauthVersionMax="47" xr10:uidLastSave="{5C8F9DDD-2C69-40D5-A053-4CC95F06C246}"/>
  <bookViews>
    <workbookView xWindow="-108" yWindow="-108" windowWidth="23256" windowHeight="12576" firstSheet="5" activeTab="6" xr2:uid="{00000000-000D-0000-FFFF-FFFF00000000}"/>
  </bookViews>
  <sheets>
    <sheet name="BLANCO " sheetId="13" r:id="rId1"/>
    <sheet name="ENERO" sheetId="16" r:id="rId2"/>
    <sheet name="FEBRERO" sheetId="17" r:id="rId3"/>
    <sheet name="MARZO" sheetId="18" r:id="rId4"/>
    <sheet name="ABRIL" sheetId="19" r:id="rId5"/>
    <sheet name="MAYO" sheetId="20" r:id="rId6"/>
    <sheet name="JUNIO" sheetId="2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21" l="1"/>
  <c r="C42" i="21"/>
  <c r="C41" i="21"/>
  <c r="E44" i="20"/>
  <c r="E42" i="20"/>
  <c r="C44" i="20"/>
  <c r="C42" i="20"/>
  <c r="C42" i="19"/>
  <c r="C41" i="20"/>
  <c r="E44" i="19"/>
  <c r="E44" i="18"/>
  <c r="E42" i="19"/>
  <c r="E42" i="18"/>
  <c r="C44" i="19"/>
  <c r="C44" i="18"/>
  <c r="C42" i="18"/>
  <c r="C41" i="19"/>
  <c r="C41" i="18"/>
  <c r="E44" i="17"/>
  <c r="E42" i="17"/>
  <c r="C44" i="17"/>
  <c r="C42" i="17"/>
  <c r="C41" i="16"/>
  <c r="C41" i="17"/>
  <c r="C43" i="16"/>
  <c r="C40" i="16"/>
  <c r="E42" i="21" l="1"/>
  <c r="E44" i="21"/>
  <c r="E41" i="16"/>
  <c r="E43" i="16"/>
</calcChain>
</file>

<file path=xl/sharedStrings.xml><?xml version="1.0" encoding="utf-8"?>
<sst xmlns="http://schemas.openxmlformats.org/spreadsheetml/2006/main" count="986" uniqueCount="95">
  <si>
    <t> </t>
  </si>
  <si>
    <t>DIRECCIÓN DE CALIDAD Y MEDIO AMBIENTE</t>
  </si>
  <si>
    <t>Verificacion Limpieza de Baños y Lockers</t>
  </si>
  <si>
    <r>
      <rPr>
        <b/>
        <sz val="11"/>
        <color rgb="FF000000"/>
        <rFont val="Calibri"/>
        <scheme val="minor"/>
      </rPr>
      <t xml:space="preserve">Código: </t>
    </r>
    <r>
      <rPr>
        <sz val="11"/>
        <color rgb="FF000000"/>
        <rFont val="Calibri"/>
        <scheme val="minor"/>
      </rPr>
      <t>DCM-F-CPP-20</t>
    </r>
  </si>
  <si>
    <r>
      <rPr>
        <b/>
        <sz val="11"/>
        <color rgb="FF000000"/>
        <rFont val="Calibri"/>
        <scheme val="minor"/>
      </rPr>
      <t>Fecha:</t>
    </r>
    <r>
      <rPr>
        <sz val="11"/>
        <color rgb="FF000000"/>
        <rFont val="Calibri"/>
        <scheme val="minor"/>
      </rPr>
      <t xml:space="preserve"> 02-Feb-26</t>
    </r>
  </si>
  <si>
    <r>
      <rPr>
        <b/>
        <sz val="11"/>
        <color rgb="FF000000"/>
        <rFont val="Calibri"/>
      </rPr>
      <t>Versión</t>
    </r>
    <r>
      <rPr>
        <sz val="11"/>
        <color rgb="FF000000"/>
        <rFont val="Calibri"/>
      </rPr>
      <t>: 02</t>
    </r>
  </si>
  <si>
    <t>VERIFICACIÓN REALIZADA POR :_____________________________</t>
  </si>
  <si>
    <t>FECHA Y HORA :____________</t>
  </si>
  <si>
    <t>ASPECTO</t>
  </si>
  <si>
    <t>SATISFACTORIO</t>
  </si>
  <si>
    <t>NA</t>
  </si>
  <si>
    <t>OBSERVACIONES</t>
  </si>
  <si>
    <t>SI</t>
  </si>
  <si>
    <t>NO</t>
  </si>
  <si>
    <t>MUJERES</t>
  </si>
  <si>
    <t xml:space="preserve">Puerta de acceso </t>
  </si>
  <si>
    <t>Paredes</t>
  </si>
  <si>
    <t>Lamparas</t>
  </si>
  <si>
    <t>Pisos</t>
  </si>
  <si>
    <t>Ventanas</t>
  </si>
  <si>
    <t>Meson - lavamanos</t>
  </si>
  <si>
    <t>Duchas</t>
  </si>
  <si>
    <t>Sanitario</t>
  </si>
  <si>
    <t>Dispensadores de jabón</t>
  </si>
  <si>
    <t>Lockers</t>
  </si>
  <si>
    <t>Muebles de descanso</t>
  </si>
  <si>
    <t>Utensilios de L &amp; D</t>
  </si>
  <si>
    <t>Ventilador</t>
  </si>
  <si>
    <t>Espejo</t>
  </si>
  <si>
    <t>HOMBRES</t>
  </si>
  <si>
    <t>Abanico</t>
  </si>
  <si>
    <t>Orinal</t>
  </si>
  <si>
    <t xml:space="preserve">COMENTARIOS: </t>
  </si>
  <si>
    <t>PARA DILIGENCIAMIENTO DE LA DIRECCIÓN DE CALIDAD</t>
  </si>
  <si>
    <t xml:space="preserve">TOTAL ASPECTOS CALIFICADOS: </t>
  </si>
  <si>
    <r>
      <t>CALIFICACIÓN=</t>
    </r>
    <r>
      <rPr>
        <sz val="8"/>
        <rFont val="Arial"/>
        <family val="2"/>
      </rPr>
      <t xml:space="preserve">                        </t>
    </r>
  </si>
  <si>
    <t xml:space="preserve">SATISFACTORIO: </t>
  </si>
  <si>
    <t>Satisfactorio x 100</t>
  </si>
  <si>
    <t>(Total - No aplica)</t>
  </si>
  <si>
    <t xml:space="preserve">NO SATISFATORIO:   </t>
  </si>
  <si>
    <t xml:space="preserve">NO APLICA:   </t>
  </si>
  <si>
    <t>-</t>
  </si>
  <si>
    <t xml:space="preserve">Responsable Diligenciamiento: </t>
  </si>
  <si>
    <t>Verificado por:</t>
  </si>
  <si>
    <t>Cargo:</t>
  </si>
  <si>
    <t xml:space="preserve">Dirección de Calidad </t>
  </si>
  <si>
    <r>
      <rPr>
        <b/>
        <sz val="8"/>
        <color rgb="FF000000"/>
        <rFont val="Calibri"/>
      </rPr>
      <t xml:space="preserve">CÓDIGO: </t>
    </r>
    <r>
      <rPr>
        <sz val="8"/>
        <color rgb="FF000000"/>
        <rFont val="Calibri"/>
      </rPr>
      <t>DCM-F-CPP-20</t>
    </r>
    <r>
      <rPr>
        <b/>
        <sz val="8"/>
        <color rgb="FF000000"/>
        <rFont val="Calibri"/>
      </rPr>
      <t xml:space="preserve"> / PREPARADO POR: </t>
    </r>
    <r>
      <rPr>
        <sz val="8"/>
        <color rgb="FF000000"/>
        <rFont val="Calibri"/>
      </rPr>
      <t>Auxiliar de calidad</t>
    </r>
    <r>
      <rPr>
        <b/>
        <sz val="8"/>
        <color rgb="FF000000"/>
        <rFont val="Calibri"/>
      </rPr>
      <t xml:space="preserve"> / REVISADO POR: </t>
    </r>
    <r>
      <rPr>
        <sz val="8"/>
        <color rgb="FF000000"/>
        <rFont val="Calibri"/>
      </rPr>
      <t>Coordinación de calidad</t>
    </r>
    <r>
      <rPr>
        <b/>
        <sz val="8"/>
        <color rgb="FF000000"/>
        <rFont val="Calibri"/>
      </rPr>
      <t xml:space="preserve"> / APROBADO POR: </t>
    </r>
    <r>
      <rPr>
        <sz val="8"/>
        <color rgb="FF000000"/>
        <rFont val="Calibri"/>
      </rPr>
      <t>Dirección de Calidad y Medio Ambiente</t>
    </r>
    <r>
      <rPr>
        <b/>
        <sz val="8"/>
        <color rgb="FF000000"/>
        <rFont val="Calibri"/>
      </rPr>
      <t xml:space="preserve"> / FECHA:02-Feb-26/ VERSIÓN: </t>
    </r>
    <r>
      <rPr>
        <sz val="8"/>
        <color rgb="FF000000"/>
        <rFont val="Calibri"/>
      </rPr>
      <t>02
DOCUMENTO CONTROLADO</t>
    </r>
  </si>
  <si>
    <t xml:space="preserve"> DIRECCIÓN DE CALIDAD</t>
  </si>
  <si>
    <r>
      <rPr>
        <b/>
        <sz val="11"/>
        <color theme="1"/>
        <rFont val="Calibri"/>
        <family val="2"/>
        <scheme val="minor"/>
      </rPr>
      <t xml:space="preserve">Código: </t>
    </r>
    <r>
      <rPr>
        <sz val="11"/>
        <color theme="1"/>
        <rFont val="Calibri"/>
        <family val="2"/>
        <scheme val="minor"/>
      </rPr>
      <t>DCM-F-DPR-20</t>
    </r>
  </si>
  <si>
    <r>
      <rPr>
        <b/>
        <sz val="11"/>
        <color theme="1"/>
        <rFont val="Calibri"/>
        <family val="2"/>
        <scheme val="minor"/>
      </rPr>
      <t>Fecha:</t>
    </r>
    <r>
      <rPr>
        <sz val="11"/>
        <color theme="1"/>
        <rFont val="Calibri"/>
        <family val="2"/>
        <scheme val="minor"/>
      </rPr>
      <t xml:space="preserve"> 28-Abr-25</t>
    </r>
  </si>
  <si>
    <r>
      <rPr>
        <b/>
        <sz val="11"/>
        <color theme="1"/>
        <rFont val="Calibri"/>
        <family val="2"/>
        <scheme val="minor"/>
      </rPr>
      <t>Versión</t>
    </r>
    <r>
      <rPr>
        <sz val="11"/>
        <color theme="1"/>
        <rFont val="Calibri"/>
        <family val="2"/>
        <scheme val="minor"/>
      </rPr>
      <t>: 01</t>
    </r>
  </si>
  <si>
    <t>VERIFICACIÓN REALIZADA POR : Hillary Gutierrez</t>
  </si>
  <si>
    <t>FECHA : 17/Ene/2026</t>
  </si>
  <si>
    <t>Lámpara dañada(1).</t>
  </si>
  <si>
    <t>Piso con residuos de pegamentos.</t>
  </si>
  <si>
    <t>No tiene jabón.</t>
  </si>
  <si>
    <t>Utensilios de L&amp;D</t>
  </si>
  <si>
    <t>Trapeador dañado.</t>
  </si>
  <si>
    <t>Acumulación de polvo.</t>
  </si>
  <si>
    <t>Sucios.</t>
  </si>
  <si>
    <t>Todos sobre el piso.</t>
  </si>
  <si>
    <t>Utensilios de trabajo alamacenados (botas, guantes).</t>
  </si>
  <si>
    <t>Residuos de papel dentro.</t>
  </si>
  <si>
    <t>Auditores</t>
  </si>
  <si>
    <r>
      <t xml:space="preserve">CÓDIGO: </t>
    </r>
    <r>
      <rPr>
        <sz val="12"/>
        <rFont val="Calibri"/>
        <family val="2"/>
        <scheme val="minor"/>
      </rPr>
      <t>DCM-F-DPR-20</t>
    </r>
    <r>
      <rPr>
        <b/>
        <sz val="12"/>
        <rFont val="Calibri"/>
        <family val="2"/>
        <scheme val="minor"/>
      </rPr>
      <t xml:space="preserve"> / PREPARADO POR: </t>
    </r>
    <r>
      <rPr>
        <sz val="12"/>
        <rFont val="Calibri"/>
        <family val="2"/>
        <scheme val="minor"/>
      </rPr>
      <t>Auxiliar de calidad</t>
    </r>
    <r>
      <rPr>
        <b/>
        <sz val="12"/>
        <rFont val="Calibri"/>
        <family val="2"/>
        <scheme val="minor"/>
      </rPr>
      <t xml:space="preserve"> / REVISADO POR: </t>
    </r>
    <r>
      <rPr>
        <sz val="12"/>
        <rFont val="Calibri"/>
        <family val="2"/>
        <scheme val="minor"/>
      </rPr>
      <t>Coordinador de calidad</t>
    </r>
    <r>
      <rPr>
        <b/>
        <sz val="12"/>
        <rFont val="Calibri"/>
        <family val="2"/>
        <scheme val="minor"/>
      </rPr>
      <t xml:space="preserve"> / APROBADO POR: </t>
    </r>
    <r>
      <rPr>
        <sz val="12"/>
        <rFont val="Calibri"/>
        <family val="2"/>
        <scheme val="minor"/>
      </rPr>
      <t>Directora de Calidad y Medio Ambiente</t>
    </r>
    <r>
      <rPr>
        <b/>
        <sz val="12"/>
        <rFont val="Calibri"/>
        <family val="2"/>
        <scheme val="minor"/>
      </rPr>
      <t xml:space="preserve"> / FECHA: </t>
    </r>
    <r>
      <rPr>
        <sz val="12"/>
        <rFont val="Calibri"/>
        <family val="2"/>
        <scheme val="minor"/>
      </rPr>
      <t>28-Abr-25</t>
    </r>
    <r>
      <rPr>
        <b/>
        <sz val="12"/>
        <rFont val="Calibri"/>
        <family val="2"/>
        <scheme val="minor"/>
      </rPr>
      <t xml:space="preserve"> / VERSIÓN: </t>
    </r>
    <r>
      <rPr>
        <sz val="12"/>
        <rFont val="Calibri"/>
        <family val="2"/>
        <scheme val="minor"/>
      </rPr>
      <t>01</t>
    </r>
    <r>
      <rPr>
        <b/>
        <sz val="12"/>
        <rFont val="Calibri"/>
        <family val="2"/>
        <scheme val="minor"/>
      </rPr>
      <t xml:space="preserve">
DOCUMENTO CONTROLADO</t>
    </r>
  </si>
  <si>
    <t>CALIDAD Y MEDIO AMBIENTE</t>
  </si>
  <si>
    <r>
      <rPr>
        <b/>
        <sz val="10"/>
        <color rgb="FF000000"/>
        <rFont val="Arial"/>
      </rPr>
      <t>VERIFICACIÓN REALIZADA POR :_</t>
    </r>
    <r>
      <rPr>
        <b/>
        <u val="double"/>
        <sz val="10"/>
        <color rgb="FF000000"/>
        <rFont val="Arial"/>
      </rPr>
      <t>Hillary Gutierrez</t>
    </r>
  </si>
  <si>
    <t>FECHA Y HORA :_25/Febrero-14:00</t>
  </si>
  <si>
    <t>Se evidencia acumulación de polvo</t>
  </si>
  <si>
    <t>Lámpara dañada</t>
  </si>
  <si>
    <t>Se evidencia papeles regados</t>
  </si>
  <si>
    <t>Solicitar cambio de esoba y trapeador</t>
  </si>
  <si>
    <t> Se encuentran salpicados</t>
  </si>
  <si>
    <t>Ausencia de jabón</t>
  </si>
  <si>
    <t>COMENTARIOS: Se evidencia papeles regados en pisos, demasiada aumulación de polvo.</t>
  </si>
  <si>
    <t>Responsable Diligenciamiento: Hillary Gutierrez</t>
  </si>
  <si>
    <t>Cargo: Auxiliar de calidad</t>
  </si>
  <si>
    <t>4 quemadas</t>
  </si>
  <si>
    <t>Se evidencia papeles tirados.</t>
  </si>
  <si>
    <t>Acumulación de polvo</t>
  </si>
  <si>
    <t>FECHA Y HORA :22-05-2026 09:17</t>
  </si>
  <si>
    <t>Lamparas quemadas (2)</t>
  </si>
  <si>
    <t>Se comparten entre baños y no son del color correcto.</t>
  </si>
  <si>
    <t>Paredes presentan acumulación de polvo.</t>
  </si>
  <si>
    <t>Lámpara quemada (1)</t>
  </si>
  <si>
    <t>Pisos sucios.</t>
  </si>
  <si>
    <t>No se utiliza según código de colores.</t>
  </si>
  <si>
    <t>Sillas en buen estado.</t>
  </si>
  <si>
    <t>Duchas sucias.</t>
  </si>
  <si>
    <t>Tiene alcohol en lugar de jabón.</t>
  </si>
  <si>
    <t>Se están disponiendo portas sucios sobre lockers.</t>
  </si>
  <si>
    <t xml:space="preserve">COMENTARIOS:  Se evidencia presencia de portacomidas sucios en lbaños de hombres sobre lockers, lo quepuede contribuir en la proliferación de plagas. </t>
  </si>
  <si>
    <t>FECHA Y HORA :</t>
  </si>
  <si>
    <t>Se evidencian botas sucias almacenadass.</t>
  </si>
  <si>
    <t xml:space="preserve">COMENTARIOS: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</si>
</sst>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u/>
      <sz val="7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  <font>
      <b/>
      <sz val="10"/>
      <color rgb="FF000000"/>
      <name val="Arial"/>
    </font>
    <font>
      <b/>
      <u val="double"/>
      <sz val="10"/>
      <color rgb="FF000000"/>
      <name val="Arial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8"/>
      <color rgb="FF000000"/>
      <name val="Calibri"/>
    </font>
    <font>
      <sz val="8"/>
      <color rgb="FF000000"/>
      <name val="Calibri"/>
    </font>
    <font>
      <b/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8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8"/>
      </bottom>
      <diagonal/>
    </border>
    <border>
      <left/>
      <right style="medium">
        <color indexed="64"/>
      </right>
      <top style="medium">
        <color indexed="8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29">
    <xf numFmtId="0" fontId="0" fillId="0" borderId="0" xfId="0"/>
    <xf numFmtId="0" fontId="1" fillId="0" borderId="8" xfId="1" applyBorder="1"/>
    <xf numFmtId="0" fontId="1" fillId="0" borderId="11" xfId="1" applyBorder="1"/>
    <xf numFmtId="0" fontId="3" fillId="0" borderId="11" xfId="1" applyFont="1" applyBorder="1" applyAlignment="1">
      <alignment vertical="top"/>
    </xf>
    <xf numFmtId="0" fontId="7" fillId="0" borderId="11" xfId="1" applyFont="1" applyBorder="1"/>
    <xf numFmtId="0" fontId="2" fillId="0" borderId="15" xfId="1" applyFont="1" applyBorder="1" applyAlignment="1">
      <alignment horizontal="left"/>
    </xf>
    <xf numFmtId="9" fontId="1" fillId="0" borderId="14" xfId="1" applyNumberFormat="1" applyBorder="1"/>
    <xf numFmtId="0" fontId="10" fillId="0" borderId="19" xfId="1" applyFont="1" applyBorder="1" applyAlignment="1">
      <alignment vertical="center"/>
    </xf>
    <xf numFmtId="0" fontId="10" fillId="0" borderId="21" xfId="1" applyFont="1" applyBorder="1" applyAlignment="1">
      <alignment vertical="center"/>
    </xf>
    <xf numFmtId="0" fontId="1" fillId="0" borderId="22" xfId="1" applyBorder="1" applyAlignment="1">
      <alignment vertical="center" wrapText="1"/>
    </xf>
    <xf numFmtId="0" fontId="1" fillId="0" borderId="22" xfId="1" applyBorder="1" applyAlignment="1">
      <alignment vertical="center"/>
    </xf>
    <xf numFmtId="0" fontId="10" fillId="0" borderId="24" xfId="1" applyFont="1" applyBorder="1" applyAlignment="1">
      <alignment vertical="center"/>
    </xf>
    <xf numFmtId="0" fontId="1" fillId="0" borderId="25" xfId="1" applyBorder="1" applyAlignment="1">
      <alignment vertical="center" wrapText="1"/>
    </xf>
    <xf numFmtId="0" fontId="1" fillId="0" borderId="27" xfId="1" applyBorder="1" applyAlignment="1">
      <alignment vertical="center" wrapText="1"/>
    </xf>
    <xf numFmtId="0" fontId="11" fillId="0" borderId="28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0" fillId="0" borderId="37" xfId="1" applyFont="1" applyBorder="1" applyAlignment="1">
      <alignment vertical="center"/>
    </xf>
    <xf numFmtId="0" fontId="0" fillId="0" borderId="40" xfId="0" applyBorder="1" applyAlignment="1">
      <alignment horizontal="center"/>
    </xf>
    <xf numFmtId="0" fontId="10" fillId="0" borderId="41" xfId="1" applyFont="1" applyBorder="1" applyAlignment="1">
      <alignment vertical="center"/>
    </xf>
    <xf numFmtId="0" fontId="10" fillId="0" borderId="42" xfId="1" applyFont="1" applyBorder="1" applyAlignment="1">
      <alignment vertical="center"/>
    </xf>
    <xf numFmtId="0" fontId="10" fillId="0" borderId="43" xfId="1" applyFont="1" applyBorder="1" applyAlignment="1">
      <alignment vertical="center"/>
    </xf>
    <xf numFmtId="0" fontId="13" fillId="2" borderId="39" xfId="1" applyFont="1" applyFill="1" applyBorder="1" applyAlignment="1">
      <alignment horizontal="center" vertical="center"/>
    </xf>
    <xf numFmtId="0" fontId="10" fillId="0" borderId="24" xfId="1" applyFont="1" applyBorder="1" applyAlignment="1">
      <alignment horizontal="center" vertical="center"/>
    </xf>
    <xf numFmtId="0" fontId="10" fillId="0" borderId="21" xfId="1" applyFont="1" applyBorder="1" applyAlignment="1">
      <alignment horizontal="center" vertical="center"/>
    </xf>
    <xf numFmtId="0" fontId="10" fillId="0" borderId="37" xfId="1" applyFont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47" xfId="1" applyBorder="1" applyAlignment="1">
      <alignment vertical="center" wrapText="1"/>
    </xf>
    <xf numFmtId="0" fontId="1" fillId="0" borderId="48" xfId="1" applyBorder="1" applyAlignment="1">
      <alignment vertical="center" wrapText="1"/>
    </xf>
    <xf numFmtId="0" fontId="1" fillId="0" borderId="27" xfId="1" applyBorder="1" applyAlignment="1">
      <alignment vertical="center"/>
    </xf>
    <xf numFmtId="0" fontId="1" fillId="0" borderId="49" xfId="1" applyBorder="1" applyAlignment="1">
      <alignment vertical="center" wrapText="1"/>
    </xf>
    <xf numFmtId="0" fontId="10" fillId="0" borderId="50" xfId="1" applyFont="1" applyBorder="1" applyAlignment="1">
      <alignment horizontal="center" vertical="center"/>
    </xf>
    <xf numFmtId="0" fontId="10" fillId="0" borderId="44" xfId="1" applyFont="1" applyBorder="1" applyAlignment="1">
      <alignment vertical="center" wrapText="1"/>
    </xf>
    <xf numFmtId="0" fontId="10" fillId="0" borderId="42" xfId="1" applyFont="1" applyBorder="1" applyAlignment="1">
      <alignment vertical="center" wrapText="1"/>
    </xf>
    <xf numFmtId="0" fontId="11" fillId="0" borderId="65" xfId="0" applyFont="1" applyBorder="1"/>
    <xf numFmtId="0" fontId="1" fillId="0" borderId="25" xfId="0" applyFont="1" applyBorder="1" applyAlignment="1">
      <alignment wrapText="1"/>
    </xf>
    <xf numFmtId="0" fontId="10" fillId="0" borderId="25" xfId="0" applyFont="1" applyBorder="1"/>
    <xf numFmtId="0" fontId="10" fillId="0" borderId="41" xfId="0" applyFont="1" applyBorder="1"/>
    <xf numFmtId="0" fontId="1" fillId="0" borderId="66" xfId="0" applyFont="1" applyBorder="1"/>
    <xf numFmtId="0" fontId="10" fillId="0" borderId="66" xfId="0" applyFont="1" applyBorder="1"/>
    <xf numFmtId="0" fontId="10" fillId="0" borderId="43" xfId="0" applyFont="1" applyBorder="1"/>
    <xf numFmtId="0" fontId="1" fillId="0" borderId="66" xfId="0" applyFont="1" applyBorder="1" applyAlignment="1">
      <alignment wrapText="1"/>
    </xf>
    <xf numFmtId="0" fontId="1" fillId="0" borderId="67" xfId="0" applyFont="1" applyBorder="1" applyAlignment="1">
      <alignment wrapText="1"/>
    </xf>
    <xf numFmtId="0" fontId="10" fillId="0" borderId="67" xfId="0" applyFont="1" applyBorder="1"/>
    <xf numFmtId="0" fontId="10" fillId="0" borderId="1" xfId="0" applyFont="1" applyBorder="1"/>
    <xf numFmtId="9" fontId="1" fillId="0" borderId="74" xfId="0" applyNumberFormat="1" applyFont="1" applyBorder="1"/>
    <xf numFmtId="0" fontId="7" fillId="0" borderId="11" xfId="0" applyFont="1" applyBorder="1"/>
    <xf numFmtId="0" fontId="3" fillId="0" borderId="11" xfId="0" applyFont="1" applyBorder="1"/>
    <xf numFmtId="0" fontId="1" fillId="0" borderId="11" xfId="0" applyFont="1" applyBorder="1"/>
    <xf numFmtId="0" fontId="1" fillId="0" borderId="5" xfId="0" applyFont="1" applyBorder="1"/>
    <xf numFmtId="0" fontId="1" fillId="0" borderId="1" xfId="0" applyFont="1" applyBorder="1"/>
    <xf numFmtId="0" fontId="2" fillId="0" borderId="72" xfId="0" applyFont="1" applyBorder="1"/>
    <xf numFmtId="0" fontId="1" fillId="0" borderId="5" xfId="1" applyBorder="1" applyAlignment="1">
      <alignment horizontal="center"/>
    </xf>
    <xf numFmtId="0" fontId="26" fillId="0" borderId="40" xfId="0" applyFont="1" applyBorder="1" applyAlignment="1">
      <alignment horizontal="center"/>
    </xf>
    <xf numFmtId="0" fontId="27" fillId="0" borderId="1" xfId="0" applyFont="1" applyBorder="1"/>
    <xf numFmtId="0" fontId="10" fillId="0" borderId="43" xfId="0" applyFont="1" applyBorder="1" applyAlignment="1">
      <alignment horizontal="center" wrapText="1"/>
    </xf>
    <xf numFmtId="0" fontId="10" fillId="0" borderId="43" xfId="0" applyFont="1" applyBorder="1" applyAlignment="1">
      <alignment wrapText="1"/>
    </xf>
    <xf numFmtId="0" fontId="10" fillId="0" borderId="66" xfId="0" applyFont="1" applyBorder="1" applyAlignment="1">
      <alignment horizontal="center" vertical="center"/>
    </xf>
    <xf numFmtId="0" fontId="10" fillId="0" borderId="67" xfId="0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 wrapText="1"/>
    </xf>
    <xf numFmtId="0" fontId="31" fillId="0" borderId="36" xfId="0" applyFont="1" applyBorder="1" applyAlignment="1">
      <alignment horizontal="center" vertical="center" wrapText="1"/>
    </xf>
    <xf numFmtId="0" fontId="31" fillId="0" borderId="61" xfId="0" applyFont="1" applyBorder="1" applyAlignment="1">
      <alignment horizontal="center" vertical="center" wrapText="1"/>
    </xf>
    <xf numFmtId="0" fontId="6" fillId="0" borderId="53" xfId="0" applyFont="1" applyBorder="1" applyAlignment="1">
      <alignment wrapText="1"/>
    </xf>
    <xf numFmtId="0" fontId="6" fillId="0" borderId="54" xfId="0" applyFont="1" applyBorder="1" applyAlignment="1">
      <alignment wrapText="1"/>
    </xf>
    <xf numFmtId="0" fontId="6" fillId="0" borderId="69" xfId="0" applyFont="1" applyBorder="1" applyAlignment="1">
      <alignment wrapText="1"/>
    </xf>
    <xf numFmtId="0" fontId="6" fillId="0" borderId="70" xfId="0" applyFont="1" applyBorder="1" applyAlignment="1">
      <alignment wrapText="1"/>
    </xf>
    <xf numFmtId="0" fontId="6" fillId="0" borderId="68" xfId="0" applyFont="1" applyBorder="1" applyAlignment="1">
      <alignment wrapText="1"/>
    </xf>
    <xf numFmtId="0" fontId="6" fillId="0" borderId="0" xfId="0" applyFont="1" applyAlignment="1">
      <alignment wrapText="1"/>
    </xf>
    <xf numFmtId="0" fontId="4" fillId="0" borderId="68" xfId="0" applyFont="1" applyBorder="1" applyAlignment="1">
      <alignment horizontal="left" vertical="top" wrapText="1"/>
    </xf>
    <xf numFmtId="0" fontId="4" fillId="0" borderId="34" xfId="0" applyFont="1" applyBorder="1" applyAlignment="1">
      <alignment horizontal="left" vertical="top" wrapText="1"/>
    </xf>
    <xf numFmtId="0" fontId="4" fillId="0" borderId="57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8" xfId="0" applyFont="1" applyBorder="1" applyAlignment="1">
      <alignment horizontal="left" vertical="top" wrapText="1"/>
    </xf>
    <xf numFmtId="0" fontId="4" fillId="0" borderId="69" xfId="0" applyFont="1" applyBorder="1" applyAlignment="1">
      <alignment horizontal="left" vertical="top" wrapText="1"/>
    </xf>
    <xf numFmtId="0" fontId="4" fillId="0" borderId="70" xfId="0" applyFont="1" applyBorder="1" applyAlignment="1">
      <alignment horizontal="left" vertical="top" wrapText="1"/>
    </xf>
    <xf numFmtId="0" fontId="4" fillId="0" borderId="60" xfId="0" applyFont="1" applyBorder="1" applyAlignment="1">
      <alignment horizontal="left" vertical="top" wrapText="1"/>
    </xf>
    <xf numFmtId="0" fontId="8" fillId="0" borderId="53" xfId="0" applyFont="1" applyBorder="1" applyAlignment="1">
      <alignment wrapText="1"/>
    </xf>
    <xf numFmtId="0" fontId="8" fillId="0" borderId="54" xfId="0" applyFont="1" applyBorder="1" applyAlignment="1">
      <alignment wrapText="1"/>
    </xf>
    <xf numFmtId="0" fontId="8" fillId="0" borderId="55" xfId="0" applyFont="1" applyBorder="1" applyAlignment="1">
      <alignment wrapText="1"/>
    </xf>
    <xf numFmtId="0" fontId="6" fillId="0" borderId="73" xfId="0" applyFont="1" applyBorder="1" applyAlignment="1">
      <alignment wrapText="1"/>
    </xf>
    <xf numFmtId="0" fontId="6" fillId="0" borderId="75" xfId="0" applyFont="1" applyBorder="1" applyAlignment="1">
      <alignment wrapText="1"/>
    </xf>
    <xf numFmtId="0" fontId="11" fillId="0" borderId="53" xfId="0" applyFont="1" applyBorder="1" applyAlignment="1">
      <alignment vertical="center" wrapText="1"/>
    </xf>
    <xf numFmtId="0" fontId="11" fillId="0" borderId="55" xfId="0" applyFont="1" applyBorder="1" applyAlignment="1">
      <alignment vertical="center" wrapText="1"/>
    </xf>
    <xf numFmtId="0" fontId="11" fillId="0" borderId="69" xfId="0" applyFont="1" applyBorder="1" applyAlignment="1">
      <alignment vertical="center" wrapText="1"/>
    </xf>
    <xf numFmtId="0" fontId="11" fillId="0" borderId="60" xfId="0" applyFont="1" applyBorder="1" applyAlignment="1">
      <alignment vertical="center" wrapText="1"/>
    </xf>
    <xf numFmtId="0" fontId="11" fillId="0" borderId="64" xfId="0" applyFont="1" applyBorder="1" applyAlignment="1">
      <alignment wrapText="1"/>
    </xf>
    <xf numFmtId="0" fontId="8" fillId="0" borderId="77" xfId="0" applyFont="1" applyBorder="1" applyAlignment="1">
      <alignment horizontal="center" vertical="center" textRotation="90" wrapText="1" readingOrder="1"/>
    </xf>
    <xf numFmtId="0" fontId="8" fillId="0" borderId="71" xfId="0" applyFont="1" applyBorder="1" applyAlignment="1">
      <alignment horizontal="center" vertical="center" textRotation="90" readingOrder="1"/>
    </xf>
    <xf numFmtId="0" fontId="8" fillId="0" borderId="77" xfId="0" applyFont="1" applyBorder="1" applyAlignment="1">
      <alignment horizontal="center" vertical="center" textRotation="90" readingOrder="1"/>
    </xf>
    <xf numFmtId="0" fontId="8" fillId="0" borderId="78" xfId="0" applyFont="1" applyBorder="1" applyAlignment="1">
      <alignment horizontal="center" vertical="center" textRotation="90" readingOrder="1"/>
    </xf>
    <xf numFmtId="0" fontId="20" fillId="0" borderId="74" xfId="0" applyFont="1" applyBorder="1" applyAlignment="1">
      <alignment horizontal="center" vertical="center" wrapText="1"/>
    </xf>
    <xf numFmtId="0" fontId="20" fillId="0" borderId="75" xfId="0" applyFont="1" applyBorder="1" applyAlignment="1">
      <alignment horizontal="center" vertical="center" wrapText="1"/>
    </xf>
    <xf numFmtId="0" fontId="16" fillId="2" borderId="35" xfId="1" applyFont="1" applyFill="1" applyBorder="1" applyAlignment="1">
      <alignment horizontal="center" vertical="center"/>
    </xf>
    <xf numFmtId="0" fontId="16" fillId="2" borderId="36" xfId="1" applyFont="1" applyFill="1" applyBorder="1" applyAlignment="1">
      <alignment horizontal="center" vertical="center"/>
    </xf>
    <xf numFmtId="0" fontId="16" fillId="2" borderId="39" xfId="1" applyFont="1" applyFill="1" applyBorder="1" applyAlignment="1">
      <alignment horizontal="center" vertical="center"/>
    </xf>
    <xf numFmtId="0" fontId="26" fillId="0" borderId="35" xfId="0" applyFont="1" applyBorder="1" applyAlignment="1">
      <alignment horizontal="center"/>
    </xf>
    <xf numFmtId="0" fontId="0" fillId="0" borderId="36" xfId="0" applyBorder="1" applyAlignment="1">
      <alignment horizontal="center"/>
    </xf>
    <xf numFmtId="0" fontId="21" fillId="3" borderId="6" xfId="0" applyFont="1" applyFill="1" applyBorder="1" applyAlignment="1">
      <alignment horizontal="center"/>
    </xf>
    <xf numFmtId="0" fontId="21" fillId="3" borderId="0" xfId="0" applyFont="1" applyFill="1" applyAlignment="1">
      <alignment horizontal="center"/>
    </xf>
    <xf numFmtId="0" fontId="21" fillId="3" borderId="2" xfId="0" applyFont="1" applyFill="1" applyBorder="1" applyAlignment="1">
      <alignment horizontal="center"/>
    </xf>
    <xf numFmtId="0" fontId="22" fillId="3" borderId="2" xfId="0" applyFont="1" applyFill="1" applyBorder="1" applyAlignment="1">
      <alignment horizontal="center" wrapText="1"/>
    </xf>
    <xf numFmtId="0" fontId="22" fillId="3" borderId="39" xfId="0" applyFont="1" applyFill="1" applyBorder="1" applyAlignment="1">
      <alignment horizontal="center" wrapText="1"/>
    </xf>
    <xf numFmtId="0" fontId="4" fillId="0" borderId="68" xfId="0" applyFont="1" applyBorder="1" applyAlignment="1">
      <alignment wrapText="1"/>
    </xf>
    <xf numFmtId="0" fontId="4" fillId="0" borderId="34" xfId="0" applyFont="1" applyBorder="1" applyAlignment="1">
      <alignment wrapText="1"/>
    </xf>
    <xf numFmtId="0" fontId="4" fillId="0" borderId="57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58" xfId="0" applyFont="1" applyBorder="1" applyAlignment="1">
      <alignment wrapText="1"/>
    </xf>
    <xf numFmtId="0" fontId="4" fillId="0" borderId="69" xfId="0" applyFont="1" applyBorder="1" applyAlignment="1">
      <alignment wrapText="1"/>
    </xf>
    <xf numFmtId="0" fontId="4" fillId="0" borderId="70" xfId="0" applyFont="1" applyBorder="1" applyAlignment="1">
      <alignment wrapText="1"/>
    </xf>
    <xf numFmtId="0" fontId="4" fillId="0" borderId="60" xfId="0" applyFont="1" applyBorder="1" applyAlignment="1">
      <alignment wrapText="1"/>
    </xf>
    <xf numFmtId="0" fontId="11" fillId="0" borderId="33" xfId="1" applyFont="1" applyBorder="1" applyAlignment="1">
      <alignment horizontal="center" vertical="center" wrapText="1"/>
    </xf>
    <xf numFmtId="0" fontId="11" fillId="0" borderId="32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8" fillId="0" borderId="31" xfId="1" applyFont="1" applyBorder="1" applyAlignment="1">
      <alignment horizontal="center" vertical="center" shrinkToFit="1"/>
    </xf>
    <xf numFmtId="0" fontId="8" fillId="0" borderId="30" xfId="1" applyFont="1" applyBorder="1" applyAlignment="1">
      <alignment horizontal="center" vertical="center" shrinkToFit="1"/>
    </xf>
    <xf numFmtId="0" fontId="11" fillId="0" borderId="45" xfId="1" applyFont="1" applyBorder="1" applyAlignment="1">
      <alignment horizontal="center" vertical="center" wrapText="1"/>
    </xf>
    <xf numFmtId="0" fontId="11" fillId="0" borderId="46" xfId="1" applyFont="1" applyBorder="1" applyAlignment="1">
      <alignment horizontal="center" vertical="center" wrapText="1"/>
    </xf>
    <xf numFmtId="0" fontId="11" fillId="0" borderId="32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15" fillId="0" borderId="39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12" fillId="2" borderId="35" xfId="1" applyFont="1" applyFill="1" applyBorder="1" applyAlignment="1">
      <alignment horizontal="left" vertical="center" wrapText="1"/>
    </xf>
    <xf numFmtId="0" fontId="0" fillId="0" borderId="36" xfId="0" applyBorder="1" applyAlignment="1">
      <alignment horizontal="left" wrapText="1"/>
    </xf>
    <xf numFmtId="0" fontId="8" fillId="0" borderId="15" xfId="1" applyFont="1" applyBorder="1" applyAlignment="1">
      <alignment horizontal="center" vertical="center" textRotation="90" wrapText="1" readingOrder="1"/>
    </xf>
    <xf numFmtId="0" fontId="8" fillId="0" borderId="11" xfId="1" applyFont="1" applyBorder="1" applyAlignment="1">
      <alignment horizontal="center" vertical="center" textRotation="90" wrapText="1" readingOrder="1"/>
    </xf>
    <xf numFmtId="0" fontId="8" fillId="0" borderId="26" xfId="1" applyFont="1" applyBorder="1" applyAlignment="1">
      <alignment horizontal="center" vertical="center" textRotation="90" wrapText="1" readingOrder="1"/>
    </xf>
    <xf numFmtId="0" fontId="8" fillId="0" borderId="38" xfId="1" applyFont="1" applyBorder="1" applyAlignment="1">
      <alignment horizontal="center" vertical="center" textRotation="90" wrapText="1" readingOrder="1"/>
    </xf>
    <xf numFmtId="0" fontId="8" fillId="0" borderId="23" xfId="1" applyFont="1" applyBorder="1" applyAlignment="1">
      <alignment horizontal="center" vertical="center" textRotation="90" wrapText="1" readingOrder="1"/>
    </xf>
    <xf numFmtId="0" fontId="8" fillId="0" borderId="20" xfId="1" applyFont="1" applyBorder="1" applyAlignment="1">
      <alignment horizontal="center" vertical="center" textRotation="90" wrapText="1" readingOrder="1"/>
    </xf>
    <xf numFmtId="0" fontId="4" fillId="0" borderId="51" xfId="1" applyFont="1" applyBorder="1" applyAlignment="1">
      <alignment vertical="top" wrapText="1"/>
    </xf>
    <xf numFmtId="0" fontId="4" fillId="0" borderId="34" xfId="1" applyFont="1" applyBorder="1" applyAlignment="1">
      <alignment vertical="top" wrapText="1"/>
    </xf>
    <xf numFmtId="0" fontId="4" fillId="0" borderId="52" xfId="1" applyFont="1" applyBorder="1" applyAlignment="1">
      <alignment vertical="top" wrapText="1"/>
    </xf>
    <xf numFmtId="0" fontId="4" fillId="0" borderId="17" xfId="1" applyFont="1" applyBorder="1" applyAlignment="1">
      <alignment vertical="top" wrapText="1"/>
    </xf>
    <xf numFmtId="0" fontId="4" fillId="0" borderId="0" xfId="1" applyFont="1" applyAlignment="1">
      <alignment vertical="top" wrapText="1"/>
    </xf>
    <xf numFmtId="0" fontId="4" fillId="0" borderId="18" xfId="1" applyFont="1" applyBorder="1" applyAlignment="1">
      <alignment vertical="top" wrapText="1"/>
    </xf>
    <xf numFmtId="0" fontId="4" fillId="0" borderId="9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4" fillId="0" borderId="10" xfId="1" applyFont="1" applyBorder="1" applyAlignment="1">
      <alignment vertical="top" wrapText="1"/>
    </xf>
    <xf numFmtId="0" fontId="8" fillId="0" borderId="12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13" xfId="1" applyFont="1" applyBorder="1" applyAlignment="1">
      <alignment horizontal="center" vertical="center" wrapText="1"/>
    </xf>
    <xf numFmtId="0" fontId="6" fillId="0" borderId="14" xfId="1" applyFont="1" applyBorder="1" applyAlignment="1">
      <alignment horizontal="left" vertical="center" wrapText="1"/>
    </xf>
    <xf numFmtId="0" fontId="6" fillId="0" borderId="16" xfId="1" applyFont="1" applyBorder="1" applyAlignment="1">
      <alignment horizontal="left" vertical="center" wrapText="1"/>
    </xf>
    <xf numFmtId="0" fontId="1" fillId="0" borderId="14" xfId="1" applyBorder="1" applyAlignment="1">
      <alignment horizontal="center"/>
    </xf>
    <xf numFmtId="0" fontId="1" fillId="0" borderId="16" xfId="1" applyBorder="1" applyAlignment="1">
      <alignment horizontal="center"/>
    </xf>
    <xf numFmtId="0" fontId="6" fillId="0" borderId="12" xfId="1" applyFont="1" applyBorder="1" applyAlignment="1">
      <alignment horizontal="left" vertical="center" wrapText="1"/>
    </xf>
    <xf numFmtId="0" fontId="6" fillId="0" borderId="13" xfId="1" applyFont="1" applyBorder="1" applyAlignment="1">
      <alignment horizontal="left" vertical="center" wrapText="1"/>
    </xf>
    <xf numFmtId="0" fontId="6" fillId="0" borderId="9" xfId="1" applyFont="1" applyBorder="1" applyAlignment="1">
      <alignment horizontal="left" vertical="center" wrapText="1"/>
    </xf>
    <xf numFmtId="0" fontId="6" fillId="0" borderId="10" xfId="1" applyFont="1" applyBorder="1" applyAlignment="1">
      <alignment horizontal="left" vertical="center" wrapText="1"/>
    </xf>
    <xf numFmtId="0" fontId="1" fillId="0" borderId="12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0" xfId="1" applyBorder="1" applyAlignment="1">
      <alignment horizontal="center"/>
    </xf>
    <xf numFmtId="10" fontId="1" fillId="0" borderId="14" xfId="1" applyNumberFormat="1" applyBorder="1" applyAlignment="1">
      <alignment horizontal="center"/>
    </xf>
    <xf numFmtId="0" fontId="1" fillId="0" borderId="17" xfId="1" applyBorder="1" applyAlignment="1">
      <alignment horizontal="center"/>
    </xf>
    <xf numFmtId="0" fontId="1" fillId="0" borderId="18" xfId="1" applyBorder="1" applyAlignment="1">
      <alignment horizontal="center"/>
    </xf>
    <xf numFmtId="0" fontId="17" fillId="0" borderId="35" xfId="1" applyFont="1" applyBorder="1" applyAlignment="1">
      <alignment horizontal="center" wrapText="1"/>
    </xf>
    <xf numFmtId="0" fontId="17" fillId="0" borderId="36" xfId="1" applyFont="1" applyBorder="1" applyAlignment="1">
      <alignment horizontal="center"/>
    </xf>
    <xf numFmtId="0" fontId="17" fillId="0" borderId="39" xfId="1" applyFont="1" applyBorder="1" applyAlignment="1">
      <alignment horizontal="center"/>
    </xf>
    <xf numFmtId="0" fontId="6" fillId="0" borderId="7" xfId="1" applyFont="1" applyBorder="1" applyAlignment="1">
      <alignment horizontal="left" vertical="center" wrapText="1"/>
    </xf>
    <xf numFmtId="0" fontId="6" fillId="0" borderId="17" xfId="1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1" fillId="0" borderId="53" xfId="1" applyBorder="1" applyAlignment="1">
      <alignment horizontal="center"/>
    </xf>
    <xf numFmtId="0" fontId="1" fillId="0" borderId="55" xfId="1" applyBorder="1" applyAlignment="1">
      <alignment horizontal="center"/>
    </xf>
    <xf numFmtId="0" fontId="1" fillId="0" borderId="69" xfId="1" applyBorder="1" applyAlignment="1">
      <alignment horizontal="center"/>
    </xf>
    <xf numFmtId="0" fontId="1" fillId="0" borderId="60" xfId="1" applyBorder="1" applyAlignment="1">
      <alignment horizontal="center"/>
    </xf>
    <xf numFmtId="9" fontId="5" fillId="0" borderId="79" xfId="1" applyNumberFormat="1" applyFont="1" applyBorder="1" applyAlignment="1">
      <alignment horizontal="center" vertical="center"/>
    </xf>
    <xf numFmtId="9" fontId="5" fillId="0" borderId="80" xfId="1" applyNumberFormat="1" applyFont="1" applyBorder="1" applyAlignment="1">
      <alignment horizontal="center" vertical="center"/>
    </xf>
    <xf numFmtId="0" fontId="11" fillId="0" borderId="33" xfId="1" applyFont="1" applyBorder="1" applyAlignment="1">
      <alignment horizontal="left"/>
    </xf>
    <xf numFmtId="0" fontId="11" fillId="0" borderId="34" xfId="1" applyFont="1" applyBorder="1" applyAlignment="1">
      <alignment horizontal="left"/>
    </xf>
    <xf numFmtId="0" fontId="11" fillId="0" borderId="6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1" fillId="0" borderId="5" xfId="1" applyFont="1" applyBorder="1" applyAlignment="1">
      <alignment horizontal="left"/>
    </xf>
    <xf numFmtId="0" fontId="9" fillId="0" borderId="3" xfId="1" applyFont="1" applyBorder="1" applyAlignment="1">
      <alignment horizontal="left"/>
    </xf>
    <xf numFmtId="0" fontId="9" fillId="0" borderId="2" xfId="1" applyFont="1" applyBorder="1" applyAlignment="1">
      <alignment horizontal="left"/>
    </xf>
    <xf numFmtId="0" fontId="11" fillId="0" borderId="3" xfId="1" applyFont="1" applyBorder="1" applyAlignment="1">
      <alignment horizontal="left"/>
    </xf>
    <xf numFmtId="0" fontId="11" fillId="0" borderId="2" xfId="1" applyFont="1" applyBorder="1" applyAlignment="1">
      <alignment horizontal="left"/>
    </xf>
    <xf numFmtId="0" fontId="11" fillId="0" borderId="1" xfId="1" applyFont="1" applyBorder="1" applyAlignment="1">
      <alignment horizontal="left"/>
    </xf>
    <xf numFmtId="0" fontId="23" fillId="3" borderId="6" xfId="0" applyFont="1" applyFill="1" applyBorder="1" applyAlignment="1">
      <alignment horizontal="center"/>
    </xf>
    <xf numFmtId="0" fontId="4" fillId="0" borderId="68" xfId="0" applyFont="1" applyBorder="1" applyAlignment="1">
      <alignment vertical="top" wrapText="1"/>
    </xf>
    <xf numFmtId="0" fontId="4" fillId="0" borderId="34" xfId="0" applyFont="1" applyBorder="1" applyAlignment="1">
      <alignment vertical="top" wrapText="1"/>
    </xf>
    <xf numFmtId="0" fontId="4" fillId="0" borderId="57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58" xfId="0" applyFont="1" applyBorder="1" applyAlignment="1">
      <alignment vertical="top" wrapText="1"/>
    </xf>
    <xf numFmtId="0" fontId="4" fillId="0" borderId="69" xfId="0" applyFont="1" applyBorder="1" applyAlignment="1">
      <alignment vertical="top" wrapText="1"/>
    </xf>
    <xf numFmtId="0" fontId="4" fillId="0" borderId="70" xfId="0" applyFont="1" applyBorder="1" applyAlignment="1">
      <alignment vertical="top" wrapText="1"/>
    </xf>
    <xf numFmtId="0" fontId="4" fillId="0" borderId="60" xfId="0" applyFont="1" applyBorder="1" applyAlignment="1">
      <alignment vertical="top" wrapText="1"/>
    </xf>
    <xf numFmtId="0" fontId="1" fillId="0" borderId="53" xfId="0" applyFont="1" applyBorder="1" applyAlignment="1">
      <alignment horizontal="center" vertical="center" indent="1"/>
    </xf>
    <xf numFmtId="0" fontId="1" fillId="0" borderId="55" xfId="0" applyFont="1" applyBorder="1" applyAlignment="1">
      <alignment horizontal="center" vertical="center" indent="1"/>
    </xf>
    <xf numFmtId="0" fontId="1" fillId="0" borderId="69" xfId="0" applyFont="1" applyBorder="1" applyAlignment="1">
      <alignment horizontal="center" vertical="center" indent="1"/>
    </xf>
    <xf numFmtId="0" fontId="1" fillId="0" borderId="60" xfId="0" applyFont="1" applyBorder="1" applyAlignment="1">
      <alignment horizontal="center" vertical="center" indent="1"/>
    </xf>
    <xf numFmtId="0" fontId="19" fillId="0" borderId="33" xfId="0" applyFont="1" applyBorder="1" applyAlignment="1"/>
    <xf numFmtId="0" fontId="19" fillId="0" borderId="34" xfId="0" applyFont="1" applyBorder="1" applyAlignment="1"/>
    <xf numFmtId="0" fontId="19" fillId="0" borderId="6" xfId="0" applyFont="1" applyBorder="1" applyAlignment="1"/>
    <xf numFmtId="0" fontId="19" fillId="0" borderId="0" xfId="0" applyFont="1" applyAlignment="1"/>
    <xf numFmtId="0" fontId="19" fillId="0" borderId="59" xfId="0" applyFont="1" applyBorder="1" applyAlignment="1"/>
    <xf numFmtId="0" fontId="19" fillId="0" borderId="60" xfId="0" applyFont="1" applyBorder="1" applyAlignment="1"/>
    <xf numFmtId="0" fontId="8" fillId="0" borderId="63" xfId="0" applyFont="1" applyBorder="1" applyAlignment="1"/>
    <xf numFmtId="0" fontId="8" fillId="0" borderId="62" xfId="0" applyFont="1" applyBorder="1" applyAlignment="1"/>
    <xf numFmtId="0" fontId="11" fillId="0" borderId="5" xfId="0" applyFont="1" applyBorder="1" applyAlignment="1"/>
    <xf numFmtId="0" fontId="1" fillId="0" borderId="74" xfId="0" applyFont="1" applyBorder="1" applyAlignment="1"/>
    <xf numFmtId="0" fontId="1" fillId="0" borderId="75" xfId="0" applyFont="1" applyBorder="1" applyAlignment="1"/>
    <xf numFmtId="0" fontId="1" fillId="0" borderId="53" xfId="0" applyFont="1" applyBorder="1" applyAlignment="1"/>
    <xf numFmtId="0" fontId="1" fillId="0" borderId="55" xfId="0" applyFont="1" applyBorder="1" applyAlignment="1"/>
    <xf numFmtId="0" fontId="1" fillId="0" borderId="68" xfId="0" applyFont="1" applyBorder="1" applyAlignment="1"/>
    <xf numFmtId="0" fontId="1" fillId="0" borderId="69" xfId="0" applyFont="1" applyBorder="1" applyAlignment="1"/>
    <xf numFmtId="0" fontId="1" fillId="0" borderId="60" xfId="0" applyFont="1" applyBorder="1" applyAlignment="1"/>
    <xf numFmtId="0" fontId="1" fillId="0" borderId="54" xfId="0" applyFont="1" applyBorder="1" applyAlignment="1"/>
    <xf numFmtId="0" fontId="5" fillId="0" borderId="15" xfId="0" quotePrefix="1" applyFont="1" applyBorder="1" applyAlignment="1"/>
    <xf numFmtId="0" fontId="1" fillId="0" borderId="70" xfId="0" applyFont="1" applyBorder="1" applyAlignment="1"/>
    <xf numFmtId="0" fontId="5" fillId="0" borderId="76" xfId="0" applyFont="1" applyBorder="1" applyAlignment="1"/>
    <xf numFmtId="0" fontId="11" fillId="0" borderId="33" xfId="0" applyFont="1" applyBorder="1" applyAlignment="1"/>
    <xf numFmtId="0" fontId="11" fillId="0" borderId="34" xfId="0" applyFont="1" applyBorder="1" applyAlignment="1"/>
    <xf numFmtId="0" fontId="11" fillId="0" borderId="0" xfId="0" applyFont="1" applyAlignment="1"/>
    <xf numFmtId="0" fontId="11" fillId="0" borderId="58" xfId="0" applyFont="1" applyBorder="1" applyAlignment="1"/>
    <xf numFmtId="0" fontId="9" fillId="0" borderId="3" xfId="0" applyFont="1" applyBorder="1" applyAlignment="1"/>
    <xf numFmtId="0" fontId="9" fillId="0" borderId="2" xfId="0" applyFont="1" applyBorder="1" applyAlignment="1"/>
    <xf numFmtId="0" fontId="11" fillId="0" borderId="2" xfId="0" applyFont="1" applyBorder="1" applyAlignment="1"/>
    <xf numFmtId="0" fontId="11" fillId="0" borderId="56" xfId="0" applyFont="1" applyBorder="1" applyAlignment="1"/>
    <xf numFmtId="9" fontId="1" fillId="0" borderId="68" xfId="0" applyNumberFormat="1" applyFont="1" applyBorder="1" applyAlignment="1"/>
    <xf numFmtId="9" fontId="1" fillId="0" borderId="69" xfId="0" applyNumberFormat="1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104776</xdr:colOff>
      <xdr:row>0</xdr:row>
      <xdr:rowOff>28575</xdr:rowOff>
    </xdr:from>
    <xdr:to>
      <xdr:col>1</xdr:col>
      <xdr:colOff>884502</xdr:colOff>
      <xdr:row>2</xdr:row>
      <xdr:rowOff>104775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640DC05C-B41C-48B6-8E84-49040259F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6" y="28575"/>
          <a:ext cx="779726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104776</xdr:colOff>
      <xdr:row>0</xdr:row>
      <xdr:rowOff>28575</xdr:rowOff>
    </xdr:from>
    <xdr:to>
      <xdr:col>1</xdr:col>
      <xdr:colOff>884502</xdr:colOff>
      <xdr:row>2</xdr:row>
      <xdr:rowOff>104775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DBBD51F0-37D3-4F75-876D-A313C78FD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6" y="28575"/>
          <a:ext cx="779726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104776</xdr:colOff>
      <xdr:row>0</xdr:row>
      <xdr:rowOff>28575</xdr:rowOff>
    </xdr:from>
    <xdr:to>
      <xdr:col>1</xdr:col>
      <xdr:colOff>884502</xdr:colOff>
      <xdr:row>2</xdr:row>
      <xdr:rowOff>104775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1ED2E1E8-0F93-4396-994C-188ADEB51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1" y="28575"/>
          <a:ext cx="779726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104776</xdr:colOff>
      <xdr:row>0</xdr:row>
      <xdr:rowOff>28575</xdr:rowOff>
    </xdr:from>
    <xdr:to>
      <xdr:col>1</xdr:col>
      <xdr:colOff>884502</xdr:colOff>
      <xdr:row>2</xdr:row>
      <xdr:rowOff>104775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2A995D0E-500B-4529-B39D-1B62B53F7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1" y="28575"/>
          <a:ext cx="779726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104776</xdr:colOff>
      <xdr:row>0</xdr:row>
      <xdr:rowOff>28575</xdr:rowOff>
    </xdr:from>
    <xdr:to>
      <xdr:col>1</xdr:col>
      <xdr:colOff>884502</xdr:colOff>
      <xdr:row>2</xdr:row>
      <xdr:rowOff>104775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70BED86B-B53B-4294-BBE9-0CBF4010C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1" y="28575"/>
          <a:ext cx="779726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104776</xdr:colOff>
      <xdr:row>0</xdr:row>
      <xdr:rowOff>28575</xdr:rowOff>
    </xdr:from>
    <xdr:to>
      <xdr:col>1</xdr:col>
      <xdr:colOff>884502</xdr:colOff>
      <xdr:row>2</xdr:row>
      <xdr:rowOff>104775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D0ACCC12-34B0-45EC-961B-5EEC86D38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1" y="28575"/>
          <a:ext cx="779726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104776</xdr:colOff>
      <xdr:row>0</xdr:row>
      <xdr:rowOff>28575</xdr:rowOff>
    </xdr:from>
    <xdr:to>
      <xdr:col>1</xdr:col>
      <xdr:colOff>884502</xdr:colOff>
      <xdr:row>2</xdr:row>
      <xdr:rowOff>104775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0EF1EBBC-033D-48BA-9503-A93097DAC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1" y="28575"/>
          <a:ext cx="779726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88AC3-E302-4015-867D-D21A42681BE1}">
  <dimension ref="A1:F54"/>
  <sheetViews>
    <sheetView topLeftCell="A38" workbookViewId="0">
      <selection activeCell="A50" sqref="A50:F50"/>
    </sheetView>
  </sheetViews>
  <sheetFormatPr defaultColWidth="11.42578125" defaultRowHeight="15" customHeight="1"/>
  <cols>
    <col min="1" max="1" width="2.7109375" customWidth="1"/>
    <col min="2" max="2" width="19.42578125" customWidth="1"/>
    <col min="3" max="3" width="13.42578125" customWidth="1"/>
    <col min="4" max="4" width="18.140625" customWidth="1"/>
    <col min="5" max="5" width="17" customWidth="1"/>
    <col min="6" max="6" width="17.28515625" customWidth="1"/>
  </cols>
  <sheetData>
    <row r="1" spans="1:6" ht="15" customHeight="1">
      <c r="A1" s="199" t="s">
        <v>0</v>
      </c>
      <c r="B1" s="200"/>
      <c r="C1" s="89" t="s">
        <v>1</v>
      </c>
      <c r="D1" s="89"/>
      <c r="E1" s="89"/>
      <c r="F1" s="90"/>
    </row>
    <row r="2" spans="1:6" ht="14.45">
      <c r="A2" s="201"/>
      <c r="B2" s="202"/>
      <c r="C2" s="91" t="s">
        <v>2</v>
      </c>
      <c r="D2" s="92"/>
      <c r="E2" s="92"/>
      <c r="F2" s="93"/>
    </row>
    <row r="3" spans="1:6">
      <c r="A3" s="203"/>
      <c r="B3" s="204"/>
      <c r="C3" s="94" t="s">
        <v>3</v>
      </c>
      <c r="D3" s="95"/>
      <c r="E3" s="52" t="s">
        <v>4</v>
      </c>
      <c r="F3" s="53" t="s">
        <v>5</v>
      </c>
    </row>
    <row r="4" spans="1:6" ht="15" customHeight="1">
      <c r="A4" s="96" t="s">
        <v>6</v>
      </c>
      <c r="B4" s="97"/>
      <c r="C4" s="98"/>
      <c r="D4" s="98"/>
      <c r="E4" s="99" t="s">
        <v>7</v>
      </c>
      <c r="F4" s="100"/>
    </row>
    <row r="5" spans="1:6" ht="14.45">
      <c r="A5" s="80" t="s">
        <v>8</v>
      </c>
      <c r="B5" s="81"/>
      <c r="C5" s="205" t="s">
        <v>9</v>
      </c>
      <c r="D5" s="206"/>
      <c r="E5" s="84" t="s">
        <v>10</v>
      </c>
      <c r="F5" s="207" t="s">
        <v>11</v>
      </c>
    </row>
    <row r="6" spans="1:6" ht="14.45">
      <c r="A6" s="82"/>
      <c r="B6" s="83"/>
      <c r="C6" s="33" t="s">
        <v>12</v>
      </c>
      <c r="D6" s="33" t="s">
        <v>13</v>
      </c>
      <c r="E6" s="84"/>
      <c r="F6" s="207"/>
    </row>
    <row r="7" spans="1:6" ht="24" customHeight="1">
      <c r="A7" s="85" t="s">
        <v>14</v>
      </c>
      <c r="B7" s="40" t="s">
        <v>15</v>
      </c>
      <c r="C7" s="35" t="s">
        <v>0</v>
      </c>
      <c r="D7" s="35" t="s">
        <v>0</v>
      </c>
      <c r="E7" s="35" t="s">
        <v>0</v>
      </c>
      <c r="F7" s="36" t="s">
        <v>0</v>
      </c>
    </row>
    <row r="8" spans="1:6" ht="14.45">
      <c r="A8" s="85"/>
      <c r="B8" s="37" t="s">
        <v>16</v>
      </c>
      <c r="C8" s="38" t="s">
        <v>0</v>
      </c>
      <c r="D8" s="38" t="s">
        <v>0</v>
      </c>
      <c r="E8" s="38" t="s">
        <v>0</v>
      </c>
      <c r="F8" s="39" t="s">
        <v>0</v>
      </c>
    </row>
    <row r="9" spans="1:6" ht="14.45">
      <c r="A9" s="85"/>
      <c r="B9" s="40" t="s">
        <v>17</v>
      </c>
      <c r="C9" s="38" t="s">
        <v>0</v>
      </c>
      <c r="D9" s="38" t="s">
        <v>0</v>
      </c>
      <c r="E9" s="38" t="s">
        <v>0</v>
      </c>
      <c r="F9" s="39" t="s">
        <v>0</v>
      </c>
    </row>
    <row r="10" spans="1:6" ht="14.45">
      <c r="A10" s="85"/>
      <c r="B10" s="40" t="s">
        <v>18</v>
      </c>
      <c r="C10" s="38" t="s">
        <v>0</v>
      </c>
      <c r="D10" s="38" t="s">
        <v>0</v>
      </c>
      <c r="E10" s="38" t="s">
        <v>0</v>
      </c>
      <c r="F10" s="39" t="s">
        <v>0</v>
      </c>
    </row>
    <row r="11" spans="1:6" ht="14.45">
      <c r="A11" s="85"/>
      <c r="B11" s="40" t="s">
        <v>19</v>
      </c>
      <c r="C11" s="38" t="s">
        <v>0</v>
      </c>
      <c r="D11" s="38" t="s">
        <v>0</v>
      </c>
      <c r="E11" s="38" t="s">
        <v>0</v>
      </c>
      <c r="F11" s="39" t="s">
        <v>0</v>
      </c>
    </row>
    <row r="12" spans="1:6" ht="14.45">
      <c r="A12" s="85"/>
      <c r="B12" s="40" t="s">
        <v>20</v>
      </c>
      <c r="C12" s="38" t="s">
        <v>0</v>
      </c>
      <c r="D12" s="38" t="s">
        <v>0</v>
      </c>
      <c r="E12" s="38" t="s">
        <v>0</v>
      </c>
      <c r="F12" s="39" t="s">
        <v>0</v>
      </c>
    </row>
    <row r="13" spans="1:6" ht="14.45">
      <c r="A13" s="85"/>
      <c r="B13" s="40" t="s">
        <v>21</v>
      </c>
      <c r="C13" s="38" t="s">
        <v>0</v>
      </c>
      <c r="D13" s="38" t="s">
        <v>0</v>
      </c>
      <c r="E13" s="38" t="s">
        <v>0</v>
      </c>
      <c r="F13" s="39" t="s">
        <v>0</v>
      </c>
    </row>
    <row r="14" spans="1:6" ht="14.45">
      <c r="A14" s="85"/>
      <c r="B14" s="40" t="s">
        <v>22</v>
      </c>
      <c r="C14" s="38" t="s">
        <v>0</v>
      </c>
      <c r="D14" s="38" t="s">
        <v>0</v>
      </c>
      <c r="E14" s="38" t="s">
        <v>0</v>
      </c>
      <c r="F14" s="39" t="s">
        <v>0</v>
      </c>
    </row>
    <row r="15" spans="1:6" ht="27">
      <c r="A15" s="85"/>
      <c r="B15" s="40" t="s">
        <v>23</v>
      </c>
      <c r="C15" s="38" t="s">
        <v>0</v>
      </c>
      <c r="D15" s="38" t="s">
        <v>0</v>
      </c>
      <c r="E15" s="38" t="s">
        <v>0</v>
      </c>
      <c r="F15" s="39" t="s">
        <v>0</v>
      </c>
    </row>
    <row r="16" spans="1:6" ht="14.45">
      <c r="A16" s="85"/>
      <c r="B16" s="40" t="s">
        <v>24</v>
      </c>
      <c r="C16" s="38" t="s">
        <v>0</v>
      </c>
      <c r="D16" s="38" t="s">
        <v>0</v>
      </c>
      <c r="E16" s="38" t="s">
        <v>0</v>
      </c>
      <c r="F16" s="39" t="s">
        <v>0</v>
      </c>
    </row>
    <row r="17" spans="1:6" ht="14.45">
      <c r="A17" s="85"/>
      <c r="B17" s="40" t="s">
        <v>25</v>
      </c>
      <c r="C17" s="38" t="s">
        <v>0</v>
      </c>
      <c r="D17" s="38" t="s">
        <v>0</v>
      </c>
      <c r="E17" s="38" t="s">
        <v>0</v>
      </c>
      <c r="F17" s="39" t="s">
        <v>0</v>
      </c>
    </row>
    <row r="18" spans="1:6" ht="14.45">
      <c r="A18" s="85"/>
      <c r="B18" s="40" t="s">
        <v>26</v>
      </c>
      <c r="C18" s="38" t="s">
        <v>0</v>
      </c>
      <c r="D18" s="38" t="s">
        <v>0</v>
      </c>
      <c r="E18" s="38" t="s">
        <v>0</v>
      </c>
      <c r="F18" s="39" t="s">
        <v>0</v>
      </c>
    </row>
    <row r="19" spans="1:6" ht="14.45">
      <c r="A19" s="85"/>
      <c r="B19" s="40" t="s">
        <v>27</v>
      </c>
      <c r="C19" s="38" t="s">
        <v>0</v>
      </c>
      <c r="D19" s="38" t="s">
        <v>0</v>
      </c>
      <c r="E19" s="38" t="s">
        <v>0</v>
      </c>
      <c r="F19" s="39" t="s">
        <v>0</v>
      </c>
    </row>
    <row r="20" spans="1:6" ht="14.45">
      <c r="A20" s="85"/>
      <c r="B20" s="40" t="s">
        <v>28</v>
      </c>
      <c r="C20" s="38" t="s">
        <v>0</v>
      </c>
      <c r="D20" s="38" t="s">
        <v>0</v>
      </c>
      <c r="E20" s="38" t="s">
        <v>0</v>
      </c>
      <c r="F20" s="39" t="s">
        <v>0</v>
      </c>
    </row>
    <row r="21" spans="1:6" ht="24" customHeight="1">
      <c r="A21" s="86" t="s">
        <v>29</v>
      </c>
      <c r="B21" s="34" t="s">
        <v>15</v>
      </c>
      <c r="C21" s="35" t="s">
        <v>0</v>
      </c>
      <c r="D21" s="35" t="s">
        <v>0</v>
      </c>
      <c r="E21" s="35" t="s">
        <v>0</v>
      </c>
      <c r="F21" s="36" t="s">
        <v>0</v>
      </c>
    </row>
    <row r="22" spans="1:6" ht="14.45">
      <c r="A22" s="87"/>
      <c r="B22" s="40" t="s">
        <v>30</v>
      </c>
      <c r="C22" s="38" t="s">
        <v>0</v>
      </c>
      <c r="D22" s="38" t="s">
        <v>0</v>
      </c>
      <c r="E22" s="38" t="s">
        <v>0</v>
      </c>
      <c r="F22" s="39" t="s">
        <v>0</v>
      </c>
    </row>
    <row r="23" spans="1:6" ht="14.45">
      <c r="A23" s="87"/>
      <c r="B23" s="37" t="s">
        <v>16</v>
      </c>
      <c r="C23" s="38" t="s">
        <v>0</v>
      </c>
      <c r="D23" s="38" t="s">
        <v>0</v>
      </c>
      <c r="E23" s="38" t="s">
        <v>0</v>
      </c>
      <c r="F23" s="39" t="s">
        <v>0</v>
      </c>
    </row>
    <row r="24" spans="1:6" ht="14.45">
      <c r="A24" s="87"/>
      <c r="B24" s="40" t="s">
        <v>17</v>
      </c>
      <c r="C24" s="38" t="s">
        <v>0</v>
      </c>
      <c r="D24" s="38" t="s">
        <v>0</v>
      </c>
      <c r="E24" s="38" t="s">
        <v>0</v>
      </c>
      <c r="F24" s="39" t="s">
        <v>0</v>
      </c>
    </row>
    <row r="25" spans="1:6" ht="14.45">
      <c r="A25" s="87"/>
      <c r="B25" s="40" t="s">
        <v>18</v>
      </c>
      <c r="C25" s="38" t="s">
        <v>0</v>
      </c>
      <c r="D25" s="38" t="s">
        <v>0</v>
      </c>
      <c r="E25" s="38" t="s">
        <v>0</v>
      </c>
      <c r="F25" s="39" t="s">
        <v>0</v>
      </c>
    </row>
    <row r="26" spans="1:6" ht="14.45">
      <c r="A26" s="87"/>
      <c r="B26" s="40" t="s">
        <v>26</v>
      </c>
      <c r="C26" s="38" t="s">
        <v>0</v>
      </c>
      <c r="D26" s="38" t="s">
        <v>0</v>
      </c>
      <c r="E26" s="38" t="s">
        <v>0</v>
      </c>
      <c r="F26" s="39" t="s">
        <v>0</v>
      </c>
    </row>
    <row r="27" spans="1:6" ht="14.45" customHeight="1">
      <c r="A27" s="87"/>
      <c r="B27" s="40" t="s">
        <v>25</v>
      </c>
      <c r="C27" s="38" t="s">
        <v>0</v>
      </c>
      <c r="D27" s="38" t="s">
        <v>0</v>
      </c>
      <c r="E27" s="38" t="s">
        <v>0</v>
      </c>
      <c r="F27" s="39" t="s">
        <v>0</v>
      </c>
    </row>
    <row r="28" spans="1:6" ht="14.45">
      <c r="A28" s="87"/>
      <c r="B28" s="40" t="s">
        <v>20</v>
      </c>
      <c r="C28" s="38" t="s">
        <v>0</v>
      </c>
      <c r="D28" s="38" t="s">
        <v>0</v>
      </c>
      <c r="E28" s="38" t="s">
        <v>0</v>
      </c>
      <c r="F28" s="39" t="s">
        <v>0</v>
      </c>
    </row>
    <row r="29" spans="1:6" ht="14.45">
      <c r="A29" s="87"/>
      <c r="B29" s="40" t="s">
        <v>21</v>
      </c>
      <c r="C29" s="38" t="s">
        <v>0</v>
      </c>
      <c r="D29" s="38" t="s">
        <v>0</v>
      </c>
      <c r="E29" s="38" t="s">
        <v>0</v>
      </c>
      <c r="F29" s="39" t="s">
        <v>0</v>
      </c>
    </row>
    <row r="30" spans="1:6" ht="14.45">
      <c r="A30" s="87"/>
      <c r="B30" s="40" t="s">
        <v>22</v>
      </c>
      <c r="C30" s="38" t="s">
        <v>0</v>
      </c>
      <c r="D30" s="38" t="s">
        <v>0</v>
      </c>
      <c r="E30" s="38" t="s">
        <v>0</v>
      </c>
      <c r="F30" s="39" t="s">
        <v>0</v>
      </c>
    </row>
    <row r="31" spans="1:6" ht="27">
      <c r="A31" s="87"/>
      <c r="B31" s="40" t="s">
        <v>23</v>
      </c>
      <c r="C31" s="38" t="s">
        <v>0</v>
      </c>
      <c r="D31" s="38" t="s">
        <v>0</v>
      </c>
      <c r="E31" s="38" t="s">
        <v>0</v>
      </c>
      <c r="F31" s="39" t="s">
        <v>0</v>
      </c>
    </row>
    <row r="32" spans="1:6" ht="14.45">
      <c r="A32" s="87"/>
      <c r="B32" s="40" t="s">
        <v>24</v>
      </c>
      <c r="C32" s="38" t="s">
        <v>0</v>
      </c>
      <c r="D32" s="38" t="s">
        <v>0</v>
      </c>
      <c r="E32" s="38" t="s">
        <v>0</v>
      </c>
      <c r="F32" s="39" t="s">
        <v>0</v>
      </c>
    </row>
    <row r="33" spans="1:6" ht="14.45">
      <c r="A33" s="87"/>
      <c r="B33" s="40" t="s">
        <v>31</v>
      </c>
      <c r="C33" s="38" t="s">
        <v>0</v>
      </c>
      <c r="D33" s="38" t="s">
        <v>0</v>
      </c>
      <c r="E33" s="38" t="s">
        <v>0</v>
      </c>
      <c r="F33" s="39" t="s">
        <v>0</v>
      </c>
    </row>
    <row r="34" spans="1:6" ht="14.45">
      <c r="A34" s="88"/>
      <c r="B34" s="41" t="s">
        <v>28</v>
      </c>
      <c r="C34" s="42" t="s">
        <v>0</v>
      </c>
      <c r="D34" s="42" t="s">
        <v>0</v>
      </c>
      <c r="E34" s="42" t="s">
        <v>0</v>
      </c>
      <c r="F34" s="43" t="s">
        <v>0</v>
      </c>
    </row>
    <row r="35" spans="1:6" ht="14.45">
      <c r="A35" s="101" t="s">
        <v>32</v>
      </c>
      <c r="B35" s="102"/>
      <c r="C35" s="102"/>
      <c r="D35" s="102"/>
      <c r="E35" s="102"/>
      <c r="F35" s="103"/>
    </row>
    <row r="36" spans="1:6" ht="14.45">
      <c r="A36" s="101"/>
      <c r="B36" s="104"/>
      <c r="C36" s="104"/>
      <c r="D36" s="104"/>
      <c r="E36" s="104"/>
      <c r="F36" s="105"/>
    </row>
    <row r="37" spans="1:6" ht="14.45">
      <c r="A37" s="101"/>
      <c r="B37" s="104"/>
      <c r="C37" s="104"/>
      <c r="D37" s="104"/>
      <c r="E37" s="104"/>
      <c r="F37" s="105"/>
    </row>
    <row r="38" spans="1:6" ht="14.45">
      <c r="A38" s="101"/>
      <c r="B38" s="104"/>
      <c r="C38" s="104"/>
      <c r="D38" s="104"/>
      <c r="E38" s="104"/>
      <c r="F38" s="105"/>
    </row>
    <row r="39" spans="1:6" ht="14.45">
      <c r="A39" s="106"/>
      <c r="B39" s="107"/>
      <c r="C39" s="107"/>
      <c r="D39" s="107"/>
      <c r="E39" s="107"/>
      <c r="F39" s="108"/>
    </row>
    <row r="40" spans="1:6" ht="14.45">
      <c r="A40" s="75" t="s">
        <v>33</v>
      </c>
      <c r="B40" s="76"/>
      <c r="C40" s="76"/>
      <c r="D40" s="76"/>
      <c r="E40" s="76"/>
      <c r="F40" s="77"/>
    </row>
    <row r="41" spans="1:6" ht="29.25" customHeight="1">
      <c r="A41" s="78" t="s">
        <v>34</v>
      </c>
      <c r="B41" s="79"/>
      <c r="C41" s="208" t="s">
        <v>0</v>
      </c>
      <c r="D41" s="209"/>
      <c r="E41" s="44">
        <v>1</v>
      </c>
      <c r="F41" s="50" t="s">
        <v>35</v>
      </c>
    </row>
    <row r="42" spans="1:6" ht="46.9" customHeight="1">
      <c r="A42" s="65" t="s">
        <v>36</v>
      </c>
      <c r="B42" s="66"/>
      <c r="C42" s="210" t="s">
        <v>0</v>
      </c>
      <c r="D42" s="211"/>
      <c r="E42" s="212" t="s">
        <v>0</v>
      </c>
      <c r="F42" s="45" t="s">
        <v>37</v>
      </c>
    </row>
    <row r="43" spans="1:6" ht="14.45">
      <c r="A43" s="63"/>
      <c r="B43" s="64"/>
      <c r="C43" s="213"/>
      <c r="D43" s="214"/>
      <c r="E43" s="213"/>
      <c r="F43" s="46" t="s">
        <v>38</v>
      </c>
    </row>
    <row r="44" spans="1:6" ht="14.45">
      <c r="A44" s="61" t="s">
        <v>39</v>
      </c>
      <c r="B44" s="62"/>
      <c r="C44" s="210" t="s">
        <v>0</v>
      </c>
      <c r="D44" s="211"/>
      <c r="E44" s="212" t="s">
        <v>0</v>
      </c>
      <c r="F44" s="47" t="s">
        <v>0</v>
      </c>
    </row>
    <row r="45" spans="1:6" ht="14.45">
      <c r="A45" s="63"/>
      <c r="B45" s="64"/>
      <c r="C45" s="213"/>
      <c r="D45" s="214"/>
      <c r="E45" s="213"/>
      <c r="F45" s="47" t="s">
        <v>0</v>
      </c>
    </row>
    <row r="46" spans="1:6" ht="14.45">
      <c r="A46" s="61" t="s">
        <v>40</v>
      </c>
      <c r="B46" s="62"/>
      <c r="C46" s="210" t="s">
        <v>0</v>
      </c>
      <c r="D46" s="215"/>
      <c r="E46" s="216" t="s">
        <v>41</v>
      </c>
      <c r="F46" s="48" t="s">
        <v>0</v>
      </c>
    </row>
    <row r="47" spans="1:6" ht="14.45">
      <c r="A47" s="65"/>
      <c r="B47" s="66"/>
      <c r="C47" s="213"/>
      <c r="D47" s="217"/>
      <c r="E47" s="218"/>
      <c r="F47" s="49" t="s">
        <v>0</v>
      </c>
    </row>
    <row r="48" spans="1:6" ht="14.45">
      <c r="A48" s="219" t="s">
        <v>42</v>
      </c>
      <c r="B48" s="220"/>
      <c r="C48" s="48" t="s">
        <v>0</v>
      </c>
      <c r="D48" s="221" t="s">
        <v>43</v>
      </c>
      <c r="E48" s="221"/>
      <c r="F48" s="222"/>
    </row>
    <row r="49" spans="1:6">
      <c r="A49" s="223" t="s">
        <v>44</v>
      </c>
      <c r="B49" s="224"/>
      <c r="C49" s="49" t="s">
        <v>0</v>
      </c>
      <c r="D49" s="225" t="s">
        <v>45</v>
      </c>
      <c r="E49" s="225"/>
      <c r="F49" s="226"/>
    </row>
    <row r="50" spans="1:6" ht="32.25" customHeight="1">
      <c r="A50" s="58" t="s">
        <v>46</v>
      </c>
      <c r="B50" s="59"/>
      <c r="C50" s="59"/>
      <c r="D50" s="59"/>
      <c r="E50" s="59"/>
      <c r="F50" s="60"/>
    </row>
    <row r="51" spans="1:6" ht="14.45"/>
    <row r="52" spans="1:6" ht="14.45"/>
    <row r="53" spans="1:6" ht="14.45"/>
    <row r="54" spans="1:6" ht="14.45"/>
  </sheetData>
  <mergeCells count="30">
    <mergeCell ref="A1:B3"/>
    <mergeCell ref="C1:F1"/>
    <mergeCell ref="C2:F2"/>
    <mergeCell ref="C3:D3"/>
    <mergeCell ref="A4:D4"/>
    <mergeCell ref="E4:F4"/>
    <mergeCell ref="A49:B49"/>
    <mergeCell ref="D49:F49"/>
    <mergeCell ref="A50:F50"/>
    <mergeCell ref="A44:B45"/>
    <mergeCell ref="C44:D45"/>
    <mergeCell ref="E44:E45"/>
    <mergeCell ref="A46:B47"/>
    <mergeCell ref="C46:D47"/>
    <mergeCell ref="E46:E47"/>
    <mergeCell ref="A7:A20"/>
    <mergeCell ref="A21:A34"/>
    <mergeCell ref="A48:B48"/>
    <mergeCell ref="D48:F48"/>
    <mergeCell ref="F5:F6"/>
    <mergeCell ref="A35:F39"/>
    <mergeCell ref="A40:F40"/>
    <mergeCell ref="A5:B6"/>
    <mergeCell ref="C5:D5"/>
    <mergeCell ref="E5:E6"/>
    <mergeCell ref="A41:B41"/>
    <mergeCell ref="C41:D41"/>
    <mergeCell ref="A42:B43"/>
    <mergeCell ref="C42:D43"/>
    <mergeCell ref="E42:E43"/>
  </mergeCells>
  <pageMargins left="0" right="0" top="0" bottom="0" header="0" footer="0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740A3-F8ED-4AA4-AAE3-36F5AD32BD2F}">
  <dimension ref="A1:F49"/>
  <sheetViews>
    <sheetView topLeftCell="A31" workbookViewId="0">
      <selection activeCell="E41" sqref="E41:E42"/>
    </sheetView>
  </sheetViews>
  <sheetFormatPr defaultColWidth="11.42578125" defaultRowHeight="14.45"/>
  <cols>
    <col min="1" max="1" width="8.85546875" customWidth="1"/>
    <col min="2" max="2" width="20.5703125" customWidth="1"/>
    <col min="3" max="3" width="14.85546875" customWidth="1"/>
    <col min="4" max="4" width="13.42578125" customWidth="1"/>
    <col min="5" max="5" width="18.140625" customWidth="1"/>
    <col min="6" max="6" width="38.85546875" customWidth="1"/>
  </cols>
  <sheetData>
    <row r="1" spans="1:6" ht="15" thickBot="1">
      <c r="A1" s="119"/>
      <c r="B1" s="120"/>
      <c r="C1" s="125" t="s">
        <v>47</v>
      </c>
      <c r="D1" s="126"/>
      <c r="E1" s="126"/>
      <c r="F1" s="127"/>
    </row>
    <row r="2" spans="1:6" ht="15" thickBot="1">
      <c r="A2" s="121"/>
      <c r="B2" s="122"/>
      <c r="C2" s="91" t="s">
        <v>2</v>
      </c>
      <c r="D2" s="92"/>
      <c r="E2" s="92"/>
      <c r="F2" s="93"/>
    </row>
    <row r="3" spans="1:6" ht="15" thickBot="1">
      <c r="A3" s="123"/>
      <c r="B3" s="124"/>
      <c r="C3" s="128" t="s">
        <v>48</v>
      </c>
      <c r="D3" s="95"/>
      <c r="E3" s="17" t="s">
        <v>49</v>
      </c>
      <c r="F3" s="17" t="s">
        <v>50</v>
      </c>
    </row>
    <row r="4" spans="1:6" ht="15" thickBot="1">
      <c r="A4" s="129" t="s">
        <v>51</v>
      </c>
      <c r="B4" s="130"/>
      <c r="C4" s="130"/>
      <c r="D4" s="130"/>
      <c r="E4" s="130"/>
      <c r="F4" s="21" t="s">
        <v>52</v>
      </c>
    </row>
    <row r="5" spans="1:6">
      <c r="A5" s="109" t="s">
        <v>8</v>
      </c>
      <c r="B5" s="110"/>
      <c r="C5" s="113" t="s">
        <v>9</v>
      </c>
      <c r="D5" s="114"/>
      <c r="E5" s="115" t="s">
        <v>10</v>
      </c>
      <c r="F5" s="117" t="s">
        <v>11</v>
      </c>
    </row>
    <row r="6" spans="1:6" ht="15" thickBot="1">
      <c r="A6" s="111"/>
      <c r="B6" s="112"/>
      <c r="C6" s="15" t="s">
        <v>12</v>
      </c>
      <c r="D6" s="14" t="s">
        <v>13</v>
      </c>
      <c r="E6" s="116"/>
      <c r="F6" s="118"/>
    </row>
    <row r="7" spans="1:6">
      <c r="A7" s="131" t="s">
        <v>14</v>
      </c>
      <c r="B7" s="12" t="s">
        <v>15</v>
      </c>
      <c r="C7" s="22">
        <v>1</v>
      </c>
      <c r="D7" s="11"/>
      <c r="E7" s="11"/>
      <c r="F7" s="18"/>
    </row>
    <row r="8" spans="1:6">
      <c r="A8" s="132"/>
      <c r="B8" s="10" t="s">
        <v>16</v>
      </c>
      <c r="C8" s="23">
        <v>1</v>
      </c>
      <c r="D8" s="8"/>
      <c r="E8" s="8"/>
      <c r="F8" s="19"/>
    </row>
    <row r="9" spans="1:6">
      <c r="A9" s="132"/>
      <c r="B9" s="9" t="s">
        <v>17</v>
      </c>
      <c r="C9" s="23">
        <v>1</v>
      </c>
      <c r="D9" s="8"/>
      <c r="E9" s="8"/>
      <c r="F9" s="19" t="s">
        <v>53</v>
      </c>
    </row>
    <row r="10" spans="1:6">
      <c r="A10" s="132"/>
      <c r="B10" s="9" t="s">
        <v>18</v>
      </c>
      <c r="C10" s="23">
        <v>1</v>
      </c>
      <c r="D10" s="8"/>
      <c r="E10" s="8"/>
      <c r="F10" s="19" t="s">
        <v>54</v>
      </c>
    </row>
    <row r="11" spans="1:6">
      <c r="A11" s="132"/>
      <c r="B11" s="9" t="s">
        <v>19</v>
      </c>
      <c r="C11" s="23">
        <v>1</v>
      </c>
      <c r="D11" s="23"/>
      <c r="E11" s="8"/>
      <c r="F11" s="19"/>
    </row>
    <row r="12" spans="1:6">
      <c r="A12" s="132"/>
      <c r="B12" s="9" t="s">
        <v>20</v>
      </c>
      <c r="C12" s="23">
        <v>1</v>
      </c>
      <c r="D12" s="23"/>
      <c r="E12" s="8"/>
      <c r="F12" s="19"/>
    </row>
    <row r="13" spans="1:6">
      <c r="A13" s="132"/>
      <c r="B13" s="9" t="s">
        <v>21</v>
      </c>
      <c r="C13" s="23">
        <v>1</v>
      </c>
      <c r="D13" s="23"/>
      <c r="E13" s="8"/>
      <c r="F13" s="19"/>
    </row>
    <row r="14" spans="1:6">
      <c r="A14" s="132"/>
      <c r="B14" s="9" t="s">
        <v>22</v>
      </c>
      <c r="C14" s="23">
        <v>1</v>
      </c>
      <c r="D14" s="23"/>
      <c r="E14" s="8"/>
      <c r="F14" s="19"/>
    </row>
    <row r="15" spans="1:6" ht="26.45">
      <c r="A15" s="132"/>
      <c r="B15" s="9" t="s">
        <v>23</v>
      </c>
      <c r="C15" s="23"/>
      <c r="D15" s="23">
        <v>1</v>
      </c>
      <c r="E15" s="8"/>
      <c r="F15" s="19" t="s">
        <v>55</v>
      </c>
    </row>
    <row r="16" spans="1:6">
      <c r="A16" s="132"/>
      <c r="B16" s="9" t="s">
        <v>24</v>
      </c>
      <c r="C16" s="23">
        <v>1</v>
      </c>
      <c r="D16" s="23"/>
      <c r="E16" s="8"/>
      <c r="F16" s="19"/>
    </row>
    <row r="17" spans="1:6">
      <c r="A17" s="132"/>
      <c r="B17" s="9" t="s">
        <v>25</v>
      </c>
      <c r="C17" s="23">
        <v>1</v>
      </c>
      <c r="D17" s="23"/>
      <c r="E17" s="8"/>
      <c r="F17" s="19"/>
    </row>
    <row r="18" spans="1:6">
      <c r="A18" s="132"/>
      <c r="B18" s="9" t="s">
        <v>56</v>
      </c>
      <c r="C18" s="23"/>
      <c r="D18" s="23">
        <v>1</v>
      </c>
      <c r="E18" s="8"/>
      <c r="F18" s="19" t="s">
        <v>57</v>
      </c>
    </row>
    <row r="19" spans="1:6">
      <c r="A19" s="132"/>
      <c r="B19" s="9" t="s">
        <v>27</v>
      </c>
      <c r="C19" s="23"/>
      <c r="D19" s="23">
        <v>1</v>
      </c>
      <c r="E19" s="8"/>
      <c r="F19" s="19" t="s">
        <v>58</v>
      </c>
    </row>
    <row r="20" spans="1:6" ht="15" thickBot="1">
      <c r="A20" s="132"/>
      <c r="B20" s="13" t="s">
        <v>28</v>
      </c>
      <c r="C20" s="23">
        <v>1</v>
      </c>
      <c r="D20" s="23"/>
      <c r="E20" s="8"/>
      <c r="F20" s="19"/>
    </row>
    <row r="21" spans="1:6">
      <c r="A21" s="133" t="s">
        <v>29</v>
      </c>
      <c r="B21" s="26" t="s">
        <v>15</v>
      </c>
      <c r="C21" s="22">
        <v>1</v>
      </c>
      <c r="D21" s="22"/>
      <c r="E21" s="11"/>
      <c r="F21" s="18"/>
    </row>
    <row r="22" spans="1:6">
      <c r="A22" s="134"/>
      <c r="B22" s="27" t="s">
        <v>30</v>
      </c>
      <c r="C22" s="24"/>
      <c r="D22" s="24">
        <v>1</v>
      </c>
      <c r="E22" s="16"/>
      <c r="F22" s="20" t="s">
        <v>58</v>
      </c>
    </row>
    <row r="23" spans="1:6">
      <c r="A23" s="135"/>
      <c r="B23" s="28" t="s">
        <v>16</v>
      </c>
      <c r="C23" s="24">
        <v>1</v>
      </c>
      <c r="D23" s="24"/>
      <c r="E23" s="8"/>
      <c r="F23" s="19"/>
    </row>
    <row r="24" spans="1:6">
      <c r="A24" s="135"/>
      <c r="B24" s="13" t="s">
        <v>17</v>
      </c>
      <c r="C24" s="24">
        <v>1</v>
      </c>
      <c r="D24" s="24"/>
      <c r="E24" s="8"/>
      <c r="F24" s="19"/>
    </row>
    <row r="25" spans="1:6">
      <c r="A25" s="135"/>
      <c r="B25" s="13" t="s">
        <v>18</v>
      </c>
      <c r="C25" s="24"/>
      <c r="D25" s="24">
        <v>1</v>
      </c>
      <c r="E25" s="8"/>
      <c r="F25" s="19" t="s">
        <v>59</v>
      </c>
    </row>
    <row r="26" spans="1:6">
      <c r="A26" s="135"/>
      <c r="B26" s="13" t="s">
        <v>56</v>
      </c>
      <c r="C26" s="24"/>
      <c r="D26" s="24">
        <v>1</v>
      </c>
      <c r="E26" s="8"/>
      <c r="F26" s="19" t="s">
        <v>60</v>
      </c>
    </row>
    <row r="27" spans="1:6">
      <c r="A27" s="135"/>
      <c r="B27" s="13" t="s">
        <v>25</v>
      </c>
      <c r="C27" s="24">
        <v>1</v>
      </c>
      <c r="D27" s="24"/>
      <c r="E27" s="8"/>
      <c r="F27" s="19"/>
    </row>
    <row r="28" spans="1:6">
      <c r="A28" s="135"/>
      <c r="B28" s="13" t="s">
        <v>20</v>
      </c>
      <c r="C28" s="24">
        <v>1</v>
      </c>
      <c r="D28" s="24"/>
      <c r="E28" s="8"/>
      <c r="F28" s="19"/>
    </row>
    <row r="29" spans="1:6" ht="27.6">
      <c r="A29" s="135"/>
      <c r="B29" s="13" t="s">
        <v>21</v>
      </c>
      <c r="C29" s="24"/>
      <c r="D29" s="24">
        <v>1</v>
      </c>
      <c r="E29" s="8"/>
      <c r="F29" s="32" t="s">
        <v>61</v>
      </c>
    </row>
    <row r="30" spans="1:6">
      <c r="A30" s="135"/>
      <c r="B30" s="13" t="s">
        <v>22</v>
      </c>
      <c r="C30" s="24">
        <v>1</v>
      </c>
      <c r="D30" s="24"/>
      <c r="E30" s="8"/>
      <c r="F30" s="19"/>
    </row>
    <row r="31" spans="1:6">
      <c r="A31" s="135"/>
      <c r="B31" s="13" t="s">
        <v>24</v>
      </c>
      <c r="C31" s="24">
        <v>1</v>
      </c>
      <c r="D31" s="24"/>
      <c r="E31" s="8"/>
      <c r="F31" s="19"/>
    </row>
    <row r="32" spans="1:6">
      <c r="A32" s="135"/>
      <c r="B32" s="13" t="s">
        <v>31</v>
      </c>
      <c r="C32" s="24"/>
      <c r="D32" s="24">
        <v>1</v>
      </c>
      <c r="E32" s="8"/>
      <c r="F32" s="19" t="s">
        <v>62</v>
      </c>
    </row>
    <row r="33" spans="1:6" ht="15" thickBot="1">
      <c r="A33" s="136"/>
      <c r="B33" s="29" t="s">
        <v>28</v>
      </c>
      <c r="C33" s="30">
        <v>1</v>
      </c>
      <c r="D33" s="30"/>
      <c r="E33" s="7"/>
      <c r="F33" s="31"/>
    </row>
    <row r="34" spans="1:6" ht="14.45" customHeight="1">
      <c r="A34" s="137" t="s">
        <v>32</v>
      </c>
      <c r="B34" s="138"/>
      <c r="C34" s="138"/>
      <c r="D34" s="138"/>
      <c r="E34" s="138"/>
      <c r="F34" s="139"/>
    </row>
    <row r="35" spans="1:6">
      <c r="A35" s="140"/>
      <c r="B35" s="141"/>
      <c r="C35" s="141"/>
      <c r="D35" s="141"/>
      <c r="E35" s="141"/>
      <c r="F35" s="142"/>
    </row>
    <row r="36" spans="1:6">
      <c r="A36" s="140"/>
      <c r="B36" s="141"/>
      <c r="C36" s="141"/>
      <c r="D36" s="141"/>
      <c r="E36" s="141"/>
      <c r="F36" s="142"/>
    </row>
    <row r="37" spans="1:6">
      <c r="A37" s="140"/>
      <c r="B37" s="141"/>
      <c r="C37" s="141"/>
      <c r="D37" s="141"/>
      <c r="E37" s="141"/>
      <c r="F37" s="142"/>
    </row>
    <row r="38" spans="1:6" ht="15" thickBot="1">
      <c r="A38" s="143"/>
      <c r="B38" s="144"/>
      <c r="C38" s="144"/>
      <c r="D38" s="144"/>
      <c r="E38" s="144"/>
      <c r="F38" s="145"/>
    </row>
    <row r="39" spans="1:6" ht="15" thickBot="1">
      <c r="A39" s="146" t="s">
        <v>33</v>
      </c>
      <c r="B39" s="147"/>
      <c r="C39" s="147"/>
      <c r="D39" s="147"/>
      <c r="E39" s="147"/>
      <c r="F39" s="148"/>
    </row>
    <row r="40" spans="1:6" ht="15" thickBot="1">
      <c r="A40" s="149" t="s">
        <v>34</v>
      </c>
      <c r="B40" s="150"/>
      <c r="C40" s="151">
        <f>COUNTIF(C7:D33,1)</f>
        <v>27</v>
      </c>
      <c r="D40" s="152"/>
      <c r="E40" s="6">
        <v>1</v>
      </c>
      <c r="F40" s="5" t="s">
        <v>35</v>
      </c>
    </row>
    <row r="41" spans="1:6" ht="15" thickBot="1">
      <c r="A41" s="153" t="s">
        <v>36</v>
      </c>
      <c r="B41" s="154"/>
      <c r="C41" s="157">
        <f>COUNTIF(C7:C33,1)</f>
        <v>19</v>
      </c>
      <c r="D41" s="158"/>
      <c r="E41" s="161">
        <f>C41/$C$40</f>
        <v>0.70370370370370372</v>
      </c>
      <c r="F41" s="4" t="s">
        <v>37</v>
      </c>
    </row>
    <row r="42" spans="1:6" ht="15" thickBot="1">
      <c r="A42" s="155"/>
      <c r="B42" s="156"/>
      <c r="C42" s="159"/>
      <c r="D42" s="160"/>
      <c r="E42" s="161"/>
      <c r="F42" s="3" t="s">
        <v>38</v>
      </c>
    </row>
    <row r="43" spans="1:6">
      <c r="A43" s="153" t="s">
        <v>39</v>
      </c>
      <c r="B43" s="154"/>
      <c r="C43" s="157">
        <f>COUNTIF(D7:D33,1)</f>
        <v>8</v>
      </c>
      <c r="D43" s="158"/>
      <c r="E43" s="161">
        <f>C43/$C$40</f>
        <v>0.29629629629629628</v>
      </c>
      <c r="F43" s="2"/>
    </row>
    <row r="44" spans="1:6">
      <c r="A44" s="155"/>
      <c r="B44" s="156"/>
      <c r="C44" s="162"/>
      <c r="D44" s="163"/>
      <c r="E44" s="161"/>
      <c r="F44" s="2"/>
    </row>
    <row r="45" spans="1:6">
      <c r="A45" s="153" t="s">
        <v>40</v>
      </c>
      <c r="B45" s="167"/>
      <c r="C45" s="170"/>
      <c r="D45" s="171"/>
      <c r="E45" s="174" t="s">
        <v>41</v>
      </c>
      <c r="F45" s="2"/>
    </row>
    <row r="46" spans="1:6">
      <c r="A46" s="168"/>
      <c r="B46" s="169"/>
      <c r="C46" s="172"/>
      <c r="D46" s="173"/>
      <c r="E46" s="175"/>
      <c r="F46" s="1"/>
    </row>
    <row r="47" spans="1:6">
      <c r="A47" s="176" t="s">
        <v>42</v>
      </c>
      <c r="B47" s="177"/>
      <c r="C47" s="51"/>
      <c r="D47" s="178" t="s">
        <v>43</v>
      </c>
      <c r="E47" s="179"/>
      <c r="F47" s="180"/>
    </row>
    <row r="48" spans="1:6">
      <c r="A48" s="181" t="s">
        <v>63</v>
      </c>
      <c r="B48" s="182"/>
      <c r="C48" s="25"/>
      <c r="D48" s="183" t="s">
        <v>45</v>
      </c>
      <c r="E48" s="184"/>
      <c r="F48" s="185"/>
    </row>
    <row r="49" spans="1:6" ht="46.9" customHeight="1" thickBot="1">
      <c r="A49" s="164" t="s">
        <v>64</v>
      </c>
      <c r="B49" s="165"/>
      <c r="C49" s="165"/>
      <c r="D49" s="165"/>
      <c r="E49" s="165"/>
      <c r="F49" s="166"/>
    </row>
  </sheetData>
  <mergeCells count="29">
    <mergeCell ref="A49:F49"/>
    <mergeCell ref="A45:B46"/>
    <mergeCell ref="C45:D46"/>
    <mergeCell ref="E45:E46"/>
    <mergeCell ref="A47:B47"/>
    <mergeCell ref="D47:F47"/>
    <mergeCell ref="A48:B48"/>
    <mergeCell ref="D48:F48"/>
    <mergeCell ref="A41:B42"/>
    <mergeCell ref="C41:D42"/>
    <mergeCell ref="E41:E42"/>
    <mergeCell ref="A43:B44"/>
    <mergeCell ref="C43:D44"/>
    <mergeCell ref="E43:E44"/>
    <mergeCell ref="A7:A20"/>
    <mergeCell ref="A21:A33"/>
    <mergeCell ref="A34:F38"/>
    <mergeCell ref="A39:F39"/>
    <mergeCell ref="A40:B40"/>
    <mergeCell ref="C40:D40"/>
    <mergeCell ref="A5:B6"/>
    <mergeCell ref="C5:D5"/>
    <mergeCell ref="E5:E6"/>
    <mergeCell ref="F5:F6"/>
    <mergeCell ref="A1:B3"/>
    <mergeCell ref="C1:F1"/>
    <mergeCell ref="C2:F2"/>
    <mergeCell ref="C3:D3"/>
    <mergeCell ref="A4:E4"/>
  </mergeCells>
  <pageMargins left="0" right="0" top="0" bottom="0" header="0" footer="0"/>
  <pageSetup scale="8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77F2-3935-4F0C-954E-9FB699817945}">
  <dimension ref="A1:F54"/>
  <sheetViews>
    <sheetView topLeftCell="A40" workbookViewId="0">
      <selection activeCell="E44" sqref="E44:E45"/>
    </sheetView>
  </sheetViews>
  <sheetFormatPr defaultColWidth="11.42578125" defaultRowHeight="15" customHeight="1"/>
  <cols>
    <col min="1" max="1" width="2.7109375" customWidth="1"/>
    <col min="2" max="2" width="44.140625" customWidth="1"/>
    <col min="3" max="3" width="15.7109375" customWidth="1"/>
    <col min="4" max="4" width="18.140625" customWidth="1"/>
    <col min="5" max="5" width="17" customWidth="1"/>
    <col min="6" max="6" width="20.7109375" customWidth="1"/>
  </cols>
  <sheetData>
    <row r="1" spans="1:6" ht="15" customHeight="1">
      <c r="A1" s="199" t="s">
        <v>0</v>
      </c>
      <c r="B1" s="200"/>
      <c r="C1" s="89" t="s">
        <v>65</v>
      </c>
      <c r="D1" s="89"/>
      <c r="E1" s="89"/>
      <c r="F1" s="90"/>
    </row>
    <row r="2" spans="1:6">
      <c r="A2" s="201"/>
      <c r="B2" s="202"/>
      <c r="C2" s="91" t="s">
        <v>2</v>
      </c>
      <c r="D2" s="92"/>
      <c r="E2" s="92"/>
      <c r="F2" s="93"/>
    </row>
    <row r="3" spans="1:6">
      <c r="A3" s="203"/>
      <c r="B3" s="204"/>
      <c r="C3" s="94" t="s">
        <v>3</v>
      </c>
      <c r="D3" s="95"/>
      <c r="E3" s="52" t="s">
        <v>4</v>
      </c>
      <c r="F3" s="53" t="s">
        <v>5</v>
      </c>
    </row>
    <row r="4" spans="1:6" ht="15" customHeight="1">
      <c r="A4" s="186" t="s">
        <v>66</v>
      </c>
      <c r="B4" s="97"/>
      <c r="C4" s="98"/>
      <c r="D4" s="98"/>
      <c r="E4" s="99" t="s">
        <v>67</v>
      </c>
      <c r="F4" s="100"/>
    </row>
    <row r="5" spans="1:6">
      <c r="A5" s="80" t="s">
        <v>8</v>
      </c>
      <c r="B5" s="81"/>
      <c r="C5" s="205" t="s">
        <v>9</v>
      </c>
      <c r="D5" s="206"/>
      <c r="E5" s="84" t="s">
        <v>10</v>
      </c>
      <c r="F5" s="207" t="s">
        <v>11</v>
      </c>
    </row>
    <row r="6" spans="1:6">
      <c r="A6" s="82"/>
      <c r="B6" s="83"/>
      <c r="C6" s="33" t="s">
        <v>12</v>
      </c>
      <c r="D6" s="33" t="s">
        <v>13</v>
      </c>
      <c r="E6" s="84"/>
      <c r="F6" s="207"/>
    </row>
    <row r="7" spans="1:6" ht="24" customHeight="1">
      <c r="A7" s="85" t="s">
        <v>14</v>
      </c>
      <c r="B7" s="40" t="s">
        <v>15</v>
      </c>
      <c r="C7" s="35">
        <v>1</v>
      </c>
      <c r="D7" s="35" t="s">
        <v>0</v>
      </c>
      <c r="E7" s="35" t="s">
        <v>0</v>
      </c>
      <c r="F7" s="36" t="s">
        <v>0</v>
      </c>
    </row>
    <row r="8" spans="1:6" ht="43.5">
      <c r="A8" s="85"/>
      <c r="B8" s="37" t="s">
        <v>16</v>
      </c>
      <c r="C8" s="38" t="s">
        <v>0</v>
      </c>
      <c r="D8" s="38">
        <v>1</v>
      </c>
      <c r="E8" s="38" t="s">
        <v>0</v>
      </c>
      <c r="F8" s="54" t="s">
        <v>68</v>
      </c>
    </row>
    <row r="9" spans="1:6">
      <c r="A9" s="85"/>
      <c r="B9" s="40" t="s">
        <v>17</v>
      </c>
      <c r="C9" s="38" t="s">
        <v>0</v>
      </c>
      <c r="D9" s="38">
        <v>1</v>
      </c>
      <c r="E9" s="38" t="s">
        <v>0</v>
      </c>
      <c r="F9" s="39" t="s">
        <v>69</v>
      </c>
    </row>
    <row r="10" spans="1:6" ht="28.5">
      <c r="A10" s="85"/>
      <c r="B10" s="40" t="s">
        <v>18</v>
      </c>
      <c r="C10" s="38">
        <v>1</v>
      </c>
      <c r="D10" s="38" t="s">
        <v>0</v>
      </c>
      <c r="E10" s="38" t="s">
        <v>0</v>
      </c>
      <c r="F10" s="55" t="s">
        <v>70</v>
      </c>
    </row>
    <row r="11" spans="1:6" ht="43.5">
      <c r="A11" s="85"/>
      <c r="B11" s="40" t="s">
        <v>19</v>
      </c>
      <c r="C11" s="38" t="s">
        <v>0</v>
      </c>
      <c r="D11" s="38">
        <v>1</v>
      </c>
      <c r="E11" s="38" t="s">
        <v>0</v>
      </c>
      <c r="F11" s="55" t="s">
        <v>68</v>
      </c>
    </row>
    <row r="12" spans="1:6">
      <c r="A12" s="85"/>
      <c r="B12" s="40" t="s">
        <v>20</v>
      </c>
      <c r="C12" s="38">
        <v>1</v>
      </c>
      <c r="D12" s="38" t="s">
        <v>0</v>
      </c>
      <c r="E12" s="38" t="s">
        <v>0</v>
      </c>
      <c r="F12" s="39" t="s">
        <v>0</v>
      </c>
    </row>
    <row r="13" spans="1:6">
      <c r="A13" s="85"/>
      <c r="B13" s="40" t="s">
        <v>21</v>
      </c>
      <c r="C13" s="38">
        <v>1</v>
      </c>
      <c r="D13" s="38" t="s">
        <v>0</v>
      </c>
      <c r="E13" s="38" t="s">
        <v>0</v>
      </c>
      <c r="F13" s="39" t="s">
        <v>0</v>
      </c>
    </row>
    <row r="14" spans="1:6">
      <c r="A14" s="85"/>
      <c r="B14" s="40" t="s">
        <v>22</v>
      </c>
      <c r="C14" s="38">
        <v>1</v>
      </c>
      <c r="D14" s="38" t="s">
        <v>0</v>
      </c>
      <c r="E14" s="38" t="s">
        <v>0</v>
      </c>
      <c r="F14" s="39" t="s">
        <v>0</v>
      </c>
    </row>
    <row r="15" spans="1:6" ht="24">
      <c r="A15" s="85"/>
      <c r="B15" s="40" t="s">
        <v>23</v>
      </c>
      <c r="C15" s="38">
        <v>1</v>
      </c>
      <c r="D15" s="38" t="s">
        <v>0</v>
      </c>
      <c r="E15" s="38" t="s">
        <v>0</v>
      </c>
      <c r="F15" s="39" t="s">
        <v>0</v>
      </c>
    </row>
    <row r="16" spans="1:6">
      <c r="A16" s="85"/>
      <c r="B16" s="40" t="s">
        <v>24</v>
      </c>
      <c r="C16" s="38">
        <v>1</v>
      </c>
      <c r="D16" s="38" t="s">
        <v>0</v>
      </c>
      <c r="E16" s="38" t="s">
        <v>0</v>
      </c>
      <c r="F16" s="39" t="s">
        <v>0</v>
      </c>
    </row>
    <row r="17" spans="1:6">
      <c r="A17" s="85"/>
      <c r="B17" s="40" t="s">
        <v>25</v>
      </c>
      <c r="C17" s="38">
        <v>1</v>
      </c>
      <c r="D17" s="38" t="s">
        <v>0</v>
      </c>
      <c r="E17" s="38" t="s">
        <v>0</v>
      </c>
      <c r="F17" s="39" t="s">
        <v>0</v>
      </c>
    </row>
    <row r="18" spans="1:6" ht="43.5">
      <c r="A18" s="85"/>
      <c r="B18" s="40" t="s">
        <v>26</v>
      </c>
      <c r="C18" s="38" t="s">
        <v>0</v>
      </c>
      <c r="D18" s="38">
        <v>1</v>
      </c>
      <c r="E18" s="38" t="s">
        <v>0</v>
      </c>
      <c r="F18" s="55" t="s">
        <v>71</v>
      </c>
    </row>
    <row r="19" spans="1:6">
      <c r="A19" s="85"/>
      <c r="B19" s="40" t="s">
        <v>27</v>
      </c>
      <c r="C19" s="38">
        <v>1</v>
      </c>
      <c r="D19" s="38" t="s">
        <v>0</v>
      </c>
      <c r="E19" s="38" t="s">
        <v>0</v>
      </c>
      <c r="F19" s="39" t="s">
        <v>0</v>
      </c>
    </row>
    <row r="20" spans="1:6">
      <c r="A20" s="85"/>
      <c r="B20" s="40" t="s">
        <v>28</v>
      </c>
      <c r="C20" s="38">
        <v>1</v>
      </c>
      <c r="D20" s="38" t="s">
        <v>0</v>
      </c>
      <c r="E20" s="38" t="s">
        <v>0</v>
      </c>
      <c r="F20" s="39" t="s">
        <v>0</v>
      </c>
    </row>
    <row r="21" spans="1:6" ht="24" customHeight="1">
      <c r="A21" s="86" t="s">
        <v>29</v>
      </c>
      <c r="B21" s="34" t="s">
        <v>15</v>
      </c>
      <c r="C21" s="35">
        <v>1</v>
      </c>
      <c r="D21" s="35" t="s">
        <v>0</v>
      </c>
      <c r="E21" s="35" t="s">
        <v>0</v>
      </c>
      <c r="F21" s="36" t="s">
        <v>0</v>
      </c>
    </row>
    <row r="22" spans="1:6">
      <c r="A22" s="87"/>
      <c r="B22" s="40" t="s">
        <v>30</v>
      </c>
      <c r="C22" s="38">
        <v>1</v>
      </c>
      <c r="D22" s="38" t="s">
        <v>0</v>
      </c>
      <c r="E22" s="38" t="s">
        <v>0</v>
      </c>
      <c r="F22" s="39" t="s">
        <v>0</v>
      </c>
    </row>
    <row r="23" spans="1:6">
      <c r="A23" s="87"/>
      <c r="B23" s="37" t="s">
        <v>16</v>
      </c>
      <c r="C23" s="38">
        <v>1</v>
      </c>
      <c r="D23" s="38" t="s">
        <v>0</v>
      </c>
      <c r="E23" s="38" t="s">
        <v>0</v>
      </c>
      <c r="F23" s="39" t="s">
        <v>0</v>
      </c>
    </row>
    <row r="24" spans="1:6">
      <c r="A24" s="87"/>
      <c r="B24" s="40" t="s">
        <v>17</v>
      </c>
      <c r="C24" s="38">
        <v>1</v>
      </c>
      <c r="D24" s="38" t="s">
        <v>0</v>
      </c>
      <c r="E24" s="38" t="s">
        <v>0</v>
      </c>
      <c r="F24" s="39" t="s">
        <v>0</v>
      </c>
    </row>
    <row r="25" spans="1:6">
      <c r="A25" s="87"/>
      <c r="B25" s="40" t="s">
        <v>18</v>
      </c>
      <c r="C25" s="38" t="s">
        <v>0</v>
      </c>
      <c r="D25" s="38">
        <v>1</v>
      </c>
      <c r="E25" s="38" t="s">
        <v>0</v>
      </c>
      <c r="F25" s="39" t="s">
        <v>0</v>
      </c>
    </row>
    <row r="26" spans="1:6">
      <c r="A26" s="87"/>
      <c r="B26" s="40" t="s">
        <v>26</v>
      </c>
      <c r="C26" s="38" t="s">
        <v>0</v>
      </c>
      <c r="D26" s="38">
        <v>1</v>
      </c>
      <c r="E26" s="38" t="s">
        <v>0</v>
      </c>
      <c r="F26" s="39" t="s">
        <v>0</v>
      </c>
    </row>
    <row r="27" spans="1:6" ht="14.45" customHeight="1">
      <c r="A27" s="87"/>
      <c r="B27" s="40" t="s">
        <v>25</v>
      </c>
      <c r="C27" s="38">
        <v>1</v>
      </c>
      <c r="D27" s="38" t="s">
        <v>0</v>
      </c>
      <c r="E27" s="38" t="s">
        <v>0</v>
      </c>
      <c r="F27" s="39" t="s">
        <v>0</v>
      </c>
    </row>
    <row r="28" spans="1:6">
      <c r="A28" s="87"/>
      <c r="B28" s="40" t="s">
        <v>20</v>
      </c>
      <c r="C28" s="38">
        <v>1</v>
      </c>
      <c r="D28" s="38"/>
      <c r="E28" s="38" t="s">
        <v>0</v>
      </c>
      <c r="F28" s="39" t="s">
        <v>0</v>
      </c>
    </row>
    <row r="29" spans="1:6" ht="43.5">
      <c r="A29" s="87"/>
      <c r="B29" s="40" t="s">
        <v>21</v>
      </c>
      <c r="C29" s="38" t="s">
        <v>0</v>
      </c>
      <c r="D29" s="38">
        <v>1</v>
      </c>
      <c r="E29" s="38" t="s">
        <v>0</v>
      </c>
      <c r="F29" s="55" t="s">
        <v>68</v>
      </c>
    </row>
    <row r="30" spans="1:6">
      <c r="A30" s="87"/>
      <c r="B30" s="40" t="s">
        <v>22</v>
      </c>
      <c r="C30" s="38" t="s">
        <v>0</v>
      </c>
      <c r="D30" s="38">
        <v>1</v>
      </c>
      <c r="E30" s="38" t="s">
        <v>0</v>
      </c>
      <c r="F30" s="39" t="s">
        <v>72</v>
      </c>
    </row>
    <row r="31" spans="1:6" ht="24">
      <c r="A31" s="87"/>
      <c r="B31" s="40" t="s">
        <v>23</v>
      </c>
      <c r="C31" s="38"/>
      <c r="D31" s="38">
        <v>1</v>
      </c>
      <c r="E31" s="38" t="s">
        <v>0</v>
      </c>
      <c r="F31" s="39" t="s">
        <v>73</v>
      </c>
    </row>
    <row r="32" spans="1:6">
      <c r="A32" s="87"/>
      <c r="B32" s="40" t="s">
        <v>24</v>
      </c>
      <c r="C32" s="38">
        <v>1</v>
      </c>
      <c r="D32" s="38" t="s">
        <v>0</v>
      </c>
      <c r="E32" s="38" t="s">
        <v>0</v>
      </c>
      <c r="F32" s="39" t="s">
        <v>0</v>
      </c>
    </row>
    <row r="33" spans="1:6">
      <c r="A33" s="87"/>
      <c r="B33" s="40" t="s">
        <v>31</v>
      </c>
      <c r="C33" s="56">
        <v>1</v>
      </c>
      <c r="D33" s="56" t="s">
        <v>0</v>
      </c>
      <c r="E33" s="38" t="s">
        <v>0</v>
      </c>
      <c r="F33" s="39" t="s">
        <v>0</v>
      </c>
    </row>
    <row r="34" spans="1:6">
      <c r="A34" s="88"/>
      <c r="B34" s="41" t="s">
        <v>28</v>
      </c>
      <c r="C34" s="57">
        <v>1</v>
      </c>
      <c r="D34" s="57" t="s">
        <v>0</v>
      </c>
      <c r="E34" s="42" t="s">
        <v>0</v>
      </c>
      <c r="F34" s="43" t="s">
        <v>0</v>
      </c>
    </row>
    <row r="35" spans="1:6">
      <c r="A35" s="187" t="s">
        <v>74</v>
      </c>
      <c r="B35" s="188"/>
      <c r="C35" s="188"/>
      <c r="D35" s="188"/>
      <c r="E35" s="188"/>
      <c r="F35" s="189"/>
    </row>
    <row r="36" spans="1:6">
      <c r="A36" s="187"/>
      <c r="B36" s="190"/>
      <c r="C36" s="190"/>
      <c r="D36" s="190"/>
      <c r="E36" s="190"/>
      <c r="F36" s="191"/>
    </row>
    <row r="37" spans="1:6">
      <c r="A37" s="187"/>
      <c r="B37" s="190"/>
      <c r="C37" s="190"/>
      <c r="D37" s="190"/>
      <c r="E37" s="190"/>
      <c r="F37" s="191"/>
    </row>
    <row r="38" spans="1:6">
      <c r="A38" s="187"/>
      <c r="B38" s="190"/>
      <c r="C38" s="190"/>
      <c r="D38" s="190"/>
      <c r="E38" s="190"/>
      <c r="F38" s="191"/>
    </row>
    <row r="39" spans="1:6">
      <c r="A39" s="192"/>
      <c r="B39" s="193"/>
      <c r="C39" s="193"/>
      <c r="D39" s="193"/>
      <c r="E39" s="193"/>
      <c r="F39" s="194"/>
    </row>
    <row r="40" spans="1:6">
      <c r="A40" s="75" t="s">
        <v>33</v>
      </c>
      <c r="B40" s="76"/>
      <c r="C40" s="76"/>
      <c r="D40" s="76"/>
      <c r="E40" s="76"/>
      <c r="F40" s="77"/>
    </row>
    <row r="41" spans="1:6" ht="29.25" customHeight="1">
      <c r="A41" s="78" t="s">
        <v>34</v>
      </c>
      <c r="B41" s="79"/>
      <c r="C41" s="151">
        <f>COUNTIF(C7:D34,1)</f>
        <v>28</v>
      </c>
      <c r="D41" s="152"/>
      <c r="E41" s="44">
        <v>1</v>
      </c>
      <c r="F41" s="50" t="s">
        <v>35</v>
      </c>
    </row>
    <row r="42" spans="1:6" ht="46.9" customHeight="1">
      <c r="A42" s="65" t="s">
        <v>36</v>
      </c>
      <c r="B42" s="66"/>
      <c r="C42" s="195">
        <f>COUNTIF(C7:C33,1)</f>
        <v>18</v>
      </c>
      <c r="D42" s="196"/>
      <c r="E42" s="161">
        <f>C42/$C$41</f>
        <v>0.6428571428571429</v>
      </c>
      <c r="F42" s="45" t="s">
        <v>37</v>
      </c>
    </row>
    <row r="43" spans="1:6">
      <c r="A43" s="63"/>
      <c r="B43" s="64"/>
      <c r="C43" s="197"/>
      <c r="D43" s="198"/>
      <c r="E43" s="161"/>
      <c r="F43" s="46" t="s">
        <v>38</v>
      </c>
    </row>
    <row r="44" spans="1:6">
      <c r="A44" s="61" t="s">
        <v>39</v>
      </c>
      <c r="B44" s="62"/>
      <c r="C44" s="157">
        <f>COUNTIF(D8:D34,1)</f>
        <v>9</v>
      </c>
      <c r="D44" s="158"/>
      <c r="E44" s="161">
        <f>C44/$C$41</f>
        <v>0.32142857142857145</v>
      </c>
      <c r="F44" s="47" t="s">
        <v>0</v>
      </c>
    </row>
    <row r="45" spans="1:6">
      <c r="A45" s="63"/>
      <c r="B45" s="64"/>
      <c r="C45" s="162"/>
      <c r="D45" s="163"/>
      <c r="E45" s="161"/>
      <c r="F45" s="47" t="s">
        <v>0</v>
      </c>
    </row>
    <row r="46" spans="1:6">
      <c r="A46" s="61" t="s">
        <v>40</v>
      </c>
      <c r="B46" s="62"/>
      <c r="C46" s="210" t="s">
        <v>0</v>
      </c>
      <c r="D46" s="215"/>
      <c r="E46" s="216" t="s">
        <v>41</v>
      </c>
      <c r="F46" s="48" t="s">
        <v>0</v>
      </c>
    </row>
    <row r="47" spans="1:6">
      <c r="A47" s="65"/>
      <c r="B47" s="66"/>
      <c r="C47" s="213"/>
      <c r="D47" s="217"/>
      <c r="E47" s="218"/>
      <c r="F47" s="49" t="s">
        <v>0</v>
      </c>
    </row>
    <row r="48" spans="1:6">
      <c r="A48" s="219" t="s">
        <v>75</v>
      </c>
      <c r="B48" s="220"/>
      <c r="C48" s="48" t="s">
        <v>0</v>
      </c>
      <c r="D48" s="221" t="s">
        <v>43</v>
      </c>
      <c r="E48" s="221"/>
      <c r="F48" s="222"/>
    </row>
    <row r="49" spans="1:6">
      <c r="A49" s="223" t="s">
        <v>76</v>
      </c>
      <c r="B49" s="224"/>
      <c r="C49" s="49" t="s">
        <v>0</v>
      </c>
      <c r="D49" s="225" t="s">
        <v>45</v>
      </c>
      <c r="E49" s="225"/>
      <c r="F49" s="226"/>
    </row>
    <row r="50" spans="1:6" ht="34.5" customHeight="1">
      <c r="A50" s="58" t="s">
        <v>46</v>
      </c>
      <c r="B50" s="59"/>
      <c r="C50" s="59"/>
      <c r="D50" s="59"/>
      <c r="E50" s="59"/>
      <c r="F50" s="60"/>
    </row>
    <row r="51" spans="1:6"/>
    <row r="52" spans="1:6"/>
    <row r="53" spans="1:6"/>
    <row r="54" spans="1:6"/>
  </sheetData>
  <mergeCells count="30">
    <mergeCell ref="A48:B48"/>
    <mergeCell ref="D48:F48"/>
    <mergeCell ref="A49:B49"/>
    <mergeCell ref="D49:F49"/>
    <mergeCell ref="A50:F50"/>
    <mergeCell ref="A44:B45"/>
    <mergeCell ref="C44:D45"/>
    <mergeCell ref="E44:E45"/>
    <mergeCell ref="A46:B47"/>
    <mergeCell ref="C46:D47"/>
    <mergeCell ref="E46:E47"/>
    <mergeCell ref="A35:F39"/>
    <mergeCell ref="A40:F40"/>
    <mergeCell ref="A41:B41"/>
    <mergeCell ref="C41:D41"/>
    <mergeCell ref="A42:B43"/>
    <mergeCell ref="C42:D43"/>
    <mergeCell ref="E42:E43"/>
    <mergeCell ref="A21:A34"/>
    <mergeCell ref="A1:B3"/>
    <mergeCell ref="C1:F1"/>
    <mergeCell ref="C2:F2"/>
    <mergeCell ref="C3:D3"/>
    <mergeCell ref="A4:D4"/>
    <mergeCell ref="E4:F4"/>
    <mergeCell ref="A5:B6"/>
    <mergeCell ref="C5:D5"/>
    <mergeCell ref="E5:E6"/>
    <mergeCell ref="F5:F6"/>
    <mergeCell ref="A7:A20"/>
  </mergeCells>
  <pageMargins left="0" right="0" top="0" bottom="0" header="0" footer="0"/>
  <pageSetup scale="8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84627-C365-416D-B406-592D7F6ECD5E}">
  <dimension ref="A1:F54"/>
  <sheetViews>
    <sheetView topLeftCell="A29" workbookViewId="0">
      <selection activeCell="E44" sqref="E44:E45"/>
    </sheetView>
  </sheetViews>
  <sheetFormatPr defaultColWidth="11.42578125" defaultRowHeight="15" customHeight="1"/>
  <cols>
    <col min="1" max="1" width="2.7109375" customWidth="1"/>
    <col min="2" max="2" width="19.42578125" customWidth="1"/>
    <col min="3" max="3" width="13.42578125" customWidth="1"/>
    <col min="4" max="4" width="18.140625" customWidth="1"/>
    <col min="5" max="5" width="17" customWidth="1"/>
    <col min="6" max="6" width="17.28515625" customWidth="1"/>
  </cols>
  <sheetData>
    <row r="1" spans="1:6" ht="15" customHeight="1">
      <c r="A1" s="199" t="s">
        <v>0</v>
      </c>
      <c r="B1" s="200"/>
      <c r="C1" s="89" t="s">
        <v>1</v>
      </c>
      <c r="D1" s="89"/>
      <c r="E1" s="89"/>
      <c r="F1" s="90"/>
    </row>
    <row r="2" spans="1:6">
      <c r="A2" s="201"/>
      <c r="B2" s="202"/>
      <c r="C2" s="91" t="s">
        <v>2</v>
      </c>
      <c r="D2" s="92"/>
      <c r="E2" s="92"/>
      <c r="F2" s="93"/>
    </row>
    <row r="3" spans="1:6">
      <c r="A3" s="203"/>
      <c r="B3" s="204"/>
      <c r="C3" s="94" t="s">
        <v>3</v>
      </c>
      <c r="D3" s="95"/>
      <c r="E3" s="52" t="s">
        <v>4</v>
      </c>
      <c r="F3" s="53" t="s">
        <v>5</v>
      </c>
    </row>
    <row r="4" spans="1:6" ht="15" customHeight="1">
      <c r="A4" s="96" t="s">
        <v>6</v>
      </c>
      <c r="B4" s="97"/>
      <c r="C4" s="98"/>
      <c r="D4" s="98"/>
      <c r="E4" s="99" t="s">
        <v>7</v>
      </c>
      <c r="F4" s="100"/>
    </row>
    <row r="5" spans="1:6">
      <c r="A5" s="80" t="s">
        <v>8</v>
      </c>
      <c r="B5" s="81"/>
      <c r="C5" s="205" t="s">
        <v>9</v>
      </c>
      <c r="D5" s="206"/>
      <c r="E5" s="84" t="s">
        <v>10</v>
      </c>
      <c r="F5" s="207" t="s">
        <v>11</v>
      </c>
    </row>
    <row r="6" spans="1:6">
      <c r="A6" s="82"/>
      <c r="B6" s="83"/>
      <c r="C6" s="33" t="s">
        <v>12</v>
      </c>
      <c r="D6" s="33" t="s">
        <v>13</v>
      </c>
      <c r="E6" s="84"/>
      <c r="F6" s="207"/>
    </row>
    <row r="7" spans="1:6" ht="24" customHeight="1">
      <c r="A7" s="85" t="s">
        <v>14</v>
      </c>
      <c r="B7" s="40" t="s">
        <v>15</v>
      </c>
      <c r="C7" s="35">
        <v>1</v>
      </c>
      <c r="D7" s="35" t="s">
        <v>0</v>
      </c>
      <c r="E7" s="35" t="s">
        <v>0</v>
      </c>
      <c r="F7" s="36" t="s">
        <v>0</v>
      </c>
    </row>
    <row r="8" spans="1:6">
      <c r="A8" s="85"/>
      <c r="B8" s="37" t="s">
        <v>16</v>
      </c>
      <c r="C8" s="38" t="s">
        <v>0</v>
      </c>
      <c r="D8" s="38">
        <v>1</v>
      </c>
      <c r="E8" s="38" t="s">
        <v>0</v>
      </c>
      <c r="F8" s="39" t="s">
        <v>0</v>
      </c>
    </row>
    <row r="9" spans="1:6">
      <c r="A9" s="85"/>
      <c r="B9" s="40" t="s">
        <v>17</v>
      </c>
      <c r="C9" s="38" t="s">
        <v>0</v>
      </c>
      <c r="D9" s="38">
        <v>1</v>
      </c>
      <c r="E9" s="38" t="s">
        <v>0</v>
      </c>
      <c r="F9" s="39" t="s">
        <v>0</v>
      </c>
    </row>
    <row r="10" spans="1:6">
      <c r="A10" s="85"/>
      <c r="B10" s="40" t="s">
        <v>18</v>
      </c>
      <c r="C10" s="38">
        <v>1</v>
      </c>
      <c r="D10" s="38" t="s">
        <v>0</v>
      </c>
      <c r="E10" s="38" t="s">
        <v>0</v>
      </c>
      <c r="F10" s="39" t="s">
        <v>0</v>
      </c>
    </row>
    <row r="11" spans="1:6">
      <c r="A11" s="85"/>
      <c r="B11" s="40" t="s">
        <v>19</v>
      </c>
      <c r="C11" s="38" t="s">
        <v>0</v>
      </c>
      <c r="D11" s="38">
        <v>1</v>
      </c>
      <c r="E11" s="38" t="s">
        <v>0</v>
      </c>
      <c r="F11" s="39" t="s">
        <v>0</v>
      </c>
    </row>
    <row r="12" spans="1:6">
      <c r="A12" s="85"/>
      <c r="B12" s="40" t="s">
        <v>20</v>
      </c>
      <c r="C12" s="38">
        <v>1</v>
      </c>
      <c r="D12" s="38" t="s">
        <v>0</v>
      </c>
      <c r="E12" s="38" t="s">
        <v>0</v>
      </c>
      <c r="F12" s="39" t="s">
        <v>0</v>
      </c>
    </row>
    <row r="13" spans="1:6">
      <c r="A13" s="85"/>
      <c r="B13" s="40" t="s">
        <v>21</v>
      </c>
      <c r="C13" s="38">
        <v>1</v>
      </c>
      <c r="D13" s="38" t="s">
        <v>0</v>
      </c>
      <c r="E13" s="38" t="s">
        <v>0</v>
      </c>
      <c r="F13" s="39" t="s">
        <v>0</v>
      </c>
    </row>
    <row r="14" spans="1:6">
      <c r="A14" s="85"/>
      <c r="B14" s="40" t="s">
        <v>22</v>
      </c>
      <c r="C14" s="38">
        <v>1</v>
      </c>
      <c r="D14" s="38" t="s">
        <v>0</v>
      </c>
      <c r="E14" s="38" t="s">
        <v>0</v>
      </c>
      <c r="F14" s="39" t="s">
        <v>0</v>
      </c>
    </row>
    <row r="15" spans="1:6" ht="24">
      <c r="A15" s="85"/>
      <c r="B15" s="40" t="s">
        <v>23</v>
      </c>
      <c r="C15" s="38">
        <v>1</v>
      </c>
      <c r="D15" s="38" t="s">
        <v>0</v>
      </c>
      <c r="E15" s="38" t="s">
        <v>0</v>
      </c>
      <c r="F15" s="39" t="s">
        <v>0</v>
      </c>
    </row>
    <row r="16" spans="1:6">
      <c r="A16" s="85"/>
      <c r="B16" s="40" t="s">
        <v>24</v>
      </c>
      <c r="C16" s="38">
        <v>1</v>
      </c>
      <c r="D16" s="38" t="s">
        <v>0</v>
      </c>
      <c r="E16" s="38" t="s">
        <v>0</v>
      </c>
      <c r="F16" s="39" t="s">
        <v>0</v>
      </c>
    </row>
    <row r="17" spans="1:6">
      <c r="A17" s="85"/>
      <c r="B17" s="40" t="s">
        <v>25</v>
      </c>
      <c r="C17" s="38">
        <v>1</v>
      </c>
      <c r="D17" s="38" t="s">
        <v>0</v>
      </c>
      <c r="E17" s="38" t="s">
        <v>0</v>
      </c>
      <c r="F17" s="39" t="s">
        <v>0</v>
      </c>
    </row>
    <row r="18" spans="1:6">
      <c r="A18" s="85"/>
      <c r="B18" s="40" t="s">
        <v>26</v>
      </c>
      <c r="C18" s="38" t="s">
        <v>0</v>
      </c>
      <c r="D18" s="38">
        <v>1</v>
      </c>
      <c r="E18" s="38" t="s">
        <v>0</v>
      </c>
      <c r="F18" s="39" t="s">
        <v>0</v>
      </c>
    </row>
    <row r="19" spans="1:6">
      <c r="A19" s="85"/>
      <c r="B19" s="40" t="s">
        <v>27</v>
      </c>
      <c r="C19" s="38">
        <v>1</v>
      </c>
      <c r="D19" s="38" t="s">
        <v>0</v>
      </c>
      <c r="E19" s="38" t="s">
        <v>0</v>
      </c>
      <c r="F19" s="39" t="s">
        <v>0</v>
      </c>
    </row>
    <row r="20" spans="1:6">
      <c r="A20" s="85"/>
      <c r="B20" s="40" t="s">
        <v>28</v>
      </c>
      <c r="C20" s="38">
        <v>1</v>
      </c>
      <c r="D20" s="38" t="s">
        <v>0</v>
      </c>
      <c r="E20" s="38" t="s">
        <v>0</v>
      </c>
      <c r="F20" s="39" t="s">
        <v>0</v>
      </c>
    </row>
    <row r="21" spans="1:6" ht="24" customHeight="1">
      <c r="A21" s="86" t="s">
        <v>29</v>
      </c>
      <c r="B21" s="34" t="s">
        <v>15</v>
      </c>
      <c r="C21" s="35">
        <v>1</v>
      </c>
      <c r="D21" s="35" t="s">
        <v>0</v>
      </c>
      <c r="E21" s="35" t="s">
        <v>0</v>
      </c>
      <c r="F21" s="36" t="s">
        <v>0</v>
      </c>
    </row>
    <row r="22" spans="1:6">
      <c r="A22" s="87"/>
      <c r="B22" s="40" t="s">
        <v>30</v>
      </c>
      <c r="C22" s="38">
        <v>1</v>
      </c>
      <c r="D22" s="38" t="s">
        <v>0</v>
      </c>
      <c r="E22" s="38" t="s">
        <v>0</v>
      </c>
      <c r="F22" s="39" t="s">
        <v>0</v>
      </c>
    </row>
    <row r="23" spans="1:6">
      <c r="A23" s="87"/>
      <c r="B23" s="37" t="s">
        <v>16</v>
      </c>
      <c r="C23" s="38">
        <v>1</v>
      </c>
      <c r="D23" s="38" t="s">
        <v>0</v>
      </c>
      <c r="E23" s="38" t="s">
        <v>0</v>
      </c>
      <c r="F23" s="39" t="s">
        <v>0</v>
      </c>
    </row>
    <row r="24" spans="1:6">
      <c r="A24" s="87"/>
      <c r="B24" s="40" t="s">
        <v>17</v>
      </c>
      <c r="C24" s="38">
        <v>1</v>
      </c>
      <c r="D24" s="38" t="s">
        <v>0</v>
      </c>
      <c r="E24" s="38" t="s">
        <v>0</v>
      </c>
      <c r="F24" s="39" t="s">
        <v>0</v>
      </c>
    </row>
    <row r="25" spans="1:6">
      <c r="A25" s="87"/>
      <c r="B25" s="40" t="s">
        <v>18</v>
      </c>
      <c r="C25" s="38">
        <v>1</v>
      </c>
      <c r="D25" s="38" t="s">
        <v>0</v>
      </c>
      <c r="E25" s="38" t="s">
        <v>0</v>
      </c>
      <c r="F25" s="39" t="s">
        <v>0</v>
      </c>
    </row>
    <row r="26" spans="1:6">
      <c r="A26" s="87"/>
      <c r="B26" s="40" t="s">
        <v>26</v>
      </c>
      <c r="C26" s="38" t="s">
        <v>0</v>
      </c>
      <c r="D26" s="38">
        <v>1</v>
      </c>
      <c r="E26" s="38" t="s">
        <v>0</v>
      </c>
      <c r="F26" s="39" t="s">
        <v>0</v>
      </c>
    </row>
    <row r="27" spans="1:6" ht="14.45" customHeight="1">
      <c r="A27" s="87"/>
      <c r="B27" s="40" t="s">
        <v>25</v>
      </c>
      <c r="C27" s="38">
        <v>1</v>
      </c>
      <c r="D27" s="38" t="s">
        <v>0</v>
      </c>
      <c r="E27" s="38" t="s">
        <v>0</v>
      </c>
      <c r="F27" s="39" t="s">
        <v>0</v>
      </c>
    </row>
    <row r="28" spans="1:6">
      <c r="A28" s="87"/>
      <c r="B28" s="40" t="s">
        <v>20</v>
      </c>
      <c r="C28" s="38">
        <v>1</v>
      </c>
      <c r="D28" s="38" t="s">
        <v>0</v>
      </c>
      <c r="E28" s="38" t="s">
        <v>0</v>
      </c>
      <c r="F28" s="39" t="s">
        <v>0</v>
      </c>
    </row>
    <row r="29" spans="1:6">
      <c r="A29" s="87"/>
      <c r="B29" s="40" t="s">
        <v>21</v>
      </c>
      <c r="C29" s="38" t="s">
        <v>0</v>
      </c>
      <c r="D29" s="38">
        <v>1</v>
      </c>
      <c r="E29" s="38" t="s">
        <v>0</v>
      </c>
      <c r="F29" s="39" t="s">
        <v>0</v>
      </c>
    </row>
    <row r="30" spans="1:6">
      <c r="A30" s="87"/>
      <c r="B30" s="40" t="s">
        <v>22</v>
      </c>
      <c r="C30" s="38">
        <v>1</v>
      </c>
      <c r="D30" s="38" t="s">
        <v>0</v>
      </c>
      <c r="E30" s="38" t="s">
        <v>0</v>
      </c>
      <c r="F30" s="39" t="s">
        <v>0</v>
      </c>
    </row>
    <row r="31" spans="1:6" ht="24">
      <c r="A31" s="87"/>
      <c r="B31" s="40" t="s">
        <v>23</v>
      </c>
      <c r="C31" s="38">
        <v>1</v>
      </c>
      <c r="D31" s="38" t="s">
        <v>0</v>
      </c>
      <c r="E31" s="38" t="s">
        <v>0</v>
      </c>
      <c r="F31" s="39" t="s">
        <v>0</v>
      </c>
    </row>
    <row r="32" spans="1:6">
      <c r="A32" s="87"/>
      <c r="B32" s="40" t="s">
        <v>24</v>
      </c>
      <c r="C32" s="38">
        <v>1</v>
      </c>
      <c r="D32" s="38" t="s">
        <v>0</v>
      </c>
      <c r="E32" s="38" t="s">
        <v>0</v>
      </c>
      <c r="F32" s="39" t="s">
        <v>0</v>
      </c>
    </row>
    <row r="33" spans="1:6">
      <c r="A33" s="87"/>
      <c r="B33" s="40" t="s">
        <v>31</v>
      </c>
      <c r="C33" s="38">
        <v>1</v>
      </c>
      <c r="D33" s="38" t="s">
        <v>0</v>
      </c>
      <c r="E33" s="38" t="s">
        <v>0</v>
      </c>
      <c r="F33" s="39" t="s">
        <v>0</v>
      </c>
    </row>
    <row r="34" spans="1:6">
      <c r="A34" s="88"/>
      <c r="B34" s="41" t="s">
        <v>28</v>
      </c>
      <c r="C34" s="42">
        <v>1</v>
      </c>
      <c r="D34" s="42" t="s">
        <v>0</v>
      </c>
      <c r="E34" s="42" t="s">
        <v>0</v>
      </c>
      <c r="F34" s="43" t="s">
        <v>0</v>
      </c>
    </row>
    <row r="35" spans="1:6">
      <c r="A35" s="101" t="s">
        <v>32</v>
      </c>
      <c r="B35" s="102"/>
      <c r="C35" s="102"/>
      <c r="D35" s="102"/>
      <c r="E35" s="102"/>
      <c r="F35" s="103"/>
    </row>
    <row r="36" spans="1:6">
      <c r="A36" s="101"/>
      <c r="B36" s="104"/>
      <c r="C36" s="104"/>
      <c r="D36" s="104"/>
      <c r="E36" s="104"/>
      <c r="F36" s="105"/>
    </row>
    <row r="37" spans="1:6">
      <c r="A37" s="101"/>
      <c r="B37" s="104"/>
      <c r="C37" s="104"/>
      <c r="D37" s="104"/>
      <c r="E37" s="104"/>
      <c r="F37" s="105"/>
    </row>
    <row r="38" spans="1:6">
      <c r="A38" s="101"/>
      <c r="B38" s="104"/>
      <c r="C38" s="104"/>
      <c r="D38" s="104"/>
      <c r="E38" s="104"/>
      <c r="F38" s="105"/>
    </row>
    <row r="39" spans="1:6">
      <c r="A39" s="106"/>
      <c r="B39" s="107"/>
      <c r="C39" s="107"/>
      <c r="D39" s="107"/>
      <c r="E39" s="107"/>
      <c r="F39" s="108"/>
    </row>
    <row r="40" spans="1:6">
      <c r="A40" s="75" t="s">
        <v>33</v>
      </c>
      <c r="B40" s="76"/>
      <c r="C40" s="76"/>
      <c r="D40" s="76"/>
      <c r="E40" s="76"/>
      <c r="F40" s="77"/>
    </row>
    <row r="41" spans="1:6" ht="29.25" customHeight="1">
      <c r="A41" s="78" t="s">
        <v>34</v>
      </c>
      <c r="B41" s="79"/>
      <c r="C41" s="208">
        <f>SUM(C7:D34)</f>
        <v>28</v>
      </c>
      <c r="D41" s="209"/>
      <c r="E41" s="44">
        <v>1</v>
      </c>
      <c r="F41" s="50" t="s">
        <v>35</v>
      </c>
    </row>
    <row r="42" spans="1:6" ht="46.9" customHeight="1">
      <c r="A42" s="65" t="s">
        <v>36</v>
      </c>
      <c r="B42" s="66"/>
      <c r="C42" s="210">
        <f>COUNTIF(C7:C34,1)</f>
        <v>22</v>
      </c>
      <c r="D42" s="211"/>
      <c r="E42" s="227">
        <f>C42/$C$41</f>
        <v>0.7857142857142857</v>
      </c>
      <c r="F42" s="45" t="s">
        <v>37</v>
      </c>
    </row>
    <row r="43" spans="1:6">
      <c r="A43" s="63"/>
      <c r="B43" s="64"/>
      <c r="C43" s="213"/>
      <c r="D43" s="214"/>
      <c r="E43" s="228"/>
      <c r="F43" s="46" t="s">
        <v>38</v>
      </c>
    </row>
    <row r="44" spans="1:6">
      <c r="A44" s="61" t="s">
        <v>39</v>
      </c>
      <c r="B44" s="62"/>
      <c r="C44" s="210">
        <f>COUNTIF(D7:D34,1)</f>
        <v>6</v>
      </c>
      <c r="D44" s="211"/>
      <c r="E44" s="227">
        <f>C44/$C$41</f>
        <v>0.21428571428571427</v>
      </c>
      <c r="F44" s="47" t="s">
        <v>0</v>
      </c>
    </row>
    <row r="45" spans="1:6">
      <c r="A45" s="63"/>
      <c r="B45" s="64"/>
      <c r="C45" s="213"/>
      <c r="D45" s="214"/>
      <c r="E45" s="228"/>
      <c r="F45" s="47" t="s">
        <v>0</v>
      </c>
    </row>
    <row r="46" spans="1:6">
      <c r="A46" s="61" t="s">
        <v>40</v>
      </c>
      <c r="B46" s="62"/>
      <c r="C46" s="210" t="s">
        <v>0</v>
      </c>
      <c r="D46" s="215"/>
      <c r="E46" s="216" t="s">
        <v>41</v>
      </c>
      <c r="F46" s="48" t="s">
        <v>0</v>
      </c>
    </row>
    <row r="47" spans="1:6">
      <c r="A47" s="65"/>
      <c r="B47" s="66"/>
      <c r="C47" s="213"/>
      <c r="D47" s="217"/>
      <c r="E47" s="218"/>
      <c r="F47" s="49" t="s">
        <v>0</v>
      </c>
    </row>
    <row r="48" spans="1:6">
      <c r="A48" s="219" t="s">
        <v>42</v>
      </c>
      <c r="B48" s="220"/>
      <c r="C48" s="48" t="s">
        <v>0</v>
      </c>
      <c r="D48" s="221" t="s">
        <v>43</v>
      </c>
      <c r="E48" s="221"/>
      <c r="F48" s="222"/>
    </row>
    <row r="49" spans="1:6">
      <c r="A49" s="223" t="s">
        <v>44</v>
      </c>
      <c r="B49" s="224"/>
      <c r="C49" s="49" t="s">
        <v>0</v>
      </c>
      <c r="D49" s="225" t="s">
        <v>45</v>
      </c>
      <c r="E49" s="225"/>
      <c r="F49" s="226"/>
    </row>
    <row r="50" spans="1:6" ht="32.25" customHeight="1">
      <c r="A50" s="58" t="s">
        <v>46</v>
      </c>
      <c r="B50" s="59"/>
      <c r="C50" s="59"/>
      <c r="D50" s="59"/>
      <c r="E50" s="59"/>
      <c r="F50" s="60"/>
    </row>
    <row r="51" spans="1:6"/>
    <row r="52" spans="1:6"/>
    <row r="53" spans="1:6"/>
    <row r="54" spans="1:6"/>
  </sheetData>
  <mergeCells count="30">
    <mergeCell ref="A21:A34"/>
    <mergeCell ref="A1:B3"/>
    <mergeCell ref="C1:F1"/>
    <mergeCell ref="C2:F2"/>
    <mergeCell ref="C3:D3"/>
    <mergeCell ref="A4:D4"/>
    <mergeCell ref="E4:F4"/>
    <mergeCell ref="A5:B6"/>
    <mergeCell ref="C5:D5"/>
    <mergeCell ref="E5:E6"/>
    <mergeCell ref="F5:F6"/>
    <mergeCell ref="A7:A20"/>
    <mergeCell ref="A35:F39"/>
    <mergeCell ref="A40:F40"/>
    <mergeCell ref="A41:B41"/>
    <mergeCell ref="C41:D41"/>
    <mergeCell ref="A42:B43"/>
    <mergeCell ref="C42:D43"/>
    <mergeCell ref="E42:E43"/>
    <mergeCell ref="A44:B45"/>
    <mergeCell ref="C44:D45"/>
    <mergeCell ref="E44:E45"/>
    <mergeCell ref="A46:B47"/>
    <mergeCell ref="C46:D47"/>
    <mergeCell ref="E46:E47"/>
    <mergeCell ref="A48:B48"/>
    <mergeCell ref="D48:F48"/>
    <mergeCell ref="A49:B49"/>
    <mergeCell ref="D49:F49"/>
    <mergeCell ref="A50:F50"/>
  </mergeCells>
  <pageMargins left="0" right="0" top="0" bottom="0" header="0" footer="0"/>
  <pageSetup scale="8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2D4CD-60DD-4764-9D83-323A0AD47EB6}">
  <dimension ref="A1:F54"/>
  <sheetViews>
    <sheetView topLeftCell="A33" workbookViewId="0">
      <selection activeCell="E44" sqref="E44:E45"/>
    </sheetView>
  </sheetViews>
  <sheetFormatPr defaultColWidth="11.42578125" defaultRowHeight="15" customHeight="1"/>
  <cols>
    <col min="1" max="1" width="2.7109375" customWidth="1"/>
    <col min="2" max="2" width="19.42578125" customWidth="1"/>
    <col min="3" max="3" width="13.42578125" customWidth="1"/>
    <col min="4" max="4" width="18.140625" customWidth="1"/>
    <col min="5" max="5" width="17" customWidth="1"/>
    <col min="6" max="6" width="17.28515625" customWidth="1"/>
  </cols>
  <sheetData>
    <row r="1" spans="1:6" ht="15" customHeight="1">
      <c r="A1" s="199" t="s">
        <v>0</v>
      </c>
      <c r="B1" s="200"/>
      <c r="C1" s="89" t="s">
        <v>1</v>
      </c>
      <c r="D1" s="89"/>
      <c r="E1" s="89"/>
      <c r="F1" s="90"/>
    </row>
    <row r="2" spans="1:6">
      <c r="A2" s="201"/>
      <c r="B2" s="202"/>
      <c r="C2" s="91" t="s">
        <v>2</v>
      </c>
      <c r="D2" s="92"/>
      <c r="E2" s="92"/>
      <c r="F2" s="93"/>
    </row>
    <row r="3" spans="1:6">
      <c r="A3" s="203"/>
      <c r="B3" s="204"/>
      <c r="C3" s="94" t="s">
        <v>3</v>
      </c>
      <c r="D3" s="95"/>
      <c r="E3" s="52" t="s">
        <v>4</v>
      </c>
      <c r="F3" s="53" t="s">
        <v>5</v>
      </c>
    </row>
    <row r="4" spans="1:6" ht="15" customHeight="1">
      <c r="A4" s="96" t="s">
        <v>6</v>
      </c>
      <c r="B4" s="97"/>
      <c r="C4" s="98"/>
      <c r="D4" s="98"/>
      <c r="E4" s="99" t="s">
        <v>7</v>
      </c>
      <c r="F4" s="100"/>
    </row>
    <row r="5" spans="1:6">
      <c r="A5" s="80" t="s">
        <v>8</v>
      </c>
      <c r="B5" s="81"/>
      <c r="C5" s="205" t="s">
        <v>9</v>
      </c>
      <c r="D5" s="206"/>
      <c r="E5" s="84" t="s">
        <v>10</v>
      </c>
      <c r="F5" s="207" t="s">
        <v>11</v>
      </c>
    </row>
    <row r="6" spans="1:6">
      <c r="A6" s="82"/>
      <c r="B6" s="83"/>
      <c r="C6" s="33" t="s">
        <v>12</v>
      </c>
      <c r="D6" s="33" t="s">
        <v>13</v>
      </c>
      <c r="E6" s="84"/>
      <c r="F6" s="207"/>
    </row>
    <row r="7" spans="1:6" ht="24" customHeight="1">
      <c r="A7" s="85" t="s">
        <v>14</v>
      </c>
      <c r="B7" s="40" t="s">
        <v>15</v>
      </c>
      <c r="C7" s="35">
        <v>1</v>
      </c>
      <c r="D7" s="35" t="s">
        <v>0</v>
      </c>
      <c r="E7" s="35" t="s">
        <v>0</v>
      </c>
      <c r="F7" s="36" t="s">
        <v>0</v>
      </c>
    </row>
    <row r="8" spans="1:6">
      <c r="A8" s="85"/>
      <c r="B8" s="37" t="s">
        <v>16</v>
      </c>
      <c r="C8" s="38">
        <v>1</v>
      </c>
      <c r="D8" s="38" t="s">
        <v>0</v>
      </c>
      <c r="E8" s="38" t="s">
        <v>0</v>
      </c>
      <c r="F8" s="39" t="s">
        <v>0</v>
      </c>
    </row>
    <row r="9" spans="1:6">
      <c r="A9" s="85"/>
      <c r="B9" s="40" t="s">
        <v>17</v>
      </c>
      <c r="C9" s="38" t="s">
        <v>0</v>
      </c>
      <c r="D9" s="38">
        <v>1</v>
      </c>
      <c r="E9" s="38" t="s">
        <v>0</v>
      </c>
      <c r="F9" s="39" t="s">
        <v>77</v>
      </c>
    </row>
    <row r="10" spans="1:6" ht="28.5">
      <c r="A10" s="85"/>
      <c r="B10" s="40" t="s">
        <v>18</v>
      </c>
      <c r="C10" s="38" t="s">
        <v>0</v>
      </c>
      <c r="D10" s="38">
        <v>1</v>
      </c>
      <c r="E10" s="38" t="s">
        <v>0</v>
      </c>
      <c r="F10" s="55" t="s">
        <v>78</v>
      </c>
    </row>
    <row r="11" spans="1:6">
      <c r="A11" s="85"/>
      <c r="B11" s="40" t="s">
        <v>19</v>
      </c>
      <c r="C11" s="38">
        <v>1</v>
      </c>
      <c r="D11" s="38" t="s">
        <v>0</v>
      </c>
      <c r="E11" s="38" t="s">
        <v>0</v>
      </c>
      <c r="F11" s="39" t="s">
        <v>0</v>
      </c>
    </row>
    <row r="12" spans="1:6">
      <c r="A12" s="85"/>
      <c r="B12" s="40" t="s">
        <v>20</v>
      </c>
      <c r="C12" s="38">
        <v>1</v>
      </c>
      <c r="D12" s="38" t="s">
        <v>0</v>
      </c>
      <c r="E12" s="38" t="s">
        <v>0</v>
      </c>
      <c r="F12" s="39" t="s">
        <v>0</v>
      </c>
    </row>
    <row r="13" spans="1:6">
      <c r="A13" s="85"/>
      <c r="B13" s="40" t="s">
        <v>21</v>
      </c>
      <c r="C13" s="38">
        <v>1</v>
      </c>
      <c r="D13" s="38" t="s">
        <v>0</v>
      </c>
      <c r="E13" s="38" t="s">
        <v>0</v>
      </c>
      <c r="F13" s="39" t="s">
        <v>0</v>
      </c>
    </row>
    <row r="14" spans="1:6">
      <c r="A14" s="85"/>
      <c r="B14" s="40" t="s">
        <v>22</v>
      </c>
      <c r="C14" s="38">
        <v>1</v>
      </c>
      <c r="D14" s="38" t="s">
        <v>0</v>
      </c>
      <c r="E14" s="38" t="s">
        <v>0</v>
      </c>
      <c r="F14" s="39" t="s">
        <v>0</v>
      </c>
    </row>
    <row r="15" spans="1:6" ht="24">
      <c r="A15" s="85"/>
      <c r="B15" s="40" t="s">
        <v>23</v>
      </c>
      <c r="C15" s="38">
        <v>1</v>
      </c>
      <c r="D15" s="38" t="s">
        <v>0</v>
      </c>
      <c r="E15" s="38" t="s">
        <v>0</v>
      </c>
      <c r="F15" s="39" t="s">
        <v>0</v>
      </c>
    </row>
    <row r="16" spans="1:6">
      <c r="A16" s="85"/>
      <c r="B16" s="40" t="s">
        <v>24</v>
      </c>
      <c r="C16" s="38">
        <v>1</v>
      </c>
      <c r="D16" s="38" t="s">
        <v>0</v>
      </c>
      <c r="E16" s="38" t="s">
        <v>0</v>
      </c>
      <c r="F16" s="39" t="s">
        <v>0</v>
      </c>
    </row>
    <row r="17" spans="1:6">
      <c r="A17" s="85"/>
      <c r="B17" s="40" t="s">
        <v>25</v>
      </c>
      <c r="C17" s="38">
        <v>1</v>
      </c>
      <c r="D17" s="38" t="s">
        <v>0</v>
      </c>
      <c r="E17" s="38" t="s">
        <v>0</v>
      </c>
      <c r="F17" s="39" t="s">
        <v>0</v>
      </c>
    </row>
    <row r="18" spans="1:6">
      <c r="A18" s="85"/>
      <c r="B18" s="40" t="s">
        <v>26</v>
      </c>
      <c r="C18" s="38"/>
      <c r="D18" s="38">
        <v>1</v>
      </c>
      <c r="E18" s="38" t="s">
        <v>0</v>
      </c>
      <c r="F18" s="39" t="s">
        <v>0</v>
      </c>
    </row>
    <row r="19" spans="1:6" ht="28.5">
      <c r="A19" s="85"/>
      <c r="B19" s="40" t="s">
        <v>27</v>
      </c>
      <c r="C19" s="38" t="s">
        <v>0</v>
      </c>
      <c r="D19" s="38">
        <v>1</v>
      </c>
      <c r="E19" s="38" t="s">
        <v>0</v>
      </c>
      <c r="F19" s="55" t="s">
        <v>79</v>
      </c>
    </row>
    <row r="20" spans="1:6">
      <c r="A20" s="85"/>
      <c r="B20" s="40" t="s">
        <v>28</v>
      </c>
      <c r="C20" s="38">
        <v>1</v>
      </c>
      <c r="D20" s="38" t="s">
        <v>0</v>
      </c>
      <c r="E20" s="38" t="s">
        <v>0</v>
      </c>
      <c r="F20" s="39" t="s">
        <v>0</v>
      </c>
    </row>
    <row r="21" spans="1:6" ht="24" customHeight="1">
      <c r="A21" s="86" t="s">
        <v>29</v>
      </c>
      <c r="B21" s="34" t="s">
        <v>15</v>
      </c>
      <c r="C21" s="35">
        <v>1</v>
      </c>
      <c r="D21" s="35" t="s">
        <v>0</v>
      </c>
      <c r="E21" s="35" t="s">
        <v>0</v>
      </c>
      <c r="F21" s="36" t="s">
        <v>0</v>
      </c>
    </row>
    <row r="22" spans="1:6" ht="28.5">
      <c r="A22" s="87"/>
      <c r="B22" s="40" t="s">
        <v>30</v>
      </c>
      <c r="C22" s="38" t="s">
        <v>0</v>
      </c>
      <c r="D22" s="38">
        <v>1</v>
      </c>
      <c r="E22" s="38" t="s">
        <v>0</v>
      </c>
      <c r="F22" s="55" t="s">
        <v>79</v>
      </c>
    </row>
    <row r="23" spans="1:6">
      <c r="A23" s="87"/>
      <c r="B23" s="37" t="s">
        <v>16</v>
      </c>
      <c r="C23" s="38">
        <v>1</v>
      </c>
      <c r="D23" s="38" t="s">
        <v>0</v>
      </c>
      <c r="E23" s="38" t="s">
        <v>0</v>
      </c>
      <c r="F23" s="39" t="s">
        <v>0</v>
      </c>
    </row>
    <row r="24" spans="1:6">
      <c r="A24" s="87"/>
      <c r="B24" s="40" t="s">
        <v>17</v>
      </c>
      <c r="C24" s="38">
        <v>1</v>
      </c>
      <c r="D24" s="38" t="s">
        <v>0</v>
      </c>
      <c r="E24" s="38" t="s">
        <v>0</v>
      </c>
      <c r="F24" s="39" t="s">
        <v>0</v>
      </c>
    </row>
    <row r="25" spans="1:6">
      <c r="A25" s="87"/>
      <c r="B25" s="40" t="s">
        <v>18</v>
      </c>
      <c r="C25" s="38">
        <v>1</v>
      </c>
      <c r="D25" s="38" t="s">
        <v>0</v>
      </c>
      <c r="E25" s="38" t="s">
        <v>0</v>
      </c>
      <c r="F25" s="39" t="s">
        <v>0</v>
      </c>
    </row>
    <row r="26" spans="1:6">
      <c r="A26" s="87"/>
      <c r="B26" s="40" t="s">
        <v>26</v>
      </c>
      <c r="C26" s="38" t="s">
        <v>0</v>
      </c>
      <c r="D26" s="38">
        <v>1</v>
      </c>
      <c r="E26" s="38" t="s">
        <v>0</v>
      </c>
      <c r="F26" s="39" t="s">
        <v>0</v>
      </c>
    </row>
    <row r="27" spans="1:6" ht="14.45" customHeight="1">
      <c r="A27" s="87"/>
      <c r="B27" s="40" t="s">
        <v>25</v>
      </c>
      <c r="C27" s="38">
        <v>1</v>
      </c>
      <c r="D27" s="38" t="s">
        <v>0</v>
      </c>
      <c r="E27" s="38" t="s">
        <v>0</v>
      </c>
      <c r="F27" s="39" t="s">
        <v>0</v>
      </c>
    </row>
    <row r="28" spans="1:6">
      <c r="A28" s="87"/>
      <c r="B28" s="40" t="s">
        <v>20</v>
      </c>
      <c r="C28" s="38">
        <v>1</v>
      </c>
      <c r="D28" s="38" t="s">
        <v>0</v>
      </c>
      <c r="E28" s="38" t="s">
        <v>0</v>
      </c>
      <c r="F28" s="39" t="s">
        <v>0</v>
      </c>
    </row>
    <row r="29" spans="1:6" ht="28.5">
      <c r="A29" s="87"/>
      <c r="B29" s="40" t="s">
        <v>21</v>
      </c>
      <c r="C29" s="38" t="s">
        <v>0</v>
      </c>
      <c r="D29" s="38">
        <v>1</v>
      </c>
      <c r="E29" s="38" t="s">
        <v>0</v>
      </c>
      <c r="F29" s="55" t="s">
        <v>79</v>
      </c>
    </row>
    <row r="30" spans="1:6">
      <c r="A30" s="87"/>
      <c r="B30" s="40" t="s">
        <v>22</v>
      </c>
      <c r="C30" s="38">
        <v>1</v>
      </c>
      <c r="D30" s="38" t="s">
        <v>0</v>
      </c>
      <c r="E30" s="38" t="s">
        <v>0</v>
      </c>
      <c r="F30" s="39" t="s">
        <v>0</v>
      </c>
    </row>
    <row r="31" spans="1:6" ht="24">
      <c r="A31" s="87"/>
      <c r="B31" s="40" t="s">
        <v>23</v>
      </c>
      <c r="C31" s="38">
        <v>1</v>
      </c>
      <c r="D31" s="38" t="s">
        <v>0</v>
      </c>
      <c r="E31" s="38" t="s">
        <v>0</v>
      </c>
      <c r="F31" s="39" t="s">
        <v>0</v>
      </c>
    </row>
    <row r="32" spans="1:6">
      <c r="A32" s="87"/>
      <c r="B32" s="40" t="s">
        <v>24</v>
      </c>
      <c r="C32" s="38">
        <v>1</v>
      </c>
      <c r="D32" s="38" t="s">
        <v>0</v>
      </c>
      <c r="E32" s="38" t="s">
        <v>0</v>
      </c>
      <c r="F32" s="39" t="s">
        <v>0</v>
      </c>
    </row>
    <row r="33" spans="1:6">
      <c r="A33" s="87"/>
      <c r="B33" s="40" t="s">
        <v>31</v>
      </c>
      <c r="C33" s="38">
        <v>1</v>
      </c>
      <c r="D33" s="38" t="s">
        <v>0</v>
      </c>
      <c r="E33" s="38" t="s">
        <v>0</v>
      </c>
      <c r="F33" s="39" t="s">
        <v>0</v>
      </c>
    </row>
    <row r="34" spans="1:6">
      <c r="A34" s="88"/>
      <c r="B34" s="41" t="s">
        <v>28</v>
      </c>
      <c r="C34" s="42">
        <v>1</v>
      </c>
      <c r="D34" s="42" t="s">
        <v>0</v>
      </c>
      <c r="E34" s="42" t="s">
        <v>0</v>
      </c>
      <c r="F34" s="43" t="s">
        <v>0</v>
      </c>
    </row>
    <row r="35" spans="1:6">
      <c r="A35" s="101" t="s">
        <v>32</v>
      </c>
      <c r="B35" s="102"/>
      <c r="C35" s="102"/>
      <c r="D35" s="102"/>
      <c r="E35" s="102"/>
      <c r="F35" s="103"/>
    </row>
    <row r="36" spans="1:6">
      <c r="A36" s="101"/>
      <c r="B36" s="104"/>
      <c r="C36" s="104"/>
      <c r="D36" s="104"/>
      <c r="E36" s="104"/>
      <c r="F36" s="105"/>
    </row>
    <row r="37" spans="1:6">
      <c r="A37" s="101"/>
      <c r="B37" s="104"/>
      <c r="C37" s="104"/>
      <c r="D37" s="104"/>
      <c r="E37" s="104"/>
      <c r="F37" s="105"/>
    </row>
    <row r="38" spans="1:6">
      <c r="A38" s="101"/>
      <c r="B38" s="104"/>
      <c r="C38" s="104"/>
      <c r="D38" s="104"/>
      <c r="E38" s="104"/>
      <c r="F38" s="105"/>
    </row>
    <row r="39" spans="1:6">
      <c r="A39" s="106"/>
      <c r="B39" s="107"/>
      <c r="C39" s="107"/>
      <c r="D39" s="107"/>
      <c r="E39" s="107"/>
      <c r="F39" s="108"/>
    </row>
    <row r="40" spans="1:6">
      <c r="A40" s="75" t="s">
        <v>33</v>
      </c>
      <c r="B40" s="76"/>
      <c r="C40" s="76"/>
      <c r="D40" s="76"/>
      <c r="E40" s="76"/>
      <c r="F40" s="77"/>
    </row>
    <row r="41" spans="1:6" ht="29.25" customHeight="1">
      <c r="A41" s="78" t="s">
        <v>34</v>
      </c>
      <c r="B41" s="79"/>
      <c r="C41" s="208">
        <f>SUM(C7:D34)</f>
        <v>28</v>
      </c>
      <c r="D41" s="209"/>
      <c r="E41" s="44">
        <v>1</v>
      </c>
      <c r="F41" s="50" t="s">
        <v>35</v>
      </c>
    </row>
    <row r="42" spans="1:6" ht="46.9" customHeight="1">
      <c r="A42" s="65" t="s">
        <v>36</v>
      </c>
      <c r="B42" s="66"/>
      <c r="C42" s="210">
        <f>COUNTIF(C7:C34,1)</f>
        <v>21</v>
      </c>
      <c r="D42" s="211"/>
      <c r="E42" s="227">
        <f>C42/$C$41</f>
        <v>0.75</v>
      </c>
      <c r="F42" s="45" t="s">
        <v>37</v>
      </c>
    </row>
    <row r="43" spans="1:6">
      <c r="A43" s="63"/>
      <c r="B43" s="64"/>
      <c r="C43" s="213"/>
      <c r="D43" s="214"/>
      <c r="E43" s="228"/>
      <c r="F43" s="46" t="s">
        <v>38</v>
      </c>
    </row>
    <row r="44" spans="1:6">
      <c r="A44" s="61" t="s">
        <v>39</v>
      </c>
      <c r="B44" s="62"/>
      <c r="C44" s="210">
        <f>COUNTIF(D7:D34,1)</f>
        <v>7</v>
      </c>
      <c r="D44" s="211"/>
      <c r="E44" s="227">
        <f>C44/$C$41</f>
        <v>0.25</v>
      </c>
      <c r="F44" s="47" t="s">
        <v>0</v>
      </c>
    </row>
    <row r="45" spans="1:6">
      <c r="A45" s="63"/>
      <c r="B45" s="64"/>
      <c r="C45" s="213"/>
      <c r="D45" s="214"/>
      <c r="E45" s="228"/>
      <c r="F45" s="47" t="s">
        <v>0</v>
      </c>
    </row>
    <row r="46" spans="1:6">
      <c r="A46" s="61" t="s">
        <v>40</v>
      </c>
      <c r="B46" s="62"/>
      <c r="C46" s="210" t="s">
        <v>0</v>
      </c>
      <c r="D46" s="215"/>
      <c r="E46" s="216" t="s">
        <v>41</v>
      </c>
      <c r="F46" s="48" t="s">
        <v>0</v>
      </c>
    </row>
    <row r="47" spans="1:6">
      <c r="A47" s="65"/>
      <c r="B47" s="66"/>
      <c r="C47" s="213"/>
      <c r="D47" s="217"/>
      <c r="E47" s="218"/>
      <c r="F47" s="49" t="s">
        <v>0</v>
      </c>
    </row>
    <row r="48" spans="1:6">
      <c r="A48" s="219" t="s">
        <v>42</v>
      </c>
      <c r="B48" s="220"/>
      <c r="C48" s="48" t="s">
        <v>0</v>
      </c>
      <c r="D48" s="221" t="s">
        <v>43</v>
      </c>
      <c r="E48" s="221"/>
      <c r="F48" s="222"/>
    </row>
    <row r="49" spans="1:6">
      <c r="A49" s="223" t="s">
        <v>44</v>
      </c>
      <c r="B49" s="224"/>
      <c r="C49" s="49" t="s">
        <v>0</v>
      </c>
      <c r="D49" s="225" t="s">
        <v>45</v>
      </c>
      <c r="E49" s="225"/>
      <c r="F49" s="226"/>
    </row>
    <row r="50" spans="1:6" ht="32.25" customHeight="1">
      <c r="A50" s="58" t="s">
        <v>46</v>
      </c>
      <c r="B50" s="59"/>
      <c r="C50" s="59"/>
      <c r="D50" s="59"/>
      <c r="E50" s="59"/>
      <c r="F50" s="60"/>
    </row>
    <row r="51" spans="1:6"/>
    <row r="52" spans="1:6"/>
    <row r="53" spans="1:6"/>
    <row r="54" spans="1:6"/>
  </sheetData>
  <mergeCells count="30">
    <mergeCell ref="A48:B48"/>
    <mergeCell ref="D48:F48"/>
    <mergeCell ref="A49:B49"/>
    <mergeCell ref="D49:F49"/>
    <mergeCell ref="A50:F50"/>
    <mergeCell ref="A44:B45"/>
    <mergeCell ref="C44:D45"/>
    <mergeCell ref="E44:E45"/>
    <mergeCell ref="A46:B47"/>
    <mergeCell ref="C46:D47"/>
    <mergeCell ref="E46:E47"/>
    <mergeCell ref="A35:F39"/>
    <mergeCell ref="A40:F40"/>
    <mergeCell ref="A41:B41"/>
    <mergeCell ref="C41:D41"/>
    <mergeCell ref="A42:B43"/>
    <mergeCell ref="C42:D43"/>
    <mergeCell ref="E42:E43"/>
    <mergeCell ref="A21:A34"/>
    <mergeCell ref="A1:B3"/>
    <mergeCell ref="C1:F1"/>
    <mergeCell ref="C2:F2"/>
    <mergeCell ref="C3:D3"/>
    <mergeCell ref="A4:D4"/>
    <mergeCell ref="E4:F4"/>
    <mergeCell ref="A5:B6"/>
    <mergeCell ref="C5:D5"/>
    <mergeCell ref="E5:E6"/>
    <mergeCell ref="F5:F6"/>
    <mergeCell ref="A7:A20"/>
  </mergeCells>
  <pageMargins left="0" right="0" top="0" bottom="0" header="0" footer="0"/>
  <pageSetup scale="8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2B8B5-AB07-4D0D-A3C5-17B7DA97759F}">
  <dimension ref="A1:F54"/>
  <sheetViews>
    <sheetView topLeftCell="A24" workbookViewId="0">
      <selection activeCell="H46" sqref="H46"/>
    </sheetView>
  </sheetViews>
  <sheetFormatPr defaultColWidth="11.42578125" defaultRowHeight="15" customHeight="1"/>
  <cols>
    <col min="1" max="1" width="2.7109375" customWidth="1"/>
    <col min="2" max="2" width="19.42578125" customWidth="1"/>
    <col min="3" max="3" width="13.42578125" customWidth="1"/>
    <col min="4" max="4" width="18.140625" customWidth="1"/>
    <col min="5" max="5" width="17" customWidth="1"/>
    <col min="6" max="6" width="21.85546875" customWidth="1"/>
  </cols>
  <sheetData>
    <row r="1" spans="1:6" ht="15" customHeight="1">
      <c r="A1" s="199" t="s">
        <v>0</v>
      </c>
      <c r="B1" s="200"/>
      <c r="C1" s="89" t="s">
        <v>1</v>
      </c>
      <c r="D1" s="89"/>
      <c r="E1" s="89"/>
      <c r="F1" s="90"/>
    </row>
    <row r="2" spans="1:6">
      <c r="A2" s="201"/>
      <c r="B2" s="202"/>
      <c r="C2" s="91" t="s">
        <v>2</v>
      </c>
      <c r="D2" s="92"/>
      <c r="E2" s="92"/>
      <c r="F2" s="93"/>
    </row>
    <row r="3" spans="1:6">
      <c r="A3" s="203"/>
      <c r="B3" s="204"/>
      <c r="C3" s="94" t="s">
        <v>3</v>
      </c>
      <c r="D3" s="95"/>
      <c r="E3" s="52" t="s">
        <v>4</v>
      </c>
      <c r="F3" s="53" t="s">
        <v>5</v>
      </c>
    </row>
    <row r="4" spans="1:6" ht="15" customHeight="1">
      <c r="A4" s="96" t="s">
        <v>51</v>
      </c>
      <c r="B4" s="97"/>
      <c r="C4" s="98"/>
      <c r="D4" s="98"/>
      <c r="E4" s="99" t="s">
        <v>80</v>
      </c>
      <c r="F4" s="100"/>
    </row>
    <row r="5" spans="1:6">
      <c r="A5" s="80" t="s">
        <v>8</v>
      </c>
      <c r="B5" s="81"/>
      <c r="C5" s="205" t="s">
        <v>9</v>
      </c>
      <c r="D5" s="206"/>
      <c r="E5" s="84" t="s">
        <v>10</v>
      </c>
      <c r="F5" s="207" t="s">
        <v>11</v>
      </c>
    </row>
    <row r="6" spans="1:6">
      <c r="A6" s="82"/>
      <c r="B6" s="83"/>
      <c r="C6" s="33" t="s">
        <v>12</v>
      </c>
      <c r="D6" s="33" t="s">
        <v>13</v>
      </c>
      <c r="E6" s="84"/>
      <c r="F6" s="207"/>
    </row>
    <row r="7" spans="1:6" ht="24" customHeight="1">
      <c r="A7" s="85" t="s">
        <v>14</v>
      </c>
      <c r="B7" s="40" t="s">
        <v>15</v>
      </c>
      <c r="C7" s="35">
        <v>1</v>
      </c>
      <c r="D7" s="35"/>
      <c r="E7" s="35" t="s">
        <v>0</v>
      </c>
      <c r="F7" s="36" t="s">
        <v>0</v>
      </c>
    </row>
    <row r="8" spans="1:6" ht="28.5">
      <c r="A8" s="85"/>
      <c r="B8" s="37" t="s">
        <v>16</v>
      </c>
      <c r="C8" s="38" t="s">
        <v>0</v>
      </c>
      <c r="D8" s="38">
        <v>1</v>
      </c>
      <c r="E8" s="38" t="s">
        <v>0</v>
      </c>
      <c r="F8" s="55" t="s">
        <v>58</v>
      </c>
    </row>
    <row r="9" spans="1:6" ht="28.5">
      <c r="A9" s="85"/>
      <c r="B9" s="40" t="s">
        <v>17</v>
      </c>
      <c r="C9" s="38" t="s">
        <v>0</v>
      </c>
      <c r="D9" s="38">
        <v>1</v>
      </c>
      <c r="E9" s="38" t="s">
        <v>0</v>
      </c>
      <c r="F9" s="55" t="s">
        <v>81</v>
      </c>
    </row>
    <row r="10" spans="1:6">
      <c r="A10" s="85"/>
      <c r="B10" s="40" t="s">
        <v>18</v>
      </c>
      <c r="C10" s="38" t="s">
        <v>0</v>
      </c>
      <c r="D10" s="38">
        <v>1</v>
      </c>
      <c r="E10" s="38" t="s">
        <v>0</v>
      </c>
      <c r="F10" s="39" t="s">
        <v>0</v>
      </c>
    </row>
    <row r="11" spans="1:6" ht="28.5">
      <c r="A11" s="85"/>
      <c r="B11" s="40" t="s">
        <v>19</v>
      </c>
      <c r="C11" s="38"/>
      <c r="D11" s="38">
        <v>1</v>
      </c>
      <c r="E11" s="38" t="s">
        <v>0</v>
      </c>
      <c r="F11" s="55" t="s">
        <v>58</v>
      </c>
    </row>
    <row r="12" spans="1:6">
      <c r="A12" s="85"/>
      <c r="B12" s="40" t="s">
        <v>20</v>
      </c>
      <c r="C12" s="38">
        <v>1</v>
      </c>
      <c r="D12" s="38" t="s">
        <v>0</v>
      </c>
      <c r="E12" s="38" t="s">
        <v>0</v>
      </c>
      <c r="F12" s="39" t="s">
        <v>0</v>
      </c>
    </row>
    <row r="13" spans="1:6">
      <c r="A13" s="85"/>
      <c r="B13" s="40" t="s">
        <v>21</v>
      </c>
      <c r="C13" s="38">
        <v>1</v>
      </c>
      <c r="D13" s="38" t="s">
        <v>0</v>
      </c>
      <c r="E13" s="38" t="s">
        <v>0</v>
      </c>
      <c r="F13" s="39" t="s">
        <v>0</v>
      </c>
    </row>
    <row r="14" spans="1:6">
      <c r="A14" s="85"/>
      <c r="B14" s="40" t="s">
        <v>22</v>
      </c>
      <c r="C14" s="38">
        <v>1</v>
      </c>
      <c r="D14" s="38" t="s">
        <v>0</v>
      </c>
      <c r="E14" s="38" t="s">
        <v>0</v>
      </c>
      <c r="F14" s="39" t="s">
        <v>0</v>
      </c>
    </row>
    <row r="15" spans="1:6" ht="24">
      <c r="A15" s="85"/>
      <c r="B15" s="40" t="s">
        <v>23</v>
      </c>
      <c r="C15" s="38">
        <v>1</v>
      </c>
      <c r="D15" s="38" t="s">
        <v>0</v>
      </c>
      <c r="E15" s="38" t="s">
        <v>0</v>
      </c>
      <c r="F15" s="39" t="s">
        <v>0</v>
      </c>
    </row>
    <row r="16" spans="1:6">
      <c r="A16" s="85"/>
      <c r="B16" s="40" t="s">
        <v>24</v>
      </c>
      <c r="C16" s="38">
        <v>1</v>
      </c>
      <c r="D16" s="38" t="s">
        <v>0</v>
      </c>
      <c r="E16" s="38" t="s">
        <v>0</v>
      </c>
      <c r="F16" s="39" t="s">
        <v>0</v>
      </c>
    </row>
    <row r="17" spans="1:6">
      <c r="A17" s="85"/>
      <c r="B17" s="40" t="s">
        <v>25</v>
      </c>
      <c r="C17" s="38">
        <v>1</v>
      </c>
      <c r="D17" s="38" t="s">
        <v>0</v>
      </c>
      <c r="E17" s="38" t="s">
        <v>0</v>
      </c>
      <c r="F17" s="39" t="s">
        <v>0</v>
      </c>
    </row>
    <row r="18" spans="1:6" ht="57.75">
      <c r="A18" s="85"/>
      <c r="B18" s="40" t="s">
        <v>26</v>
      </c>
      <c r="C18" s="38" t="s">
        <v>0</v>
      </c>
      <c r="D18" s="38">
        <v>1</v>
      </c>
      <c r="E18" s="38" t="s">
        <v>0</v>
      </c>
      <c r="F18" s="55" t="s">
        <v>82</v>
      </c>
    </row>
    <row r="19" spans="1:6">
      <c r="A19" s="85"/>
      <c r="B19" s="40" t="s">
        <v>27</v>
      </c>
      <c r="C19" s="38">
        <v>1</v>
      </c>
      <c r="D19" s="38" t="s">
        <v>0</v>
      </c>
      <c r="E19" s="38" t="s">
        <v>0</v>
      </c>
      <c r="F19" s="39" t="s">
        <v>0</v>
      </c>
    </row>
    <row r="20" spans="1:6">
      <c r="A20" s="85"/>
      <c r="B20" s="40" t="s">
        <v>28</v>
      </c>
      <c r="C20" s="38">
        <v>1</v>
      </c>
      <c r="D20" s="38" t="s">
        <v>0</v>
      </c>
      <c r="E20" s="38" t="s">
        <v>0</v>
      </c>
      <c r="F20" s="39" t="s">
        <v>0</v>
      </c>
    </row>
    <row r="21" spans="1:6" ht="24" customHeight="1">
      <c r="A21" s="86" t="s">
        <v>29</v>
      </c>
      <c r="B21" s="34" t="s">
        <v>15</v>
      </c>
      <c r="C21" s="35">
        <v>1</v>
      </c>
      <c r="D21" s="35" t="s">
        <v>0</v>
      </c>
      <c r="E21" s="35" t="s">
        <v>0</v>
      </c>
      <c r="F21" s="36" t="s">
        <v>0</v>
      </c>
    </row>
    <row r="22" spans="1:6">
      <c r="A22" s="87"/>
      <c r="B22" s="40" t="s">
        <v>30</v>
      </c>
      <c r="C22" s="38">
        <v>1</v>
      </c>
      <c r="D22" s="38" t="s">
        <v>0</v>
      </c>
      <c r="E22" s="38" t="s">
        <v>0</v>
      </c>
      <c r="F22" s="39" t="s">
        <v>0</v>
      </c>
    </row>
    <row r="23" spans="1:6">
      <c r="A23" s="87"/>
      <c r="B23" s="37" t="s">
        <v>16</v>
      </c>
      <c r="C23" s="38" t="s">
        <v>0</v>
      </c>
      <c r="D23" s="38">
        <v>1</v>
      </c>
      <c r="E23" s="38" t="s">
        <v>0</v>
      </c>
      <c r="F23" s="39" t="s">
        <v>83</v>
      </c>
    </row>
    <row r="24" spans="1:6">
      <c r="A24" s="87"/>
      <c r="B24" s="40" t="s">
        <v>17</v>
      </c>
      <c r="C24" s="38" t="s">
        <v>0</v>
      </c>
      <c r="D24" s="38">
        <v>1</v>
      </c>
      <c r="E24" s="38" t="s">
        <v>0</v>
      </c>
      <c r="F24" s="39" t="s">
        <v>84</v>
      </c>
    </row>
    <row r="25" spans="1:6">
      <c r="A25" s="87"/>
      <c r="B25" s="40" t="s">
        <v>18</v>
      </c>
      <c r="C25" s="38" t="s">
        <v>0</v>
      </c>
      <c r="D25" s="38">
        <v>1</v>
      </c>
      <c r="E25" s="38" t="s">
        <v>0</v>
      </c>
      <c r="F25" s="39" t="s">
        <v>85</v>
      </c>
    </row>
    <row r="26" spans="1:6">
      <c r="A26" s="87"/>
      <c r="B26" s="40" t="s">
        <v>26</v>
      </c>
      <c r="C26" s="38" t="s">
        <v>0</v>
      </c>
      <c r="D26" s="38">
        <v>1</v>
      </c>
      <c r="E26" s="38" t="s">
        <v>0</v>
      </c>
      <c r="F26" s="39" t="s">
        <v>86</v>
      </c>
    </row>
    <row r="27" spans="1:6" ht="14.45" customHeight="1">
      <c r="A27" s="87"/>
      <c r="B27" s="40" t="s">
        <v>25</v>
      </c>
      <c r="C27" s="38">
        <v>1</v>
      </c>
      <c r="D27" s="38" t="s">
        <v>0</v>
      </c>
      <c r="E27" s="38" t="s">
        <v>0</v>
      </c>
      <c r="F27" s="39" t="s">
        <v>87</v>
      </c>
    </row>
    <row r="28" spans="1:6">
      <c r="A28" s="87"/>
      <c r="B28" s="40" t="s">
        <v>20</v>
      </c>
      <c r="C28" s="38" t="s">
        <v>0</v>
      </c>
      <c r="D28" s="38">
        <v>1</v>
      </c>
      <c r="E28" s="38" t="s">
        <v>0</v>
      </c>
      <c r="F28" s="39" t="s">
        <v>0</v>
      </c>
    </row>
    <row r="29" spans="1:6">
      <c r="A29" s="87"/>
      <c r="B29" s="40" t="s">
        <v>21</v>
      </c>
      <c r="C29" s="38" t="s">
        <v>0</v>
      </c>
      <c r="D29" s="38">
        <v>1</v>
      </c>
      <c r="E29" s="38" t="s">
        <v>0</v>
      </c>
      <c r="F29" s="39" t="s">
        <v>88</v>
      </c>
    </row>
    <row r="30" spans="1:6">
      <c r="A30" s="87"/>
      <c r="B30" s="40" t="s">
        <v>22</v>
      </c>
      <c r="C30" s="38">
        <v>1</v>
      </c>
      <c r="D30" s="38" t="s">
        <v>0</v>
      </c>
      <c r="E30" s="38" t="s">
        <v>0</v>
      </c>
      <c r="F30" s="39" t="s">
        <v>0</v>
      </c>
    </row>
    <row r="31" spans="1:6" ht="24">
      <c r="A31" s="87"/>
      <c r="B31" s="40" t="s">
        <v>23</v>
      </c>
      <c r="C31" s="38" t="s">
        <v>0</v>
      </c>
      <c r="D31" s="38">
        <v>1</v>
      </c>
      <c r="E31" s="38" t="s">
        <v>0</v>
      </c>
      <c r="F31" s="39" t="s">
        <v>89</v>
      </c>
    </row>
    <row r="32" spans="1:6">
      <c r="A32" s="87"/>
      <c r="B32" s="40" t="s">
        <v>24</v>
      </c>
      <c r="C32" s="38" t="s">
        <v>0</v>
      </c>
      <c r="D32" s="38">
        <v>1</v>
      </c>
      <c r="E32" s="38" t="s">
        <v>0</v>
      </c>
      <c r="F32" s="39" t="s">
        <v>90</v>
      </c>
    </row>
    <row r="33" spans="1:6">
      <c r="A33" s="87"/>
      <c r="B33" s="40" t="s">
        <v>31</v>
      </c>
      <c r="C33" s="38">
        <v>1</v>
      </c>
      <c r="D33" s="38" t="s">
        <v>0</v>
      </c>
      <c r="E33" s="38" t="s">
        <v>0</v>
      </c>
      <c r="F33" s="39" t="s">
        <v>0</v>
      </c>
    </row>
    <row r="34" spans="1:6">
      <c r="A34" s="88"/>
      <c r="B34" s="41" t="s">
        <v>28</v>
      </c>
      <c r="C34" s="42">
        <v>1</v>
      </c>
      <c r="D34" s="42" t="s">
        <v>0</v>
      </c>
      <c r="E34" s="42" t="s">
        <v>0</v>
      </c>
      <c r="F34" s="43" t="s">
        <v>0</v>
      </c>
    </row>
    <row r="35" spans="1:6">
      <c r="A35" s="67" t="s">
        <v>91</v>
      </c>
      <c r="B35" s="68"/>
      <c r="C35" s="68"/>
      <c r="D35" s="68"/>
      <c r="E35" s="68"/>
      <c r="F35" s="69"/>
    </row>
    <row r="36" spans="1:6">
      <c r="A36" s="67"/>
      <c r="B36" s="70"/>
      <c r="C36" s="70"/>
      <c r="D36" s="70"/>
      <c r="E36" s="70"/>
      <c r="F36" s="71"/>
    </row>
    <row r="37" spans="1:6">
      <c r="A37" s="67"/>
      <c r="B37" s="70"/>
      <c r="C37" s="70"/>
      <c r="D37" s="70"/>
      <c r="E37" s="70"/>
      <c r="F37" s="71"/>
    </row>
    <row r="38" spans="1:6">
      <c r="A38" s="67"/>
      <c r="B38" s="70"/>
      <c r="C38" s="70"/>
      <c r="D38" s="70"/>
      <c r="E38" s="70"/>
      <c r="F38" s="71"/>
    </row>
    <row r="39" spans="1:6">
      <c r="A39" s="72"/>
      <c r="B39" s="73"/>
      <c r="C39" s="73"/>
      <c r="D39" s="73"/>
      <c r="E39" s="73"/>
      <c r="F39" s="74"/>
    </row>
    <row r="40" spans="1:6" ht="46.5" customHeight="1">
      <c r="A40" s="75" t="s">
        <v>33</v>
      </c>
      <c r="B40" s="76"/>
      <c r="C40" s="76"/>
      <c r="D40" s="76"/>
      <c r="E40" s="76"/>
      <c r="F40" s="77"/>
    </row>
    <row r="41" spans="1:6" ht="29.25" customHeight="1">
      <c r="A41" s="78" t="s">
        <v>34</v>
      </c>
      <c r="B41" s="79"/>
      <c r="C41" s="208">
        <f>SUM(C7:D34)</f>
        <v>28</v>
      </c>
      <c r="D41" s="209"/>
      <c r="E41" s="44">
        <v>1</v>
      </c>
      <c r="F41" s="50" t="s">
        <v>35</v>
      </c>
    </row>
    <row r="42" spans="1:6" ht="46.9" customHeight="1">
      <c r="A42" s="65" t="s">
        <v>36</v>
      </c>
      <c r="B42" s="66"/>
      <c r="C42" s="210">
        <f>COUNTIF(C7:C34,1)</f>
        <v>15</v>
      </c>
      <c r="D42" s="211"/>
      <c r="E42" s="227">
        <f>C42/$C$41</f>
        <v>0.5357142857142857</v>
      </c>
      <c r="F42" s="45" t="s">
        <v>37</v>
      </c>
    </row>
    <row r="43" spans="1:6">
      <c r="A43" s="63"/>
      <c r="B43" s="64"/>
      <c r="C43" s="213"/>
      <c r="D43" s="214"/>
      <c r="E43" s="228"/>
      <c r="F43" s="46" t="s">
        <v>38</v>
      </c>
    </row>
    <row r="44" spans="1:6">
      <c r="A44" s="61" t="s">
        <v>39</v>
      </c>
      <c r="B44" s="62"/>
      <c r="C44" s="210">
        <f>COUNTIF(D7:D34,1)</f>
        <v>13</v>
      </c>
      <c r="D44" s="211"/>
      <c r="E44" s="227">
        <f>C44/$C$41</f>
        <v>0.4642857142857143</v>
      </c>
      <c r="F44" s="47" t="s">
        <v>0</v>
      </c>
    </row>
    <row r="45" spans="1:6">
      <c r="A45" s="63"/>
      <c r="B45" s="64"/>
      <c r="C45" s="213"/>
      <c r="D45" s="214"/>
      <c r="E45" s="228"/>
      <c r="F45" s="47" t="s">
        <v>0</v>
      </c>
    </row>
    <row r="46" spans="1:6">
      <c r="A46" s="61" t="s">
        <v>40</v>
      </c>
      <c r="B46" s="62"/>
      <c r="C46" s="210" t="s">
        <v>0</v>
      </c>
      <c r="D46" s="215"/>
      <c r="E46" s="216" t="s">
        <v>41</v>
      </c>
      <c r="F46" s="48" t="s">
        <v>0</v>
      </c>
    </row>
    <row r="47" spans="1:6">
      <c r="A47" s="65"/>
      <c r="B47" s="66"/>
      <c r="C47" s="213"/>
      <c r="D47" s="217"/>
      <c r="E47" s="218"/>
      <c r="F47" s="49" t="s">
        <v>0</v>
      </c>
    </row>
    <row r="48" spans="1:6">
      <c r="A48" s="219" t="s">
        <v>42</v>
      </c>
      <c r="B48" s="220"/>
      <c r="C48" s="48" t="s">
        <v>0</v>
      </c>
      <c r="D48" s="221" t="s">
        <v>43</v>
      </c>
      <c r="E48" s="221"/>
      <c r="F48" s="222"/>
    </row>
    <row r="49" spans="1:6">
      <c r="A49" s="223" t="s">
        <v>44</v>
      </c>
      <c r="B49" s="224"/>
      <c r="C49" s="49" t="s">
        <v>0</v>
      </c>
      <c r="D49" s="225" t="s">
        <v>45</v>
      </c>
      <c r="E49" s="225"/>
      <c r="F49" s="226"/>
    </row>
    <row r="50" spans="1:6" ht="32.25" customHeight="1">
      <c r="A50" s="58" t="s">
        <v>46</v>
      </c>
      <c r="B50" s="59"/>
      <c r="C50" s="59"/>
      <c r="D50" s="59"/>
      <c r="E50" s="59"/>
      <c r="F50" s="60"/>
    </row>
    <row r="51" spans="1:6"/>
    <row r="52" spans="1:6"/>
    <row r="53" spans="1:6"/>
    <row r="54" spans="1:6"/>
  </sheetData>
  <mergeCells count="30">
    <mergeCell ref="A21:A34"/>
    <mergeCell ref="A1:B3"/>
    <mergeCell ref="C1:F1"/>
    <mergeCell ref="C2:F2"/>
    <mergeCell ref="C3:D3"/>
    <mergeCell ref="A4:D4"/>
    <mergeCell ref="E4:F4"/>
    <mergeCell ref="A5:B6"/>
    <mergeCell ref="C5:D5"/>
    <mergeCell ref="E5:E6"/>
    <mergeCell ref="F5:F6"/>
    <mergeCell ref="A7:A20"/>
    <mergeCell ref="A35:F39"/>
    <mergeCell ref="A40:F40"/>
    <mergeCell ref="A41:B41"/>
    <mergeCell ref="C41:D41"/>
    <mergeCell ref="A42:B43"/>
    <mergeCell ref="C42:D43"/>
    <mergeCell ref="E42:E43"/>
    <mergeCell ref="A44:B45"/>
    <mergeCell ref="C44:D45"/>
    <mergeCell ref="E44:E45"/>
    <mergeCell ref="A46:B47"/>
    <mergeCell ref="C46:D47"/>
    <mergeCell ref="E46:E47"/>
    <mergeCell ref="A48:B48"/>
    <mergeCell ref="D48:F48"/>
    <mergeCell ref="A49:B49"/>
    <mergeCell ref="D49:F49"/>
    <mergeCell ref="A50:F50"/>
  </mergeCells>
  <pageMargins left="0" right="0" top="0" bottom="0" header="0" footer="0"/>
  <pageSetup scale="8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6F486-EA85-44FB-92BB-B69FB8957F49}">
  <dimension ref="A1:F54"/>
  <sheetViews>
    <sheetView topLeftCell="A31" workbookViewId="0">
      <selection activeCell="A40" sqref="A40:F40"/>
    </sheetView>
  </sheetViews>
  <sheetFormatPr defaultColWidth="11.42578125" defaultRowHeight="15" customHeight="1"/>
  <cols>
    <col min="1" max="1" width="2.7109375" customWidth="1"/>
    <col min="2" max="2" width="19.42578125" customWidth="1"/>
    <col min="3" max="3" width="13.42578125" customWidth="1"/>
    <col min="4" max="4" width="18.140625" customWidth="1"/>
    <col min="5" max="5" width="17" customWidth="1"/>
    <col min="6" max="6" width="21.85546875" customWidth="1"/>
  </cols>
  <sheetData>
    <row r="1" spans="1:6" ht="15" customHeight="1">
      <c r="A1" s="199" t="s">
        <v>0</v>
      </c>
      <c r="B1" s="200"/>
      <c r="C1" s="89" t="s">
        <v>1</v>
      </c>
      <c r="D1" s="89"/>
      <c r="E1" s="89"/>
      <c r="F1" s="90"/>
    </row>
    <row r="2" spans="1:6">
      <c r="A2" s="201"/>
      <c r="B2" s="202"/>
      <c r="C2" s="91" t="s">
        <v>2</v>
      </c>
      <c r="D2" s="92"/>
      <c r="E2" s="92"/>
      <c r="F2" s="93"/>
    </row>
    <row r="3" spans="1:6">
      <c r="A3" s="203"/>
      <c r="B3" s="204"/>
      <c r="C3" s="94" t="s">
        <v>3</v>
      </c>
      <c r="D3" s="95"/>
      <c r="E3" s="52" t="s">
        <v>4</v>
      </c>
      <c r="F3" s="53" t="s">
        <v>5</v>
      </c>
    </row>
    <row r="4" spans="1:6" ht="15" customHeight="1">
      <c r="A4" s="96" t="s">
        <v>51</v>
      </c>
      <c r="B4" s="97"/>
      <c r="C4" s="98"/>
      <c r="D4" s="98"/>
      <c r="E4" s="99" t="s">
        <v>92</v>
      </c>
      <c r="F4" s="100"/>
    </row>
    <row r="5" spans="1:6">
      <c r="A5" s="80" t="s">
        <v>8</v>
      </c>
      <c r="B5" s="81"/>
      <c r="C5" s="205" t="s">
        <v>9</v>
      </c>
      <c r="D5" s="206"/>
      <c r="E5" s="84" t="s">
        <v>10</v>
      </c>
      <c r="F5" s="207" t="s">
        <v>11</v>
      </c>
    </row>
    <row r="6" spans="1:6">
      <c r="A6" s="82"/>
      <c r="B6" s="83"/>
      <c r="C6" s="33" t="s">
        <v>12</v>
      </c>
      <c r="D6" s="33" t="s">
        <v>13</v>
      </c>
      <c r="E6" s="84"/>
      <c r="F6" s="207"/>
    </row>
    <row r="7" spans="1:6" ht="24" customHeight="1">
      <c r="A7" s="85" t="s">
        <v>14</v>
      </c>
      <c r="B7" s="40" t="s">
        <v>15</v>
      </c>
      <c r="C7" s="35">
        <v>1</v>
      </c>
      <c r="D7" s="35"/>
      <c r="E7" s="35" t="s">
        <v>0</v>
      </c>
      <c r="F7" s="36" t="s">
        <v>0</v>
      </c>
    </row>
    <row r="8" spans="1:6" ht="28.5">
      <c r="A8" s="85"/>
      <c r="B8" s="37" t="s">
        <v>16</v>
      </c>
      <c r="C8" s="38" t="s">
        <v>0</v>
      </c>
      <c r="D8" s="38">
        <v>1</v>
      </c>
      <c r="E8" s="38" t="s">
        <v>0</v>
      </c>
      <c r="F8" s="55" t="s">
        <v>58</v>
      </c>
    </row>
    <row r="9" spans="1:6" ht="28.5">
      <c r="A9" s="85"/>
      <c r="B9" s="40" t="s">
        <v>17</v>
      </c>
      <c r="C9" s="38" t="s">
        <v>0</v>
      </c>
      <c r="D9" s="38">
        <v>1</v>
      </c>
      <c r="E9" s="38" t="s">
        <v>0</v>
      </c>
      <c r="F9" s="55" t="s">
        <v>81</v>
      </c>
    </row>
    <row r="10" spans="1:6">
      <c r="A10" s="85"/>
      <c r="B10" s="40" t="s">
        <v>18</v>
      </c>
      <c r="C10" s="38" t="s">
        <v>0</v>
      </c>
      <c r="D10" s="38">
        <v>1</v>
      </c>
      <c r="E10" s="38" t="s">
        <v>0</v>
      </c>
      <c r="F10" s="39" t="s">
        <v>0</v>
      </c>
    </row>
    <row r="11" spans="1:6">
      <c r="A11" s="85"/>
      <c r="B11" s="40" t="s">
        <v>19</v>
      </c>
      <c r="C11" s="38">
        <v>1</v>
      </c>
      <c r="D11" s="38"/>
      <c r="E11" s="38" t="s">
        <v>0</v>
      </c>
      <c r="F11" s="55"/>
    </row>
    <row r="12" spans="1:6">
      <c r="A12" s="85"/>
      <c r="B12" s="40" t="s">
        <v>20</v>
      </c>
      <c r="C12" s="38">
        <v>1</v>
      </c>
      <c r="D12" s="38" t="s">
        <v>0</v>
      </c>
      <c r="E12" s="38" t="s">
        <v>0</v>
      </c>
      <c r="F12" s="39" t="s">
        <v>0</v>
      </c>
    </row>
    <row r="13" spans="1:6">
      <c r="A13" s="85"/>
      <c r="B13" s="40" t="s">
        <v>21</v>
      </c>
      <c r="C13" s="38">
        <v>1</v>
      </c>
      <c r="D13" s="38" t="s">
        <v>0</v>
      </c>
      <c r="E13" s="38" t="s">
        <v>0</v>
      </c>
      <c r="F13" s="39" t="s">
        <v>0</v>
      </c>
    </row>
    <row r="14" spans="1:6">
      <c r="A14" s="85"/>
      <c r="B14" s="40" t="s">
        <v>22</v>
      </c>
      <c r="C14" s="38">
        <v>1</v>
      </c>
      <c r="D14" s="38" t="s">
        <v>0</v>
      </c>
      <c r="E14" s="38" t="s">
        <v>0</v>
      </c>
      <c r="F14" s="39" t="s">
        <v>0</v>
      </c>
    </row>
    <row r="15" spans="1:6" ht="24">
      <c r="A15" s="85"/>
      <c r="B15" s="40" t="s">
        <v>23</v>
      </c>
      <c r="C15" s="38">
        <v>1</v>
      </c>
      <c r="D15" s="38" t="s">
        <v>0</v>
      </c>
      <c r="E15" s="38" t="s">
        <v>0</v>
      </c>
      <c r="F15" s="39" t="s">
        <v>0</v>
      </c>
    </row>
    <row r="16" spans="1:6">
      <c r="A16" s="85"/>
      <c r="B16" s="40" t="s">
        <v>24</v>
      </c>
      <c r="C16" s="38">
        <v>1</v>
      </c>
      <c r="D16" s="38" t="s">
        <v>0</v>
      </c>
      <c r="E16" s="38" t="s">
        <v>0</v>
      </c>
      <c r="F16" s="39" t="s">
        <v>0</v>
      </c>
    </row>
    <row r="17" spans="1:6">
      <c r="A17" s="85"/>
      <c r="B17" s="40" t="s">
        <v>25</v>
      </c>
      <c r="C17" s="38">
        <v>1</v>
      </c>
      <c r="D17" s="38" t="s">
        <v>0</v>
      </c>
      <c r="E17" s="38" t="s">
        <v>0</v>
      </c>
      <c r="F17" s="39" t="s">
        <v>0</v>
      </c>
    </row>
    <row r="18" spans="1:6" ht="43.5">
      <c r="A18" s="85"/>
      <c r="B18" s="40" t="s">
        <v>26</v>
      </c>
      <c r="C18" s="38" t="s">
        <v>0</v>
      </c>
      <c r="D18" s="38">
        <v>1</v>
      </c>
      <c r="E18" s="38" t="s">
        <v>0</v>
      </c>
      <c r="F18" s="55" t="s">
        <v>82</v>
      </c>
    </row>
    <row r="19" spans="1:6">
      <c r="A19" s="85"/>
      <c r="B19" s="40" t="s">
        <v>27</v>
      </c>
      <c r="C19" s="38">
        <v>1</v>
      </c>
      <c r="D19" s="38" t="s">
        <v>0</v>
      </c>
      <c r="E19" s="38" t="s">
        <v>0</v>
      </c>
      <c r="F19" s="39" t="s">
        <v>0</v>
      </c>
    </row>
    <row r="20" spans="1:6">
      <c r="A20" s="85"/>
      <c r="B20" s="40" t="s">
        <v>28</v>
      </c>
      <c r="C20" s="38">
        <v>1</v>
      </c>
      <c r="D20" s="38" t="s">
        <v>0</v>
      </c>
      <c r="E20" s="38" t="s">
        <v>0</v>
      </c>
      <c r="F20" s="39" t="s">
        <v>0</v>
      </c>
    </row>
    <row r="21" spans="1:6" ht="24" customHeight="1">
      <c r="A21" s="86" t="s">
        <v>29</v>
      </c>
      <c r="B21" s="34" t="s">
        <v>15</v>
      </c>
      <c r="C21" s="35">
        <v>1</v>
      </c>
      <c r="D21" s="35" t="s">
        <v>0</v>
      </c>
      <c r="E21" s="35" t="s">
        <v>0</v>
      </c>
      <c r="F21" s="36" t="s">
        <v>0</v>
      </c>
    </row>
    <row r="22" spans="1:6">
      <c r="A22" s="87"/>
      <c r="B22" s="40" t="s">
        <v>30</v>
      </c>
      <c r="C22" s="38">
        <v>1</v>
      </c>
      <c r="D22" s="38" t="s">
        <v>0</v>
      </c>
      <c r="E22" s="38" t="s">
        <v>0</v>
      </c>
      <c r="F22" s="39" t="s">
        <v>0</v>
      </c>
    </row>
    <row r="23" spans="1:6" ht="43.5">
      <c r="A23" s="87"/>
      <c r="B23" s="37" t="s">
        <v>16</v>
      </c>
      <c r="C23" s="38" t="s">
        <v>0</v>
      </c>
      <c r="D23" s="38">
        <v>1</v>
      </c>
      <c r="E23" s="38" t="s">
        <v>0</v>
      </c>
      <c r="F23" s="55" t="s">
        <v>83</v>
      </c>
    </row>
    <row r="24" spans="1:6">
      <c r="A24" s="87"/>
      <c r="B24" s="40" t="s">
        <v>17</v>
      </c>
      <c r="C24" s="38">
        <v>1</v>
      </c>
      <c r="D24" s="38"/>
      <c r="E24" s="38" t="s">
        <v>0</v>
      </c>
      <c r="F24" s="39"/>
    </row>
    <row r="25" spans="1:6">
      <c r="A25" s="87"/>
      <c r="B25" s="40" t="s">
        <v>18</v>
      </c>
      <c r="C25" s="38">
        <v>1</v>
      </c>
      <c r="D25" s="38"/>
      <c r="E25" s="38" t="s">
        <v>0</v>
      </c>
      <c r="F25" s="39"/>
    </row>
    <row r="26" spans="1:6" ht="28.5">
      <c r="A26" s="87"/>
      <c r="B26" s="40" t="s">
        <v>26</v>
      </c>
      <c r="C26" s="38" t="s">
        <v>0</v>
      </c>
      <c r="D26" s="38">
        <v>1</v>
      </c>
      <c r="E26" s="38" t="s">
        <v>0</v>
      </c>
      <c r="F26" s="55" t="s">
        <v>86</v>
      </c>
    </row>
    <row r="27" spans="1:6" ht="14.45" customHeight="1">
      <c r="A27" s="87"/>
      <c r="B27" s="40" t="s">
        <v>25</v>
      </c>
      <c r="C27" s="38">
        <v>1</v>
      </c>
      <c r="D27" s="38" t="s">
        <v>0</v>
      </c>
      <c r="E27" s="38" t="s">
        <v>0</v>
      </c>
      <c r="F27" s="39"/>
    </row>
    <row r="28" spans="1:6">
      <c r="A28" s="87"/>
      <c r="B28" s="40" t="s">
        <v>20</v>
      </c>
      <c r="C28" s="38" t="s">
        <v>0</v>
      </c>
      <c r="D28" s="38">
        <v>1</v>
      </c>
      <c r="E28" s="38" t="s">
        <v>0</v>
      </c>
      <c r="F28" s="39" t="s">
        <v>0</v>
      </c>
    </row>
    <row r="29" spans="1:6" ht="28.5">
      <c r="A29" s="87"/>
      <c r="B29" s="40" t="s">
        <v>21</v>
      </c>
      <c r="C29" s="38" t="s">
        <v>0</v>
      </c>
      <c r="D29" s="38">
        <v>1</v>
      </c>
      <c r="E29" s="38" t="s">
        <v>0</v>
      </c>
      <c r="F29" s="55" t="s">
        <v>93</v>
      </c>
    </row>
    <row r="30" spans="1:6">
      <c r="A30" s="87"/>
      <c r="B30" s="40" t="s">
        <v>22</v>
      </c>
      <c r="C30" s="38">
        <v>1</v>
      </c>
      <c r="D30" s="38" t="s">
        <v>0</v>
      </c>
      <c r="E30" s="38" t="s">
        <v>0</v>
      </c>
      <c r="F30" s="39" t="s">
        <v>0</v>
      </c>
    </row>
    <row r="31" spans="1:6" ht="28.5">
      <c r="A31" s="87"/>
      <c r="B31" s="40" t="s">
        <v>23</v>
      </c>
      <c r="C31" s="38" t="s">
        <v>0</v>
      </c>
      <c r="D31" s="38">
        <v>1</v>
      </c>
      <c r="E31" s="38" t="s">
        <v>0</v>
      </c>
      <c r="F31" s="55" t="s">
        <v>89</v>
      </c>
    </row>
    <row r="32" spans="1:6">
      <c r="A32" s="87"/>
      <c r="B32" s="40" t="s">
        <v>24</v>
      </c>
      <c r="C32" s="38" t="s">
        <v>0</v>
      </c>
      <c r="D32" s="38">
        <v>1</v>
      </c>
      <c r="E32" s="38" t="s">
        <v>0</v>
      </c>
      <c r="F32" s="39"/>
    </row>
    <row r="33" spans="1:6">
      <c r="A33" s="87"/>
      <c r="B33" s="40" t="s">
        <v>31</v>
      </c>
      <c r="C33" s="38">
        <v>1</v>
      </c>
      <c r="D33" s="38" t="s">
        <v>0</v>
      </c>
      <c r="E33" s="38" t="s">
        <v>0</v>
      </c>
      <c r="F33" s="39" t="s">
        <v>0</v>
      </c>
    </row>
    <row r="34" spans="1:6">
      <c r="A34" s="88"/>
      <c r="B34" s="41" t="s">
        <v>28</v>
      </c>
      <c r="C34" s="42">
        <v>1</v>
      </c>
      <c r="D34" s="42" t="s">
        <v>0</v>
      </c>
      <c r="E34" s="42" t="s">
        <v>0</v>
      </c>
      <c r="F34" s="43" t="s">
        <v>0</v>
      </c>
    </row>
    <row r="35" spans="1:6">
      <c r="A35" s="67" t="s">
        <v>94</v>
      </c>
      <c r="B35" s="68"/>
      <c r="C35" s="68"/>
      <c r="D35" s="68"/>
      <c r="E35" s="68"/>
      <c r="F35" s="69"/>
    </row>
    <row r="36" spans="1:6">
      <c r="A36" s="67"/>
      <c r="B36" s="70"/>
      <c r="C36" s="70"/>
      <c r="D36" s="70"/>
      <c r="E36" s="70"/>
      <c r="F36" s="71"/>
    </row>
    <row r="37" spans="1:6">
      <c r="A37" s="67"/>
      <c r="B37" s="70"/>
      <c r="C37" s="70"/>
      <c r="D37" s="70"/>
      <c r="E37" s="70"/>
      <c r="F37" s="71"/>
    </row>
    <row r="38" spans="1:6">
      <c r="A38" s="67"/>
      <c r="B38" s="70"/>
      <c r="C38" s="70"/>
      <c r="D38" s="70"/>
      <c r="E38" s="70"/>
      <c r="F38" s="71"/>
    </row>
    <row r="39" spans="1:6">
      <c r="A39" s="72"/>
      <c r="B39" s="73"/>
      <c r="C39" s="73"/>
      <c r="D39" s="73"/>
      <c r="E39" s="73"/>
      <c r="F39" s="74"/>
    </row>
    <row r="40" spans="1:6" ht="46.5" customHeight="1">
      <c r="A40" s="75" t="s">
        <v>33</v>
      </c>
      <c r="B40" s="76"/>
      <c r="C40" s="76"/>
      <c r="D40" s="76"/>
      <c r="E40" s="76"/>
      <c r="F40" s="77"/>
    </row>
    <row r="41" spans="1:6" ht="29.25" customHeight="1">
      <c r="A41" s="78" t="s">
        <v>34</v>
      </c>
      <c r="B41" s="79"/>
      <c r="C41" s="208">
        <f>SUM(C7:D34)</f>
        <v>28</v>
      </c>
      <c r="D41" s="209"/>
      <c r="E41" s="44">
        <v>1</v>
      </c>
      <c r="F41" s="50" t="s">
        <v>35</v>
      </c>
    </row>
    <row r="42" spans="1:6" ht="46.9" customHeight="1">
      <c r="A42" s="65" t="s">
        <v>36</v>
      </c>
      <c r="B42" s="66"/>
      <c r="C42" s="210">
        <f>COUNTIF(C7:C34,1)</f>
        <v>18</v>
      </c>
      <c r="D42" s="211"/>
      <c r="E42" s="227">
        <f>C42/$C$41</f>
        <v>0.6428571428571429</v>
      </c>
      <c r="F42" s="45" t="s">
        <v>37</v>
      </c>
    </row>
    <row r="43" spans="1:6">
      <c r="A43" s="63"/>
      <c r="B43" s="64"/>
      <c r="C43" s="213"/>
      <c r="D43" s="214"/>
      <c r="E43" s="228"/>
      <c r="F43" s="46" t="s">
        <v>38</v>
      </c>
    </row>
    <row r="44" spans="1:6">
      <c r="A44" s="61" t="s">
        <v>39</v>
      </c>
      <c r="B44" s="62"/>
      <c r="C44" s="210">
        <f>COUNTIF(D7:D34,1)</f>
        <v>10</v>
      </c>
      <c r="D44" s="211"/>
      <c r="E44" s="227">
        <f>C44/$C$41</f>
        <v>0.35714285714285715</v>
      </c>
      <c r="F44" s="47" t="s">
        <v>0</v>
      </c>
    </row>
    <row r="45" spans="1:6">
      <c r="A45" s="63"/>
      <c r="B45" s="64"/>
      <c r="C45" s="213"/>
      <c r="D45" s="214"/>
      <c r="E45" s="228"/>
      <c r="F45" s="47" t="s">
        <v>0</v>
      </c>
    </row>
    <row r="46" spans="1:6">
      <c r="A46" s="61" t="s">
        <v>40</v>
      </c>
      <c r="B46" s="62"/>
      <c r="C46" s="210" t="s">
        <v>0</v>
      </c>
      <c r="D46" s="215"/>
      <c r="E46" s="216" t="s">
        <v>41</v>
      </c>
      <c r="F46" s="48" t="s">
        <v>0</v>
      </c>
    </row>
    <row r="47" spans="1:6">
      <c r="A47" s="65"/>
      <c r="B47" s="66"/>
      <c r="C47" s="213"/>
      <c r="D47" s="217"/>
      <c r="E47" s="218"/>
      <c r="F47" s="49" t="s">
        <v>0</v>
      </c>
    </row>
    <row r="48" spans="1:6">
      <c r="A48" s="219" t="s">
        <v>42</v>
      </c>
      <c r="B48" s="220"/>
      <c r="C48" s="48" t="s">
        <v>0</v>
      </c>
      <c r="D48" s="221" t="s">
        <v>43</v>
      </c>
      <c r="E48" s="221"/>
      <c r="F48" s="222"/>
    </row>
    <row r="49" spans="1:6">
      <c r="A49" s="223" t="s">
        <v>44</v>
      </c>
      <c r="B49" s="224"/>
      <c r="C49" s="49" t="s">
        <v>0</v>
      </c>
      <c r="D49" s="225" t="s">
        <v>45</v>
      </c>
      <c r="E49" s="225"/>
      <c r="F49" s="226"/>
    </row>
    <row r="50" spans="1:6" ht="32.25" customHeight="1">
      <c r="A50" s="58" t="s">
        <v>46</v>
      </c>
      <c r="B50" s="59"/>
      <c r="C50" s="59"/>
      <c r="D50" s="59"/>
      <c r="E50" s="59"/>
      <c r="F50" s="60"/>
    </row>
    <row r="51" spans="1:6"/>
    <row r="52" spans="1:6"/>
    <row r="53" spans="1:6"/>
    <row r="54" spans="1:6"/>
  </sheetData>
  <mergeCells count="30">
    <mergeCell ref="A48:B48"/>
    <mergeCell ref="D48:F48"/>
    <mergeCell ref="A49:B49"/>
    <mergeCell ref="D49:F49"/>
    <mergeCell ref="A50:F50"/>
    <mergeCell ref="A44:B45"/>
    <mergeCell ref="C44:D45"/>
    <mergeCell ref="E44:E45"/>
    <mergeCell ref="A46:B47"/>
    <mergeCell ref="C46:D47"/>
    <mergeCell ref="E46:E47"/>
    <mergeCell ref="A35:F39"/>
    <mergeCell ref="A40:F40"/>
    <mergeCell ref="A41:B41"/>
    <mergeCell ref="C41:D41"/>
    <mergeCell ref="A42:B43"/>
    <mergeCell ref="C42:D43"/>
    <mergeCell ref="E42:E43"/>
    <mergeCell ref="A5:B6"/>
    <mergeCell ref="C5:D5"/>
    <mergeCell ref="E5:E6"/>
    <mergeCell ref="F5:F6"/>
    <mergeCell ref="A7:A20"/>
    <mergeCell ref="A21:A34"/>
    <mergeCell ref="A1:B3"/>
    <mergeCell ref="C1:F1"/>
    <mergeCell ref="C2:F2"/>
    <mergeCell ref="C3:D3"/>
    <mergeCell ref="A4:D4"/>
    <mergeCell ref="E4:F4"/>
  </mergeCells>
  <pageMargins left="0" right="0" top="0" bottom="0" header="0" footer="0"/>
  <pageSetup scale="8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CONTABILIDAD 1</dc:creator>
  <cp:keywords/>
  <dc:description/>
  <cp:lastModifiedBy>Claudia Marcela Caballero Escorcia</cp:lastModifiedBy>
  <cp:revision/>
  <dcterms:created xsi:type="dcterms:W3CDTF">2015-01-27T17:16:23Z</dcterms:created>
  <dcterms:modified xsi:type="dcterms:W3CDTF">2026-08-26T01:15:09Z</dcterms:modified>
  <cp:category/>
  <cp:contentStatus/>
</cp:coreProperties>
</file>