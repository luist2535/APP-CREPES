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hillary.gutierrez\Documents\PDV\ASEOS ESPECIALES\FORMATOS PLANTA DPR\FORMATOS L&amp;D PLANTA\"/>
    </mc:Choice>
  </mc:AlternateContent>
  <xr:revisionPtr revIDLastSave="650" documentId="13_ncr:1_{850BA56A-FBA6-48F3-B4CC-132CB4978E00}" xr6:coauthVersionLast="47" xr6:coauthVersionMax="47" xr10:uidLastSave="{0120A1FA-3CA4-44CC-AE3B-D0834404A21B}"/>
  <bookViews>
    <workbookView xWindow="-120" yWindow="-120" windowWidth="20730" windowHeight="11160" firstSheet="5" activeTab="6" xr2:uid="{00000000-000D-0000-FFFF-FFFF00000000}"/>
  </bookViews>
  <sheets>
    <sheet name="V2" sheetId="1" r:id="rId1"/>
    <sheet name="Enero" sheetId="2" r:id="rId2"/>
    <sheet name="Febrero" sheetId="3" r:id="rId3"/>
    <sheet name="Mrzo" sheetId="4" r:id="rId4"/>
    <sheet name="Abril" sheetId="5" r:id="rId5"/>
    <sheet name="Mayo" sheetId="6" r:id="rId6"/>
    <sheet name="Junio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2" i="7" l="1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I42" i="3"/>
  <c r="T42" i="3"/>
  <c r="S42" i="3"/>
  <c r="R42" i="3"/>
  <c r="Q42" i="3"/>
  <c r="P42" i="3"/>
  <c r="O42" i="3"/>
  <c r="N42" i="3"/>
  <c r="M42" i="3"/>
  <c r="L42" i="3"/>
  <c r="K42" i="3"/>
  <c r="J42" i="3"/>
  <c r="H42" i="3"/>
  <c r="G42" i="3"/>
  <c r="F42" i="3"/>
  <c r="E42" i="3"/>
  <c r="D42" i="3"/>
  <c r="C42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H43" i="1"/>
  <c r="K43" i="1"/>
  <c r="N43" i="1"/>
  <c r="Q43" i="1"/>
  <c r="T43" i="1"/>
  <c r="E42" i="1"/>
  <c r="D42" i="1"/>
  <c r="C42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C56" i="1" s="1"/>
  <c r="D17" i="1"/>
  <c r="C17" i="1"/>
  <c r="C52" i="7" l="1"/>
  <c r="E18" i="7"/>
  <c r="C18" i="7"/>
  <c r="D18" i="7"/>
  <c r="H18" i="7"/>
  <c r="F18" i="7"/>
  <c r="G18" i="7"/>
  <c r="K18" i="7"/>
  <c r="I18" i="7"/>
  <c r="J18" i="7"/>
  <c r="N18" i="7"/>
  <c r="L18" i="7"/>
  <c r="M18" i="7"/>
  <c r="Q18" i="7"/>
  <c r="O18" i="7"/>
  <c r="P18" i="7"/>
  <c r="T18" i="7"/>
  <c r="R18" i="7"/>
  <c r="S18" i="7"/>
  <c r="C51" i="7" a="1"/>
  <c r="C51" i="7" s="1"/>
  <c r="E43" i="7"/>
  <c r="C43" i="7"/>
  <c r="D43" i="7"/>
  <c r="H43" i="7"/>
  <c r="F43" i="7"/>
  <c r="G43" i="7"/>
  <c r="K43" i="7"/>
  <c r="I43" i="7"/>
  <c r="J43" i="7"/>
  <c r="N43" i="7"/>
  <c r="L43" i="7"/>
  <c r="M43" i="7"/>
  <c r="Q43" i="7"/>
  <c r="O43" i="7"/>
  <c r="P43" i="7"/>
  <c r="T43" i="7"/>
  <c r="R43" i="7"/>
  <c r="C54" i="7"/>
  <c r="G54" i="7" s="1"/>
  <c r="S43" i="7"/>
  <c r="C56" i="7"/>
  <c r="G56" i="7" s="1"/>
  <c r="C52" i="6"/>
  <c r="E18" i="6"/>
  <c r="C18" i="6"/>
  <c r="D18" i="6"/>
  <c r="H18" i="6"/>
  <c r="F18" i="6"/>
  <c r="G18" i="6"/>
  <c r="K18" i="6"/>
  <c r="I18" i="6"/>
  <c r="J18" i="6"/>
  <c r="N18" i="6"/>
  <c r="L18" i="6"/>
  <c r="M18" i="6"/>
  <c r="Q18" i="6"/>
  <c r="O18" i="6"/>
  <c r="P18" i="6"/>
  <c r="T18" i="6"/>
  <c r="R18" i="6"/>
  <c r="S18" i="6"/>
  <c r="C51" i="6" a="1"/>
  <c r="C51" i="6" s="1"/>
  <c r="E43" i="6"/>
  <c r="C43" i="6"/>
  <c r="D43" i="6"/>
  <c r="H43" i="6"/>
  <c r="F43" i="6"/>
  <c r="G43" i="6"/>
  <c r="K43" i="6"/>
  <c r="I43" i="6"/>
  <c r="J43" i="6"/>
  <c r="N43" i="6"/>
  <c r="L43" i="6"/>
  <c r="M43" i="6"/>
  <c r="Q43" i="6"/>
  <c r="O43" i="6"/>
  <c r="P43" i="6"/>
  <c r="T43" i="6"/>
  <c r="R43" i="6"/>
  <c r="C54" i="6"/>
  <c r="G54" i="6" s="1"/>
  <c r="S43" i="6"/>
  <c r="C56" i="6"/>
  <c r="G56" i="6" s="1"/>
  <c r="C52" i="5"/>
  <c r="E18" i="5"/>
  <c r="C18" i="5"/>
  <c r="D18" i="5"/>
  <c r="H18" i="5"/>
  <c r="F18" i="5"/>
  <c r="G18" i="5"/>
  <c r="K18" i="5"/>
  <c r="I18" i="5"/>
  <c r="J18" i="5"/>
  <c r="N18" i="5"/>
  <c r="L18" i="5"/>
  <c r="M18" i="5"/>
  <c r="Q18" i="5"/>
  <c r="O18" i="5"/>
  <c r="P18" i="5"/>
  <c r="T18" i="5"/>
  <c r="R18" i="5"/>
  <c r="S18" i="5"/>
  <c r="C51" i="5" a="1"/>
  <c r="C51" i="5" s="1"/>
  <c r="E43" i="5"/>
  <c r="C43" i="5"/>
  <c r="D43" i="5"/>
  <c r="H43" i="5"/>
  <c r="F43" i="5"/>
  <c r="G43" i="5"/>
  <c r="K43" i="5"/>
  <c r="I43" i="5"/>
  <c r="J43" i="5"/>
  <c r="N43" i="5"/>
  <c r="L43" i="5"/>
  <c r="M43" i="5"/>
  <c r="Q43" i="5"/>
  <c r="O43" i="5"/>
  <c r="P43" i="5"/>
  <c r="T43" i="5"/>
  <c r="R43" i="5"/>
  <c r="C54" i="5"/>
  <c r="G54" i="5" s="1"/>
  <c r="S43" i="5"/>
  <c r="C56" i="5"/>
  <c r="G56" i="5" s="1"/>
  <c r="C52" i="4"/>
  <c r="E18" i="4"/>
  <c r="C18" i="4"/>
  <c r="D18" i="4"/>
  <c r="H18" i="4"/>
  <c r="F18" i="4"/>
  <c r="G18" i="4"/>
  <c r="K18" i="4"/>
  <c r="I18" i="4"/>
  <c r="J18" i="4"/>
  <c r="N18" i="4"/>
  <c r="L18" i="4"/>
  <c r="M18" i="4"/>
  <c r="Q18" i="4"/>
  <c r="O18" i="4"/>
  <c r="P18" i="4"/>
  <c r="T18" i="4"/>
  <c r="R18" i="4"/>
  <c r="S18" i="4"/>
  <c r="C51" i="4" a="1"/>
  <c r="C51" i="4" s="1"/>
  <c r="E43" i="4"/>
  <c r="C43" i="4"/>
  <c r="D43" i="4"/>
  <c r="H43" i="4"/>
  <c r="F43" i="4"/>
  <c r="G43" i="4"/>
  <c r="K43" i="4"/>
  <c r="I43" i="4"/>
  <c r="J43" i="4"/>
  <c r="N43" i="4"/>
  <c r="L43" i="4"/>
  <c r="M43" i="4"/>
  <c r="Q43" i="4"/>
  <c r="O43" i="4"/>
  <c r="P43" i="4"/>
  <c r="T43" i="4"/>
  <c r="R43" i="4"/>
  <c r="C54" i="4"/>
  <c r="G54" i="4" s="1"/>
  <c r="S43" i="4"/>
  <c r="C56" i="4"/>
  <c r="G56" i="4" s="1"/>
  <c r="E43" i="1"/>
  <c r="C43" i="1" s="1"/>
  <c r="D43" i="1"/>
  <c r="C52" i="1"/>
  <c r="E18" i="1"/>
  <c r="C18" i="1" s="1"/>
  <c r="C54" i="1"/>
  <c r="D18" i="1"/>
  <c r="C51" i="1" a="1"/>
  <c r="C51" i="1" s="1"/>
  <c r="G56" i="1" s="1"/>
  <c r="T18" i="1"/>
  <c r="Q18" i="1"/>
  <c r="N18" i="1"/>
  <c r="K18" i="1"/>
  <c r="H18" i="1"/>
  <c r="C52" i="3"/>
  <c r="E18" i="3"/>
  <c r="C18" i="3"/>
  <c r="D18" i="3"/>
  <c r="H18" i="3"/>
  <c r="F18" i="3"/>
  <c r="G18" i="3"/>
  <c r="K18" i="3"/>
  <c r="I18" i="3"/>
  <c r="J18" i="3"/>
  <c r="N18" i="3"/>
  <c r="L18" i="3"/>
  <c r="M18" i="3"/>
  <c r="Q18" i="3"/>
  <c r="O18" i="3"/>
  <c r="P18" i="3"/>
  <c r="T18" i="3"/>
  <c r="R18" i="3"/>
  <c r="S18" i="3"/>
  <c r="C51" i="3" a="1"/>
  <c r="C51" i="3" s="1"/>
  <c r="E43" i="3"/>
  <c r="C43" i="3"/>
  <c r="D43" i="3"/>
  <c r="H43" i="3"/>
  <c r="F43" i="3"/>
  <c r="G43" i="3"/>
  <c r="K43" i="3"/>
  <c r="I43" i="3"/>
  <c r="J43" i="3"/>
  <c r="N43" i="3"/>
  <c r="L43" i="3"/>
  <c r="M43" i="3"/>
  <c r="Q43" i="3"/>
  <c r="O43" i="3"/>
  <c r="P43" i="3"/>
  <c r="T43" i="3"/>
  <c r="R43" i="3"/>
  <c r="C54" i="3"/>
  <c r="G54" i="3" s="1"/>
  <c r="S43" i="3"/>
  <c r="C56" i="3"/>
  <c r="G56" i="3" s="1"/>
  <c r="C52" i="2"/>
  <c r="E18" i="2"/>
  <c r="C18" i="2"/>
  <c r="D18" i="2"/>
  <c r="H18" i="2"/>
  <c r="F18" i="2"/>
  <c r="G18" i="2"/>
  <c r="K18" i="2"/>
  <c r="I18" i="2"/>
  <c r="J18" i="2"/>
  <c r="N18" i="2"/>
  <c r="L18" i="2"/>
  <c r="M18" i="2"/>
  <c r="Q18" i="2"/>
  <c r="O18" i="2"/>
  <c r="P18" i="2"/>
  <c r="T18" i="2"/>
  <c r="R18" i="2"/>
  <c r="S18" i="2"/>
  <c r="C51" i="2" a="1"/>
  <c r="C51" i="2" s="1"/>
  <c r="E43" i="2"/>
  <c r="C43" i="2"/>
  <c r="D43" i="2"/>
  <c r="H43" i="2"/>
  <c r="F43" i="2"/>
  <c r="G43" i="2"/>
  <c r="K43" i="2"/>
  <c r="I43" i="2"/>
  <c r="J43" i="2"/>
  <c r="N43" i="2"/>
  <c r="L43" i="2"/>
  <c r="M43" i="2"/>
  <c r="Q43" i="2"/>
  <c r="O43" i="2"/>
  <c r="P43" i="2"/>
  <c r="T43" i="2"/>
  <c r="R43" i="2"/>
  <c r="C54" i="2"/>
  <c r="G54" i="2" s="1"/>
  <c r="S43" i="2"/>
  <c r="C56" i="2"/>
  <c r="G56" i="2" s="1"/>
  <c r="R43" i="1"/>
  <c r="S43" i="1"/>
  <c r="O43" i="1"/>
  <c r="P43" i="1"/>
  <c r="L43" i="1"/>
  <c r="M43" i="1"/>
  <c r="I43" i="1"/>
  <c r="J43" i="1"/>
  <c r="F43" i="1"/>
  <c r="G43" i="1"/>
  <c r="R18" i="1"/>
  <c r="S18" i="1"/>
  <c r="O18" i="1"/>
  <c r="P18" i="1"/>
  <c r="L18" i="1"/>
  <c r="M18" i="1"/>
  <c r="I18" i="1"/>
  <c r="J18" i="1"/>
  <c r="F18" i="1"/>
  <c r="G18" i="1"/>
  <c r="G52" i="7" l="1"/>
  <c r="G52" i="6"/>
  <c r="G52" i="5"/>
  <c r="G52" i="4"/>
  <c r="G54" i="1"/>
  <c r="G52" i="1"/>
  <c r="G52" i="3"/>
  <c r="G5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<sst xmlns="http://schemas.openxmlformats.org/spreadsheetml/2006/main" count="845" uniqueCount="89">
  <si>
    <t xml:space="preserve">AREA DIRECCION DE CALIDAD </t>
  </si>
  <si>
    <t xml:space="preserve">Verificacion Limpieza y Desinfección de Despacho y Transporte </t>
  </si>
  <si>
    <r>
      <rPr>
        <b/>
        <sz val="12"/>
        <color rgb="FF000000"/>
        <rFont val="Calibri"/>
        <scheme val="minor"/>
      </rPr>
      <t>Código:</t>
    </r>
    <r>
      <rPr>
        <sz val="12"/>
        <color rgb="FF000000"/>
        <rFont val="Calibri"/>
        <scheme val="minor"/>
      </rPr>
      <t xml:space="preserve"> DCM-F-CPP-23</t>
    </r>
  </si>
  <si>
    <r>
      <rPr>
        <b/>
        <sz val="12"/>
        <color rgb="FF000000"/>
        <rFont val="Calibri"/>
        <scheme val="minor"/>
      </rPr>
      <t xml:space="preserve">Fecha : </t>
    </r>
    <r>
      <rPr>
        <sz val="12"/>
        <color rgb="FF000000"/>
        <rFont val="Calibri"/>
        <scheme val="minor"/>
      </rPr>
      <t>02-Feb-26</t>
    </r>
  </si>
  <si>
    <r>
      <rPr>
        <b/>
        <sz val="12"/>
        <color rgb="FF000000"/>
        <rFont val="Calibri"/>
        <scheme val="minor"/>
      </rPr>
      <t>Versión:</t>
    </r>
    <r>
      <rPr>
        <sz val="12"/>
        <color rgb="FF000000"/>
        <rFont val="Calibri"/>
        <scheme val="minor"/>
      </rPr>
      <t xml:space="preserve"> 02</t>
    </r>
  </si>
  <si>
    <r>
      <rPr>
        <b/>
        <sz val="11"/>
        <color rgb="FF000000"/>
        <rFont val="Calibri"/>
        <scheme val="minor"/>
      </rPr>
      <t xml:space="preserve">Verificación realizda por: </t>
    </r>
    <r>
      <rPr>
        <b/>
        <u val="double"/>
        <sz val="11"/>
        <color rgb="FF000000"/>
        <rFont val="Calibri"/>
        <scheme val="minor"/>
      </rPr>
      <t>Hillary Gutierrez</t>
    </r>
  </si>
  <si>
    <r>
      <rPr>
        <b/>
        <sz val="11"/>
        <color rgb="FF000000"/>
        <rFont val="Calibri"/>
        <scheme val="minor"/>
      </rPr>
      <t>FECHA:</t>
    </r>
    <r>
      <rPr>
        <b/>
        <u val="double"/>
        <sz val="11"/>
        <color rgb="FF000000"/>
        <rFont val="Calibri"/>
        <scheme val="minor"/>
      </rPr>
      <t xml:space="preserve"> _28/Enero__</t>
    </r>
  </si>
  <si>
    <t>ASPECTOS</t>
  </si>
  <si>
    <t xml:space="preserve">CUARTO PRODUCTO TERMINADO </t>
  </si>
  <si>
    <t>CARNES</t>
  </si>
  <si>
    <t>POLLO</t>
  </si>
  <si>
    <t xml:space="preserve">LACTEOS </t>
  </si>
  <si>
    <t xml:space="preserve">CUARTO DE FRUVER </t>
  </si>
  <si>
    <t xml:space="preserve">TRANSITO </t>
  </si>
  <si>
    <t>SATISFACTORIO</t>
  </si>
  <si>
    <t>NA</t>
  </si>
  <si>
    <t>SI</t>
  </si>
  <si>
    <t>NO</t>
  </si>
  <si>
    <t>CUARTOS FRÍOS</t>
  </si>
  <si>
    <t>Puertas de acceso</t>
  </si>
  <si>
    <t>Paredes / polipanel</t>
  </si>
  <si>
    <t>Lamparas</t>
  </si>
  <si>
    <t>Techos (partes altas)</t>
  </si>
  <si>
    <t>Estibas plásticas</t>
  </si>
  <si>
    <t>Pisos</t>
  </si>
  <si>
    <t>Evaporadores</t>
  </si>
  <si>
    <t>Cortinas plásticas</t>
  </si>
  <si>
    <t xml:space="preserve">Canastas en orden </t>
  </si>
  <si>
    <t>TOTAL</t>
  </si>
  <si>
    <t>% POR AREA</t>
  </si>
  <si>
    <t xml:space="preserve">HELADOS </t>
  </si>
  <si>
    <t>PULPAS</t>
  </si>
  <si>
    <t>MARISCOS</t>
  </si>
  <si>
    <t>CITRICOS</t>
  </si>
  <si>
    <t xml:space="preserve">DESPACHOS </t>
  </si>
  <si>
    <t xml:space="preserve">CANASTAS </t>
  </si>
  <si>
    <t>Paredes / Paredes polipanel</t>
  </si>
  <si>
    <t xml:space="preserve">Ventanas </t>
  </si>
  <si>
    <t>Canecas</t>
  </si>
  <si>
    <t>Atomizador</t>
  </si>
  <si>
    <t>Gel</t>
  </si>
  <si>
    <t xml:space="preserve">Evaporadores </t>
  </si>
  <si>
    <t xml:space="preserve">Cortinas plasticas </t>
  </si>
  <si>
    <t>Cortina de aire</t>
  </si>
  <si>
    <t xml:space="preserve">punto de Higiene </t>
  </si>
  <si>
    <t>Sifón</t>
  </si>
  <si>
    <t>Ventilador</t>
  </si>
  <si>
    <t xml:space="preserve">Tapa Enchufes/ interruptores </t>
  </si>
  <si>
    <t xml:space="preserve">Hidrolavadora </t>
  </si>
  <si>
    <t xml:space="preserve">COMENTARIOS: </t>
  </si>
  <si>
    <t>NOVEDADES BPM Y CONTAMINACIÓN CRUZADA: Personal de heladería ingresando a cuarto de Producto terminado</t>
  </si>
  <si>
    <t>NOVEDADES MANTENIMIENTO:</t>
  </si>
  <si>
    <t>PARA DILIGENCIAMIENTO DE LA DIRECCIÓN DE CALIDAD</t>
  </si>
  <si>
    <t xml:space="preserve">TOTAL ASPECTOS CALIFICADOS: </t>
  </si>
  <si>
    <r>
      <rPr>
        <b/>
        <sz val="7"/>
        <color rgb="FF000000"/>
        <rFont val="Arial"/>
      </rPr>
      <t>CALIFICACIÓN=</t>
    </r>
    <r>
      <rPr>
        <sz val="8"/>
        <color rgb="FF000000"/>
        <rFont val="Arial"/>
      </rPr>
      <t xml:space="preserve">   74%</t>
    </r>
  </si>
  <si>
    <t xml:space="preserve">RECOMENDACIONES: </t>
  </si>
  <si>
    <t xml:space="preserve">SATISFACTORIO: </t>
  </si>
  <si>
    <t>Satisfactorio x 100</t>
  </si>
  <si>
    <t>(Total - No aplica)</t>
  </si>
  <si>
    <t xml:space="preserve">NO SATISFATORIO:   </t>
  </si>
  <si>
    <t xml:space="preserve">NO APLICA:   </t>
  </si>
  <si>
    <t>Responsable Diligenciamiento: Hillary Gutierrez</t>
  </si>
  <si>
    <t>Verificado por:</t>
  </si>
  <si>
    <t>Cargo: Auxiliar de calidad</t>
  </si>
  <si>
    <t>Dirección de Calidad</t>
  </si>
  <si>
    <r>
      <rPr>
        <b/>
        <sz val="12"/>
        <color rgb="FF000000"/>
        <rFont val="Calibri"/>
        <scheme val="minor"/>
      </rPr>
      <t xml:space="preserve">CÓDIGO: </t>
    </r>
    <r>
      <rPr>
        <sz val="12"/>
        <color rgb="FF000000"/>
        <rFont val="Calibri"/>
        <scheme val="minor"/>
      </rPr>
      <t>DCM-F-CPP-23</t>
    </r>
    <r>
      <rPr>
        <b/>
        <sz val="12"/>
        <color rgb="FF000000"/>
        <rFont val="Calibri"/>
        <scheme val="minor"/>
      </rPr>
      <t xml:space="preserve"> / PREPARADO POR: </t>
    </r>
    <r>
      <rPr>
        <sz val="12"/>
        <color rgb="FF000000"/>
        <rFont val="Calibri"/>
        <scheme val="minor"/>
      </rPr>
      <t>Auxiliar de calidad</t>
    </r>
    <r>
      <rPr>
        <b/>
        <sz val="12"/>
        <color rgb="FF000000"/>
        <rFont val="Calibri"/>
        <scheme val="minor"/>
      </rPr>
      <t xml:space="preserve"> / REVISADO POR: </t>
    </r>
    <r>
      <rPr>
        <sz val="12"/>
        <color rgb="FF000000"/>
        <rFont val="Calibri"/>
        <scheme val="minor"/>
      </rPr>
      <t xml:space="preserve">Coordinación de calidad </t>
    </r>
    <r>
      <rPr>
        <b/>
        <sz val="12"/>
        <color rgb="FF000000"/>
        <rFont val="Calibri"/>
        <scheme val="minor"/>
      </rPr>
      <t xml:space="preserve">/ APROBADO POR: </t>
    </r>
    <r>
      <rPr>
        <sz val="12"/>
        <color rgb="FF000000"/>
        <rFont val="Calibri"/>
        <scheme val="minor"/>
      </rPr>
      <t>Dirección de Calidad y Medio Ambiente</t>
    </r>
    <r>
      <rPr>
        <b/>
        <sz val="12"/>
        <color rgb="FF000000"/>
        <rFont val="Calibri"/>
        <scheme val="minor"/>
      </rPr>
      <t xml:space="preserve"> / FECHA: </t>
    </r>
    <r>
      <rPr>
        <sz val="12"/>
        <color rgb="FF000000"/>
        <rFont val="Calibri"/>
        <scheme val="minor"/>
      </rPr>
      <t>02-Feb-26</t>
    </r>
    <r>
      <rPr>
        <b/>
        <sz val="12"/>
        <color rgb="FF000000"/>
        <rFont val="Calibri"/>
        <scheme val="minor"/>
      </rPr>
      <t xml:space="preserve"> / VERSIÓN: </t>
    </r>
    <r>
      <rPr>
        <sz val="12"/>
        <color rgb="FF000000"/>
        <rFont val="Calibri"/>
        <scheme val="minor"/>
      </rPr>
      <t xml:space="preserve">02
</t>
    </r>
    <r>
      <rPr>
        <b/>
        <sz val="12"/>
        <color rgb="FF000000"/>
        <rFont val="Calibri"/>
        <scheme val="minor"/>
      </rPr>
      <t>DOCUMENTO CONTROLADO</t>
    </r>
  </si>
  <si>
    <r>
      <rPr>
        <b/>
        <sz val="12"/>
        <color theme="1"/>
        <rFont val="Calibri"/>
        <family val="2"/>
        <scheme val="minor"/>
      </rPr>
      <t>Código:</t>
    </r>
    <r>
      <rPr>
        <sz val="12"/>
        <color theme="1"/>
        <rFont val="Calibri"/>
        <family val="2"/>
        <scheme val="minor"/>
      </rPr>
      <t xml:space="preserve"> DCM-F-DPR-23</t>
    </r>
  </si>
  <si>
    <r>
      <rPr>
        <b/>
        <sz val="12"/>
        <color theme="1"/>
        <rFont val="Calibri"/>
        <family val="2"/>
        <scheme val="minor"/>
      </rPr>
      <t xml:space="preserve">Fecha : </t>
    </r>
    <r>
      <rPr>
        <sz val="12"/>
        <color theme="1"/>
        <rFont val="Calibri"/>
        <family val="2"/>
        <scheme val="minor"/>
      </rPr>
      <t>28-Abr-25</t>
    </r>
  </si>
  <si>
    <r>
      <rPr>
        <b/>
        <sz val="12"/>
        <color theme="1"/>
        <rFont val="Calibri"/>
        <family val="2"/>
        <scheme val="minor"/>
      </rPr>
      <t>Versión:</t>
    </r>
    <r>
      <rPr>
        <sz val="12"/>
        <color theme="1"/>
        <rFont val="Calibri"/>
        <family val="2"/>
        <scheme val="minor"/>
      </rPr>
      <t xml:space="preserve"> 01</t>
    </r>
  </si>
  <si>
    <t xml:space="preserve">NOVEDADES BPM Y CONTAMINACIÓN CRUZADA: </t>
  </si>
  <si>
    <r>
      <rPr>
        <b/>
        <sz val="7"/>
        <color rgb="FF000000"/>
        <rFont val="Arial"/>
      </rPr>
      <t>CALIFICACIÓN=</t>
    </r>
    <r>
      <rPr>
        <sz val="8"/>
        <color rgb="FF000000"/>
        <rFont val="Arial"/>
      </rPr>
      <t xml:space="preserve">   </t>
    </r>
  </si>
  <si>
    <t xml:space="preserve">Responsable Diligenciamiento: </t>
  </si>
  <si>
    <t>Auditores</t>
  </si>
  <si>
    <r>
      <t xml:space="preserve">CÓDIGO: </t>
    </r>
    <r>
      <rPr>
        <sz val="12"/>
        <color theme="1"/>
        <rFont val="Calibri"/>
        <family val="2"/>
        <scheme val="minor"/>
      </rPr>
      <t>DCM-F-DPR-23</t>
    </r>
    <r>
      <rPr>
        <b/>
        <sz val="12"/>
        <color theme="1"/>
        <rFont val="Calibri"/>
        <family val="2"/>
        <scheme val="minor"/>
      </rPr>
      <t xml:space="preserve"> / PREPARADO POR: </t>
    </r>
    <r>
      <rPr>
        <sz val="12"/>
        <color theme="1"/>
        <rFont val="Calibri"/>
        <family val="2"/>
        <scheme val="minor"/>
      </rPr>
      <t>Auxiliar de calidad</t>
    </r>
    <r>
      <rPr>
        <b/>
        <sz val="12"/>
        <color theme="1"/>
        <rFont val="Calibri"/>
        <family val="2"/>
        <scheme val="minor"/>
      </rPr>
      <t xml:space="preserve"> / REVISADO POR: </t>
    </r>
    <r>
      <rPr>
        <sz val="12"/>
        <color theme="1"/>
        <rFont val="Calibri"/>
        <family val="2"/>
        <scheme val="minor"/>
      </rPr>
      <t xml:space="preserve">Coordinador de calidad </t>
    </r>
    <r>
      <rPr>
        <b/>
        <sz val="12"/>
        <color theme="1"/>
        <rFont val="Calibri"/>
        <family val="2"/>
        <scheme val="minor"/>
      </rPr>
      <t xml:space="preserve">/ APROBADO POR: </t>
    </r>
    <r>
      <rPr>
        <sz val="12"/>
        <color theme="1"/>
        <rFont val="Calibri"/>
        <family val="2"/>
        <scheme val="minor"/>
      </rPr>
      <t>Directora de Calidad y Medio Ambiente</t>
    </r>
    <r>
      <rPr>
        <b/>
        <sz val="12"/>
        <color theme="1"/>
        <rFont val="Calibri"/>
        <family val="2"/>
        <scheme val="minor"/>
      </rPr>
      <t xml:space="preserve"> / FECHA: </t>
    </r>
    <r>
      <rPr>
        <sz val="12"/>
        <color theme="1"/>
        <rFont val="Calibri"/>
        <family val="2"/>
        <scheme val="minor"/>
      </rPr>
      <t>28-Abr-25</t>
    </r>
    <r>
      <rPr>
        <b/>
        <sz val="12"/>
        <color theme="1"/>
        <rFont val="Calibri"/>
        <family val="2"/>
        <scheme val="minor"/>
      </rPr>
      <t xml:space="preserve"> / VERSIÓN: </t>
    </r>
    <r>
      <rPr>
        <sz val="12"/>
        <color theme="1"/>
        <rFont val="Calibri"/>
        <family val="2"/>
        <scheme val="minor"/>
      </rPr>
      <t>01</t>
    </r>
    <r>
      <rPr>
        <b/>
        <sz val="12"/>
        <color theme="1"/>
        <rFont val="Calibri"/>
        <family val="2"/>
        <scheme val="minor"/>
      </rPr>
      <t xml:space="preserve">
DOCUMENTO CONTROLADO</t>
    </r>
  </si>
  <si>
    <r>
      <rPr>
        <b/>
        <sz val="11"/>
        <color rgb="FF000000"/>
        <rFont val="Calibri"/>
        <scheme val="minor"/>
      </rPr>
      <t>FECHA:</t>
    </r>
    <r>
      <rPr>
        <b/>
        <u val="double"/>
        <sz val="11"/>
        <color rgb="FF000000"/>
        <rFont val="Calibri"/>
        <scheme val="minor"/>
      </rPr>
      <t xml:space="preserve"> _28/Febrero__</t>
    </r>
  </si>
  <si>
    <t>Detrás de evaporadores en partes altas se evidencia crecimiento de moho.</t>
  </si>
  <si>
    <r>
      <rPr>
        <b/>
        <sz val="12"/>
        <color rgb="FF000000"/>
        <rFont val="Calibri"/>
        <scheme val="minor"/>
      </rPr>
      <t xml:space="preserve">CÓDIGO: </t>
    </r>
    <r>
      <rPr>
        <sz val="12"/>
        <color rgb="FF000000"/>
        <rFont val="Calibri"/>
        <scheme val="minor"/>
      </rPr>
      <t>DCM-F-CPP-23</t>
    </r>
    <r>
      <rPr>
        <b/>
        <sz val="12"/>
        <color rgb="FF000000"/>
        <rFont val="Calibri"/>
        <scheme val="minor"/>
      </rPr>
      <t xml:space="preserve"> / PREPARADO POR: </t>
    </r>
    <r>
      <rPr>
        <sz val="12"/>
        <color rgb="FF000000"/>
        <rFont val="Calibri"/>
        <scheme val="minor"/>
      </rPr>
      <t>Auxiliar de calidad</t>
    </r>
    <r>
      <rPr>
        <b/>
        <sz val="12"/>
        <color rgb="FF000000"/>
        <rFont val="Calibri"/>
        <scheme val="minor"/>
      </rPr>
      <t xml:space="preserve"> / REVISADO POR: </t>
    </r>
    <r>
      <rPr>
        <sz val="12"/>
        <color rgb="FF000000"/>
        <rFont val="Calibri"/>
        <scheme val="minor"/>
      </rPr>
      <t xml:space="preserve">Coordinador de calidad </t>
    </r>
    <r>
      <rPr>
        <b/>
        <sz val="12"/>
        <color rgb="FF000000"/>
        <rFont val="Calibri"/>
        <scheme val="minor"/>
      </rPr>
      <t xml:space="preserve">/ APROBADO POR: </t>
    </r>
    <r>
      <rPr>
        <sz val="12"/>
        <color rgb="FF000000"/>
        <rFont val="Calibri"/>
        <scheme val="minor"/>
      </rPr>
      <t>Directora de Calidad y Medio Ambiente</t>
    </r>
    <r>
      <rPr>
        <b/>
        <sz val="12"/>
        <color rgb="FF000000"/>
        <rFont val="Calibri"/>
        <scheme val="minor"/>
      </rPr>
      <t xml:space="preserve"> / FECHA: </t>
    </r>
    <r>
      <rPr>
        <sz val="12"/>
        <color rgb="FF000000"/>
        <rFont val="Calibri"/>
        <scheme val="minor"/>
      </rPr>
      <t>02-Feb-26</t>
    </r>
    <r>
      <rPr>
        <b/>
        <sz val="12"/>
        <color rgb="FF000000"/>
        <rFont val="Calibri"/>
        <scheme val="minor"/>
      </rPr>
      <t xml:space="preserve"> / VERSIÓN: </t>
    </r>
    <r>
      <rPr>
        <sz val="12"/>
        <color rgb="FF000000"/>
        <rFont val="Calibri"/>
        <scheme val="minor"/>
      </rPr>
      <t xml:space="preserve">02
</t>
    </r>
    <r>
      <rPr>
        <b/>
        <sz val="12"/>
        <color rgb="FF000000"/>
        <rFont val="Calibri"/>
        <scheme val="minor"/>
      </rPr>
      <t>DOCUMENTO CONTROLADO</t>
    </r>
  </si>
  <si>
    <r>
      <rPr>
        <b/>
        <sz val="11"/>
        <color rgb="FF000000"/>
        <rFont val="Calibri"/>
        <scheme val="minor"/>
      </rPr>
      <t>FECHA:</t>
    </r>
    <r>
      <rPr>
        <b/>
        <u val="double"/>
        <sz val="11"/>
        <color rgb="FF000000"/>
        <rFont val="Calibri"/>
        <scheme val="minor"/>
      </rPr>
      <t xml:space="preserve"> _01/04__</t>
    </r>
  </si>
  <si>
    <t>NOVEDADES MANTENIMIENTO: Intervenir evaporadores de despacho.</t>
  </si>
  <si>
    <r>
      <rPr>
        <b/>
        <sz val="11"/>
        <color rgb="FF000000"/>
        <rFont val="Calibri"/>
        <scheme val="minor"/>
      </rPr>
      <t>FECHA:</t>
    </r>
    <r>
      <rPr>
        <b/>
        <u val="double"/>
        <sz val="11"/>
        <color rgb="FF000000"/>
        <rFont val="Calibri"/>
        <scheme val="minor"/>
      </rPr>
      <t xml:space="preserve"> _22/Abril__</t>
    </r>
  </si>
  <si>
    <t>Las cortinas se evidencian rayadas de lapicero.</t>
  </si>
  <si>
    <t>NOVEDADES BPM Y CONTAMINACIÓN CRUZADA: Cuarto de helados presenta pisos con demasiados residuos, canastas sucias.</t>
  </si>
  <si>
    <t>En cuarto de mariscos se evidencia canastas de pulpas.</t>
  </si>
  <si>
    <t>NOVEDADES MANTENIMIENTO: Reforzar limpieza de partes altas.</t>
  </si>
  <si>
    <t>NOVEDADES BPM Y CONTAMINACIÓN CRUZADA: Cortinas plásticas arrastran al piso y se están poniendo negras, además están bastante rayadas</t>
  </si>
  <si>
    <t>NOVEDADES MANTENIMIENTO: reforzar juntas en paredes de polipropanel en citricos, limpieza de evaporadores, baldosa caída en pared de tránsito.</t>
  </si>
  <si>
    <t>NOVEDADES BPM Y CONTAMINACIÓN CRUZADA: Cortinas plásticas arrastran al piso y se están poniendo negras, además están bastante rayadas.</t>
  </si>
  <si>
    <t>el piso de producto terminado empoza agua.</t>
  </si>
  <si>
    <t>En área de almacenamiento de helados se evidencia retención de humedad en techos.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</si>
</sst>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7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u/>
      <sz val="7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18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u val="double"/>
      <sz val="11"/>
      <color rgb="FF000000"/>
      <name val="Calibri"/>
      <scheme val="minor"/>
    </font>
    <font>
      <b/>
      <sz val="7"/>
      <color rgb="FF000000"/>
      <name val="Arial"/>
    </font>
    <font>
      <sz val="8"/>
      <color rgb="FF000000"/>
      <name val="Arial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9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8"/>
      </bottom>
      <diagonal/>
    </border>
    <border>
      <left style="medium">
        <color indexed="64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224">
    <xf numFmtId="0" fontId="0" fillId="0" borderId="0" xfId="0"/>
    <xf numFmtId="0" fontId="7" fillId="2" borderId="16" xfId="1" applyFont="1" applyFill="1" applyBorder="1" applyAlignment="1">
      <alignment horizontal="center" vertical="center"/>
    </xf>
    <xf numFmtId="0" fontId="7" fillId="2" borderId="17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left" vertical="center" wrapText="1"/>
    </xf>
    <xf numFmtId="0" fontId="7" fillId="2" borderId="13" xfId="1" applyFont="1" applyFill="1" applyBorder="1" applyAlignment="1">
      <alignment horizontal="center" vertical="center"/>
    </xf>
    <xf numFmtId="0" fontId="7" fillId="2" borderId="20" xfId="1" applyFont="1" applyFill="1" applyBorder="1" applyAlignment="1">
      <alignment horizontal="center" vertical="center"/>
    </xf>
    <xf numFmtId="0" fontId="8" fillId="2" borderId="21" xfId="1" applyFont="1" applyFill="1" applyBorder="1" applyAlignment="1">
      <alignment horizontal="center" vertical="center" wrapText="1"/>
    </xf>
    <xf numFmtId="0" fontId="9" fillId="2" borderId="23" xfId="1" applyFont="1" applyFill="1" applyBorder="1" applyAlignment="1">
      <alignment horizontal="left" vertical="center" wrapText="1"/>
    </xf>
    <xf numFmtId="0" fontId="8" fillId="2" borderId="26" xfId="1" applyFont="1" applyFill="1" applyBorder="1" applyAlignment="1">
      <alignment horizontal="center" vertical="center" wrapText="1"/>
    </xf>
    <xf numFmtId="0" fontId="8" fillId="2" borderId="24" xfId="1" applyFont="1" applyFill="1" applyBorder="1" applyAlignment="1">
      <alignment horizontal="center"/>
    </xf>
    <xf numFmtId="0" fontId="8" fillId="2" borderId="25" xfId="1" applyFont="1" applyFill="1" applyBorder="1" applyAlignment="1">
      <alignment horizontal="center"/>
    </xf>
    <xf numFmtId="0" fontId="6" fillId="2" borderId="28" xfId="1" applyFont="1" applyFill="1" applyBorder="1"/>
    <xf numFmtId="0" fontId="4" fillId="2" borderId="7" xfId="1" applyFont="1" applyFill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0" fontId="4" fillId="2" borderId="29" xfId="1" applyFont="1" applyFill="1" applyBorder="1" applyAlignment="1">
      <alignment vertical="center"/>
    </xf>
    <xf numFmtId="0" fontId="10" fillId="2" borderId="30" xfId="0" applyFont="1" applyFill="1" applyBorder="1"/>
    <xf numFmtId="0" fontId="4" fillId="2" borderId="15" xfId="1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 textRotation="90" wrapText="1"/>
    </xf>
    <xf numFmtId="0" fontId="10" fillId="2" borderId="0" xfId="0" applyFont="1" applyFill="1"/>
    <xf numFmtId="0" fontId="4" fillId="2" borderId="0" xfId="1" applyFont="1" applyFill="1" applyAlignment="1">
      <alignment vertical="center"/>
    </xf>
    <xf numFmtId="0" fontId="7" fillId="2" borderId="35" xfId="1" applyFont="1" applyFill="1" applyBorder="1" applyAlignment="1">
      <alignment horizontal="center" vertical="center"/>
    </xf>
    <xf numFmtId="0" fontId="4" fillId="2" borderId="34" xfId="1" applyFont="1" applyFill="1" applyBorder="1" applyAlignment="1">
      <alignment horizontal="center" vertical="center"/>
    </xf>
    <xf numFmtId="0" fontId="11" fillId="2" borderId="38" xfId="1" applyFont="1" applyFill="1" applyBorder="1"/>
    <xf numFmtId="0" fontId="11" fillId="2" borderId="39" xfId="1" applyFont="1" applyFill="1" applyBorder="1"/>
    <xf numFmtId="0" fontId="11" fillId="2" borderId="40" xfId="1" applyFont="1" applyFill="1" applyBorder="1"/>
    <xf numFmtId="0" fontId="8" fillId="2" borderId="37" xfId="1" applyFont="1" applyFill="1" applyBorder="1"/>
    <xf numFmtId="0" fontId="11" fillId="2" borderId="37" xfId="1" applyFont="1" applyFill="1" applyBorder="1"/>
    <xf numFmtId="0" fontId="13" fillId="2" borderId="52" xfId="1" applyFont="1" applyFill="1" applyBorder="1"/>
    <xf numFmtId="0" fontId="12" fillId="2" borderId="0" xfId="1" applyFont="1" applyFill="1"/>
    <xf numFmtId="0" fontId="8" fillId="2" borderId="0" xfId="1" applyFont="1" applyFill="1"/>
    <xf numFmtId="0" fontId="12" fillId="2" borderId="52" xfId="1" applyFont="1" applyFill="1" applyBorder="1" applyAlignment="1">
      <alignment vertical="top"/>
    </xf>
    <xf numFmtId="0" fontId="8" fillId="2" borderId="52" xfId="1" applyFont="1" applyFill="1" applyBorder="1"/>
    <xf numFmtId="0" fontId="8" fillId="2" borderId="62" xfId="1" applyFont="1" applyFill="1" applyBorder="1"/>
    <xf numFmtId="0" fontId="8" fillId="2" borderId="31" xfId="1" applyFont="1" applyFill="1" applyBorder="1"/>
    <xf numFmtId="0" fontId="11" fillId="2" borderId="0" xfId="1" applyFont="1" applyFill="1" applyAlignment="1">
      <alignment horizontal="left"/>
    </xf>
    <xf numFmtId="0" fontId="11" fillId="2" borderId="0" xfId="1" applyFont="1" applyFill="1"/>
    <xf numFmtId="0" fontId="11" fillId="2" borderId="8" xfId="1" applyFont="1" applyFill="1" applyBorder="1"/>
    <xf numFmtId="0" fontId="1" fillId="0" borderId="0" xfId="0" applyFont="1"/>
    <xf numFmtId="0" fontId="15" fillId="2" borderId="31" xfId="1" applyFont="1" applyFill="1" applyBorder="1" applyAlignment="1">
      <alignment horizontal="left"/>
    </xf>
    <xf numFmtId="0" fontId="11" fillId="2" borderId="31" xfId="1" applyFont="1" applyFill="1" applyBorder="1"/>
    <xf numFmtId="0" fontId="11" fillId="2" borderId="14" xfId="1" applyFont="1" applyFill="1" applyBorder="1"/>
    <xf numFmtId="0" fontId="1" fillId="0" borderId="31" xfId="0" applyFont="1" applyBorder="1"/>
    <xf numFmtId="0" fontId="0" fillId="2" borderId="0" xfId="0" applyFill="1"/>
    <xf numFmtId="0" fontId="4" fillId="2" borderId="32" xfId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2" xfId="0" applyBorder="1"/>
    <xf numFmtId="0" fontId="0" fillId="0" borderId="9" xfId="0" applyBorder="1"/>
    <xf numFmtId="0" fontId="0" fillId="0" borderId="31" xfId="0" applyBorder="1"/>
    <xf numFmtId="0" fontId="0" fillId="0" borderId="15" xfId="0" applyBorder="1"/>
    <xf numFmtId="0" fontId="8" fillId="2" borderId="27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 wrapText="1"/>
    </xf>
    <xf numFmtId="0" fontId="7" fillId="2" borderId="36" xfId="1" applyFont="1" applyFill="1" applyBorder="1" applyAlignment="1">
      <alignment horizontal="center" vertical="center" wrapText="1"/>
    </xf>
    <xf numFmtId="0" fontId="7" fillId="2" borderId="25" xfId="1" applyFont="1" applyFill="1" applyBorder="1" applyAlignment="1">
      <alignment horizontal="center" vertical="center" wrapText="1"/>
    </xf>
    <xf numFmtId="0" fontId="8" fillId="2" borderId="25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 wrapText="1"/>
    </xf>
    <xf numFmtId="0" fontId="7" fillId="2" borderId="66" xfId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0" fontId="7" fillId="2" borderId="26" xfId="1" applyFont="1" applyFill="1" applyBorder="1" applyAlignment="1">
      <alignment horizontal="center" vertical="center" wrapText="1"/>
    </xf>
    <xf numFmtId="0" fontId="7" fillId="2" borderId="64" xfId="1" applyFont="1" applyFill="1" applyBorder="1" applyAlignment="1">
      <alignment horizontal="center" vertical="center" wrapText="1"/>
    </xf>
    <xf numFmtId="0" fontId="7" fillId="2" borderId="27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36" xfId="1" applyFont="1" applyFill="1" applyBorder="1" applyAlignment="1">
      <alignment horizontal="center" vertical="center"/>
    </xf>
    <xf numFmtId="0" fontId="7" fillId="2" borderId="25" xfId="1" applyFont="1" applyFill="1" applyBorder="1" applyAlignment="1">
      <alignment horizontal="center" vertical="center"/>
    </xf>
    <xf numFmtId="0" fontId="7" fillId="2" borderId="68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2" borderId="70" xfId="1" applyFont="1" applyFill="1" applyBorder="1" applyAlignment="1">
      <alignment horizontal="center" vertical="center"/>
    </xf>
    <xf numFmtId="0" fontId="7" fillId="2" borderId="71" xfId="1" applyFont="1" applyFill="1" applyBorder="1" applyAlignment="1">
      <alignment horizontal="center" vertical="center"/>
    </xf>
    <xf numFmtId="0" fontId="9" fillId="0" borderId="23" xfId="1" applyFont="1" applyBorder="1" applyAlignment="1">
      <alignment horizontal="left" vertical="center" wrapText="1"/>
    </xf>
    <xf numFmtId="0" fontId="7" fillId="3" borderId="27" xfId="1" applyFont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 wrapText="1"/>
    </xf>
    <xf numFmtId="0" fontId="7" fillId="3" borderId="26" xfId="1" applyFont="1" applyFill="1" applyBorder="1" applyAlignment="1">
      <alignment horizontal="center" vertical="center" wrapText="1"/>
    </xf>
    <xf numFmtId="0" fontId="7" fillId="3" borderId="10" xfId="1" applyFont="1" applyFill="1" applyBorder="1" applyAlignment="1">
      <alignment horizontal="center" vertical="center" wrapText="1"/>
    </xf>
    <xf numFmtId="0" fontId="7" fillId="3" borderId="64" xfId="1" applyFont="1" applyFill="1" applyBorder="1" applyAlignment="1">
      <alignment horizontal="center" vertical="center" wrapText="1"/>
    </xf>
    <xf numFmtId="0" fontId="7" fillId="3" borderId="36" xfId="1" applyFont="1" applyFill="1" applyBorder="1" applyAlignment="1">
      <alignment horizontal="center" vertical="center"/>
    </xf>
    <xf numFmtId="0" fontId="7" fillId="3" borderId="25" xfId="1" applyFont="1" applyFill="1" applyBorder="1" applyAlignment="1">
      <alignment horizontal="center" vertical="center"/>
    </xf>
    <xf numFmtId="0" fontId="7" fillId="3" borderId="68" xfId="1" applyFont="1" applyFill="1" applyBorder="1" applyAlignment="1">
      <alignment horizontal="center" vertical="center"/>
    </xf>
    <xf numFmtId="0" fontId="7" fillId="3" borderId="69" xfId="1" applyFont="1" applyFill="1" applyBorder="1" applyAlignment="1">
      <alignment horizontal="center" vertical="center"/>
    </xf>
    <xf numFmtId="0" fontId="7" fillId="3" borderId="70" xfId="1" applyFont="1" applyFill="1" applyBorder="1" applyAlignment="1">
      <alignment horizontal="center" vertical="center"/>
    </xf>
    <xf numFmtId="0" fontId="7" fillId="3" borderId="71" xfId="1" applyFont="1" applyFill="1" applyBorder="1" applyAlignment="1">
      <alignment horizontal="center" vertical="center"/>
    </xf>
    <xf numFmtId="0" fontId="4" fillId="2" borderId="73" xfId="1" applyFont="1" applyFill="1" applyBorder="1" applyAlignment="1">
      <alignment vertical="center"/>
    </xf>
    <xf numFmtId="9" fontId="4" fillId="2" borderId="5" xfId="1" applyNumberFormat="1" applyFont="1" applyFill="1" applyBorder="1" applyAlignment="1">
      <alignment horizontal="center" vertical="center"/>
    </xf>
    <xf numFmtId="9" fontId="4" fillId="2" borderId="6" xfId="1" applyNumberFormat="1" applyFont="1" applyFill="1" applyBorder="1" applyAlignment="1">
      <alignment vertical="center"/>
    </xf>
    <xf numFmtId="9" fontId="4" fillId="2" borderId="31" xfId="1" applyNumberFormat="1" applyFont="1" applyFill="1" applyBorder="1" applyAlignment="1">
      <alignment vertical="center"/>
    </xf>
    <xf numFmtId="9" fontId="4" fillId="2" borderId="14" xfId="1" applyNumberFormat="1" applyFont="1" applyFill="1" applyBorder="1" applyAlignment="1">
      <alignment vertical="center"/>
    </xf>
    <xf numFmtId="0" fontId="20" fillId="2" borderId="46" xfId="1" applyFont="1" applyFill="1" applyBorder="1" applyAlignment="1">
      <alignment horizontal="left"/>
    </xf>
    <xf numFmtId="0" fontId="8" fillId="2" borderId="74" xfId="1" applyFont="1" applyFill="1" applyBorder="1" applyAlignment="1">
      <alignment horizontal="center" vertical="center" wrapText="1"/>
    </xf>
    <xf numFmtId="0" fontId="9" fillId="2" borderId="12" xfId="1" applyFont="1" applyFill="1" applyBorder="1" applyAlignment="1">
      <alignment horizontal="left" vertical="center" wrapText="1"/>
    </xf>
    <xf numFmtId="0" fontId="7" fillId="2" borderId="75" xfId="1" applyFont="1" applyFill="1" applyBorder="1" applyAlignment="1">
      <alignment horizontal="left" vertical="center" wrapText="1"/>
    </xf>
    <xf numFmtId="0" fontId="9" fillId="2" borderId="75" xfId="1" applyFont="1" applyFill="1" applyBorder="1" applyAlignment="1">
      <alignment horizontal="left" vertical="center" wrapText="1"/>
    </xf>
    <xf numFmtId="0" fontId="4" fillId="2" borderId="76" xfId="1" applyFont="1" applyFill="1" applyBorder="1" applyAlignment="1">
      <alignment horizontal="center" vertical="center"/>
    </xf>
    <xf numFmtId="0" fontId="7" fillId="2" borderId="77" xfId="1" applyFont="1" applyFill="1" applyBorder="1" applyAlignment="1">
      <alignment horizontal="center" vertical="center"/>
    </xf>
    <xf numFmtId="0" fontId="7" fillId="2" borderId="78" xfId="1" applyFont="1" applyFill="1" applyBorder="1" applyAlignment="1">
      <alignment horizontal="center" vertical="center"/>
    </xf>
    <xf numFmtId="0" fontId="8" fillId="2" borderId="79" xfId="1" applyFont="1" applyFill="1" applyBorder="1" applyAlignment="1">
      <alignment horizontal="center" vertical="center" wrapText="1"/>
    </xf>
    <xf numFmtId="0" fontId="7" fillId="2" borderId="80" xfId="1" applyFont="1" applyFill="1" applyBorder="1" applyAlignment="1">
      <alignment horizontal="center" vertical="center"/>
    </xf>
    <xf numFmtId="0" fontId="8" fillId="2" borderId="81" xfId="1" applyFont="1" applyFill="1" applyBorder="1" applyAlignment="1">
      <alignment horizontal="center" vertical="center" wrapText="1"/>
    </xf>
    <xf numFmtId="0" fontId="7" fillId="2" borderId="82" xfId="1" applyFont="1" applyFill="1" applyBorder="1" applyAlignment="1">
      <alignment horizontal="center" vertical="center"/>
    </xf>
    <xf numFmtId="0" fontId="8" fillId="2" borderId="83" xfId="1" applyFont="1" applyFill="1" applyBorder="1" applyAlignment="1">
      <alignment horizontal="center"/>
    </xf>
    <xf numFmtId="0" fontId="8" fillId="2" borderId="84" xfId="1" applyFont="1" applyFill="1" applyBorder="1" applyAlignment="1">
      <alignment horizontal="center" vertical="center" wrapText="1"/>
    </xf>
    <xf numFmtId="0" fontId="8" fillId="2" borderId="24" xfId="1" applyFont="1" applyFill="1" applyBorder="1" applyAlignment="1">
      <alignment horizontal="center" vertical="center" wrapText="1"/>
    </xf>
    <xf numFmtId="0" fontId="7" fillId="2" borderId="85" xfId="1" applyFont="1" applyFill="1" applyBorder="1" applyAlignment="1">
      <alignment horizontal="center" vertical="center"/>
    </xf>
    <xf numFmtId="0" fontId="8" fillId="2" borderId="86" xfId="1" applyFont="1" applyFill="1" applyBorder="1" applyAlignment="1">
      <alignment horizontal="center" vertical="center" wrapText="1"/>
    </xf>
    <xf numFmtId="0" fontId="8" fillId="2" borderId="87" xfId="1" applyFont="1" applyFill="1" applyBorder="1" applyAlignment="1">
      <alignment horizontal="center" vertical="center" wrapText="1"/>
    </xf>
    <xf numFmtId="0" fontId="8" fillId="2" borderId="88" xfId="1" applyFont="1" applyFill="1" applyBorder="1" applyAlignment="1">
      <alignment horizontal="center"/>
    </xf>
    <xf numFmtId="0" fontId="8" fillId="2" borderId="89" xfId="1" applyFont="1" applyFill="1" applyBorder="1" applyAlignment="1">
      <alignment horizontal="center" vertical="center" wrapText="1"/>
    </xf>
    <xf numFmtId="0" fontId="15" fillId="2" borderId="14" xfId="1" applyFont="1" applyFill="1" applyBorder="1" applyAlignment="1">
      <alignment horizontal="left"/>
    </xf>
    <xf numFmtId="0" fontId="15" fillId="2" borderId="31" xfId="1" applyFont="1" applyFill="1" applyBorder="1" applyAlignment="1">
      <alignment horizontal="left"/>
    </xf>
    <xf numFmtId="0" fontId="2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3" xfId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7" fillId="2" borderId="47" xfId="1" applyFont="1" applyFill="1" applyBorder="1" applyAlignment="1">
      <alignment horizontal="center" vertical="center" wrapText="1"/>
    </xf>
    <xf numFmtId="0" fontId="7" fillId="2" borderId="48" xfId="1" applyFont="1" applyFill="1" applyBorder="1" applyAlignment="1">
      <alignment horizontal="center" vertical="center" wrapText="1"/>
    </xf>
    <xf numFmtId="0" fontId="7" fillId="2" borderId="49" xfId="1" applyFont="1" applyFill="1" applyBorder="1" applyAlignment="1">
      <alignment horizontal="center" vertical="center" wrapText="1"/>
    </xf>
    <xf numFmtId="0" fontId="7" fillId="2" borderId="53" xfId="1" applyFont="1" applyFill="1" applyBorder="1" applyAlignment="1">
      <alignment horizontal="center" vertical="center" wrapText="1"/>
    </xf>
    <xf numFmtId="0" fontId="7" fillId="2" borderId="54" xfId="1" applyFont="1" applyFill="1" applyBorder="1" applyAlignment="1">
      <alignment horizontal="center" vertical="center" wrapText="1"/>
    </xf>
    <xf numFmtId="0" fontId="7" fillId="2" borderId="55" xfId="1" applyFont="1" applyFill="1" applyBorder="1" applyAlignment="1">
      <alignment horizontal="center" vertical="center" wrapText="1"/>
    </xf>
    <xf numFmtId="9" fontId="8" fillId="2" borderId="50" xfId="1" applyNumberFormat="1" applyFont="1" applyFill="1" applyBorder="1" applyAlignment="1">
      <alignment horizontal="center"/>
    </xf>
    <xf numFmtId="9" fontId="8" fillId="2" borderId="51" xfId="1" applyNumberFormat="1" applyFont="1" applyFill="1" applyBorder="1" applyAlignment="1">
      <alignment horizontal="center"/>
    </xf>
    <xf numFmtId="9" fontId="8" fillId="2" borderId="56" xfId="1" applyNumberFormat="1" applyFont="1" applyFill="1" applyBorder="1" applyAlignment="1">
      <alignment horizontal="center"/>
    </xf>
    <xf numFmtId="9" fontId="8" fillId="2" borderId="57" xfId="1" applyNumberFormat="1" applyFont="1" applyFill="1" applyBorder="1" applyAlignment="1">
      <alignment horizontal="center"/>
    </xf>
    <xf numFmtId="0" fontId="7" fillId="2" borderId="36" xfId="1" applyFont="1" applyFill="1" applyBorder="1" applyAlignment="1">
      <alignment horizontal="center" vertical="center" wrapText="1"/>
    </xf>
    <xf numFmtId="0" fontId="7" fillId="2" borderId="25" xfId="1" applyFont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0" fontId="7" fillId="2" borderId="58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7" fillId="2" borderId="59" xfId="1" applyFont="1" applyFill="1" applyBorder="1" applyAlignment="1">
      <alignment horizontal="center" vertical="center" wrapText="1"/>
    </xf>
    <xf numFmtId="9" fontId="14" fillId="2" borderId="50" xfId="1" applyNumberFormat="1" applyFont="1" applyFill="1" applyBorder="1" applyAlignment="1">
      <alignment horizontal="center" vertical="center"/>
    </xf>
    <xf numFmtId="9" fontId="14" fillId="2" borderId="51" xfId="1" applyNumberFormat="1" applyFont="1" applyFill="1" applyBorder="1" applyAlignment="1">
      <alignment horizontal="center" vertical="center"/>
    </xf>
    <xf numFmtId="9" fontId="14" fillId="2" borderId="60" xfId="1" applyNumberFormat="1" applyFont="1" applyFill="1" applyBorder="1" applyAlignment="1">
      <alignment horizontal="center" vertical="center"/>
    </xf>
    <xf numFmtId="9" fontId="14" fillId="2" borderId="61" xfId="1" applyNumberFormat="1" applyFont="1" applyFill="1" applyBorder="1" applyAlignment="1">
      <alignment horizontal="center" vertical="center"/>
    </xf>
    <xf numFmtId="0" fontId="7" fillId="2" borderId="35" xfId="1" applyFont="1" applyFill="1" applyBorder="1" applyAlignment="1">
      <alignment horizontal="left" vertical="center" shrinkToFit="1"/>
    </xf>
    <xf numFmtId="0" fontId="7" fillId="2" borderId="20" xfId="1" applyFont="1" applyFill="1" applyBorder="1" applyAlignment="1">
      <alignment horizontal="left" vertical="center" shrinkToFit="1"/>
    </xf>
    <xf numFmtId="0" fontId="8" fillId="2" borderId="21" xfId="1" applyFont="1" applyFill="1" applyBorder="1" applyAlignment="1">
      <alignment horizontal="center" vertical="center" wrapText="1"/>
    </xf>
    <xf numFmtId="0" fontId="8" fillId="2" borderId="33" xfId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textRotation="90" wrapText="1"/>
    </xf>
    <xf numFmtId="0" fontId="1" fillId="2" borderId="22" xfId="0" applyFont="1" applyFill="1" applyBorder="1" applyAlignment="1">
      <alignment horizontal="center" vertical="center" textRotation="90" wrapText="1"/>
    </xf>
    <xf numFmtId="0" fontId="1" fillId="2" borderId="30" xfId="0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left"/>
    </xf>
    <xf numFmtId="0" fontId="5" fillId="2" borderId="37" xfId="1" applyFont="1" applyFill="1" applyBorder="1" applyAlignment="1">
      <alignment horizontal="left"/>
    </xf>
    <xf numFmtId="0" fontId="11" fillId="2" borderId="8" xfId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41" xfId="1" applyFont="1" applyFill="1" applyBorder="1" applyAlignment="1">
      <alignment horizontal="center" vertical="center" wrapText="1"/>
    </xf>
    <xf numFmtId="0" fontId="6" fillId="2" borderId="42" xfId="1" applyFont="1" applyFill="1" applyBorder="1" applyAlignment="1">
      <alignment horizontal="center" vertical="center" wrapText="1"/>
    </xf>
    <xf numFmtId="0" fontId="6" fillId="2" borderId="43" xfId="1" applyFont="1" applyFill="1" applyBorder="1" applyAlignment="1">
      <alignment horizontal="center" vertical="center" wrapText="1"/>
    </xf>
    <xf numFmtId="0" fontId="6" fillId="2" borderId="44" xfId="1" applyFont="1" applyFill="1" applyBorder="1" applyAlignment="1">
      <alignment horizontal="center" vertical="center" wrapText="1"/>
    </xf>
    <xf numFmtId="9" fontId="12" fillId="2" borderId="42" xfId="1" applyNumberFormat="1" applyFont="1" applyFill="1" applyBorder="1" applyAlignment="1">
      <alignment horizontal="center"/>
    </xf>
    <xf numFmtId="9" fontId="12" fillId="2" borderId="45" xfId="1" applyNumberFormat="1" applyFont="1" applyFill="1" applyBorder="1" applyAlignment="1">
      <alignment horizontal="center"/>
    </xf>
    <xf numFmtId="0" fontId="11" fillId="2" borderId="1" xfId="1" applyFont="1" applyFill="1" applyBorder="1" applyAlignment="1">
      <alignment horizontal="left" vertical="top"/>
    </xf>
    <xf numFmtId="0" fontId="11" fillId="2" borderId="37" xfId="1" applyFont="1" applyFill="1" applyBorder="1" applyAlignment="1">
      <alignment horizontal="left" vertical="top"/>
    </xf>
    <xf numFmtId="0" fontId="11" fillId="2" borderId="2" xfId="1" applyFont="1" applyFill="1" applyBorder="1" applyAlignment="1">
      <alignment horizontal="left" vertical="top"/>
    </xf>
    <xf numFmtId="0" fontId="11" fillId="2" borderId="8" xfId="1" applyFont="1" applyFill="1" applyBorder="1" applyAlignment="1">
      <alignment horizontal="left" vertical="top"/>
    </xf>
    <xf numFmtId="0" fontId="11" fillId="2" borderId="0" xfId="1" applyFont="1" applyFill="1" applyAlignment="1">
      <alignment horizontal="left" vertical="top"/>
    </xf>
    <xf numFmtId="0" fontId="11" fillId="2" borderId="9" xfId="1" applyFont="1" applyFill="1" applyBorder="1" applyAlignment="1">
      <alignment horizontal="left" vertical="top"/>
    </xf>
    <xf numFmtId="0" fontId="11" fillId="2" borderId="14" xfId="1" applyFont="1" applyFill="1" applyBorder="1" applyAlignment="1">
      <alignment horizontal="left" vertical="top"/>
    </xf>
    <xf numFmtId="0" fontId="11" fillId="2" borderId="31" xfId="1" applyFont="1" applyFill="1" applyBorder="1" applyAlignment="1">
      <alignment horizontal="left" vertical="top"/>
    </xf>
    <xf numFmtId="0" fontId="11" fillId="2" borderId="15" xfId="1" applyFont="1" applyFill="1" applyBorder="1" applyAlignment="1">
      <alignment horizontal="left" vertical="top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7" fillId="2" borderId="10" xfId="1" applyFont="1" applyFill="1" applyBorder="1" applyAlignment="1">
      <alignment horizontal="center" vertical="center" shrinkToFit="1"/>
    </xf>
    <xf numFmtId="0" fontId="7" fillId="2" borderId="11" xfId="1" applyFont="1" applyFill="1" applyBorder="1" applyAlignment="1">
      <alignment horizontal="center" vertical="center" shrinkToFi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  <xf numFmtId="0" fontId="8" fillId="2" borderId="26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left" vertical="center" shrinkToFit="1"/>
    </xf>
    <xf numFmtId="0" fontId="7" fillId="2" borderId="11" xfId="1" applyFont="1" applyFill="1" applyBorder="1" applyAlignment="1">
      <alignment horizontal="left" vertical="center" shrinkToFi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65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29" xfId="1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63" xfId="1" applyFont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29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left" vertical="center" shrinkToFit="1"/>
    </xf>
    <xf numFmtId="0" fontId="7" fillId="2" borderId="13" xfId="1" applyFont="1" applyFill="1" applyBorder="1" applyAlignment="1">
      <alignment horizontal="left" vertical="center" shrinkToFit="1"/>
    </xf>
    <xf numFmtId="0" fontId="8" fillId="2" borderId="67" xfId="1" applyFont="1" applyFill="1" applyBorder="1" applyAlignment="1">
      <alignment horizontal="center" vertical="center" wrapText="1"/>
    </xf>
    <xf numFmtId="0" fontId="8" fillId="2" borderId="72" xfId="1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left" vertical="center" shrinkToFit="1"/>
    </xf>
    <xf numFmtId="0" fontId="16" fillId="2" borderId="11" xfId="1" applyFont="1" applyFill="1" applyBorder="1" applyAlignment="1">
      <alignment horizontal="left" vertical="center" shrinkToFit="1"/>
    </xf>
    <xf numFmtId="0" fontId="18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6" fillId="2" borderId="5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73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73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1" fillId="2" borderId="8" xfId="1" applyFont="1" applyFill="1" applyBorder="1" applyAlignment="1">
      <alignment horizontal="left"/>
    </xf>
    <xf numFmtId="0" fontId="11" fillId="2" borderId="0" xfId="1" applyFont="1" applyFill="1" applyAlignment="1">
      <alignment horizontal="left"/>
    </xf>
    <xf numFmtId="0" fontId="2" fillId="2" borderId="5" xfId="1" applyFont="1" applyFill="1" applyBorder="1" applyAlignment="1">
      <alignment horizontal="center" vertical="center" wrapText="1"/>
    </xf>
    <xf numFmtId="0" fontId="8" fillId="2" borderId="70" xfId="1" applyFont="1" applyFill="1" applyBorder="1" applyAlignment="1">
      <alignment horizontal="center" vertical="center" wrapText="1"/>
    </xf>
    <xf numFmtId="0" fontId="24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9525</xdr:rowOff>
    </xdr:from>
    <xdr:to>
      <xdr:col>1</xdr:col>
      <xdr:colOff>971550</xdr:colOff>
      <xdr:row>2</xdr:row>
      <xdr:rowOff>190499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667" b="98667" l="2667" r="99556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9525"/>
          <a:ext cx="590549" cy="5905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9525</xdr:rowOff>
    </xdr:from>
    <xdr:to>
      <xdr:col>1</xdr:col>
      <xdr:colOff>971550</xdr:colOff>
      <xdr:row>2</xdr:row>
      <xdr:rowOff>200024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62FD77-8475-4330-9D84-97DED346A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667" b="98667" l="2667" r="99556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9525"/>
          <a:ext cx="590549" cy="5905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9525</xdr:rowOff>
    </xdr:from>
    <xdr:to>
      <xdr:col>1</xdr:col>
      <xdr:colOff>971550</xdr:colOff>
      <xdr:row>2</xdr:row>
      <xdr:rowOff>200024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EEB594-1752-4C04-8796-5F4C2E339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667" b="98667" l="2667" r="99556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9525"/>
          <a:ext cx="590549" cy="5905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9525</xdr:rowOff>
    </xdr:from>
    <xdr:to>
      <xdr:col>1</xdr:col>
      <xdr:colOff>971550</xdr:colOff>
      <xdr:row>2</xdr:row>
      <xdr:rowOff>200024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A3CC12-14AD-4C69-829B-44CAE0A20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667" b="98667" l="2667" r="99556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9525"/>
          <a:ext cx="590549" cy="5905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9525</xdr:rowOff>
    </xdr:from>
    <xdr:to>
      <xdr:col>1</xdr:col>
      <xdr:colOff>971550</xdr:colOff>
      <xdr:row>2</xdr:row>
      <xdr:rowOff>200024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EEC3C3-0569-4552-B836-73681F8A9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667" b="98667" l="2667" r="99556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9525"/>
          <a:ext cx="590549" cy="5905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9525</xdr:rowOff>
    </xdr:from>
    <xdr:to>
      <xdr:col>1</xdr:col>
      <xdr:colOff>971550</xdr:colOff>
      <xdr:row>2</xdr:row>
      <xdr:rowOff>200024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123772-574B-41F3-B5C0-EB9C2E16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667" b="98667" l="2667" r="99556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9525"/>
          <a:ext cx="590549" cy="5905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9525</xdr:rowOff>
    </xdr:from>
    <xdr:to>
      <xdr:col>1</xdr:col>
      <xdr:colOff>971550</xdr:colOff>
      <xdr:row>2</xdr:row>
      <xdr:rowOff>200024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7B0FDA-5536-4A8F-8588-61F834EFE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667" b="98667" l="2667" r="99556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9525"/>
          <a:ext cx="590549" cy="590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2"/>
  <sheetViews>
    <sheetView topLeftCell="A48" workbookViewId="0">
      <selection activeCell="T63" sqref="T63"/>
    </sheetView>
  </sheetViews>
  <sheetFormatPr defaultColWidth="11.42578125" defaultRowHeight="15"/>
  <cols>
    <col min="2" max="2" width="18.140625" customWidth="1"/>
    <col min="3" max="3" width="6.140625" customWidth="1"/>
    <col min="4" max="4" width="6.42578125" customWidth="1"/>
    <col min="5" max="5" width="6.140625" customWidth="1"/>
    <col min="6" max="6" width="6" customWidth="1"/>
    <col min="7" max="7" width="5.85546875" customWidth="1"/>
    <col min="8" max="9" width="6.42578125" customWidth="1"/>
    <col min="10" max="10" width="7.140625" customWidth="1"/>
    <col min="11" max="11" width="6.140625" customWidth="1"/>
    <col min="12" max="12" width="5.7109375" customWidth="1"/>
    <col min="13" max="16" width="5.85546875" customWidth="1"/>
    <col min="17" max="17" width="5.7109375" customWidth="1"/>
    <col min="18" max="18" width="5.5703125" customWidth="1"/>
    <col min="19" max="19" width="5.42578125" customWidth="1"/>
    <col min="20" max="20" width="5.85546875" customWidth="1"/>
  </cols>
  <sheetData>
    <row r="1" spans="1:20" ht="16.5" thickBot="1">
      <c r="A1" s="203"/>
      <c r="B1" s="204"/>
      <c r="C1" s="204"/>
      <c r="D1" s="205"/>
      <c r="E1" s="212" t="s">
        <v>0</v>
      </c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4"/>
    </row>
    <row r="2" spans="1:20" ht="15.75">
      <c r="A2" s="206"/>
      <c r="B2" s="207"/>
      <c r="C2" s="207"/>
      <c r="D2" s="208"/>
      <c r="E2" s="212" t="s">
        <v>1</v>
      </c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4"/>
    </row>
    <row r="3" spans="1:20" ht="16.5" customHeight="1">
      <c r="A3" s="209"/>
      <c r="B3" s="210"/>
      <c r="C3" s="210"/>
      <c r="D3" s="211"/>
      <c r="E3" s="215" t="s">
        <v>2</v>
      </c>
      <c r="F3" s="216"/>
      <c r="G3" s="216"/>
      <c r="H3" s="217"/>
      <c r="I3" s="215" t="s">
        <v>3</v>
      </c>
      <c r="J3" s="216"/>
      <c r="K3" s="216"/>
      <c r="L3" s="216"/>
      <c r="M3" s="216"/>
      <c r="N3" s="217"/>
      <c r="O3" s="215" t="s">
        <v>4</v>
      </c>
      <c r="P3" s="216"/>
      <c r="Q3" s="216"/>
      <c r="R3" s="216"/>
      <c r="S3" s="216"/>
      <c r="T3" s="217"/>
    </row>
    <row r="4" spans="1:20">
      <c r="A4" s="195" t="s">
        <v>5</v>
      </c>
      <c r="B4" s="196"/>
      <c r="C4" s="196"/>
      <c r="D4" s="196"/>
      <c r="E4" s="196"/>
      <c r="F4" s="197" t="s">
        <v>6</v>
      </c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9"/>
    </row>
    <row r="5" spans="1:20" ht="24.75" customHeight="1" thickBot="1">
      <c r="A5" s="174" t="s">
        <v>7</v>
      </c>
      <c r="B5" s="175"/>
      <c r="C5" s="180" t="s">
        <v>8</v>
      </c>
      <c r="D5" s="181"/>
      <c r="E5" s="181"/>
      <c r="F5" s="180" t="s">
        <v>9</v>
      </c>
      <c r="G5" s="181"/>
      <c r="H5" s="181"/>
      <c r="I5" s="180" t="s">
        <v>10</v>
      </c>
      <c r="J5" s="181"/>
      <c r="K5" s="181"/>
      <c r="L5" s="180" t="s">
        <v>11</v>
      </c>
      <c r="M5" s="181"/>
      <c r="N5" s="181"/>
      <c r="O5" s="180" t="s">
        <v>12</v>
      </c>
      <c r="P5" s="181"/>
      <c r="Q5" s="181"/>
      <c r="R5" s="200" t="s">
        <v>13</v>
      </c>
      <c r="S5" s="201"/>
      <c r="T5" s="202"/>
    </row>
    <row r="6" spans="1:20" ht="15" customHeight="1">
      <c r="A6" s="176"/>
      <c r="B6" s="177"/>
      <c r="C6" s="170" t="s">
        <v>14</v>
      </c>
      <c r="D6" s="171"/>
      <c r="E6" s="167" t="s">
        <v>15</v>
      </c>
      <c r="F6" s="170" t="s">
        <v>14</v>
      </c>
      <c r="G6" s="171"/>
      <c r="H6" s="167" t="s">
        <v>15</v>
      </c>
      <c r="I6" s="165" t="s">
        <v>14</v>
      </c>
      <c r="J6" s="166"/>
      <c r="K6" s="167" t="s">
        <v>15</v>
      </c>
      <c r="L6" s="193" t="s">
        <v>14</v>
      </c>
      <c r="M6" s="194"/>
      <c r="N6" s="167" t="s">
        <v>15</v>
      </c>
      <c r="O6" s="170" t="s">
        <v>14</v>
      </c>
      <c r="P6" s="171"/>
      <c r="Q6" s="167" t="s">
        <v>15</v>
      </c>
      <c r="R6" s="189" t="s">
        <v>14</v>
      </c>
      <c r="S6" s="190"/>
      <c r="T6" s="191" t="s">
        <v>15</v>
      </c>
    </row>
    <row r="7" spans="1:20" ht="15.75" customHeight="1">
      <c r="A7" s="178"/>
      <c r="B7" s="179"/>
      <c r="C7" s="1" t="s">
        <v>16</v>
      </c>
      <c r="D7" s="2" t="s">
        <v>17</v>
      </c>
      <c r="E7" s="168"/>
      <c r="F7" s="1" t="s">
        <v>16</v>
      </c>
      <c r="G7" s="2" t="s">
        <v>17</v>
      </c>
      <c r="H7" s="168"/>
      <c r="I7" s="1" t="s">
        <v>16</v>
      </c>
      <c r="J7" s="2" t="s">
        <v>17</v>
      </c>
      <c r="K7" s="168"/>
      <c r="L7" s="1" t="s">
        <v>16</v>
      </c>
      <c r="M7" s="2" t="s">
        <v>17</v>
      </c>
      <c r="N7" s="168"/>
      <c r="O7" s="1" t="s">
        <v>16</v>
      </c>
      <c r="P7" s="2" t="s">
        <v>17</v>
      </c>
      <c r="Q7" s="168"/>
      <c r="R7" s="1" t="s">
        <v>16</v>
      </c>
      <c r="S7" s="2" t="s">
        <v>17</v>
      </c>
      <c r="T7" s="192"/>
    </row>
    <row r="8" spans="1:20" ht="24" customHeight="1">
      <c r="A8" s="138" t="s">
        <v>18</v>
      </c>
      <c r="B8" s="3" t="s">
        <v>19</v>
      </c>
      <c r="C8" s="4"/>
      <c r="D8" s="5"/>
      <c r="E8" s="6"/>
      <c r="F8" s="52"/>
      <c r="G8" s="5"/>
      <c r="H8" s="6"/>
      <c r="I8" s="52"/>
      <c r="J8" s="5"/>
      <c r="K8" s="6"/>
      <c r="L8" s="52"/>
      <c r="M8" s="5"/>
      <c r="N8" s="6"/>
      <c r="O8" s="52"/>
      <c r="P8" s="5"/>
      <c r="Q8" s="6"/>
      <c r="R8" s="52"/>
      <c r="S8" s="5"/>
      <c r="T8" s="6"/>
    </row>
    <row r="9" spans="1:20">
      <c r="A9" s="139"/>
      <c r="B9" s="44" t="s">
        <v>20</v>
      </c>
      <c r="C9" s="4"/>
      <c r="D9" s="55"/>
      <c r="E9" s="8"/>
      <c r="F9" s="52"/>
      <c r="G9" s="55"/>
      <c r="H9" s="8"/>
      <c r="I9" s="52"/>
      <c r="J9" s="55"/>
      <c r="K9" s="8"/>
      <c r="L9" s="52"/>
      <c r="M9" s="55"/>
      <c r="N9" s="8"/>
      <c r="O9" s="52"/>
      <c r="P9" s="55"/>
      <c r="Q9" s="8"/>
      <c r="R9" s="52"/>
      <c r="S9" s="55"/>
      <c r="T9" s="8"/>
    </row>
    <row r="10" spans="1:20">
      <c r="A10" s="139"/>
      <c r="B10" s="7" t="s">
        <v>21</v>
      </c>
      <c r="C10" s="4"/>
      <c r="D10" s="52"/>
      <c r="E10" s="8"/>
      <c r="F10" s="52"/>
      <c r="G10" s="52"/>
      <c r="H10" s="8"/>
      <c r="I10" s="52"/>
      <c r="J10" s="52"/>
      <c r="K10" s="8"/>
      <c r="L10" s="52"/>
      <c r="M10" s="52"/>
      <c r="N10" s="8"/>
      <c r="O10" s="52"/>
      <c r="P10" s="52"/>
      <c r="Q10" s="8"/>
      <c r="R10" s="52"/>
      <c r="S10" s="52"/>
      <c r="T10" s="8"/>
    </row>
    <row r="11" spans="1:20" ht="18" customHeight="1">
      <c r="A11" s="139"/>
      <c r="B11" s="44" t="s">
        <v>22</v>
      </c>
      <c r="C11" s="4"/>
      <c r="D11" s="52"/>
      <c r="E11" s="8"/>
      <c r="F11" s="52"/>
      <c r="G11" s="52"/>
      <c r="H11" s="8"/>
      <c r="I11" s="52"/>
      <c r="J11" s="52"/>
      <c r="K11" s="8"/>
      <c r="L11" s="52"/>
      <c r="M11" s="52"/>
      <c r="N11" s="8"/>
      <c r="O11" s="52"/>
      <c r="P11" s="52"/>
      <c r="Q11" s="8"/>
      <c r="R11" s="52"/>
      <c r="S11" s="52"/>
      <c r="T11" s="8"/>
    </row>
    <row r="12" spans="1:20" ht="21" customHeight="1">
      <c r="A12" s="139"/>
      <c r="B12" s="7" t="s">
        <v>23</v>
      </c>
      <c r="C12" s="4"/>
      <c r="D12" s="52"/>
      <c r="E12" s="8"/>
      <c r="F12" s="52"/>
      <c r="G12" s="52"/>
      <c r="H12" s="8"/>
      <c r="I12" s="52"/>
      <c r="J12" s="52"/>
      <c r="K12" s="8"/>
      <c r="L12" s="52"/>
      <c r="M12" s="52"/>
      <c r="N12" s="8"/>
      <c r="O12" s="52"/>
      <c r="P12" s="52"/>
      <c r="Q12" s="8"/>
      <c r="R12" s="52"/>
      <c r="S12" s="52"/>
      <c r="T12" s="8"/>
    </row>
    <row r="13" spans="1:20">
      <c r="A13" s="139"/>
      <c r="B13" s="7" t="s">
        <v>24</v>
      </c>
      <c r="C13" s="4"/>
      <c r="D13" s="52"/>
      <c r="E13" s="8"/>
      <c r="F13" s="52"/>
      <c r="G13" s="52"/>
      <c r="H13" s="8"/>
      <c r="I13" s="52"/>
      <c r="J13" s="52"/>
      <c r="K13" s="8"/>
      <c r="L13" s="50"/>
      <c r="M13" s="52"/>
      <c r="N13" s="8"/>
      <c r="O13" s="52"/>
      <c r="P13" s="52"/>
      <c r="Q13" s="8"/>
      <c r="R13" s="50"/>
      <c r="S13" s="52"/>
      <c r="T13" s="8"/>
    </row>
    <row r="14" spans="1:20" ht="16.5" customHeight="1">
      <c r="A14" s="139"/>
      <c r="B14" s="7" t="s">
        <v>25</v>
      </c>
      <c r="C14" s="4"/>
      <c r="D14" s="52"/>
      <c r="E14" s="8"/>
      <c r="F14" s="52"/>
      <c r="G14" s="52"/>
      <c r="H14" s="8"/>
      <c r="I14" s="52"/>
      <c r="J14" s="52"/>
      <c r="K14" s="8"/>
      <c r="L14" s="52"/>
      <c r="M14" s="52"/>
      <c r="N14" s="8"/>
      <c r="O14" s="52"/>
      <c r="P14" s="52"/>
      <c r="Q14" s="8"/>
      <c r="R14" s="50"/>
      <c r="S14" s="52"/>
      <c r="T14" s="8"/>
    </row>
    <row r="15" spans="1:20" ht="16.5" customHeight="1">
      <c r="A15" s="139"/>
      <c r="B15" s="7" t="s">
        <v>26</v>
      </c>
      <c r="C15" s="4"/>
      <c r="D15" s="52"/>
      <c r="E15" s="8"/>
      <c r="F15" s="52"/>
      <c r="G15" s="52"/>
      <c r="H15" s="8"/>
      <c r="I15" s="52"/>
      <c r="J15" s="52"/>
      <c r="K15" s="8"/>
      <c r="L15" s="52"/>
      <c r="M15" s="52"/>
      <c r="N15" s="8"/>
      <c r="O15" s="52"/>
      <c r="P15" s="52"/>
      <c r="Q15" s="8"/>
      <c r="R15" s="50"/>
      <c r="S15" s="52"/>
      <c r="T15" s="8"/>
    </row>
    <row r="16" spans="1:20" ht="15" customHeight="1">
      <c r="A16" s="139"/>
      <c r="B16" s="7" t="s">
        <v>27</v>
      </c>
      <c r="C16" s="4"/>
      <c r="D16" s="10"/>
      <c r="E16" s="8"/>
      <c r="F16" s="52"/>
      <c r="G16" s="10"/>
      <c r="H16" s="8"/>
      <c r="I16" s="52"/>
      <c r="J16" s="10"/>
      <c r="K16" s="8"/>
      <c r="L16" s="52"/>
      <c r="M16" s="10"/>
      <c r="N16" s="8"/>
      <c r="O16" s="52"/>
      <c r="P16" s="10"/>
      <c r="Q16" s="8"/>
      <c r="R16" s="9"/>
      <c r="S16" s="10"/>
      <c r="T16" s="8"/>
    </row>
    <row r="17" spans="1:20">
      <c r="A17" s="139"/>
      <c r="B17" s="11" t="s">
        <v>28</v>
      </c>
      <c r="C17" s="51">
        <f>SUM(C8:C16)</f>
        <v>0</v>
      </c>
      <c r="D17" s="51">
        <f>SUM(D8:D16)</f>
        <v>0</v>
      </c>
      <c r="E17" s="51">
        <f t="shared" ref="E17:T17" si="0">SUM(E8:E16)</f>
        <v>0</v>
      </c>
      <c r="F17" s="51">
        <f t="shared" si="0"/>
        <v>0</v>
      </c>
      <c r="G17" s="51">
        <f t="shared" si="0"/>
        <v>0</v>
      </c>
      <c r="H17" s="51">
        <f t="shared" si="0"/>
        <v>0</v>
      </c>
      <c r="I17" s="51">
        <f t="shared" si="0"/>
        <v>0</v>
      </c>
      <c r="J17" s="51">
        <f t="shared" si="0"/>
        <v>0</v>
      </c>
      <c r="K17" s="51">
        <f t="shared" si="0"/>
        <v>0</v>
      </c>
      <c r="L17" s="51">
        <f t="shared" si="0"/>
        <v>0</v>
      </c>
      <c r="M17" s="51">
        <f t="shared" si="0"/>
        <v>0</v>
      </c>
      <c r="N17" s="51">
        <f t="shared" si="0"/>
        <v>0</v>
      </c>
      <c r="O17" s="51">
        <f t="shared" si="0"/>
        <v>0</v>
      </c>
      <c r="P17" s="51">
        <f t="shared" si="0"/>
        <v>0</v>
      </c>
      <c r="Q17" s="51">
        <f t="shared" si="0"/>
        <v>0</v>
      </c>
      <c r="R17" s="51">
        <f t="shared" si="0"/>
        <v>0</v>
      </c>
      <c r="S17" s="51">
        <f t="shared" si="0"/>
        <v>0</v>
      </c>
      <c r="T17" s="51">
        <f t="shared" si="0"/>
        <v>0</v>
      </c>
    </row>
    <row r="18" spans="1:20">
      <c r="A18" s="140"/>
      <c r="B18" s="15" t="s">
        <v>29</v>
      </c>
      <c r="C18" s="83" t="e">
        <f>C17/E18</f>
        <v>#DIV/0!</v>
      </c>
      <c r="D18" s="84" t="e">
        <f>D17/E18</f>
        <v>#DIV/0!</v>
      </c>
      <c r="E18" s="82">
        <f>C17+D17</f>
        <v>0</v>
      </c>
      <c r="F18" s="83" t="e">
        <f t="shared" ref="F18" si="1">F17/H18</f>
        <v>#DIV/0!</v>
      </c>
      <c r="G18" s="84" t="e">
        <f t="shared" ref="G18" si="2">G17/H18</f>
        <v>#DIV/0!</v>
      </c>
      <c r="H18" s="82">
        <f t="shared" ref="H18" si="3">F17+G17</f>
        <v>0</v>
      </c>
      <c r="I18" s="83" t="e">
        <f t="shared" ref="I18" si="4">I17/K18</f>
        <v>#DIV/0!</v>
      </c>
      <c r="J18" s="84" t="e">
        <f t="shared" ref="J18" si="5">J17/K18</f>
        <v>#DIV/0!</v>
      </c>
      <c r="K18" s="82">
        <f t="shared" ref="K18" si="6">I17+J17</f>
        <v>0</v>
      </c>
      <c r="L18" s="83" t="e">
        <f t="shared" ref="L18" si="7">L17/N18</f>
        <v>#DIV/0!</v>
      </c>
      <c r="M18" s="84" t="e">
        <f t="shared" ref="M18" si="8">M17/N18</f>
        <v>#DIV/0!</v>
      </c>
      <c r="N18" s="82">
        <f t="shared" ref="N18" si="9">L17+M17</f>
        <v>0</v>
      </c>
      <c r="O18" s="83" t="e">
        <f t="shared" ref="O18" si="10">O17/Q18</f>
        <v>#DIV/0!</v>
      </c>
      <c r="P18" s="84" t="e">
        <f t="shared" ref="P18" si="11">P17/Q18</f>
        <v>#DIV/0!</v>
      </c>
      <c r="Q18" s="82">
        <f t="shared" ref="Q18" si="12">O17+P17</f>
        <v>0</v>
      </c>
      <c r="R18" s="83" t="e">
        <f t="shared" ref="R18" si="13">R17/T18</f>
        <v>#DIV/0!</v>
      </c>
      <c r="S18" s="84" t="e">
        <f t="shared" ref="S18" si="14">S17/T18</f>
        <v>#DIV/0!</v>
      </c>
      <c r="T18" s="82">
        <f t="shared" ref="T18" si="15">R17+S17</f>
        <v>0</v>
      </c>
    </row>
    <row r="19" spans="1:20">
      <c r="A19" s="17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20" ht="15.75" customHeight="1" thickBot="1">
      <c r="A20" s="174" t="s">
        <v>7</v>
      </c>
      <c r="B20" s="175"/>
      <c r="C20" s="180" t="s">
        <v>30</v>
      </c>
      <c r="D20" s="181"/>
      <c r="E20" s="181"/>
      <c r="F20" s="180" t="s">
        <v>31</v>
      </c>
      <c r="G20" s="181"/>
      <c r="H20" s="182"/>
      <c r="I20" s="180" t="s">
        <v>32</v>
      </c>
      <c r="J20" s="181"/>
      <c r="K20" s="182"/>
      <c r="L20" s="183" t="s">
        <v>33</v>
      </c>
      <c r="M20" s="184"/>
      <c r="N20" s="185"/>
      <c r="O20" s="186" t="s">
        <v>34</v>
      </c>
      <c r="P20" s="187"/>
      <c r="Q20" s="188"/>
      <c r="R20" s="162" t="s">
        <v>35</v>
      </c>
      <c r="S20" s="163"/>
      <c r="T20" s="164"/>
    </row>
    <row r="21" spans="1:20" ht="15" customHeight="1">
      <c r="A21" s="176"/>
      <c r="B21" s="177"/>
      <c r="C21" s="165" t="s">
        <v>14</v>
      </c>
      <c r="D21" s="166"/>
      <c r="E21" s="167" t="s">
        <v>15</v>
      </c>
      <c r="F21" s="165" t="s">
        <v>14</v>
      </c>
      <c r="G21" s="166"/>
      <c r="H21" s="169" t="s">
        <v>15</v>
      </c>
      <c r="I21" s="165" t="s">
        <v>14</v>
      </c>
      <c r="J21" s="166"/>
      <c r="K21" s="169" t="s">
        <v>15</v>
      </c>
      <c r="L21" s="170" t="s">
        <v>14</v>
      </c>
      <c r="M21" s="171"/>
      <c r="N21" s="172" t="s">
        <v>15</v>
      </c>
      <c r="O21" s="170" t="s">
        <v>14</v>
      </c>
      <c r="P21" s="171"/>
      <c r="Q21" s="172" t="s">
        <v>15</v>
      </c>
      <c r="R21" s="134" t="s">
        <v>14</v>
      </c>
      <c r="S21" s="135"/>
      <c r="T21" s="136" t="s">
        <v>15</v>
      </c>
    </row>
    <row r="22" spans="1:20" ht="15.75" customHeight="1" thickBot="1">
      <c r="A22" s="178"/>
      <c r="B22" s="179"/>
      <c r="C22" s="1" t="s">
        <v>16</v>
      </c>
      <c r="D22" s="2" t="s">
        <v>17</v>
      </c>
      <c r="E22" s="168"/>
      <c r="F22" s="1" t="s">
        <v>16</v>
      </c>
      <c r="G22" s="2" t="s">
        <v>17</v>
      </c>
      <c r="H22" s="137"/>
      <c r="I22" s="1" t="s">
        <v>16</v>
      </c>
      <c r="J22" s="2" t="s">
        <v>17</v>
      </c>
      <c r="K22" s="137"/>
      <c r="L22" s="1" t="s">
        <v>16</v>
      </c>
      <c r="M22" s="2" t="s">
        <v>17</v>
      </c>
      <c r="N22" s="173"/>
      <c r="O22" s="1" t="s">
        <v>16</v>
      </c>
      <c r="P22" s="2" t="s">
        <v>17</v>
      </c>
      <c r="Q22" s="173"/>
      <c r="R22" s="1" t="s">
        <v>16</v>
      </c>
      <c r="S22" s="2" t="s">
        <v>17</v>
      </c>
      <c r="T22" s="137"/>
    </row>
    <row r="23" spans="1:20" ht="24" customHeight="1">
      <c r="A23" s="138" t="s">
        <v>18</v>
      </c>
      <c r="B23" s="3" t="s">
        <v>19</v>
      </c>
      <c r="C23" s="4"/>
      <c r="D23" s="5"/>
      <c r="E23" s="56"/>
      <c r="F23" s="20"/>
      <c r="G23" s="5"/>
      <c r="H23" s="56"/>
      <c r="I23" s="20"/>
      <c r="J23" s="5"/>
      <c r="K23" s="56"/>
      <c r="L23" s="20"/>
      <c r="M23" s="5"/>
      <c r="N23" s="57"/>
      <c r="O23" s="64"/>
      <c r="P23" s="65"/>
      <c r="Q23" s="66"/>
      <c r="R23" s="64"/>
      <c r="S23" s="65"/>
      <c r="T23" s="66"/>
    </row>
    <row r="24" spans="1:20" ht="20.25">
      <c r="A24" s="139"/>
      <c r="B24" s="44" t="s">
        <v>36</v>
      </c>
      <c r="C24" s="58"/>
      <c r="D24" s="54"/>
      <c r="E24" s="59"/>
      <c r="F24" s="53"/>
      <c r="G24" s="54"/>
      <c r="H24" s="59"/>
      <c r="I24" s="53"/>
      <c r="J24" s="54"/>
      <c r="K24" s="59"/>
      <c r="L24" s="53"/>
      <c r="M24" s="54"/>
      <c r="N24" s="60"/>
      <c r="O24" s="64"/>
      <c r="P24" s="65"/>
      <c r="Q24" s="66"/>
      <c r="R24" s="64"/>
      <c r="S24" s="65"/>
      <c r="T24" s="66"/>
    </row>
    <row r="25" spans="1:20">
      <c r="A25" s="139"/>
      <c r="B25" s="7" t="s">
        <v>21</v>
      </c>
      <c r="C25" s="61"/>
      <c r="D25" s="62"/>
      <c r="E25" s="59"/>
      <c r="F25" s="63"/>
      <c r="G25" s="62"/>
      <c r="H25" s="59"/>
      <c r="I25" s="63"/>
      <c r="J25" s="62"/>
      <c r="K25" s="59"/>
      <c r="L25" s="63"/>
      <c r="M25" s="62"/>
      <c r="N25" s="60"/>
      <c r="O25" s="64"/>
      <c r="P25" s="65"/>
      <c r="Q25" s="66"/>
      <c r="R25" s="64"/>
      <c r="S25" s="65"/>
      <c r="T25" s="66"/>
    </row>
    <row r="26" spans="1:20">
      <c r="A26" s="139"/>
      <c r="B26" s="7" t="s">
        <v>37</v>
      </c>
      <c r="C26" s="71"/>
      <c r="D26" s="72"/>
      <c r="E26" s="73"/>
      <c r="F26" s="74"/>
      <c r="G26" s="72"/>
      <c r="H26" s="73"/>
      <c r="I26" s="74"/>
      <c r="J26" s="72"/>
      <c r="K26" s="73"/>
      <c r="L26" s="74"/>
      <c r="M26" s="72"/>
      <c r="N26" s="75"/>
      <c r="O26" s="76"/>
      <c r="P26" s="77"/>
      <c r="Q26" s="78"/>
      <c r="R26" s="64"/>
      <c r="S26" s="65"/>
      <c r="T26" s="66"/>
    </row>
    <row r="27" spans="1:20">
      <c r="A27" s="139"/>
      <c r="B27" s="7" t="s">
        <v>22</v>
      </c>
      <c r="C27" s="61"/>
      <c r="D27" s="62"/>
      <c r="E27" s="59"/>
      <c r="F27" s="63"/>
      <c r="G27" s="62"/>
      <c r="H27" s="59"/>
      <c r="I27" s="63"/>
      <c r="J27" s="62"/>
      <c r="K27" s="59"/>
      <c r="L27" s="63"/>
      <c r="M27" s="62"/>
      <c r="N27" s="60"/>
      <c r="O27" s="64"/>
      <c r="P27" s="65"/>
      <c r="Q27" s="66"/>
      <c r="R27" s="64"/>
      <c r="S27" s="65"/>
      <c r="T27" s="66"/>
    </row>
    <row r="28" spans="1:20">
      <c r="A28" s="139"/>
      <c r="B28" s="7" t="s">
        <v>38</v>
      </c>
      <c r="C28" s="71"/>
      <c r="D28" s="72"/>
      <c r="E28" s="73"/>
      <c r="F28" s="74"/>
      <c r="G28" s="72"/>
      <c r="H28" s="73"/>
      <c r="I28" s="74"/>
      <c r="J28" s="72"/>
      <c r="K28" s="73"/>
      <c r="L28" s="63"/>
      <c r="M28" s="62"/>
      <c r="N28" s="60"/>
      <c r="O28" s="64"/>
      <c r="P28" s="65"/>
      <c r="Q28" s="66"/>
      <c r="R28" s="64"/>
      <c r="S28" s="65"/>
      <c r="T28" s="66"/>
    </row>
    <row r="29" spans="1:20">
      <c r="A29" s="139"/>
      <c r="B29" s="7" t="s">
        <v>39</v>
      </c>
      <c r="C29" s="71"/>
      <c r="D29" s="72"/>
      <c r="E29" s="73"/>
      <c r="F29" s="74"/>
      <c r="G29" s="72"/>
      <c r="H29" s="73"/>
      <c r="I29" s="74"/>
      <c r="J29" s="72"/>
      <c r="K29" s="73"/>
      <c r="L29" s="74"/>
      <c r="M29" s="72"/>
      <c r="N29" s="75"/>
      <c r="O29" s="64"/>
      <c r="P29" s="65"/>
      <c r="Q29" s="66"/>
      <c r="R29" s="76"/>
      <c r="S29" s="77"/>
      <c r="T29" s="78"/>
    </row>
    <row r="30" spans="1:20">
      <c r="A30" s="139"/>
      <c r="B30" s="7" t="s">
        <v>40</v>
      </c>
      <c r="C30" s="71"/>
      <c r="D30" s="72"/>
      <c r="E30" s="73"/>
      <c r="F30" s="74"/>
      <c r="G30" s="72"/>
      <c r="H30" s="73"/>
      <c r="I30" s="74"/>
      <c r="J30" s="72"/>
      <c r="K30" s="73"/>
      <c r="L30" s="74"/>
      <c r="M30" s="72"/>
      <c r="N30" s="75"/>
      <c r="O30" s="64"/>
      <c r="P30" s="65"/>
      <c r="Q30" s="66"/>
      <c r="R30" s="64"/>
      <c r="S30" s="65"/>
      <c r="T30" s="66"/>
    </row>
    <row r="31" spans="1:20">
      <c r="A31" s="139"/>
      <c r="B31" s="7" t="s">
        <v>23</v>
      </c>
      <c r="C31" s="61"/>
      <c r="D31" s="62"/>
      <c r="E31" s="59"/>
      <c r="F31" s="63"/>
      <c r="G31" s="62"/>
      <c r="H31" s="59"/>
      <c r="I31" s="63"/>
      <c r="J31" s="62"/>
      <c r="K31" s="59"/>
      <c r="L31" s="63"/>
      <c r="M31" s="62"/>
      <c r="N31" s="60"/>
      <c r="O31" s="64"/>
      <c r="P31" s="65"/>
      <c r="Q31" s="66"/>
      <c r="R31" s="64"/>
      <c r="S31" s="65"/>
      <c r="T31" s="66"/>
    </row>
    <row r="32" spans="1:20">
      <c r="A32" s="139"/>
      <c r="B32" s="70" t="s">
        <v>24</v>
      </c>
      <c r="C32" s="61"/>
      <c r="D32" s="62"/>
      <c r="E32" s="59"/>
      <c r="F32" s="63"/>
      <c r="G32" s="62"/>
      <c r="H32" s="59"/>
      <c r="I32" s="63"/>
      <c r="J32" s="62"/>
      <c r="K32" s="59"/>
      <c r="L32" s="63"/>
      <c r="M32" s="62"/>
      <c r="N32" s="60"/>
      <c r="O32" s="64"/>
      <c r="P32" s="65"/>
      <c r="Q32" s="66"/>
      <c r="R32" s="64"/>
      <c r="S32" s="65"/>
      <c r="T32" s="66"/>
    </row>
    <row r="33" spans="1:20">
      <c r="A33" s="139"/>
      <c r="B33" s="70" t="s">
        <v>41</v>
      </c>
      <c r="C33" s="61"/>
      <c r="D33" s="62"/>
      <c r="E33" s="59"/>
      <c r="F33" s="63"/>
      <c r="G33" s="62"/>
      <c r="H33" s="59"/>
      <c r="I33" s="63"/>
      <c r="J33" s="62"/>
      <c r="K33" s="59"/>
      <c r="L33" s="63"/>
      <c r="M33" s="62"/>
      <c r="N33" s="60"/>
      <c r="O33" s="64"/>
      <c r="P33" s="65"/>
      <c r="Q33" s="66"/>
      <c r="R33" s="64"/>
      <c r="S33" s="65"/>
      <c r="T33" s="66"/>
    </row>
    <row r="34" spans="1:20" ht="16.5" customHeight="1">
      <c r="A34" s="139"/>
      <c r="B34" s="7" t="s">
        <v>42</v>
      </c>
      <c r="C34" s="61"/>
      <c r="D34" s="62"/>
      <c r="E34" s="59"/>
      <c r="F34" s="63"/>
      <c r="G34" s="62"/>
      <c r="H34" s="59"/>
      <c r="I34" s="63"/>
      <c r="J34" s="62"/>
      <c r="K34" s="59"/>
      <c r="L34" s="63"/>
      <c r="M34" s="62"/>
      <c r="N34" s="60"/>
      <c r="O34" s="64"/>
      <c r="P34" s="65"/>
      <c r="Q34" s="66"/>
      <c r="R34" s="64"/>
      <c r="S34" s="65"/>
      <c r="T34" s="66"/>
    </row>
    <row r="35" spans="1:20">
      <c r="A35" s="139"/>
      <c r="B35" s="70" t="s">
        <v>43</v>
      </c>
      <c r="C35" s="71"/>
      <c r="D35" s="72"/>
      <c r="E35" s="73"/>
      <c r="F35" s="74"/>
      <c r="G35" s="72"/>
      <c r="H35" s="73"/>
      <c r="I35" s="74"/>
      <c r="J35" s="72"/>
      <c r="K35" s="73"/>
      <c r="L35" s="74"/>
      <c r="M35" s="72"/>
      <c r="N35" s="75"/>
      <c r="O35" s="64"/>
      <c r="P35" s="65"/>
      <c r="Q35" s="66"/>
      <c r="R35" s="76"/>
      <c r="S35" s="77"/>
      <c r="T35" s="78"/>
    </row>
    <row r="36" spans="1:20">
      <c r="A36" s="139"/>
      <c r="B36" s="7" t="s">
        <v>44</v>
      </c>
      <c r="C36" s="71"/>
      <c r="D36" s="72"/>
      <c r="E36" s="73"/>
      <c r="F36" s="74"/>
      <c r="G36" s="72"/>
      <c r="H36" s="73"/>
      <c r="I36" s="74"/>
      <c r="J36" s="72"/>
      <c r="K36" s="73"/>
      <c r="L36" s="74"/>
      <c r="M36" s="72"/>
      <c r="N36" s="75"/>
      <c r="O36" s="76"/>
      <c r="P36" s="77"/>
      <c r="Q36" s="78"/>
      <c r="R36" s="64"/>
      <c r="S36" s="65"/>
      <c r="T36" s="66"/>
    </row>
    <row r="37" spans="1:20">
      <c r="A37" s="139"/>
      <c r="B37" s="7" t="s">
        <v>45</v>
      </c>
      <c r="C37" s="71"/>
      <c r="D37" s="72"/>
      <c r="E37" s="73"/>
      <c r="F37" s="74"/>
      <c r="G37" s="72"/>
      <c r="H37" s="73"/>
      <c r="I37" s="74"/>
      <c r="J37" s="72"/>
      <c r="K37" s="73"/>
      <c r="L37" s="74"/>
      <c r="M37" s="72"/>
      <c r="N37" s="75"/>
      <c r="O37" s="76"/>
      <c r="P37" s="77"/>
      <c r="Q37" s="78"/>
      <c r="R37" s="64"/>
      <c r="S37" s="65"/>
      <c r="T37" s="66"/>
    </row>
    <row r="38" spans="1:20">
      <c r="A38" s="139"/>
      <c r="B38" s="7" t="s">
        <v>46</v>
      </c>
      <c r="C38" s="71"/>
      <c r="D38" s="72"/>
      <c r="E38" s="73"/>
      <c r="F38" s="74"/>
      <c r="G38" s="72"/>
      <c r="H38" s="73"/>
      <c r="I38" s="74"/>
      <c r="J38" s="72"/>
      <c r="K38" s="73"/>
      <c r="L38" s="74"/>
      <c r="M38" s="72"/>
      <c r="N38" s="75"/>
      <c r="O38" s="76"/>
      <c r="P38" s="77"/>
      <c r="Q38" s="78"/>
      <c r="R38" s="64"/>
      <c r="S38" s="65"/>
      <c r="T38" s="66"/>
    </row>
    <row r="39" spans="1:20" ht="21.75" customHeight="1">
      <c r="A39" s="139"/>
      <c r="B39" s="7" t="s">
        <v>47</v>
      </c>
      <c r="C39" s="71"/>
      <c r="D39" s="72"/>
      <c r="E39" s="73"/>
      <c r="F39" s="74"/>
      <c r="G39" s="72"/>
      <c r="H39" s="73"/>
      <c r="I39" s="74"/>
      <c r="J39" s="72"/>
      <c r="K39" s="73"/>
      <c r="L39" s="74"/>
      <c r="M39" s="72"/>
      <c r="N39" s="75"/>
      <c r="O39" s="76"/>
      <c r="P39" s="77"/>
      <c r="Q39" s="78"/>
      <c r="R39" s="64"/>
      <c r="S39" s="65"/>
      <c r="T39" s="66"/>
    </row>
    <row r="40" spans="1:20">
      <c r="A40" s="139"/>
      <c r="B40" s="7" t="s">
        <v>48</v>
      </c>
      <c r="C40" s="71"/>
      <c r="D40" s="72"/>
      <c r="E40" s="73"/>
      <c r="F40" s="74"/>
      <c r="G40" s="72"/>
      <c r="H40" s="73"/>
      <c r="I40" s="74"/>
      <c r="J40" s="72"/>
      <c r="K40" s="73"/>
      <c r="L40" s="74"/>
      <c r="M40" s="72"/>
      <c r="N40" s="75"/>
      <c r="O40" s="79"/>
      <c r="P40" s="80"/>
      <c r="Q40" s="81"/>
      <c r="R40" s="67"/>
      <c r="S40" s="68"/>
      <c r="T40" s="69"/>
    </row>
    <row r="41" spans="1:20">
      <c r="A41" s="139"/>
      <c r="B41" s="7" t="s">
        <v>27</v>
      </c>
      <c r="C41" s="61"/>
      <c r="D41" s="62"/>
      <c r="E41" s="59"/>
      <c r="F41" s="63"/>
      <c r="G41" s="62"/>
      <c r="H41" s="59"/>
      <c r="I41" s="63"/>
      <c r="J41" s="62"/>
      <c r="K41" s="59"/>
      <c r="L41" s="63"/>
      <c r="M41" s="62"/>
      <c r="N41" s="60"/>
      <c r="O41" s="67"/>
      <c r="P41" s="68"/>
      <c r="Q41" s="69"/>
      <c r="R41" s="67"/>
      <c r="S41" s="68"/>
      <c r="T41" s="69"/>
    </row>
    <row r="42" spans="1:20">
      <c r="A42" s="139"/>
      <c r="B42" s="11" t="s">
        <v>28</v>
      </c>
      <c r="C42" s="12">
        <f>SUM(C23:C41)</f>
        <v>0</v>
      </c>
      <c r="D42" s="13">
        <f>SUM(D23:D41)</f>
        <v>0</v>
      </c>
      <c r="E42" s="14">
        <f>SUM(E23:E41)</f>
        <v>0</v>
      </c>
      <c r="F42" s="12">
        <f t="shared" ref="F42" si="16">SUM(F23:F41)</f>
        <v>0</v>
      </c>
      <c r="G42" s="13">
        <f t="shared" ref="G42:H42" si="17">SUM(G23:G41)</f>
        <v>0</v>
      </c>
      <c r="H42" s="14">
        <f t="shared" si="17"/>
        <v>0</v>
      </c>
      <c r="I42" s="12">
        <f t="shared" ref="I42" si="18">SUM(I23:I41)</f>
        <v>0</v>
      </c>
      <c r="J42" s="13">
        <f t="shared" ref="J42:K42" si="19">SUM(J23:J41)</f>
        <v>0</v>
      </c>
      <c r="K42" s="14">
        <f t="shared" si="19"/>
        <v>0</v>
      </c>
      <c r="L42" s="12">
        <f t="shared" ref="L42" si="20">SUM(L23:L41)</f>
        <v>0</v>
      </c>
      <c r="M42" s="13">
        <f t="shared" ref="M42:N42" si="21">SUM(M23:M41)</f>
        <v>0</v>
      </c>
      <c r="N42" s="14">
        <f t="shared" si="21"/>
        <v>0</v>
      </c>
      <c r="O42" s="12">
        <f t="shared" ref="O42" si="22">SUM(O23:O41)</f>
        <v>0</v>
      </c>
      <c r="P42" s="13">
        <f t="shared" ref="P42:Q42" si="23">SUM(P23:P41)</f>
        <v>0</v>
      </c>
      <c r="Q42" s="14">
        <f t="shared" si="23"/>
        <v>0</v>
      </c>
      <c r="R42" s="12">
        <f t="shared" ref="R42" si="24">SUM(R23:R41)</f>
        <v>0</v>
      </c>
      <c r="S42" s="13">
        <f t="shared" ref="S42:T42" si="25">SUM(S23:S41)</f>
        <v>0</v>
      </c>
      <c r="T42" s="14">
        <f t="shared" si="25"/>
        <v>0</v>
      </c>
    </row>
    <row r="43" spans="1:20" ht="16.5" customHeight="1">
      <c r="A43" s="140"/>
      <c r="B43" s="15" t="s">
        <v>29</v>
      </c>
      <c r="C43" s="86" t="e">
        <f>C42/E43</f>
        <v>#DIV/0!</v>
      </c>
      <c r="D43" s="85" t="e">
        <f>D42/E43</f>
        <v>#DIV/0!</v>
      </c>
      <c r="E43" s="16">
        <f>C42+D42</f>
        <v>0</v>
      </c>
      <c r="F43" s="86" t="e">
        <f t="shared" ref="F43" si="26">F42/H43</f>
        <v>#DIV/0!</v>
      </c>
      <c r="G43" s="85" t="e">
        <f t="shared" ref="G43" si="27">G42/H43</f>
        <v>#DIV/0!</v>
      </c>
      <c r="H43" s="16">
        <f t="shared" ref="H43" si="28">F42+G42</f>
        <v>0</v>
      </c>
      <c r="I43" s="86" t="e">
        <f t="shared" ref="I43" si="29">I42/K43</f>
        <v>#DIV/0!</v>
      </c>
      <c r="J43" s="85" t="e">
        <f t="shared" ref="J43" si="30">J42/K43</f>
        <v>#DIV/0!</v>
      </c>
      <c r="K43" s="16">
        <f t="shared" ref="K43" si="31">I42+J42</f>
        <v>0</v>
      </c>
      <c r="L43" s="86" t="e">
        <f t="shared" ref="L43" si="32">L42/N43</f>
        <v>#DIV/0!</v>
      </c>
      <c r="M43" s="85" t="e">
        <f t="shared" ref="M43" si="33">M42/N43</f>
        <v>#DIV/0!</v>
      </c>
      <c r="N43" s="16">
        <f t="shared" ref="N43" si="34">L42+M42</f>
        <v>0</v>
      </c>
      <c r="O43" s="86" t="e">
        <f t="shared" ref="O43" si="35">O42/Q43</f>
        <v>#DIV/0!</v>
      </c>
      <c r="P43" s="85" t="e">
        <f t="shared" ref="P43" si="36">P42/Q43</f>
        <v>#DIV/0!</v>
      </c>
      <c r="Q43" s="16">
        <f t="shared" ref="Q43" si="37">O42+P42</f>
        <v>0</v>
      </c>
      <c r="R43" s="86" t="e">
        <f t="shared" ref="R43" si="38">R42/T43</f>
        <v>#DIV/0!</v>
      </c>
      <c r="S43" s="85" t="e">
        <f t="shared" ref="S43" si="39">S42/T43</f>
        <v>#DIV/0!</v>
      </c>
      <c r="T43" s="16">
        <f t="shared" ref="T43" si="40">R42+S42</f>
        <v>0</v>
      </c>
    </row>
    <row r="44" spans="1:20" ht="15.75">
      <c r="A44" s="141" t="s">
        <v>49</v>
      </c>
      <c r="B44" s="142"/>
      <c r="C44" s="22"/>
      <c r="D44" s="22"/>
      <c r="E44" s="22"/>
      <c r="F44" s="22"/>
      <c r="G44" s="22"/>
      <c r="H44" s="22"/>
      <c r="I44" s="43"/>
      <c r="J44" s="43"/>
      <c r="K44" s="43"/>
      <c r="L44" s="43"/>
      <c r="M44" s="43"/>
      <c r="N44" s="43"/>
      <c r="O44" s="43"/>
      <c r="P44" s="43"/>
      <c r="Q44" s="43"/>
      <c r="R44" s="45"/>
      <c r="S44" s="45"/>
      <c r="T44" s="46"/>
    </row>
    <row r="45" spans="1:20">
      <c r="A45" s="23" t="s">
        <v>50</v>
      </c>
      <c r="B45" s="24"/>
      <c r="C45" s="24"/>
      <c r="D45" s="24"/>
      <c r="E45" s="24"/>
      <c r="F45" s="24"/>
      <c r="G45" s="24"/>
      <c r="H45" s="24"/>
      <c r="I45" s="21"/>
      <c r="J45" s="21"/>
      <c r="K45" s="21"/>
      <c r="L45" s="21"/>
      <c r="M45" s="21"/>
      <c r="N45" s="21"/>
      <c r="O45" s="21"/>
      <c r="P45" s="21"/>
      <c r="Q45" s="21"/>
      <c r="T45" s="47"/>
    </row>
    <row r="46" spans="1:20">
      <c r="A46" s="23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T46" s="47"/>
    </row>
    <row r="47" spans="1:20">
      <c r="A47" s="23" t="s">
        <v>51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T47" s="47"/>
    </row>
    <row r="48" spans="1:20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T48" s="47"/>
    </row>
    <row r="49" spans="1:20">
      <c r="A49" s="23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T49" s="47"/>
    </row>
    <row r="50" spans="1:20" ht="15.75" customHeight="1" thickBot="1">
      <c r="A50" s="143" t="s">
        <v>52</v>
      </c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5"/>
    </row>
    <row r="51" spans="1:20" ht="15" customHeight="1">
      <c r="A51" s="146" t="s">
        <v>53</v>
      </c>
      <c r="B51" s="147"/>
      <c r="C51" s="148" cm="1">
        <f t="array" ref="C51">SUM(C42+D42+F42:G42+I42:J42+L42:M42+O42:P42+R42:S42+R17:S17+O17:P17+L17:M17+I17:J17+F17:G17+C17:D17)</f>
        <v>0</v>
      </c>
      <c r="D51" s="149"/>
      <c r="E51" s="149"/>
      <c r="F51" s="150"/>
      <c r="G51" s="151">
        <v>1</v>
      </c>
      <c r="H51" s="152"/>
      <c r="I51" s="87" t="s">
        <v>54</v>
      </c>
      <c r="J51" s="25"/>
      <c r="K51" s="25"/>
      <c r="L51" s="153" t="s">
        <v>55</v>
      </c>
      <c r="M51" s="154"/>
      <c r="N51" s="154"/>
      <c r="O51" s="154"/>
      <c r="P51" s="154"/>
      <c r="Q51" s="154"/>
      <c r="R51" s="154"/>
      <c r="S51" s="154"/>
      <c r="T51" s="155"/>
    </row>
    <row r="52" spans="1:20" ht="15" customHeight="1">
      <c r="A52" s="123" t="s">
        <v>56</v>
      </c>
      <c r="B52" s="124"/>
      <c r="C52" s="113">
        <f>SUM(C17+F17+I17+L17+O17+R17+C42+F42+I42+L42+O42+R42)</f>
        <v>0</v>
      </c>
      <c r="D52" s="114"/>
      <c r="E52" s="114"/>
      <c r="F52" s="115"/>
      <c r="G52" s="119" t="e">
        <f>C52/C51</f>
        <v>#DIV/0!</v>
      </c>
      <c r="H52" s="120"/>
      <c r="I52" s="27" t="s">
        <v>57</v>
      </c>
      <c r="J52" s="28"/>
      <c r="K52" s="28"/>
      <c r="L52" s="156"/>
      <c r="M52" s="157"/>
      <c r="N52" s="157"/>
      <c r="O52" s="157"/>
      <c r="P52" s="157"/>
      <c r="Q52" s="157"/>
      <c r="R52" s="157"/>
      <c r="S52" s="157"/>
      <c r="T52" s="158"/>
    </row>
    <row r="53" spans="1:20">
      <c r="A53" s="123"/>
      <c r="B53" s="124"/>
      <c r="C53" s="116"/>
      <c r="D53" s="117"/>
      <c r="E53" s="117"/>
      <c r="F53" s="118"/>
      <c r="G53" s="121"/>
      <c r="H53" s="122"/>
      <c r="I53" s="30" t="s">
        <v>58</v>
      </c>
      <c r="J53" s="28"/>
      <c r="K53" s="28"/>
      <c r="L53" s="156"/>
      <c r="M53" s="157"/>
      <c r="N53" s="157"/>
      <c r="O53" s="157"/>
      <c r="P53" s="157"/>
      <c r="Q53" s="157"/>
      <c r="R53" s="157"/>
      <c r="S53" s="157"/>
      <c r="T53" s="158"/>
    </row>
    <row r="54" spans="1:20" ht="15" customHeight="1">
      <c r="A54" s="123" t="s">
        <v>59</v>
      </c>
      <c r="B54" s="124"/>
      <c r="C54" s="113">
        <f>SUM(S42+P42+M42+J42+G42+D42+D17+G17+J17+M17+P17+S17)</f>
        <v>0</v>
      </c>
      <c r="D54" s="114"/>
      <c r="E54" s="114"/>
      <c r="F54" s="115"/>
      <c r="G54" s="119" t="e">
        <f>C54/C51</f>
        <v>#DIV/0!</v>
      </c>
      <c r="H54" s="120"/>
      <c r="I54" s="31"/>
      <c r="J54" s="29"/>
      <c r="K54" s="29"/>
      <c r="L54" s="156"/>
      <c r="M54" s="157"/>
      <c r="N54" s="157"/>
      <c r="O54" s="157"/>
      <c r="P54" s="157"/>
      <c r="Q54" s="157"/>
      <c r="R54" s="157"/>
      <c r="S54" s="157"/>
      <c r="T54" s="158"/>
    </row>
    <row r="55" spans="1:20">
      <c r="A55" s="123"/>
      <c r="B55" s="124"/>
      <c r="C55" s="116"/>
      <c r="D55" s="117"/>
      <c r="E55" s="117"/>
      <c r="F55" s="118"/>
      <c r="G55" s="121"/>
      <c r="H55" s="122"/>
      <c r="I55" s="31"/>
      <c r="J55" s="29"/>
      <c r="K55" s="29"/>
      <c r="L55" s="156"/>
      <c r="M55" s="157"/>
      <c r="N55" s="157"/>
      <c r="O55" s="157"/>
      <c r="P55" s="157"/>
      <c r="Q55" s="157"/>
      <c r="R55" s="157"/>
      <c r="S55" s="157"/>
      <c r="T55" s="158"/>
    </row>
    <row r="56" spans="1:20" ht="15" customHeight="1">
      <c r="A56" s="123" t="s">
        <v>60</v>
      </c>
      <c r="B56" s="124"/>
      <c r="C56" s="113">
        <f>SUM(T42+Q42+N42+K42+H42+E42+T17+Q17+N17+K17+H17+E17)</f>
        <v>0</v>
      </c>
      <c r="D56" s="114"/>
      <c r="E56" s="114"/>
      <c r="F56" s="115"/>
      <c r="G56" s="130" t="e">
        <f>C56/C51</f>
        <v>#DIV/0!</v>
      </c>
      <c r="H56" s="131"/>
      <c r="I56" s="31"/>
      <c r="J56" s="29"/>
      <c r="K56" s="29"/>
      <c r="L56" s="156"/>
      <c r="M56" s="157"/>
      <c r="N56" s="157"/>
      <c r="O56" s="157"/>
      <c r="P56" s="157"/>
      <c r="Q56" s="157"/>
      <c r="R56" s="157"/>
      <c r="S56" s="157"/>
      <c r="T56" s="158"/>
    </row>
    <row r="57" spans="1:20" ht="15.75" customHeight="1">
      <c r="A57" s="125"/>
      <c r="B57" s="126"/>
      <c r="C57" s="127"/>
      <c r="D57" s="128"/>
      <c r="E57" s="128"/>
      <c r="F57" s="129"/>
      <c r="G57" s="132"/>
      <c r="H57" s="133"/>
      <c r="I57" s="32"/>
      <c r="J57" s="33"/>
      <c r="K57" s="33"/>
      <c r="L57" s="159"/>
      <c r="M57" s="160"/>
      <c r="N57" s="160"/>
      <c r="O57" s="160"/>
      <c r="P57" s="160"/>
      <c r="Q57" s="160"/>
      <c r="R57" s="160"/>
      <c r="S57" s="160"/>
      <c r="T57" s="161"/>
    </row>
    <row r="58" spans="1:20">
      <c r="A58" s="36" t="s">
        <v>61</v>
      </c>
      <c r="B58" s="35"/>
      <c r="C58" s="35"/>
      <c r="D58" s="35"/>
      <c r="E58" s="35"/>
      <c r="F58" s="35"/>
      <c r="G58" s="35"/>
      <c r="H58" s="26"/>
      <c r="I58" s="35"/>
      <c r="J58" s="36" t="s">
        <v>62</v>
      </c>
      <c r="K58" s="37"/>
      <c r="L58" s="37"/>
      <c r="M58" s="29"/>
      <c r="N58" s="29"/>
      <c r="O58" s="29"/>
      <c r="P58" s="29"/>
      <c r="Q58" s="29"/>
      <c r="T58" s="47"/>
    </row>
    <row r="59" spans="1:20">
      <c r="A59" s="107" t="s">
        <v>63</v>
      </c>
      <c r="B59" s="108"/>
      <c r="C59" s="38"/>
      <c r="D59" s="38"/>
      <c r="E59" s="38"/>
      <c r="F59" s="39"/>
      <c r="G59" s="39"/>
      <c r="H59" s="39"/>
      <c r="I59" s="39"/>
      <c r="J59" s="40" t="s">
        <v>64</v>
      </c>
      <c r="K59" s="41"/>
      <c r="L59" s="41"/>
      <c r="M59" s="33"/>
      <c r="N59" s="33"/>
      <c r="O59" s="33"/>
      <c r="P59" s="33"/>
      <c r="Q59" s="33"/>
      <c r="R59" s="48"/>
      <c r="S59" s="48"/>
      <c r="T59" s="49"/>
    </row>
    <row r="60" spans="1:20" ht="42" customHeight="1">
      <c r="A60" s="109" t="s">
        <v>65</v>
      </c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1"/>
    </row>
    <row r="61" spans="1:20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</row>
    <row r="62" spans="1:20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</row>
  </sheetData>
  <mergeCells count="66">
    <mergeCell ref="A4:E4"/>
    <mergeCell ref="F4:T4"/>
    <mergeCell ref="A1:D3"/>
    <mergeCell ref="E1:T1"/>
    <mergeCell ref="E2:T2"/>
    <mergeCell ref="E3:H3"/>
    <mergeCell ref="I3:N3"/>
    <mergeCell ref="O3:T3"/>
    <mergeCell ref="A61:Q61"/>
    <mergeCell ref="O20:Q20"/>
    <mergeCell ref="R20:T20"/>
    <mergeCell ref="O21:P21"/>
    <mergeCell ref="Q21:Q22"/>
    <mergeCell ref="R21:S21"/>
    <mergeCell ref="T21:T22"/>
    <mergeCell ref="A56:B57"/>
    <mergeCell ref="C56:F57"/>
    <mergeCell ref="G56:H57"/>
    <mergeCell ref="A59:B59"/>
    <mergeCell ref="K21:K22"/>
    <mergeCell ref="L21:M21"/>
    <mergeCell ref="L51:T57"/>
    <mergeCell ref="A52:B53"/>
    <mergeCell ref="C52:F53"/>
    <mergeCell ref="G52:H53"/>
    <mergeCell ref="A54:B55"/>
    <mergeCell ref="C54:F55"/>
    <mergeCell ref="G54:H55"/>
    <mergeCell ref="A23:A43"/>
    <mergeCell ref="A44:B44"/>
    <mergeCell ref="A51:B51"/>
    <mergeCell ref="C51:F51"/>
    <mergeCell ref="G51:H51"/>
    <mergeCell ref="A50:T50"/>
    <mergeCell ref="Q6:Q7"/>
    <mergeCell ref="R6:S6"/>
    <mergeCell ref="T6:T7"/>
    <mergeCell ref="A8:A18"/>
    <mergeCell ref="A20:B22"/>
    <mergeCell ref="C20:E20"/>
    <mergeCell ref="F20:H20"/>
    <mergeCell ref="I20:K20"/>
    <mergeCell ref="L20:N20"/>
    <mergeCell ref="C21:D21"/>
    <mergeCell ref="A5:B7"/>
    <mergeCell ref="N21:N22"/>
    <mergeCell ref="E21:E22"/>
    <mergeCell ref="F21:G21"/>
    <mergeCell ref="H21:H22"/>
    <mergeCell ref="I21:J21"/>
    <mergeCell ref="A60:T60"/>
    <mergeCell ref="R5:T5"/>
    <mergeCell ref="C6:D6"/>
    <mergeCell ref="E6:E7"/>
    <mergeCell ref="F6:G6"/>
    <mergeCell ref="H6:H7"/>
    <mergeCell ref="I6:J6"/>
    <mergeCell ref="K6:K7"/>
    <mergeCell ref="L6:M6"/>
    <mergeCell ref="N6:N7"/>
    <mergeCell ref="O6:P6"/>
    <mergeCell ref="C5:E5"/>
    <mergeCell ref="F5:H5"/>
    <mergeCell ref="I5:K5"/>
    <mergeCell ref="L5:N5"/>
    <mergeCell ref="O5:Q5"/>
  </mergeCells>
  <printOptions horizontalCentered="1" verticalCentered="1"/>
  <pageMargins left="0.39370078740157483" right="0.39370078740157483" top="0" bottom="0" header="0.31496062992125984" footer="0.31496062992125984"/>
  <pageSetup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6FA2-F5AE-4C3E-9661-8ED2E5740570}">
  <sheetPr>
    <pageSetUpPr fitToPage="1"/>
  </sheetPr>
  <dimension ref="A1:T62"/>
  <sheetViews>
    <sheetView topLeftCell="A40" workbookViewId="0">
      <selection activeCell="W55" sqref="W55"/>
    </sheetView>
  </sheetViews>
  <sheetFormatPr defaultColWidth="11.42578125" defaultRowHeight="15"/>
  <cols>
    <col min="2" max="2" width="18.140625" customWidth="1"/>
    <col min="3" max="3" width="6.140625" customWidth="1"/>
    <col min="4" max="4" width="6.42578125" customWidth="1"/>
    <col min="5" max="5" width="6.140625" customWidth="1"/>
    <col min="6" max="6" width="6" customWidth="1"/>
    <col min="7" max="7" width="5.85546875" customWidth="1"/>
    <col min="8" max="9" width="6.42578125" customWidth="1"/>
    <col min="10" max="10" width="7.140625" customWidth="1"/>
    <col min="11" max="11" width="6.140625" customWidth="1"/>
    <col min="12" max="12" width="5.7109375" customWidth="1"/>
    <col min="13" max="16" width="5.85546875" customWidth="1"/>
    <col min="17" max="17" width="5.7109375" customWidth="1"/>
    <col min="18" max="18" width="5.5703125" customWidth="1"/>
    <col min="19" max="19" width="5.42578125" customWidth="1"/>
    <col min="20" max="20" width="5.85546875" customWidth="1"/>
  </cols>
  <sheetData>
    <row r="1" spans="1:20" ht="15.75">
      <c r="A1" s="203"/>
      <c r="B1" s="204"/>
      <c r="C1" s="204"/>
      <c r="D1" s="205"/>
      <c r="E1" s="212" t="s">
        <v>0</v>
      </c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4"/>
    </row>
    <row r="2" spans="1:20" ht="15.75">
      <c r="A2" s="206"/>
      <c r="B2" s="207"/>
      <c r="C2" s="207"/>
      <c r="D2" s="208"/>
      <c r="E2" s="212" t="s">
        <v>1</v>
      </c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4"/>
    </row>
    <row r="3" spans="1:20" ht="15.75">
      <c r="A3" s="209"/>
      <c r="B3" s="210"/>
      <c r="C3" s="210"/>
      <c r="D3" s="211"/>
      <c r="E3" s="218" t="s">
        <v>66</v>
      </c>
      <c r="F3" s="216"/>
      <c r="G3" s="216"/>
      <c r="H3" s="217"/>
      <c r="I3" s="218" t="s">
        <v>67</v>
      </c>
      <c r="J3" s="216"/>
      <c r="K3" s="216"/>
      <c r="L3" s="216"/>
      <c r="M3" s="216"/>
      <c r="N3" s="217"/>
      <c r="O3" s="218" t="s">
        <v>68</v>
      </c>
      <c r="P3" s="216"/>
      <c r="Q3" s="216"/>
      <c r="R3" s="216"/>
      <c r="S3" s="216"/>
      <c r="T3" s="217"/>
    </row>
    <row r="4" spans="1:20">
      <c r="A4" s="195" t="s">
        <v>5</v>
      </c>
      <c r="B4" s="196"/>
      <c r="C4" s="196"/>
      <c r="D4" s="196"/>
      <c r="E4" s="196"/>
      <c r="F4" s="197" t="s">
        <v>6</v>
      </c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9"/>
    </row>
    <row r="5" spans="1:20" ht="24.75" customHeight="1">
      <c r="A5" s="174" t="s">
        <v>7</v>
      </c>
      <c r="B5" s="175"/>
      <c r="C5" s="180" t="s">
        <v>8</v>
      </c>
      <c r="D5" s="181"/>
      <c r="E5" s="181"/>
      <c r="F5" s="180" t="s">
        <v>9</v>
      </c>
      <c r="G5" s="181"/>
      <c r="H5" s="181"/>
      <c r="I5" s="180" t="s">
        <v>10</v>
      </c>
      <c r="J5" s="181"/>
      <c r="K5" s="181"/>
      <c r="L5" s="180" t="s">
        <v>11</v>
      </c>
      <c r="M5" s="181"/>
      <c r="N5" s="181"/>
      <c r="O5" s="180" t="s">
        <v>12</v>
      </c>
      <c r="P5" s="181"/>
      <c r="Q5" s="181"/>
      <c r="R5" s="200" t="s">
        <v>13</v>
      </c>
      <c r="S5" s="201"/>
      <c r="T5" s="202"/>
    </row>
    <row r="6" spans="1:20" ht="15" customHeight="1">
      <c r="A6" s="176"/>
      <c r="B6" s="177"/>
      <c r="C6" s="170" t="s">
        <v>14</v>
      </c>
      <c r="D6" s="171"/>
      <c r="E6" s="167" t="s">
        <v>15</v>
      </c>
      <c r="F6" s="170" t="s">
        <v>14</v>
      </c>
      <c r="G6" s="171"/>
      <c r="H6" s="167" t="s">
        <v>15</v>
      </c>
      <c r="I6" s="165" t="s">
        <v>14</v>
      </c>
      <c r="J6" s="166"/>
      <c r="K6" s="167" t="s">
        <v>15</v>
      </c>
      <c r="L6" s="193" t="s">
        <v>14</v>
      </c>
      <c r="M6" s="194"/>
      <c r="N6" s="167" t="s">
        <v>15</v>
      </c>
      <c r="O6" s="170" t="s">
        <v>14</v>
      </c>
      <c r="P6" s="171"/>
      <c r="Q6" s="167" t="s">
        <v>15</v>
      </c>
      <c r="R6" s="189" t="s">
        <v>14</v>
      </c>
      <c r="S6" s="190"/>
      <c r="T6" s="191" t="s">
        <v>15</v>
      </c>
    </row>
    <row r="7" spans="1:20" ht="15.75" customHeight="1">
      <c r="A7" s="178"/>
      <c r="B7" s="179"/>
      <c r="C7" s="1" t="s">
        <v>16</v>
      </c>
      <c r="D7" s="2" t="s">
        <v>17</v>
      </c>
      <c r="E7" s="168"/>
      <c r="F7" s="1" t="s">
        <v>16</v>
      </c>
      <c r="G7" s="2" t="s">
        <v>17</v>
      </c>
      <c r="H7" s="168"/>
      <c r="I7" s="1" t="s">
        <v>16</v>
      </c>
      <c r="J7" s="2" t="s">
        <v>17</v>
      </c>
      <c r="K7" s="168"/>
      <c r="L7" s="1" t="s">
        <v>16</v>
      </c>
      <c r="M7" s="2" t="s">
        <v>17</v>
      </c>
      <c r="N7" s="168"/>
      <c r="O7" s="1" t="s">
        <v>16</v>
      </c>
      <c r="P7" s="2" t="s">
        <v>17</v>
      </c>
      <c r="Q7" s="168"/>
      <c r="R7" s="1" t="s">
        <v>16</v>
      </c>
      <c r="S7" s="2" t="s">
        <v>17</v>
      </c>
      <c r="T7" s="192"/>
    </row>
    <row r="8" spans="1:20" ht="24" customHeight="1">
      <c r="A8" s="138" t="s">
        <v>18</v>
      </c>
      <c r="B8" s="3" t="s">
        <v>19</v>
      </c>
      <c r="C8" s="4"/>
      <c r="D8" s="5"/>
      <c r="E8" s="6"/>
      <c r="F8" s="52"/>
      <c r="G8" s="5"/>
      <c r="H8" s="6"/>
      <c r="I8" s="52"/>
      <c r="J8" s="5"/>
      <c r="K8" s="6"/>
      <c r="L8" s="52"/>
      <c r="M8" s="5"/>
      <c r="N8" s="6"/>
      <c r="O8" s="52"/>
      <c r="P8" s="5"/>
      <c r="Q8" s="6"/>
      <c r="R8" s="52"/>
      <c r="S8" s="5"/>
      <c r="T8" s="6"/>
    </row>
    <row r="9" spans="1:20">
      <c r="A9" s="139"/>
      <c r="B9" s="44" t="s">
        <v>20</v>
      </c>
      <c r="C9" s="4"/>
      <c r="D9" s="55"/>
      <c r="E9" s="8"/>
      <c r="F9" s="52"/>
      <c r="G9" s="55"/>
      <c r="H9" s="8"/>
      <c r="I9" s="52"/>
      <c r="J9" s="55"/>
      <c r="K9" s="8"/>
      <c r="L9" s="52"/>
      <c r="M9" s="55"/>
      <c r="N9" s="8"/>
      <c r="O9" s="52"/>
      <c r="P9" s="55"/>
      <c r="Q9" s="8"/>
      <c r="R9" s="52"/>
      <c r="S9" s="55"/>
      <c r="T9" s="8"/>
    </row>
    <row r="10" spans="1:20">
      <c r="A10" s="139"/>
      <c r="B10" s="7" t="s">
        <v>21</v>
      </c>
      <c r="C10" s="4"/>
      <c r="D10" s="52"/>
      <c r="E10" s="8"/>
      <c r="F10" s="52"/>
      <c r="G10" s="52"/>
      <c r="H10" s="8"/>
      <c r="I10" s="52"/>
      <c r="J10" s="52"/>
      <c r="K10" s="8"/>
      <c r="L10" s="52"/>
      <c r="M10" s="52"/>
      <c r="N10" s="8"/>
      <c r="O10" s="52"/>
      <c r="P10" s="52"/>
      <c r="Q10" s="8"/>
      <c r="R10" s="52"/>
      <c r="S10" s="52"/>
      <c r="T10" s="8"/>
    </row>
    <row r="11" spans="1:20" ht="18" customHeight="1">
      <c r="A11" s="139"/>
      <c r="B11" s="44" t="s">
        <v>22</v>
      </c>
      <c r="C11" s="4"/>
      <c r="D11" s="52"/>
      <c r="E11" s="8"/>
      <c r="F11" s="52"/>
      <c r="G11" s="52"/>
      <c r="H11" s="8"/>
      <c r="I11" s="52"/>
      <c r="J11" s="52"/>
      <c r="K11" s="8"/>
      <c r="L11" s="52"/>
      <c r="M11" s="52"/>
      <c r="N11" s="8"/>
      <c r="O11" s="52"/>
      <c r="P11" s="52"/>
      <c r="Q11" s="8"/>
      <c r="R11" s="52"/>
      <c r="S11" s="52"/>
      <c r="T11" s="8"/>
    </row>
    <row r="12" spans="1:20" ht="21" customHeight="1">
      <c r="A12" s="139"/>
      <c r="B12" s="7" t="s">
        <v>23</v>
      </c>
      <c r="C12" s="4"/>
      <c r="D12" s="52"/>
      <c r="E12" s="8"/>
      <c r="F12" s="52"/>
      <c r="G12" s="52"/>
      <c r="H12" s="8"/>
      <c r="I12" s="52"/>
      <c r="J12" s="52"/>
      <c r="K12" s="8"/>
      <c r="L12" s="52"/>
      <c r="M12" s="52"/>
      <c r="N12" s="8"/>
      <c r="O12" s="52"/>
      <c r="P12" s="52"/>
      <c r="Q12" s="8"/>
      <c r="R12" s="52"/>
      <c r="S12" s="52"/>
      <c r="T12" s="8"/>
    </row>
    <row r="13" spans="1:20">
      <c r="A13" s="139"/>
      <c r="B13" s="7" t="s">
        <v>24</v>
      </c>
      <c r="C13" s="4"/>
      <c r="D13" s="52"/>
      <c r="E13" s="8"/>
      <c r="F13" s="52"/>
      <c r="G13" s="52"/>
      <c r="H13" s="8"/>
      <c r="I13" s="52"/>
      <c r="J13" s="52"/>
      <c r="K13" s="8"/>
      <c r="L13" s="50"/>
      <c r="M13" s="52"/>
      <c r="N13" s="8"/>
      <c r="O13" s="52"/>
      <c r="P13" s="52"/>
      <c r="Q13" s="8"/>
      <c r="R13" s="50"/>
      <c r="S13" s="52"/>
      <c r="T13" s="8"/>
    </row>
    <row r="14" spans="1:20" ht="16.5" customHeight="1">
      <c r="A14" s="139"/>
      <c r="B14" s="7" t="s">
        <v>25</v>
      </c>
      <c r="C14" s="4"/>
      <c r="D14" s="52"/>
      <c r="E14" s="8"/>
      <c r="F14" s="52"/>
      <c r="G14" s="52"/>
      <c r="H14" s="8"/>
      <c r="I14" s="52"/>
      <c r="J14" s="52"/>
      <c r="K14" s="8"/>
      <c r="L14" s="52"/>
      <c r="M14" s="52"/>
      <c r="N14" s="8"/>
      <c r="O14" s="52"/>
      <c r="P14" s="52"/>
      <c r="Q14" s="8"/>
      <c r="R14" s="50"/>
      <c r="S14" s="52"/>
      <c r="T14" s="8"/>
    </row>
    <row r="15" spans="1:20" ht="16.5" customHeight="1">
      <c r="A15" s="139"/>
      <c r="B15" s="7" t="s">
        <v>26</v>
      </c>
      <c r="C15" s="4"/>
      <c r="D15" s="52"/>
      <c r="E15" s="8"/>
      <c r="F15" s="52"/>
      <c r="G15" s="52"/>
      <c r="H15" s="8"/>
      <c r="I15" s="52"/>
      <c r="J15" s="52"/>
      <c r="K15" s="8"/>
      <c r="L15" s="52"/>
      <c r="M15" s="52"/>
      <c r="N15" s="8"/>
      <c r="O15" s="52"/>
      <c r="P15" s="52"/>
      <c r="Q15" s="8"/>
      <c r="R15" s="50"/>
      <c r="S15" s="52"/>
      <c r="T15" s="8"/>
    </row>
    <row r="16" spans="1:20" ht="15" customHeight="1">
      <c r="A16" s="139"/>
      <c r="B16" s="7" t="s">
        <v>27</v>
      </c>
      <c r="C16" s="4"/>
      <c r="D16" s="10"/>
      <c r="E16" s="8"/>
      <c r="F16" s="52"/>
      <c r="G16" s="10"/>
      <c r="H16" s="8"/>
      <c r="I16" s="52"/>
      <c r="J16" s="10"/>
      <c r="K16" s="8"/>
      <c r="L16" s="52"/>
      <c r="M16" s="10"/>
      <c r="N16" s="8"/>
      <c r="O16" s="52"/>
      <c r="P16" s="10"/>
      <c r="Q16" s="8"/>
      <c r="R16" s="9"/>
      <c r="S16" s="10"/>
      <c r="T16" s="8"/>
    </row>
    <row r="17" spans="1:20">
      <c r="A17" s="139"/>
      <c r="B17" s="11" t="s">
        <v>28</v>
      </c>
      <c r="C17" s="51">
        <f>SUM(C8:C16)</f>
        <v>0</v>
      </c>
      <c r="D17" s="51">
        <f>SUM(D8:D16)</f>
        <v>0</v>
      </c>
      <c r="E17" s="51">
        <f t="shared" ref="E17:T17" si="0">SUM(E8:E16)</f>
        <v>0</v>
      </c>
      <c r="F17" s="51">
        <f t="shared" si="0"/>
        <v>0</v>
      </c>
      <c r="G17" s="51">
        <f t="shared" si="0"/>
        <v>0</v>
      </c>
      <c r="H17" s="51">
        <f t="shared" si="0"/>
        <v>0</v>
      </c>
      <c r="I17" s="51">
        <f t="shared" si="0"/>
        <v>0</v>
      </c>
      <c r="J17" s="51">
        <f t="shared" si="0"/>
        <v>0</v>
      </c>
      <c r="K17" s="51">
        <f t="shared" si="0"/>
        <v>0</v>
      </c>
      <c r="L17" s="51">
        <f t="shared" si="0"/>
        <v>0</v>
      </c>
      <c r="M17" s="51">
        <f t="shared" si="0"/>
        <v>0</v>
      </c>
      <c r="N17" s="51">
        <f t="shared" si="0"/>
        <v>0</v>
      </c>
      <c r="O17" s="51">
        <f t="shared" si="0"/>
        <v>0</v>
      </c>
      <c r="P17" s="51">
        <f t="shared" si="0"/>
        <v>0</v>
      </c>
      <c r="Q17" s="51">
        <f t="shared" si="0"/>
        <v>0</v>
      </c>
      <c r="R17" s="51">
        <f t="shared" si="0"/>
        <v>0</v>
      </c>
      <c r="S17" s="51">
        <f t="shared" si="0"/>
        <v>0</v>
      </c>
      <c r="T17" s="51">
        <f t="shared" si="0"/>
        <v>0</v>
      </c>
    </row>
    <row r="18" spans="1:20">
      <c r="A18" s="140"/>
      <c r="B18" s="15" t="s">
        <v>29</v>
      </c>
      <c r="C18" s="83" t="e">
        <f>C17/E18</f>
        <v>#DIV/0!</v>
      </c>
      <c r="D18" s="84" t="e">
        <f>D17/E18</f>
        <v>#DIV/0!</v>
      </c>
      <c r="E18" s="82">
        <f>C17+D17</f>
        <v>0</v>
      </c>
      <c r="F18" s="83" t="e">
        <f t="shared" ref="F18" si="1">F17/H18</f>
        <v>#DIV/0!</v>
      </c>
      <c r="G18" s="84" t="e">
        <f t="shared" ref="G18" si="2">G17/H18</f>
        <v>#DIV/0!</v>
      </c>
      <c r="H18" s="82">
        <f t="shared" ref="H18" si="3">F17+G17</f>
        <v>0</v>
      </c>
      <c r="I18" s="83" t="e">
        <f t="shared" ref="I18" si="4">I17/K18</f>
        <v>#DIV/0!</v>
      </c>
      <c r="J18" s="84" t="e">
        <f t="shared" ref="J18" si="5">J17/K18</f>
        <v>#DIV/0!</v>
      </c>
      <c r="K18" s="82">
        <f t="shared" ref="K18" si="6">I17+J17</f>
        <v>0</v>
      </c>
      <c r="L18" s="83" t="e">
        <f t="shared" ref="L18" si="7">L17/N18</f>
        <v>#DIV/0!</v>
      </c>
      <c r="M18" s="84" t="e">
        <f t="shared" ref="M18" si="8">M17/N18</f>
        <v>#DIV/0!</v>
      </c>
      <c r="N18" s="82">
        <f t="shared" ref="N18" si="9">L17+M17</f>
        <v>0</v>
      </c>
      <c r="O18" s="83" t="e">
        <f t="shared" ref="O18" si="10">O17/Q18</f>
        <v>#DIV/0!</v>
      </c>
      <c r="P18" s="84" t="e">
        <f t="shared" ref="P18" si="11">P17/Q18</f>
        <v>#DIV/0!</v>
      </c>
      <c r="Q18" s="82">
        <f t="shared" ref="Q18" si="12">O17+P17</f>
        <v>0</v>
      </c>
      <c r="R18" s="83" t="e">
        <f t="shared" ref="R18" si="13">R17/T18</f>
        <v>#DIV/0!</v>
      </c>
      <c r="S18" s="84" t="e">
        <f t="shared" ref="S18" si="14">S17/T18</f>
        <v>#DIV/0!</v>
      </c>
      <c r="T18" s="82">
        <f t="shared" ref="T18" si="15">R17+S17</f>
        <v>0</v>
      </c>
    </row>
    <row r="19" spans="1:20">
      <c r="A19" s="17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20" ht="15.75" customHeight="1">
      <c r="A20" s="174" t="s">
        <v>7</v>
      </c>
      <c r="B20" s="175"/>
      <c r="C20" s="180" t="s">
        <v>30</v>
      </c>
      <c r="D20" s="181"/>
      <c r="E20" s="181"/>
      <c r="F20" s="180" t="s">
        <v>31</v>
      </c>
      <c r="G20" s="181"/>
      <c r="H20" s="182"/>
      <c r="I20" s="180" t="s">
        <v>32</v>
      </c>
      <c r="J20" s="181"/>
      <c r="K20" s="182"/>
      <c r="L20" s="183" t="s">
        <v>33</v>
      </c>
      <c r="M20" s="184"/>
      <c r="N20" s="185"/>
      <c r="O20" s="186" t="s">
        <v>34</v>
      </c>
      <c r="P20" s="187"/>
      <c r="Q20" s="188"/>
      <c r="R20" s="162" t="s">
        <v>35</v>
      </c>
      <c r="S20" s="163"/>
      <c r="T20" s="164"/>
    </row>
    <row r="21" spans="1:20" ht="15" customHeight="1">
      <c r="A21" s="176"/>
      <c r="B21" s="177"/>
      <c r="C21" s="165" t="s">
        <v>14</v>
      </c>
      <c r="D21" s="166"/>
      <c r="E21" s="167" t="s">
        <v>15</v>
      </c>
      <c r="F21" s="165" t="s">
        <v>14</v>
      </c>
      <c r="G21" s="166"/>
      <c r="H21" s="169" t="s">
        <v>15</v>
      </c>
      <c r="I21" s="165" t="s">
        <v>14</v>
      </c>
      <c r="J21" s="166"/>
      <c r="K21" s="169" t="s">
        <v>15</v>
      </c>
      <c r="L21" s="170" t="s">
        <v>14</v>
      </c>
      <c r="M21" s="171"/>
      <c r="N21" s="172" t="s">
        <v>15</v>
      </c>
      <c r="O21" s="170" t="s">
        <v>14</v>
      </c>
      <c r="P21" s="171"/>
      <c r="Q21" s="172" t="s">
        <v>15</v>
      </c>
      <c r="R21" s="134" t="s">
        <v>14</v>
      </c>
      <c r="S21" s="135"/>
      <c r="T21" s="136" t="s">
        <v>15</v>
      </c>
    </row>
    <row r="22" spans="1:20" ht="15.75" customHeight="1">
      <c r="A22" s="178"/>
      <c r="B22" s="179"/>
      <c r="C22" s="1" t="s">
        <v>16</v>
      </c>
      <c r="D22" s="2" t="s">
        <v>17</v>
      </c>
      <c r="E22" s="168"/>
      <c r="F22" s="1" t="s">
        <v>16</v>
      </c>
      <c r="G22" s="2" t="s">
        <v>17</v>
      </c>
      <c r="H22" s="137"/>
      <c r="I22" s="1" t="s">
        <v>16</v>
      </c>
      <c r="J22" s="2" t="s">
        <v>17</v>
      </c>
      <c r="K22" s="137"/>
      <c r="L22" s="1" t="s">
        <v>16</v>
      </c>
      <c r="M22" s="2" t="s">
        <v>17</v>
      </c>
      <c r="N22" s="173"/>
      <c r="O22" s="1" t="s">
        <v>16</v>
      </c>
      <c r="P22" s="2" t="s">
        <v>17</v>
      </c>
      <c r="Q22" s="173"/>
      <c r="R22" s="1" t="s">
        <v>16</v>
      </c>
      <c r="S22" s="2" t="s">
        <v>17</v>
      </c>
      <c r="T22" s="137"/>
    </row>
    <row r="23" spans="1:20" ht="24" customHeight="1">
      <c r="A23" s="138" t="s">
        <v>18</v>
      </c>
      <c r="B23" s="3" t="s">
        <v>19</v>
      </c>
      <c r="C23" s="4"/>
      <c r="D23" s="5"/>
      <c r="E23" s="56"/>
      <c r="F23" s="20"/>
      <c r="G23" s="5"/>
      <c r="H23" s="56"/>
      <c r="I23" s="20"/>
      <c r="J23" s="5"/>
      <c r="K23" s="56"/>
      <c r="L23" s="20"/>
      <c r="M23" s="5"/>
      <c r="N23" s="57"/>
      <c r="O23" s="64"/>
      <c r="P23" s="65"/>
      <c r="Q23" s="66"/>
      <c r="R23" s="64"/>
      <c r="S23" s="65"/>
      <c r="T23" s="66"/>
    </row>
    <row r="24" spans="1:20" ht="20.25">
      <c r="A24" s="139"/>
      <c r="B24" s="44" t="s">
        <v>36</v>
      </c>
      <c r="C24" s="58"/>
      <c r="D24" s="54"/>
      <c r="E24" s="59"/>
      <c r="F24" s="53"/>
      <c r="G24" s="54"/>
      <c r="H24" s="59"/>
      <c r="I24" s="53"/>
      <c r="J24" s="54"/>
      <c r="K24" s="59"/>
      <c r="L24" s="53"/>
      <c r="M24" s="54"/>
      <c r="N24" s="60"/>
      <c r="O24" s="64"/>
      <c r="P24" s="65"/>
      <c r="Q24" s="66"/>
      <c r="R24" s="64"/>
      <c r="S24" s="65"/>
      <c r="T24" s="66"/>
    </row>
    <row r="25" spans="1:20">
      <c r="A25" s="139"/>
      <c r="B25" s="7" t="s">
        <v>21</v>
      </c>
      <c r="C25" s="61"/>
      <c r="D25" s="62"/>
      <c r="E25" s="59"/>
      <c r="F25" s="63"/>
      <c r="G25" s="62"/>
      <c r="H25" s="59"/>
      <c r="I25" s="63"/>
      <c r="J25" s="62"/>
      <c r="K25" s="59"/>
      <c r="L25" s="63"/>
      <c r="M25" s="62"/>
      <c r="N25" s="60"/>
      <c r="O25" s="64"/>
      <c r="P25" s="65"/>
      <c r="Q25" s="66"/>
      <c r="R25" s="64"/>
      <c r="S25" s="65"/>
      <c r="T25" s="66"/>
    </row>
    <row r="26" spans="1:20">
      <c r="A26" s="139"/>
      <c r="B26" s="7" t="s">
        <v>37</v>
      </c>
      <c r="C26" s="71"/>
      <c r="D26" s="72"/>
      <c r="E26" s="73"/>
      <c r="F26" s="74"/>
      <c r="G26" s="72"/>
      <c r="H26" s="73"/>
      <c r="I26" s="74"/>
      <c r="J26" s="72"/>
      <c r="K26" s="73"/>
      <c r="L26" s="74"/>
      <c r="M26" s="72"/>
      <c r="N26" s="75"/>
      <c r="O26" s="76"/>
      <c r="P26" s="77"/>
      <c r="Q26" s="78"/>
      <c r="R26" s="64"/>
      <c r="S26" s="65"/>
      <c r="T26" s="66"/>
    </row>
    <row r="27" spans="1:20">
      <c r="A27" s="139"/>
      <c r="B27" s="7" t="s">
        <v>22</v>
      </c>
      <c r="C27" s="61"/>
      <c r="D27" s="62"/>
      <c r="E27" s="59"/>
      <c r="F27" s="63"/>
      <c r="G27" s="62"/>
      <c r="H27" s="59"/>
      <c r="I27" s="63"/>
      <c r="J27" s="62"/>
      <c r="K27" s="59"/>
      <c r="L27" s="63"/>
      <c r="M27" s="62"/>
      <c r="N27" s="60"/>
      <c r="O27" s="64"/>
      <c r="P27" s="65"/>
      <c r="Q27" s="66"/>
      <c r="R27" s="64"/>
      <c r="S27" s="65"/>
      <c r="T27" s="66"/>
    </row>
    <row r="28" spans="1:20">
      <c r="A28" s="139"/>
      <c r="B28" s="7" t="s">
        <v>38</v>
      </c>
      <c r="C28" s="71"/>
      <c r="D28" s="72"/>
      <c r="E28" s="73"/>
      <c r="F28" s="74"/>
      <c r="G28" s="72"/>
      <c r="H28" s="73"/>
      <c r="I28" s="74"/>
      <c r="J28" s="72"/>
      <c r="K28" s="73"/>
      <c r="L28" s="63"/>
      <c r="M28" s="62"/>
      <c r="N28" s="60"/>
      <c r="O28" s="64"/>
      <c r="P28" s="65"/>
      <c r="Q28" s="66"/>
      <c r="R28" s="64"/>
      <c r="S28" s="65"/>
      <c r="T28" s="66"/>
    </row>
    <row r="29" spans="1:20">
      <c r="A29" s="139"/>
      <c r="B29" s="7" t="s">
        <v>39</v>
      </c>
      <c r="C29" s="71"/>
      <c r="D29" s="72"/>
      <c r="E29" s="73"/>
      <c r="F29" s="74"/>
      <c r="G29" s="72"/>
      <c r="H29" s="73"/>
      <c r="I29" s="74"/>
      <c r="J29" s="72"/>
      <c r="K29" s="73"/>
      <c r="L29" s="74"/>
      <c r="M29" s="72"/>
      <c r="N29" s="75"/>
      <c r="O29" s="64"/>
      <c r="P29" s="65"/>
      <c r="Q29" s="66"/>
      <c r="R29" s="76"/>
      <c r="S29" s="77"/>
      <c r="T29" s="78"/>
    </row>
    <row r="30" spans="1:20">
      <c r="A30" s="139"/>
      <c r="B30" s="7" t="s">
        <v>40</v>
      </c>
      <c r="C30" s="71"/>
      <c r="D30" s="72"/>
      <c r="E30" s="73"/>
      <c r="F30" s="74"/>
      <c r="G30" s="72"/>
      <c r="H30" s="73"/>
      <c r="I30" s="74"/>
      <c r="J30" s="72"/>
      <c r="K30" s="73"/>
      <c r="L30" s="74"/>
      <c r="M30" s="72"/>
      <c r="N30" s="75"/>
      <c r="O30" s="64"/>
      <c r="P30" s="65"/>
      <c r="Q30" s="66"/>
      <c r="R30" s="64"/>
      <c r="S30" s="65"/>
      <c r="T30" s="66"/>
    </row>
    <row r="31" spans="1:20">
      <c r="A31" s="139"/>
      <c r="B31" s="7" t="s">
        <v>23</v>
      </c>
      <c r="C31" s="61"/>
      <c r="D31" s="62"/>
      <c r="E31" s="59"/>
      <c r="F31" s="63"/>
      <c r="G31" s="62"/>
      <c r="H31" s="59"/>
      <c r="I31" s="63"/>
      <c r="J31" s="62"/>
      <c r="K31" s="59"/>
      <c r="L31" s="63"/>
      <c r="M31" s="62"/>
      <c r="N31" s="60"/>
      <c r="O31" s="64"/>
      <c r="P31" s="65"/>
      <c r="Q31" s="66"/>
      <c r="R31" s="64"/>
      <c r="S31" s="65"/>
      <c r="T31" s="66"/>
    </row>
    <row r="32" spans="1:20">
      <c r="A32" s="139"/>
      <c r="B32" s="70" t="s">
        <v>24</v>
      </c>
      <c r="C32" s="61"/>
      <c r="D32" s="62"/>
      <c r="E32" s="59"/>
      <c r="F32" s="63"/>
      <c r="G32" s="62"/>
      <c r="H32" s="59"/>
      <c r="I32" s="63"/>
      <c r="J32" s="62"/>
      <c r="K32" s="59"/>
      <c r="L32" s="63"/>
      <c r="M32" s="62"/>
      <c r="N32" s="60"/>
      <c r="O32" s="64"/>
      <c r="P32" s="65"/>
      <c r="Q32" s="66"/>
      <c r="R32" s="64"/>
      <c r="S32" s="65"/>
      <c r="T32" s="66"/>
    </row>
    <row r="33" spans="1:20">
      <c r="A33" s="139"/>
      <c r="B33" s="70" t="s">
        <v>41</v>
      </c>
      <c r="C33" s="61"/>
      <c r="D33" s="62"/>
      <c r="E33" s="59"/>
      <c r="F33" s="63"/>
      <c r="G33" s="62"/>
      <c r="H33" s="59"/>
      <c r="I33" s="63"/>
      <c r="J33" s="62"/>
      <c r="K33" s="59"/>
      <c r="L33" s="63"/>
      <c r="M33" s="62"/>
      <c r="N33" s="60"/>
      <c r="O33" s="64"/>
      <c r="P33" s="65"/>
      <c r="Q33" s="66"/>
      <c r="R33" s="64"/>
      <c r="S33" s="65"/>
      <c r="T33" s="66"/>
    </row>
    <row r="34" spans="1:20" ht="16.5" customHeight="1">
      <c r="A34" s="139"/>
      <c r="B34" s="7" t="s">
        <v>42</v>
      </c>
      <c r="C34" s="61"/>
      <c r="D34" s="62"/>
      <c r="E34" s="59"/>
      <c r="F34" s="63"/>
      <c r="G34" s="62"/>
      <c r="H34" s="59"/>
      <c r="I34" s="63"/>
      <c r="J34" s="62"/>
      <c r="K34" s="59"/>
      <c r="L34" s="63"/>
      <c r="M34" s="62"/>
      <c r="N34" s="60"/>
      <c r="O34" s="64"/>
      <c r="P34" s="65"/>
      <c r="Q34" s="66"/>
      <c r="R34" s="64"/>
      <c r="S34" s="65"/>
      <c r="T34" s="66"/>
    </row>
    <row r="35" spans="1:20">
      <c r="A35" s="139"/>
      <c r="B35" s="70" t="s">
        <v>43</v>
      </c>
      <c r="C35" s="71"/>
      <c r="D35" s="72"/>
      <c r="E35" s="73"/>
      <c r="F35" s="74"/>
      <c r="G35" s="72"/>
      <c r="H35" s="73"/>
      <c r="I35" s="74"/>
      <c r="J35" s="72"/>
      <c r="K35" s="73"/>
      <c r="L35" s="74"/>
      <c r="M35" s="72"/>
      <c r="N35" s="75"/>
      <c r="O35" s="64"/>
      <c r="P35" s="65"/>
      <c r="Q35" s="66"/>
      <c r="R35" s="76"/>
      <c r="S35" s="77"/>
      <c r="T35" s="78"/>
    </row>
    <row r="36" spans="1:20">
      <c r="A36" s="139"/>
      <c r="B36" s="7" t="s">
        <v>44</v>
      </c>
      <c r="C36" s="71"/>
      <c r="D36" s="72"/>
      <c r="E36" s="73"/>
      <c r="F36" s="74"/>
      <c r="G36" s="72"/>
      <c r="H36" s="73"/>
      <c r="I36" s="74"/>
      <c r="J36" s="72"/>
      <c r="K36" s="73"/>
      <c r="L36" s="74"/>
      <c r="M36" s="72"/>
      <c r="N36" s="75"/>
      <c r="O36" s="76"/>
      <c r="P36" s="77"/>
      <c r="Q36" s="78"/>
      <c r="R36" s="64"/>
      <c r="S36" s="65"/>
      <c r="T36" s="66"/>
    </row>
    <row r="37" spans="1:20">
      <c r="A37" s="139"/>
      <c r="B37" s="7" t="s">
        <v>45</v>
      </c>
      <c r="C37" s="71"/>
      <c r="D37" s="72"/>
      <c r="E37" s="73"/>
      <c r="F37" s="74"/>
      <c r="G37" s="72"/>
      <c r="H37" s="73"/>
      <c r="I37" s="74"/>
      <c r="J37" s="72"/>
      <c r="K37" s="73"/>
      <c r="L37" s="74"/>
      <c r="M37" s="72"/>
      <c r="N37" s="75"/>
      <c r="O37" s="76"/>
      <c r="P37" s="77"/>
      <c r="Q37" s="78"/>
      <c r="R37" s="64"/>
      <c r="S37" s="65"/>
      <c r="T37" s="66"/>
    </row>
    <row r="38" spans="1:20">
      <c r="A38" s="139"/>
      <c r="B38" s="7" t="s">
        <v>46</v>
      </c>
      <c r="C38" s="71"/>
      <c r="D38" s="72"/>
      <c r="E38" s="73"/>
      <c r="F38" s="74"/>
      <c r="G38" s="72"/>
      <c r="H38" s="73"/>
      <c r="I38" s="74"/>
      <c r="J38" s="72"/>
      <c r="K38" s="73"/>
      <c r="L38" s="74"/>
      <c r="M38" s="72"/>
      <c r="N38" s="75"/>
      <c r="O38" s="76"/>
      <c r="P38" s="77"/>
      <c r="Q38" s="78"/>
      <c r="R38" s="64"/>
      <c r="S38" s="65"/>
      <c r="T38" s="66"/>
    </row>
    <row r="39" spans="1:20" ht="21.75" customHeight="1">
      <c r="A39" s="139"/>
      <c r="B39" s="7" t="s">
        <v>47</v>
      </c>
      <c r="C39" s="71"/>
      <c r="D39" s="72"/>
      <c r="E39" s="73"/>
      <c r="F39" s="74"/>
      <c r="G39" s="72"/>
      <c r="H39" s="73"/>
      <c r="I39" s="74"/>
      <c r="J39" s="72"/>
      <c r="K39" s="73"/>
      <c r="L39" s="74"/>
      <c r="M39" s="72"/>
      <c r="N39" s="75"/>
      <c r="O39" s="76"/>
      <c r="P39" s="77"/>
      <c r="Q39" s="78"/>
      <c r="R39" s="64"/>
      <c r="S39" s="65"/>
      <c r="T39" s="66"/>
    </row>
    <row r="40" spans="1:20">
      <c r="A40" s="139"/>
      <c r="B40" s="7" t="s">
        <v>48</v>
      </c>
      <c r="C40" s="71"/>
      <c r="D40" s="72"/>
      <c r="E40" s="73"/>
      <c r="F40" s="74"/>
      <c r="G40" s="72"/>
      <c r="H40" s="73"/>
      <c r="I40" s="74"/>
      <c r="J40" s="72"/>
      <c r="K40" s="73"/>
      <c r="L40" s="74"/>
      <c r="M40" s="72"/>
      <c r="N40" s="75"/>
      <c r="O40" s="79"/>
      <c r="P40" s="80"/>
      <c r="Q40" s="81"/>
      <c r="R40" s="67"/>
      <c r="S40" s="68"/>
      <c r="T40" s="69"/>
    </row>
    <row r="41" spans="1:20">
      <c r="A41" s="139"/>
      <c r="B41" s="7" t="s">
        <v>27</v>
      </c>
      <c r="C41" s="61"/>
      <c r="D41" s="62"/>
      <c r="E41" s="59"/>
      <c r="F41" s="63"/>
      <c r="G41" s="62"/>
      <c r="H41" s="59"/>
      <c r="I41" s="63"/>
      <c r="J41" s="62"/>
      <c r="K41" s="59"/>
      <c r="L41" s="63"/>
      <c r="M41" s="62"/>
      <c r="N41" s="60"/>
      <c r="O41" s="67"/>
      <c r="P41" s="68"/>
      <c r="Q41" s="69"/>
      <c r="R41" s="67"/>
      <c r="S41" s="68"/>
      <c r="T41" s="69"/>
    </row>
    <row r="42" spans="1:20">
      <c r="A42" s="139"/>
      <c r="B42" s="11" t="s">
        <v>28</v>
      </c>
      <c r="C42" s="12">
        <f>SUM(C23:C41)</f>
        <v>0</v>
      </c>
      <c r="D42" s="13">
        <f>SUM(D23:D41)</f>
        <v>0</v>
      </c>
      <c r="E42" s="14">
        <f>SUM(E23:E41)</f>
        <v>0</v>
      </c>
      <c r="F42" s="12">
        <f t="shared" ref="F42:T42" si="16">SUM(F23:F41)</f>
        <v>0</v>
      </c>
      <c r="G42" s="13">
        <f t="shared" si="16"/>
        <v>0</v>
      </c>
      <c r="H42" s="14">
        <f t="shared" si="16"/>
        <v>0</v>
      </c>
      <c r="I42" s="12">
        <f t="shared" si="16"/>
        <v>0</v>
      </c>
      <c r="J42" s="13">
        <f t="shared" si="16"/>
        <v>0</v>
      </c>
      <c r="K42" s="14">
        <f t="shared" si="16"/>
        <v>0</v>
      </c>
      <c r="L42" s="12">
        <f t="shared" si="16"/>
        <v>0</v>
      </c>
      <c r="M42" s="13">
        <f t="shared" si="16"/>
        <v>0</v>
      </c>
      <c r="N42" s="14">
        <f t="shared" si="16"/>
        <v>0</v>
      </c>
      <c r="O42" s="12">
        <f t="shared" si="16"/>
        <v>0</v>
      </c>
      <c r="P42" s="13">
        <f t="shared" si="16"/>
        <v>0</v>
      </c>
      <c r="Q42" s="14">
        <f t="shared" si="16"/>
        <v>0</v>
      </c>
      <c r="R42" s="12">
        <f t="shared" si="16"/>
        <v>0</v>
      </c>
      <c r="S42" s="13">
        <f t="shared" si="16"/>
        <v>0</v>
      </c>
      <c r="T42" s="14">
        <f t="shared" si="16"/>
        <v>0</v>
      </c>
    </row>
    <row r="43" spans="1:20" ht="16.5" customHeight="1">
      <c r="A43" s="140"/>
      <c r="B43" s="15" t="s">
        <v>29</v>
      </c>
      <c r="C43" s="86" t="e">
        <f>C42/E43</f>
        <v>#DIV/0!</v>
      </c>
      <c r="D43" s="85" t="e">
        <f>D42/E43</f>
        <v>#DIV/0!</v>
      </c>
      <c r="E43" s="16">
        <f>C42+D42</f>
        <v>0</v>
      </c>
      <c r="F43" s="86" t="e">
        <f t="shared" ref="F43" si="17">F42/H43</f>
        <v>#DIV/0!</v>
      </c>
      <c r="G43" s="85" t="e">
        <f t="shared" ref="G43" si="18">G42/H43</f>
        <v>#DIV/0!</v>
      </c>
      <c r="H43" s="16">
        <f t="shared" ref="H43" si="19">F42+G42</f>
        <v>0</v>
      </c>
      <c r="I43" s="86" t="e">
        <f t="shared" ref="I43" si="20">I42/K43</f>
        <v>#DIV/0!</v>
      </c>
      <c r="J43" s="85" t="e">
        <f t="shared" ref="J43" si="21">J42/K43</f>
        <v>#DIV/0!</v>
      </c>
      <c r="K43" s="16">
        <f t="shared" ref="K43" si="22">I42+J42</f>
        <v>0</v>
      </c>
      <c r="L43" s="86" t="e">
        <f t="shared" ref="L43" si="23">L42/N43</f>
        <v>#DIV/0!</v>
      </c>
      <c r="M43" s="85" t="e">
        <f t="shared" ref="M43" si="24">M42/N43</f>
        <v>#DIV/0!</v>
      </c>
      <c r="N43" s="16">
        <f t="shared" ref="N43" si="25">L42+M42</f>
        <v>0</v>
      </c>
      <c r="O43" s="86" t="e">
        <f t="shared" ref="O43" si="26">O42/Q43</f>
        <v>#DIV/0!</v>
      </c>
      <c r="P43" s="85" t="e">
        <f t="shared" ref="P43" si="27">P42/Q43</f>
        <v>#DIV/0!</v>
      </c>
      <c r="Q43" s="16">
        <f t="shared" ref="Q43" si="28">O42+P42</f>
        <v>0</v>
      </c>
      <c r="R43" s="86" t="e">
        <f t="shared" ref="R43" si="29">R42/T43</f>
        <v>#DIV/0!</v>
      </c>
      <c r="S43" s="85" t="e">
        <f t="shared" ref="S43" si="30">S42/T43</f>
        <v>#DIV/0!</v>
      </c>
      <c r="T43" s="16">
        <f t="shared" ref="T43" si="31">R42+S42</f>
        <v>0</v>
      </c>
    </row>
    <row r="44" spans="1:20" ht="15.75">
      <c r="A44" s="141" t="s">
        <v>49</v>
      </c>
      <c r="B44" s="142"/>
      <c r="C44" s="22"/>
      <c r="D44" s="22"/>
      <c r="E44" s="22"/>
      <c r="F44" s="22"/>
      <c r="G44" s="22"/>
      <c r="H44" s="22"/>
      <c r="I44" s="43"/>
      <c r="J44" s="43"/>
      <c r="K44" s="43"/>
      <c r="L44" s="43"/>
      <c r="M44" s="43"/>
      <c r="N44" s="43"/>
      <c r="O44" s="43"/>
      <c r="P44" s="43"/>
      <c r="Q44" s="43"/>
      <c r="R44" s="45"/>
      <c r="S44" s="45"/>
      <c r="T44" s="46"/>
    </row>
    <row r="45" spans="1:20">
      <c r="A45" s="23" t="s">
        <v>69</v>
      </c>
      <c r="B45" s="24"/>
      <c r="C45" s="24"/>
      <c r="D45" s="24"/>
      <c r="E45" s="24"/>
      <c r="F45" s="24"/>
      <c r="G45" s="24"/>
      <c r="H45" s="24"/>
      <c r="I45" s="21"/>
      <c r="J45" s="21"/>
      <c r="K45" s="21"/>
      <c r="L45" s="21"/>
      <c r="M45" s="21"/>
      <c r="N45" s="21"/>
      <c r="O45" s="21"/>
      <c r="P45" s="21"/>
      <c r="Q45" s="21"/>
      <c r="T45" s="47"/>
    </row>
    <row r="46" spans="1:20">
      <c r="A46" s="23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T46" s="47"/>
    </row>
    <row r="47" spans="1:20">
      <c r="A47" s="23" t="s">
        <v>51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T47" s="47"/>
    </row>
    <row r="48" spans="1:20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T48" s="47"/>
    </row>
    <row r="49" spans="1:20">
      <c r="A49" s="23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T49" s="47"/>
    </row>
    <row r="50" spans="1:20" ht="15.75" customHeight="1">
      <c r="A50" s="143" t="s">
        <v>52</v>
      </c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5"/>
    </row>
    <row r="51" spans="1:20" ht="15" customHeight="1">
      <c r="A51" s="146" t="s">
        <v>53</v>
      </c>
      <c r="B51" s="147"/>
      <c r="C51" s="148" cm="1">
        <f t="array" ref="C51">SUM(C42+D42+F42:G42+I42:J42+L42:M42+O42:P42+R42:S42+R17:S17+O17:P17+L17:M17+I17:J17+F17:G17+C17:D17)</f>
        <v>0</v>
      </c>
      <c r="D51" s="149"/>
      <c r="E51" s="149"/>
      <c r="F51" s="150"/>
      <c r="G51" s="151">
        <v>1</v>
      </c>
      <c r="H51" s="152"/>
      <c r="I51" s="87" t="s">
        <v>70</v>
      </c>
      <c r="J51" s="25"/>
      <c r="K51" s="25"/>
      <c r="L51" s="153" t="s">
        <v>55</v>
      </c>
      <c r="M51" s="154"/>
      <c r="N51" s="154"/>
      <c r="O51" s="154"/>
      <c r="P51" s="154"/>
      <c r="Q51" s="154"/>
      <c r="R51" s="154"/>
      <c r="S51" s="154"/>
      <c r="T51" s="155"/>
    </row>
    <row r="52" spans="1:20" ht="15" customHeight="1">
      <c r="A52" s="123" t="s">
        <v>56</v>
      </c>
      <c r="B52" s="124"/>
      <c r="C52" s="113">
        <f>SUM(C17+F17+I17+L17+O17+R17+C42+F42+I42+L42+O42+R42)</f>
        <v>0</v>
      </c>
      <c r="D52" s="114"/>
      <c r="E52" s="114"/>
      <c r="F52" s="115"/>
      <c r="G52" s="119" t="e">
        <f>C52/C51</f>
        <v>#DIV/0!</v>
      </c>
      <c r="H52" s="120"/>
      <c r="I52" s="27" t="s">
        <v>57</v>
      </c>
      <c r="J52" s="28"/>
      <c r="K52" s="28"/>
      <c r="L52" s="156"/>
      <c r="M52" s="157"/>
      <c r="N52" s="157"/>
      <c r="O52" s="157"/>
      <c r="P52" s="157"/>
      <c r="Q52" s="157"/>
      <c r="R52" s="157"/>
      <c r="S52" s="157"/>
      <c r="T52" s="158"/>
    </row>
    <row r="53" spans="1:20">
      <c r="A53" s="123"/>
      <c r="B53" s="124"/>
      <c r="C53" s="116"/>
      <c r="D53" s="117"/>
      <c r="E53" s="117"/>
      <c r="F53" s="118"/>
      <c r="G53" s="121"/>
      <c r="H53" s="122"/>
      <c r="I53" s="30" t="s">
        <v>58</v>
      </c>
      <c r="J53" s="28"/>
      <c r="K53" s="28"/>
      <c r="L53" s="156"/>
      <c r="M53" s="157"/>
      <c r="N53" s="157"/>
      <c r="O53" s="157"/>
      <c r="P53" s="157"/>
      <c r="Q53" s="157"/>
      <c r="R53" s="157"/>
      <c r="S53" s="157"/>
      <c r="T53" s="158"/>
    </row>
    <row r="54" spans="1:20" ht="15" customHeight="1">
      <c r="A54" s="123" t="s">
        <v>59</v>
      </c>
      <c r="B54" s="124"/>
      <c r="C54" s="113">
        <f>SUM(S42+P42+M42+J42+G42+D42+D17+G17+J17+M17+P17+S17)</f>
        <v>0</v>
      </c>
      <c r="D54" s="114"/>
      <c r="E54" s="114"/>
      <c r="F54" s="115"/>
      <c r="G54" s="119" t="e">
        <f>C54/C51</f>
        <v>#DIV/0!</v>
      </c>
      <c r="H54" s="120"/>
      <c r="I54" s="31"/>
      <c r="J54" s="29"/>
      <c r="K54" s="29"/>
      <c r="L54" s="156"/>
      <c r="M54" s="157"/>
      <c r="N54" s="157"/>
      <c r="O54" s="157"/>
      <c r="P54" s="157"/>
      <c r="Q54" s="157"/>
      <c r="R54" s="157"/>
      <c r="S54" s="157"/>
      <c r="T54" s="158"/>
    </row>
    <row r="55" spans="1:20">
      <c r="A55" s="123"/>
      <c r="B55" s="124"/>
      <c r="C55" s="116"/>
      <c r="D55" s="117"/>
      <c r="E55" s="117"/>
      <c r="F55" s="118"/>
      <c r="G55" s="121"/>
      <c r="H55" s="122"/>
      <c r="I55" s="31"/>
      <c r="J55" s="29"/>
      <c r="K55" s="29"/>
      <c r="L55" s="156"/>
      <c r="M55" s="157"/>
      <c r="N55" s="157"/>
      <c r="O55" s="157"/>
      <c r="P55" s="157"/>
      <c r="Q55" s="157"/>
      <c r="R55" s="157"/>
      <c r="S55" s="157"/>
      <c r="T55" s="158"/>
    </row>
    <row r="56" spans="1:20" ht="15" customHeight="1">
      <c r="A56" s="123" t="s">
        <v>60</v>
      </c>
      <c r="B56" s="124"/>
      <c r="C56" s="113">
        <f>SUM(T42+Q42+N42+K42+H42+E42+T17+Q17+N17+K17+H17+E17)</f>
        <v>0</v>
      </c>
      <c r="D56" s="114"/>
      <c r="E56" s="114"/>
      <c r="F56" s="115"/>
      <c r="G56" s="130" t="e">
        <f>C56/C51</f>
        <v>#DIV/0!</v>
      </c>
      <c r="H56" s="131"/>
      <c r="I56" s="31"/>
      <c r="J56" s="29"/>
      <c r="K56" s="29"/>
      <c r="L56" s="156"/>
      <c r="M56" s="157"/>
      <c r="N56" s="157"/>
      <c r="O56" s="157"/>
      <c r="P56" s="157"/>
      <c r="Q56" s="157"/>
      <c r="R56" s="157"/>
      <c r="S56" s="157"/>
      <c r="T56" s="158"/>
    </row>
    <row r="57" spans="1:20" ht="15.75" customHeight="1">
      <c r="A57" s="125"/>
      <c r="B57" s="126"/>
      <c r="C57" s="127"/>
      <c r="D57" s="128"/>
      <c r="E57" s="128"/>
      <c r="F57" s="129"/>
      <c r="G57" s="132"/>
      <c r="H57" s="133"/>
      <c r="I57" s="32"/>
      <c r="J57" s="33"/>
      <c r="K57" s="33"/>
      <c r="L57" s="159"/>
      <c r="M57" s="160"/>
      <c r="N57" s="160"/>
      <c r="O57" s="160"/>
      <c r="P57" s="160"/>
      <c r="Q57" s="160"/>
      <c r="R57" s="160"/>
      <c r="S57" s="160"/>
      <c r="T57" s="161"/>
    </row>
    <row r="58" spans="1:20">
      <c r="A58" s="219" t="s">
        <v>71</v>
      </c>
      <c r="B58" s="220"/>
      <c r="C58" s="34"/>
      <c r="D58" s="34"/>
      <c r="E58" s="34"/>
      <c r="F58" s="35"/>
      <c r="G58" s="35"/>
      <c r="H58" s="26"/>
      <c r="I58" s="35"/>
      <c r="J58" s="36" t="s">
        <v>62</v>
      </c>
      <c r="K58" s="37"/>
      <c r="L58" s="37"/>
      <c r="M58" s="29"/>
      <c r="N58" s="29"/>
      <c r="O58" s="29"/>
      <c r="P58" s="29"/>
      <c r="Q58" s="29"/>
      <c r="T58" s="47"/>
    </row>
    <row r="59" spans="1:20">
      <c r="A59" s="107" t="s">
        <v>72</v>
      </c>
      <c r="B59" s="108"/>
      <c r="C59" s="38"/>
      <c r="D59" s="38"/>
      <c r="E59" s="38"/>
      <c r="F59" s="39"/>
      <c r="G59" s="39"/>
      <c r="H59" s="39"/>
      <c r="I59" s="39"/>
      <c r="J59" s="40" t="s">
        <v>64</v>
      </c>
      <c r="K59" s="41"/>
      <c r="L59" s="41"/>
      <c r="M59" s="33"/>
      <c r="N59" s="33"/>
      <c r="O59" s="33"/>
      <c r="P59" s="33"/>
      <c r="Q59" s="33"/>
      <c r="R59" s="48"/>
      <c r="S59" s="48"/>
      <c r="T59" s="49"/>
    </row>
    <row r="60" spans="1:20" ht="30" customHeight="1">
      <c r="A60" s="221" t="s">
        <v>73</v>
      </c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1"/>
    </row>
    <row r="61" spans="1:20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</row>
    <row r="62" spans="1:20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</row>
  </sheetData>
  <mergeCells count="67">
    <mergeCell ref="A58:B58"/>
    <mergeCell ref="A59:B59"/>
    <mergeCell ref="A60:T60"/>
    <mergeCell ref="A61:Q61"/>
    <mergeCell ref="C52:F53"/>
    <mergeCell ref="G52:H53"/>
    <mergeCell ref="A54:B55"/>
    <mergeCell ref="C54:F55"/>
    <mergeCell ref="G54:H55"/>
    <mergeCell ref="A56:B57"/>
    <mergeCell ref="C56:F57"/>
    <mergeCell ref="G56:H57"/>
    <mergeCell ref="Q21:Q22"/>
    <mergeCell ref="A51:B51"/>
    <mergeCell ref="C51:F51"/>
    <mergeCell ref="G51:H51"/>
    <mergeCell ref="L51:T57"/>
    <mergeCell ref="A52:B53"/>
    <mergeCell ref="R21:S21"/>
    <mergeCell ref="T21:T22"/>
    <mergeCell ref="A23:A43"/>
    <mergeCell ref="A44:B44"/>
    <mergeCell ref="A50:T50"/>
    <mergeCell ref="A20:B22"/>
    <mergeCell ref="T6:T7"/>
    <mergeCell ref="R20:T20"/>
    <mergeCell ref="C21:D21"/>
    <mergeCell ref="E21:E22"/>
    <mergeCell ref="F21:G21"/>
    <mergeCell ref="H21:H22"/>
    <mergeCell ref="I21:J21"/>
    <mergeCell ref="K21:K22"/>
    <mergeCell ref="L21:M21"/>
    <mergeCell ref="N21:N22"/>
    <mergeCell ref="O21:P21"/>
    <mergeCell ref="C20:E20"/>
    <mergeCell ref="F20:H20"/>
    <mergeCell ref="I20:K20"/>
    <mergeCell ref="L20:N20"/>
    <mergeCell ref="O20:Q20"/>
    <mergeCell ref="A8:A18"/>
    <mergeCell ref="E6:E7"/>
    <mergeCell ref="F6:G6"/>
    <mergeCell ref="H6:H7"/>
    <mergeCell ref="I6:J6"/>
    <mergeCell ref="K6:K7"/>
    <mergeCell ref="L6:M6"/>
    <mergeCell ref="A4:E4"/>
    <mergeCell ref="F4:T4"/>
    <mergeCell ref="A5:B7"/>
    <mergeCell ref="C5:E5"/>
    <mergeCell ref="F5:H5"/>
    <mergeCell ref="I5:K5"/>
    <mergeCell ref="L5:N5"/>
    <mergeCell ref="O5:Q5"/>
    <mergeCell ref="R5:T5"/>
    <mergeCell ref="C6:D6"/>
    <mergeCell ref="N6:N7"/>
    <mergeCell ref="O6:P6"/>
    <mergeCell ref="Q6:Q7"/>
    <mergeCell ref="R6:S6"/>
    <mergeCell ref="A1:D3"/>
    <mergeCell ref="E1:T1"/>
    <mergeCell ref="E2:T2"/>
    <mergeCell ref="E3:H3"/>
    <mergeCell ref="I3:N3"/>
    <mergeCell ref="O3:T3"/>
  </mergeCells>
  <printOptions horizontalCentered="1" verticalCentered="1"/>
  <pageMargins left="0.39370078740157483" right="0.39370078740157483" top="0" bottom="0" header="0.31496062992125984" footer="0.31496062992125984"/>
  <pageSetup scale="72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B60-40DE-4875-9BC5-D1BDFEAD166F}">
  <sheetPr>
    <pageSetUpPr fitToPage="1"/>
  </sheetPr>
  <dimension ref="A1:T62"/>
  <sheetViews>
    <sheetView topLeftCell="A23" workbookViewId="0">
      <selection activeCell="C23" sqref="C23:T41"/>
    </sheetView>
  </sheetViews>
  <sheetFormatPr defaultColWidth="11.42578125" defaultRowHeight="15"/>
  <cols>
    <col min="2" max="2" width="18.140625" customWidth="1"/>
    <col min="3" max="3" width="6.140625" customWidth="1"/>
    <col min="4" max="4" width="6.42578125" customWidth="1"/>
    <col min="5" max="5" width="6.140625" customWidth="1"/>
    <col min="6" max="6" width="6" customWidth="1"/>
    <col min="7" max="7" width="5.85546875" customWidth="1"/>
    <col min="8" max="9" width="6.42578125" customWidth="1"/>
    <col min="10" max="10" width="7.140625" customWidth="1"/>
    <col min="11" max="11" width="6.140625" customWidth="1"/>
    <col min="12" max="12" width="5.7109375" customWidth="1"/>
    <col min="13" max="16" width="5.85546875" customWidth="1"/>
    <col min="17" max="17" width="5.7109375" customWidth="1"/>
    <col min="18" max="18" width="5.5703125" customWidth="1"/>
    <col min="19" max="19" width="5.42578125" customWidth="1"/>
    <col min="20" max="20" width="5.85546875" customWidth="1"/>
  </cols>
  <sheetData>
    <row r="1" spans="1:20" ht="15.75">
      <c r="A1" s="203"/>
      <c r="B1" s="204"/>
      <c r="C1" s="204"/>
      <c r="D1" s="205"/>
      <c r="E1" s="212" t="s">
        <v>0</v>
      </c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4"/>
    </row>
    <row r="2" spans="1:20" ht="15.75">
      <c r="A2" s="206"/>
      <c r="B2" s="207"/>
      <c r="C2" s="207"/>
      <c r="D2" s="208"/>
      <c r="E2" s="212" t="s">
        <v>1</v>
      </c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4"/>
    </row>
    <row r="3" spans="1:20" ht="15.75">
      <c r="A3" s="209"/>
      <c r="B3" s="210"/>
      <c r="C3" s="210"/>
      <c r="D3" s="211"/>
      <c r="E3" s="215" t="s">
        <v>2</v>
      </c>
      <c r="F3" s="216"/>
      <c r="G3" s="216"/>
      <c r="H3" s="217"/>
      <c r="I3" s="215" t="s">
        <v>3</v>
      </c>
      <c r="J3" s="216"/>
      <c r="K3" s="216"/>
      <c r="L3" s="216"/>
      <c r="M3" s="216"/>
      <c r="N3" s="217"/>
      <c r="O3" s="215" t="s">
        <v>4</v>
      </c>
      <c r="P3" s="216"/>
      <c r="Q3" s="216"/>
      <c r="R3" s="216"/>
      <c r="S3" s="216"/>
      <c r="T3" s="217"/>
    </row>
    <row r="4" spans="1:20">
      <c r="A4" s="195" t="s">
        <v>5</v>
      </c>
      <c r="B4" s="196"/>
      <c r="C4" s="196"/>
      <c r="D4" s="196"/>
      <c r="E4" s="196"/>
      <c r="F4" s="197" t="s">
        <v>74</v>
      </c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9"/>
    </row>
    <row r="5" spans="1:20" ht="24.75" customHeight="1">
      <c r="A5" s="174" t="s">
        <v>7</v>
      </c>
      <c r="B5" s="175"/>
      <c r="C5" s="180" t="s">
        <v>8</v>
      </c>
      <c r="D5" s="181"/>
      <c r="E5" s="181"/>
      <c r="F5" s="180" t="s">
        <v>9</v>
      </c>
      <c r="G5" s="181"/>
      <c r="H5" s="181"/>
      <c r="I5" s="180" t="s">
        <v>10</v>
      </c>
      <c r="J5" s="181"/>
      <c r="K5" s="181"/>
      <c r="L5" s="180" t="s">
        <v>11</v>
      </c>
      <c r="M5" s="181"/>
      <c r="N5" s="181"/>
      <c r="O5" s="180" t="s">
        <v>12</v>
      </c>
      <c r="P5" s="181"/>
      <c r="Q5" s="181"/>
      <c r="R5" s="200" t="s">
        <v>13</v>
      </c>
      <c r="S5" s="201"/>
      <c r="T5" s="202"/>
    </row>
    <row r="6" spans="1:20" ht="15" customHeight="1">
      <c r="A6" s="176"/>
      <c r="B6" s="177"/>
      <c r="C6" s="170" t="s">
        <v>14</v>
      </c>
      <c r="D6" s="171"/>
      <c r="E6" s="167" t="s">
        <v>15</v>
      </c>
      <c r="F6" s="170" t="s">
        <v>14</v>
      </c>
      <c r="G6" s="171"/>
      <c r="H6" s="167" t="s">
        <v>15</v>
      </c>
      <c r="I6" s="165" t="s">
        <v>14</v>
      </c>
      <c r="J6" s="166"/>
      <c r="K6" s="167" t="s">
        <v>15</v>
      </c>
      <c r="L6" s="193" t="s">
        <v>14</v>
      </c>
      <c r="M6" s="194"/>
      <c r="N6" s="167" t="s">
        <v>15</v>
      </c>
      <c r="O6" s="170" t="s">
        <v>14</v>
      </c>
      <c r="P6" s="171"/>
      <c r="Q6" s="167" t="s">
        <v>15</v>
      </c>
      <c r="R6" s="189" t="s">
        <v>14</v>
      </c>
      <c r="S6" s="190"/>
      <c r="T6" s="191" t="s">
        <v>15</v>
      </c>
    </row>
    <row r="7" spans="1:20" ht="15.75" customHeight="1">
      <c r="A7" s="178"/>
      <c r="B7" s="179"/>
      <c r="C7" s="1" t="s">
        <v>16</v>
      </c>
      <c r="D7" s="2" t="s">
        <v>17</v>
      </c>
      <c r="E7" s="168"/>
      <c r="F7" s="1" t="s">
        <v>16</v>
      </c>
      <c r="G7" s="2" t="s">
        <v>17</v>
      </c>
      <c r="H7" s="168"/>
      <c r="I7" s="1" t="s">
        <v>16</v>
      </c>
      <c r="J7" s="2" t="s">
        <v>17</v>
      </c>
      <c r="K7" s="168"/>
      <c r="L7" s="1" t="s">
        <v>16</v>
      </c>
      <c r="M7" s="2" t="s">
        <v>17</v>
      </c>
      <c r="N7" s="168"/>
      <c r="O7" s="1" t="s">
        <v>16</v>
      </c>
      <c r="P7" s="2" t="s">
        <v>17</v>
      </c>
      <c r="Q7" s="168"/>
      <c r="R7" s="1" t="s">
        <v>16</v>
      </c>
      <c r="S7" s="2" t="s">
        <v>17</v>
      </c>
      <c r="T7" s="192"/>
    </row>
    <row r="8" spans="1:20" ht="24" customHeight="1">
      <c r="A8" s="138" t="s">
        <v>18</v>
      </c>
      <c r="B8" s="3" t="s">
        <v>19</v>
      </c>
      <c r="C8" s="4">
        <v>1</v>
      </c>
      <c r="D8" s="5"/>
      <c r="E8" s="6"/>
      <c r="F8" s="52">
        <v>1</v>
      </c>
      <c r="G8" s="5"/>
      <c r="H8" s="6"/>
      <c r="I8" s="52"/>
      <c r="J8" s="5">
        <v>1</v>
      </c>
      <c r="K8" s="6"/>
      <c r="L8" s="52">
        <v>1</v>
      </c>
      <c r="M8" s="5"/>
      <c r="N8" s="6"/>
      <c r="O8" s="52">
        <v>1</v>
      </c>
      <c r="P8" s="5"/>
      <c r="Q8" s="6"/>
      <c r="R8" s="52">
        <v>1</v>
      </c>
      <c r="S8" s="5"/>
      <c r="T8" s="6"/>
    </row>
    <row r="9" spans="1:20">
      <c r="A9" s="139"/>
      <c r="B9" s="44" t="s">
        <v>20</v>
      </c>
      <c r="C9" s="4">
        <v>1</v>
      </c>
      <c r="D9" s="55"/>
      <c r="E9" s="8"/>
      <c r="F9" s="52"/>
      <c r="G9" s="55">
        <v>1</v>
      </c>
      <c r="H9" s="8"/>
      <c r="I9" s="52"/>
      <c r="J9" s="55">
        <v>1</v>
      </c>
      <c r="K9" s="8"/>
      <c r="L9" s="52">
        <v>1</v>
      </c>
      <c r="M9" s="55"/>
      <c r="N9" s="8"/>
      <c r="O9" s="52"/>
      <c r="P9" s="55">
        <v>1</v>
      </c>
      <c r="Q9" s="8"/>
      <c r="R9" s="52">
        <v>1</v>
      </c>
      <c r="S9" s="55"/>
      <c r="T9" s="8"/>
    </row>
    <row r="10" spans="1:20">
      <c r="A10" s="139"/>
      <c r="B10" s="7" t="s">
        <v>21</v>
      </c>
      <c r="C10" s="4">
        <v>1</v>
      </c>
      <c r="D10" s="52"/>
      <c r="E10" s="8"/>
      <c r="F10" s="52">
        <v>1</v>
      </c>
      <c r="G10" s="52"/>
      <c r="H10" s="8"/>
      <c r="I10" s="52">
        <v>1</v>
      </c>
      <c r="J10" s="52"/>
      <c r="K10" s="8"/>
      <c r="L10" s="52">
        <v>1</v>
      </c>
      <c r="M10" s="52"/>
      <c r="N10" s="8"/>
      <c r="O10" s="52">
        <v>1</v>
      </c>
      <c r="P10" s="52"/>
      <c r="Q10" s="8"/>
      <c r="R10" s="52">
        <v>1</v>
      </c>
      <c r="S10" s="52"/>
      <c r="T10" s="8"/>
    </row>
    <row r="11" spans="1:20" ht="18" customHeight="1">
      <c r="A11" s="139"/>
      <c r="B11" s="44" t="s">
        <v>22</v>
      </c>
      <c r="C11" s="4">
        <v>1</v>
      </c>
      <c r="D11" s="52"/>
      <c r="E11" s="8"/>
      <c r="F11" s="52">
        <v>1</v>
      </c>
      <c r="G11" s="52"/>
      <c r="H11" s="8"/>
      <c r="I11" s="52"/>
      <c r="J11" s="52">
        <v>1</v>
      </c>
      <c r="K11" s="8"/>
      <c r="L11" s="52"/>
      <c r="M11" s="52">
        <v>1</v>
      </c>
      <c r="N11" s="8"/>
      <c r="O11" s="52"/>
      <c r="P11" s="52">
        <v>1</v>
      </c>
      <c r="Q11" s="8"/>
      <c r="R11" s="52">
        <v>1</v>
      </c>
      <c r="S11" s="52"/>
      <c r="T11" s="8"/>
    </row>
    <row r="12" spans="1:20" ht="21" customHeight="1">
      <c r="A12" s="139"/>
      <c r="B12" s="7" t="s">
        <v>23</v>
      </c>
      <c r="C12" s="4">
        <v>1</v>
      </c>
      <c r="D12" s="52"/>
      <c r="E12" s="8"/>
      <c r="F12" s="52">
        <v>1</v>
      </c>
      <c r="G12" s="52"/>
      <c r="H12" s="8"/>
      <c r="I12" s="52">
        <v>1</v>
      </c>
      <c r="J12" s="52"/>
      <c r="K12" s="8"/>
      <c r="L12" s="52">
        <v>1</v>
      </c>
      <c r="M12" s="52"/>
      <c r="N12" s="8"/>
      <c r="O12" s="52">
        <v>1</v>
      </c>
      <c r="P12" s="52"/>
      <c r="Q12" s="8"/>
      <c r="R12" s="52">
        <v>1</v>
      </c>
      <c r="S12" s="52"/>
      <c r="T12" s="8"/>
    </row>
    <row r="13" spans="1:20">
      <c r="A13" s="139"/>
      <c r="B13" s="7" t="s">
        <v>24</v>
      </c>
      <c r="C13" s="4"/>
      <c r="D13" s="52">
        <v>1</v>
      </c>
      <c r="E13" s="8"/>
      <c r="F13" s="52">
        <v>1</v>
      </c>
      <c r="G13" s="52"/>
      <c r="H13" s="8"/>
      <c r="I13" s="52">
        <v>1</v>
      </c>
      <c r="J13" s="52"/>
      <c r="K13" s="8"/>
      <c r="L13" s="50">
        <v>1</v>
      </c>
      <c r="M13" s="52"/>
      <c r="N13" s="8"/>
      <c r="O13" s="52">
        <v>1</v>
      </c>
      <c r="P13" s="52"/>
      <c r="Q13" s="8"/>
      <c r="R13" s="50"/>
      <c r="S13" s="52">
        <v>1</v>
      </c>
      <c r="T13" s="8"/>
    </row>
    <row r="14" spans="1:20" ht="16.5" customHeight="1">
      <c r="A14" s="139"/>
      <c r="B14" s="7" t="s">
        <v>25</v>
      </c>
      <c r="C14" s="4">
        <v>1</v>
      </c>
      <c r="D14" s="52"/>
      <c r="E14" s="8"/>
      <c r="F14" s="52">
        <v>1</v>
      </c>
      <c r="G14" s="52"/>
      <c r="H14" s="8"/>
      <c r="I14" s="52">
        <v>1</v>
      </c>
      <c r="J14" s="52"/>
      <c r="K14" s="8"/>
      <c r="L14" s="52"/>
      <c r="M14" s="52">
        <v>1</v>
      </c>
      <c r="N14" s="8"/>
      <c r="O14" s="52">
        <v>1</v>
      </c>
      <c r="P14" s="52"/>
      <c r="Q14" s="8"/>
      <c r="R14" s="50">
        <v>1</v>
      </c>
      <c r="S14" s="52"/>
      <c r="T14" s="8"/>
    </row>
    <row r="15" spans="1:20" ht="16.5" customHeight="1">
      <c r="A15" s="139"/>
      <c r="B15" s="7" t="s">
        <v>26</v>
      </c>
      <c r="C15" s="4"/>
      <c r="D15" s="52">
        <v>1</v>
      </c>
      <c r="E15" s="8"/>
      <c r="F15" s="52">
        <v>1</v>
      </c>
      <c r="G15" s="52"/>
      <c r="H15" s="8"/>
      <c r="I15" s="52">
        <v>1</v>
      </c>
      <c r="J15" s="52"/>
      <c r="K15" s="8"/>
      <c r="L15" s="52">
        <v>1</v>
      </c>
      <c r="M15" s="52"/>
      <c r="N15" s="8"/>
      <c r="O15" s="52">
        <v>1</v>
      </c>
      <c r="P15" s="52"/>
      <c r="Q15" s="8"/>
      <c r="R15" s="50"/>
      <c r="S15" s="52"/>
      <c r="T15" s="8">
        <v>1</v>
      </c>
    </row>
    <row r="16" spans="1:20" ht="15" customHeight="1">
      <c r="A16" s="139"/>
      <c r="B16" s="7" t="s">
        <v>27</v>
      </c>
      <c r="C16" s="4">
        <v>1</v>
      </c>
      <c r="D16" s="10"/>
      <c r="E16" s="8"/>
      <c r="F16" s="52">
        <v>1</v>
      </c>
      <c r="G16" s="10"/>
      <c r="H16" s="8"/>
      <c r="I16" s="52">
        <v>1</v>
      </c>
      <c r="J16" s="10"/>
      <c r="K16" s="8"/>
      <c r="L16" s="52">
        <v>1</v>
      </c>
      <c r="M16" s="10"/>
      <c r="N16" s="8"/>
      <c r="O16" s="52">
        <v>1</v>
      </c>
      <c r="P16" s="10"/>
      <c r="Q16" s="8"/>
      <c r="R16" s="9">
        <v>1</v>
      </c>
      <c r="S16" s="10"/>
      <c r="T16" s="8"/>
    </row>
    <row r="17" spans="1:20">
      <c r="A17" s="139"/>
      <c r="B17" s="11" t="s">
        <v>28</v>
      </c>
      <c r="C17" s="51">
        <f>SUM(C8:C16)</f>
        <v>7</v>
      </c>
      <c r="D17" s="51">
        <f>SUM(D8:D16)</f>
        <v>2</v>
      </c>
      <c r="E17" s="51">
        <f t="shared" ref="E17:T17" si="0">SUM(E8:E16)</f>
        <v>0</v>
      </c>
      <c r="F17" s="51">
        <f t="shared" si="0"/>
        <v>8</v>
      </c>
      <c r="G17" s="51">
        <f t="shared" si="0"/>
        <v>1</v>
      </c>
      <c r="H17" s="51">
        <f t="shared" si="0"/>
        <v>0</v>
      </c>
      <c r="I17" s="51">
        <f t="shared" si="0"/>
        <v>6</v>
      </c>
      <c r="J17" s="51">
        <f t="shared" si="0"/>
        <v>3</v>
      </c>
      <c r="K17" s="51">
        <f t="shared" si="0"/>
        <v>0</v>
      </c>
      <c r="L17" s="51">
        <f t="shared" si="0"/>
        <v>7</v>
      </c>
      <c r="M17" s="51">
        <f t="shared" si="0"/>
        <v>2</v>
      </c>
      <c r="N17" s="51">
        <f t="shared" si="0"/>
        <v>0</v>
      </c>
      <c r="O17" s="51">
        <f t="shared" si="0"/>
        <v>7</v>
      </c>
      <c r="P17" s="51">
        <f t="shared" si="0"/>
        <v>2</v>
      </c>
      <c r="Q17" s="51">
        <f t="shared" si="0"/>
        <v>0</v>
      </c>
      <c r="R17" s="51">
        <f t="shared" si="0"/>
        <v>7</v>
      </c>
      <c r="S17" s="51">
        <f t="shared" si="0"/>
        <v>1</v>
      </c>
      <c r="T17" s="51">
        <f t="shared" si="0"/>
        <v>1</v>
      </c>
    </row>
    <row r="18" spans="1:20">
      <c r="A18" s="140"/>
      <c r="B18" s="15" t="s">
        <v>29</v>
      </c>
      <c r="C18" s="83">
        <f>C17/E18</f>
        <v>0.77777777777777779</v>
      </c>
      <c r="D18" s="84">
        <f>D17/E18</f>
        <v>0.22222222222222221</v>
      </c>
      <c r="E18" s="82">
        <f>C17+D17</f>
        <v>9</v>
      </c>
      <c r="F18" s="83">
        <f t="shared" ref="F18" si="1">F17/H18</f>
        <v>0.88888888888888884</v>
      </c>
      <c r="G18" s="84">
        <f t="shared" ref="G18" si="2">G17/H18</f>
        <v>0.1111111111111111</v>
      </c>
      <c r="H18" s="82">
        <f t="shared" ref="H18" si="3">F17+G17</f>
        <v>9</v>
      </c>
      <c r="I18" s="83">
        <f t="shared" ref="I18" si="4">I17/K18</f>
        <v>0.66666666666666663</v>
      </c>
      <c r="J18" s="84">
        <f t="shared" ref="J18" si="5">J17/K18</f>
        <v>0.33333333333333331</v>
      </c>
      <c r="K18" s="82">
        <f t="shared" ref="K18" si="6">I17+J17</f>
        <v>9</v>
      </c>
      <c r="L18" s="83">
        <f t="shared" ref="L18" si="7">L17/N18</f>
        <v>0.77777777777777779</v>
      </c>
      <c r="M18" s="84">
        <f t="shared" ref="M18" si="8">M17/N18</f>
        <v>0.22222222222222221</v>
      </c>
      <c r="N18" s="82">
        <f t="shared" ref="N18" si="9">L17+M17</f>
        <v>9</v>
      </c>
      <c r="O18" s="83">
        <f t="shared" ref="O18" si="10">O17/Q18</f>
        <v>0.77777777777777779</v>
      </c>
      <c r="P18" s="84">
        <f t="shared" ref="P18" si="11">P17/Q18</f>
        <v>0.22222222222222221</v>
      </c>
      <c r="Q18" s="82">
        <f t="shared" ref="Q18" si="12">O17+P17</f>
        <v>9</v>
      </c>
      <c r="R18" s="83">
        <f t="shared" ref="R18" si="13">R17/T18</f>
        <v>0.875</v>
      </c>
      <c r="S18" s="84">
        <f t="shared" ref="S18" si="14">S17/T18</f>
        <v>0.125</v>
      </c>
      <c r="T18" s="82">
        <f t="shared" ref="T18" si="15">R17+S17</f>
        <v>8</v>
      </c>
    </row>
    <row r="19" spans="1:20">
      <c r="A19" s="17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20" ht="15.75" customHeight="1">
      <c r="A20" s="174" t="s">
        <v>7</v>
      </c>
      <c r="B20" s="175"/>
      <c r="C20" s="180" t="s">
        <v>30</v>
      </c>
      <c r="D20" s="181"/>
      <c r="E20" s="181"/>
      <c r="F20" s="180" t="s">
        <v>31</v>
      </c>
      <c r="G20" s="181"/>
      <c r="H20" s="182"/>
      <c r="I20" s="180" t="s">
        <v>32</v>
      </c>
      <c r="J20" s="181"/>
      <c r="K20" s="182"/>
      <c r="L20" s="183" t="s">
        <v>33</v>
      </c>
      <c r="M20" s="184"/>
      <c r="N20" s="185"/>
      <c r="O20" s="186" t="s">
        <v>34</v>
      </c>
      <c r="P20" s="187"/>
      <c r="Q20" s="188"/>
      <c r="R20" s="162" t="s">
        <v>35</v>
      </c>
      <c r="S20" s="163"/>
      <c r="T20" s="164"/>
    </row>
    <row r="21" spans="1:20" ht="15" customHeight="1">
      <c r="A21" s="176"/>
      <c r="B21" s="177"/>
      <c r="C21" s="165" t="s">
        <v>14</v>
      </c>
      <c r="D21" s="166"/>
      <c r="E21" s="167" t="s">
        <v>15</v>
      </c>
      <c r="F21" s="165" t="s">
        <v>14</v>
      </c>
      <c r="G21" s="166"/>
      <c r="H21" s="169" t="s">
        <v>15</v>
      </c>
      <c r="I21" s="165" t="s">
        <v>14</v>
      </c>
      <c r="J21" s="166"/>
      <c r="K21" s="169" t="s">
        <v>15</v>
      </c>
      <c r="L21" s="170" t="s">
        <v>14</v>
      </c>
      <c r="M21" s="171"/>
      <c r="N21" s="172" t="s">
        <v>15</v>
      </c>
      <c r="O21" s="170" t="s">
        <v>14</v>
      </c>
      <c r="P21" s="171"/>
      <c r="Q21" s="172" t="s">
        <v>15</v>
      </c>
      <c r="R21" s="134" t="s">
        <v>14</v>
      </c>
      <c r="S21" s="135"/>
      <c r="T21" s="136" t="s">
        <v>15</v>
      </c>
    </row>
    <row r="22" spans="1:20" ht="15.75" customHeight="1">
      <c r="A22" s="178"/>
      <c r="B22" s="179"/>
      <c r="C22" s="1" t="s">
        <v>16</v>
      </c>
      <c r="D22" s="2" t="s">
        <v>17</v>
      </c>
      <c r="E22" s="168"/>
      <c r="F22" s="1" t="s">
        <v>16</v>
      </c>
      <c r="G22" s="2" t="s">
        <v>17</v>
      </c>
      <c r="H22" s="137"/>
      <c r="I22" s="1" t="s">
        <v>16</v>
      </c>
      <c r="J22" s="2" t="s">
        <v>17</v>
      </c>
      <c r="K22" s="137"/>
      <c r="L22" s="1" t="s">
        <v>16</v>
      </c>
      <c r="M22" s="2" t="s">
        <v>17</v>
      </c>
      <c r="N22" s="173"/>
      <c r="O22" s="1" t="s">
        <v>16</v>
      </c>
      <c r="P22" s="2" t="s">
        <v>17</v>
      </c>
      <c r="Q22" s="173"/>
      <c r="R22" s="1" t="s">
        <v>16</v>
      </c>
      <c r="S22" s="2" t="s">
        <v>17</v>
      </c>
      <c r="T22" s="137"/>
    </row>
    <row r="23" spans="1:20" ht="24" customHeight="1">
      <c r="A23" s="138" t="s">
        <v>18</v>
      </c>
      <c r="B23" s="3" t="s">
        <v>19</v>
      </c>
      <c r="C23" s="4">
        <v>1</v>
      </c>
      <c r="D23" s="5"/>
      <c r="E23" s="56"/>
      <c r="F23" s="20">
        <v>1</v>
      </c>
      <c r="G23" s="5"/>
      <c r="H23" s="56"/>
      <c r="I23" s="20">
        <v>1</v>
      </c>
      <c r="J23" s="5"/>
      <c r="K23" s="56"/>
      <c r="L23" s="20">
        <v>1</v>
      </c>
      <c r="M23" s="5"/>
      <c r="N23" s="57"/>
      <c r="O23" s="64">
        <v>1</v>
      </c>
      <c r="P23" s="65"/>
      <c r="Q23" s="66"/>
      <c r="R23" s="64">
        <v>1</v>
      </c>
      <c r="S23" s="65"/>
      <c r="T23" s="66"/>
    </row>
    <row r="24" spans="1:20" ht="20.25">
      <c r="A24" s="139"/>
      <c r="B24" s="44" t="s">
        <v>36</v>
      </c>
      <c r="C24" s="58">
        <v>1</v>
      </c>
      <c r="D24" s="54"/>
      <c r="E24" s="59"/>
      <c r="F24" s="53">
        <v>1</v>
      </c>
      <c r="G24" s="54"/>
      <c r="H24" s="59"/>
      <c r="I24" s="53">
        <v>1</v>
      </c>
      <c r="J24" s="54"/>
      <c r="K24" s="59"/>
      <c r="L24" s="53">
        <v>1</v>
      </c>
      <c r="M24" s="54"/>
      <c r="N24" s="60"/>
      <c r="O24" s="64"/>
      <c r="P24" s="65">
        <v>1</v>
      </c>
      <c r="Q24" s="66"/>
      <c r="R24" s="64">
        <v>1</v>
      </c>
      <c r="S24" s="65"/>
      <c r="T24" s="66"/>
    </row>
    <row r="25" spans="1:20">
      <c r="A25" s="139"/>
      <c r="B25" s="7" t="s">
        <v>21</v>
      </c>
      <c r="C25" s="61">
        <v>1</v>
      </c>
      <c r="D25" s="62"/>
      <c r="E25" s="59"/>
      <c r="F25" s="63">
        <v>1</v>
      </c>
      <c r="G25" s="62"/>
      <c r="H25" s="59"/>
      <c r="I25" s="63">
        <v>1</v>
      </c>
      <c r="J25" s="62"/>
      <c r="K25" s="59"/>
      <c r="L25" s="63">
        <v>1</v>
      </c>
      <c r="M25" s="62"/>
      <c r="N25" s="60"/>
      <c r="O25" s="64">
        <v>1</v>
      </c>
      <c r="P25" s="65"/>
      <c r="Q25" s="66"/>
      <c r="R25" s="64">
        <v>1</v>
      </c>
      <c r="S25" s="65"/>
      <c r="T25" s="66"/>
    </row>
    <row r="26" spans="1:20">
      <c r="A26" s="139"/>
      <c r="B26" s="7" t="s">
        <v>37</v>
      </c>
      <c r="C26" s="71"/>
      <c r="D26" s="72"/>
      <c r="E26" s="73"/>
      <c r="F26" s="74"/>
      <c r="G26" s="72"/>
      <c r="H26" s="73"/>
      <c r="I26" s="74"/>
      <c r="J26" s="72"/>
      <c r="K26" s="73"/>
      <c r="L26" s="74">
        <v>1</v>
      </c>
      <c r="M26" s="72"/>
      <c r="N26" s="75"/>
      <c r="O26" s="76"/>
      <c r="P26" s="77"/>
      <c r="Q26" s="78"/>
      <c r="R26" s="64">
        <v>1</v>
      </c>
      <c r="S26" s="65"/>
      <c r="T26" s="66"/>
    </row>
    <row r="27" spans="1:20">
      <c r="A27" s="139"/>
      <c r="B27" s="7" t="s">
        <v>22</v>
      </c>
      <c r="C27" s="61"/>
      <c r="D27" s="62">
        <v>1</v>
      </c>
      <c r="E27" s="59"/>
      <c r="F27" s="63">
        <v>1</v>
      </c>
      <c r="G27" s="62"/>
      <c r="H27" s="59"/>
      <c r="I27" s="63"/>
      <c r="J27" s="62">
        <v>1</v>
      </c>
      <c r="K27" s="59"/>
      <c r="L27" s="63"/>
      <c r="M27" s="62">
        <v>1</v>
      </c>
      <c r="N27" s="60"/>
      <c r="O27" s="64"/>
      <c r="P27" s="65">
        <v>1</v>
      </c>
      <c r="Q27" s="66"/>
      <c r="R27" s="64">
        <v>1</v>
      </c>
      <c r="S27" s="65"/>
      <c r="T27" s="66"/>
    </row>
    <row r="28" spans="1:20">
      <c r="A28" s="139"/>
      <c r="B28" s="7" t="s">
        <v>38</v>
      </c>
      <c r="C28" s="71"/>
      <c r="D28" s="72"/>
      <c r="E28" s="73"/>
      <c r="F28" s="74"/>
      <c r="G28" s="72"/>
      <c r="H28" s="73"/>
      <c r="I28" s="74"/>
      <c r="J28" s="72"/>
      <c r="K28" s="73"/>
      <c r="L28" s="74"/>
      <c r="M28" s="72"/>
      <c r="N28" s="73"/>
      <c r="O28" s="64"/>
      <c r="P28" s="65">
        <v>1</v>
      </c>
      <c r="Q28" s="66"/>
      <c r="R28" s="64">
        <v>1</v>
      </c>
      <c r="S28" s="65"/>
      <c r="T28" s="66"/>
    </row>
    <row r="29" spans="1:20">
      <c r="A29" s="139"/>
      <c r="B29" s="7" t="s">
        <v>39</v>
      </c>
      <c r="C29" s="71"/>
      <c r="D29" s="72"/>
      <c r="E29" s="73"/>
      <c r="F29" s="74"/>
      <c r="G29" s="72"/>
      <c r="H29" s="73"/>
      <c r="I29" s="74"/>
      <c r="J29" s="72"/>
      <c r="K29" s="73"/>
      <c r="L29" s="74"/>
      <c r="M29" s="72"/>
      <c r="N29" s="75"/>
      <c r="O29" s="64">
        <v>1</v>
      </c>
      <c r="P29" s="65"/>
      <c r="Q29" s="66"/>
      <c r="R29" s="76"/>
      <c r="S29" s="77"/>
      <c r="T29" s="78"/>
    </row>
    <row r="30" spans="1:20">
      <c r="A30" s="139"/>
      <c r="B30" s="7" t="s">
        <v>40</v>
      </c>
      <c r="C30" s="71"/>
      <c r="D30" s="72"/>
      <c r="E30" s="73"/>
      <c r="F30" s="74"/>
      <c r="G30" s="72"/>
      <c r="H30" s="73"/>
      <c r="I30" s="74"/>
      <c r="J30" s="72"/>
      <c r="K30" s="73"/>
      <c r="L30" s="74"/>
      <c r="M30" s="72"/>
      <c r="N30" s="75"/>
      <c r="O30" s="64">
        <v>1</v>
      </c>
      <c r="P30" s="65"/>
      <c r="Q30" s="66"/>
      <c r="R30" s="64"/>
      <c r="S30" s="65"/>
      <c r="T30" s="66">
        <v>1</v>
      </c>
    </row>
    <row r="31" spans="1:20">
      <c r="A31" s="139"/>
      <c r="B31" s="7" t="s">
        <v>23</v>
      </c>
      <c r="C31" s="61">
        <v>1</v>
      </c>
      <c r="D31" s="62"/>
      <c r="E31" s="59"/>
      <c r="F31" s="63">
        <v>1</v>
      </c>
      <c r="G31" s="62"/>
      <c r="H31" s="59"/>
      <c r="I31" s="63">
        <v>1</v>
      </c>
      <c r="J31" s="62"/>
      <c r="K31" s="59"/>
      <c r="L31" s="63">
        <v>1</v>
      </c>
      <c r="M31" s="62"/>
      <c r="N31" s="60"/>
      <c r="O31" s="64">
        <v>1</v>
      </c>
      <c r="P31" s="65"/>
      <c r="Q31" s="66"/>
      <c r="R31" s="64">
        <v>1</v>
      </c>
      <c r="S31" s="65"/>
      <c r="T31" s="66"/>
    </row>
    <row r="32" spans="1:20">
      <c r="A32" s="139"/>
      <c r="B32" s="70" t="s">
        <v>24</v>
      </c>
      <c r="C32" s="61"/>
      <c r="D32" s="62">
        <v>1</v>
      </c>
      <c r="E32" s="59"/>
      <c r="F32" s="63"/>
      <c r="G32" s="62">
        <v>1</v>
      </c>
      <c r="H32" s="59"/>
      <c r="I32" s="63">
        <v>1</v>
      </c>
      <c r="J32" s="62"/>
      <c r="K32" s="59"/>
      <c r="L32" s="63">
        <v>1</v>
      </c>
      <c r="M32" s="62"/>
      <c r="N32" s="60"/>
      <c r="O32" s="64"/>
      <c r="P32" s="65">
        <v>1</v>
      </c>
      <c r="Q32" s="66"/>
      <c r="R32" s="64"/>
      <c r="S32" s="65">
        <v>1</v>
      </c>
      <c r="T32" s="66"/>
    </row>
    <row r="33" spans="1:20">
      <c r="A33" s="139"/>
      <c r="B33" s="70" t="s">
        <v>41</v>
      </c>
      <c r="C33" s="61">
        <v>1</v>
      </c>
      <c r="D33" s="62"/>
      <c r="E33" s="59"/>
      <c r="F33" s="63">
        <v>1</v>
      </c>
      <c r="G33" s="62"/>
      <c r="H33" s="59"/>
      <c r="I33" s="63">
        <v>1</v>
      </c>
      <c r="J33" s="62"/>
      <c r="K33" s="59"/>
      <c r="L33" s="63">
        <v>1</v>
      </c>
      <c r="M33" s="62"/>
      <c r="N33" s="60"/>
      <c r="O33" s="64"/>
      <c r="P33" s="65">
        <v>1</v>
      </c>
      <c r="Q33" s="66"/>
      <c r="R33" s="64">
        <v>1</v>
      </c>
      <c r="S33" s="65"/>
      <c r="T33" s="66"/>
    </row>
    <row r="34" spans="1:20" ht="16.5" customHeight="1">
      <c r="A34" s="139"/>
      <c r="B34" s="7" t="s">
        <v>42</v>
      </c>
      <c r="C34" s="61">
        <v>1</v>
      </c>
      <c r="D34" s="62"/>
      <c r="E34" s="59"/>
      <c r="F34" s="63">
        <v>1</v>
      </c>
      <c r="G34" s="62"/>
      <c r="H34" s="59"/>
      <c r="I34" s="63">
        <v>1</v>
      </c>
      <c r="J34" s="62"/>
      <c r="K34" s="59"/>
      <c r="L34" s="63">
        <v>1</v>
      </c>
      <c r="M34" s="62"/>
      <c r="N34" s="60"/>
      <c r="O34" s="64"/>
      <c r="P34" s="65"/>
      <c r="Q34" s="66">
        <v>1</v>
      </c>
      <c r="R34" s="64"/>
      <c r="S34" s="65"/>
      <c r="T34" s="66">
        <v>1</v>
      </c>
    </row>
    <row r="35" spans="1:20">
      <c r="A35" s="139"/>
      <c r="B35" s="70" t="s">
        <v>43</v>
      </c>
      <c r="C35" s="71"/>
      <c r="D35" s="72"/>
      <c r="E35" s="73"/>
      <c r="F35" s="74"/>
      <c r="G35" s="72"/>
      <c r="H35" s="73"/>
      <c r="I35" s="74"/>
      <c r="J35" s="72"/>
      <c r="K35" s="73"/>
      <c r="L35" s="74"/>
      <c r="M35" s="72"/>
      <c r="N35" s="75"/>
      <c r="O35" s="64">
        <v>1</v>
      </c>
      <c r="P35" s="65"/>
      <c r="Q35" s="66"/>
      <c r="R35" s="76"/>
      <c r="S35" s="77"/>
      <c r="T35" s="78"/>
    </row>
    <row r="36" spans="1:20">
      <c r="A36" s="139"/>
      <c r="B36" s="7" t="s">
        <v>44</v>
      </c>
      <c r="C36" s="71"/>
      <c r="D36" s="72"/>
      <c r="E36" s="73"/>
      <c r="F36" s="74"/>
      <c r="G36" s="72"/>
      <c r="H36" s="73"/>
      <c r="I36" s="74"/>
      <c r="J36" s="72"/>
      <c r="K36" s="73"/>
      <c r="L36" s="74"/>
      <c r="M36" s="72"/>
      <c r="N36" s="75"/>
      <c r="O36" s="76"/>
      <c r="P36" s="77"/>
      <c r="Q36" s="78"/>
      <c r="R36" s="64"/>
      <c r="S36" s="65"/>
      <c r="T36" s="66">
        <v>1</v>
      </c>
    </row>
    <row r="37" spans="1:20">
      <c r="A37" s="139"/>
      <c r="B37" s="7" t="s">
        <v>45</v>
      </c>
      <c r="C37" s="71"/>
      <c r="D37" s="72"/>
      <c r="E37" s="73"/>
      <c r="F37" s="74"/>
      <c r="G37" s="72"/>
      <c r="H37" s="73"/>
      <c r="I37" s="74"/>
      <c r="J37" s="72"/>
      <c r="K37" s="73"/>
      <c r="L37" s="74"/>
      <c r="M37" s="72"/>
      <c r="N37" s="75"/>
      <c r="O37" s="76"/>
      <c r="P37" s="77"/>
      <c r="Q37" s="78"/>
      <c r="R37" s="64"/>
      <c r="S37" s="65"/>
      <c r="T37" s="66">
        <v>1</v>
      </c>
    </row>
    <row r="38" spans="1:20">
      <c r="A38" s="139"/>
      <c r="B38" s="7" t="s">
        <v>46</v>
      </c>
      <c r="C38" s="71"/>
      <c r="D38" s="72"/>
      <c r="E38" s="73"/>
      <c r="F38" s="74"/>
      <c r="G38" s="72"/>
      <c r="H38" s="73"/>
      <c r="I38" s="74"/>
      <c r="J38" s="72"/>
      <c r="K38" s="73"/>
      <c r="L38" s="74"/>
      <c r="M38" s="72"/>
      <c r="N38" s="75"/>
      <c r="O38" s="76"/>
      <c r="P38" s="77"/>
      <c r="Q38" s="78"/>
      <c r="R38" s="64">
        <v>1</v>
      </c>
      <c r="S38" s="65"/>
      <c r="T38" s="66"/>
    </row>
    <row r="39" spans="1:20" ht="21.75" customHeight="1">
      <c r="A39" s="139"/>
      <c r="B39" s="7" t="s">
        <v>47</v>
      </c>
      <c r="C39" s="71"/>
      <c r="D39" s="72"/>
      <c r="E39" s="73"/>
      <c r="F39" s="74"/>
      <c r="G39" s="72"/>
      <c r="H39" s="73"/>
      <c r="I39" s="74"/>
      <c r="J39" s="72"/>
      <c r="K39" s="73"/>
      <c r="L39" s="74"/>
      <c r="M39" s="72"/>
      <c r="N39" s="75"/>
      <c r="O39" s="76"/>
      <c r="P39" s="77"/>
      <c r="Q39" s="78"/>
      <c r="R39" s="64"/>
      <c r="S39" s="65">
        <v>1</v>
      </c>
      <c r="T39" s="66"/>
    </row>
    <row r="40" spans="1:20">
      <c r="A40" s="139"/>
      <c r="B40" s="7" t="s">
        <v>48</v>
      </c>
      <c r="C40" s="71"/>
      <c r="D40" s="72"/>
      <c r="E40" s="73"/>
      <c r="F40" s="74"/>
      <c r="G40" s="72"/>
      <c r="H40" s="73"/>
      <c r="I40" s="74"/>
      <c r="J40" s="72"/>
      <c r="K40" s="73"/>
      <c r="L40" s="74"/>
      <c r="M40" s="72"/>
      <c r="N40" s="75"/>
      <c r="O40" s="79"/>
      <c r="P40" s="80"/>
      <c r="Q40" s="81"/>
      <c r="R40" s="67">
        <v>1</v>
      </c>
      <c r="S40" s="68"/>
      <c r="T40" s="69"/>
    </row>
    <row r="41" spans="1:20">
      <c r="A41" s="139"/>
      <c r="B41" s="7" t="s">
        <v>27</v>
      </c>
      <c r="C41" s="61">
        <v>1</v>
      </c>
      <c r="D41" s="62"/>
      <c r="E41" s="59"/>
      <c r="F41" s="63">
        <v>1</v>
      </c>
      <c r="G41" s="62"/>
      <c r="H41" s="59"/>
      <c r="I41" s="63">
        <v>1</v>
      </c>
      <c r="J41" s="62"/>
      <c r="K41" s="59"/>
      <c r="L41" s="63">
        <v>1</v>
      </c>
      <c r="M41" s="62"/>
      <c r="N41" s="60"/>
      <c r="O41" s="67">
        <v>1</v>
      </c>
      <c r="P41" s="68"/>
      <c r="Q41" s="69"/>
      <c r="R41" s="67">
        <v>1</v>
      </c>
      <c r="S41" s="68"/>
      <c r="T41" s="69"/>
    </row>
    <row r="42" spans="1:20">
      <c r="A42" s="139"/>
      <c r="B42" s="11" t="s">
        <v>28</v>
      </c>
      <c r="C42" s="12">
        <f>SUM(C23:C41)</f>
        <v>7</v>
      </c>
      <c r="D42" s="13">
        <f>SUM(D23:D41)</f>
        <v>2</v>
      </c>
      <c r="E42" s="14">
        <f>SUM(E23:E41)</f>
        <v>0</v>
      </c>
      <c r="F42" s="12">
        <f t="shared" ref="F42:T42" si="16">SUM(F23:F41)</f>
        <v>8</v>
      </c>
      <c r="G42" s="13">
        <f t="shared" si="16"/>
        <v>1</v>
      </c>
      <c r="H42" s="14">
        <f t="shared" si="16"/>
        <v>0</v>
      </c>
      <c r="I42" s="12">
        <f t="shared" si="16"/>
        <v>8</v>
      </c>
      <c r="J42" s="13">
        <f t="shared" si="16"/>
        <v>1</v>
      </c>
      <c r="K42" s="14">
        <f t="shared" si="16"/>
        <v>0</v>
      </c>
      <c r="L42" s="12">
        <f t="shared" si="16"/>
        <v>9</v>
      </c>
      <c r="M42" s="13">
        <f t="shared" si="16"/>
        <v>1</v>
      </c>
      <c r="N42" s="14">
        <f t="shared" si="16"/>
        <v>0</v>
      </c>
      <c r="O42" s="12">
        <f t="shared" si="16"/>
        <v>7</v>
      </c>
      <c r="P42" s="13">
        <f t="shared" si="16"/>
        <v>5</v>
      </c>
      <c r="Q42" s="14">
        <f t="shared" si="16"/>
        <v>1</v>
      </c>
      <c r="R42" s="12">
        <f t="shared" si="16"/>
        <v>11</v>
      </c>
      <c r="S42" s="13">
        <f t="shared" si="16"/>
        <v>2</v>
      </c>
      <c r="T42" s="14">
        <f t="shared" si="16"/>
        <v>4</v>
      </c>
    </row>
    <row r="43" spans="1:20" ht="16.5" customHeight="1">
      <c r="A43" s="140"/>
      <c r="B43" s="15" t="s">
        <v>29</v>
      </c>
      <c r="C43" s="86">
        <f>C42/E43</f>
        <v>0.77777777777777779</v>
      </c>
      <c r="D43" s="85">
        <f>D42/E43</f>
        <v>0.22222222222222221</v>
      </c>
      <c r="E43" s="16">
        <f>C42+D42</f>
        <v>9</v>
      </c>
      <c r="F43" s="86">
        <f t="shared" ref="F43" si="17">F42/H43</f>
        <v>0.88888888888888884</v>
      </c>
      <c r="G43" s="85">
        <f t="shared" ref="G43" si="18">G42/H43</f>
        <v>0.1111111111111111</v>
      </c>
      <c r="H43" s="16">
        <f t="shared" ref="H43" si="19">F42+G42</f>
        <v>9</v>
      </c>
      <c r="I43" s="86">
        <f t="shared" ref="I43" si="20">I42/K43</f>
        <v>0.88888888888888884</v>
      </c>
      <c r="J43" s="85">
        <f t="shared" ref="J43" si="21">J42/K43</f>
        <v>0.1111111111111111</v>
      </c>
      <c r="K43" s="16">
        <f t="shared" ref="K43" si="22">I42+J42</f>
        <v>9</v>
      </c>
      <c r="L43" s="86">
        <f t="shared" ref="L43" si="23">L42/N43</f>
        <v>0.9</v>
      </c>
      <c r="M43" s="85">
        <f t="shared" ref="M43" si="24">M42/N43</f>
        <v>0.1</v>
      </c>
      <c r="N43" s="16">
        <f t="shared" ref="N43" si="25">L42+M42</f>
        <v>10</v>
      </c>
      <c r="O43" s="86">
        <f t="shared" ref="O43" si="26">O42/Q43</f>
        <v>0.58333333333333337</v>
      </c>
      <c r="P43" s="85">
        <f t="shared" ref="P43" si="27">P42/Q43</f>
        <v>0.41666666666666669</v>
      </c>
      <c r="Q43" s="16">
        <f t="shared" ref="Q43" si="28">O42+P42</f>
        <v>12</v>
      </c>
      <c r="R43" s="86">
        <f t="shared" ref="R43" si="29">R42/T43</f>
        <v>0.84615384615384615</v>
      </c>
      <c r="S43" s="85">
        <f t="shared" ref="S43" si="30">S42/T43</f>
        <v>0.15384615384615385</v>
      </c>
      <c r="T43" s="16">
        <f t="shared" ref="T43" si="31">R42+S42</f>
        <v>13</v>
      </c>
    </row>
    <row r="44" spans="1:20" ht="15.75">
      <c r="A44" s="141" t="s">
        <v>49</v>
      </c>
      <c r="B44" s="142"/>
      <c r="C44" s="22"/>
      <c r="D44" s="22"/>
      <c r="E44" s="22"/>
      <c r="F44" s="22"/>
      <c r="G44" s="22"/>
      <c r="H44" s="22"/>
      <c r="I44" s="43"/>
      <c r="J44" s="43"/>
      <c r="K44" s="43"/>
      <c r="L44" s="43"/>
      <c r="M44" s="43"/>
      <c r="N44" s="43"/>
      <c r="O44" s="43"/>
      <c r="P44" s="43"/>
      <c r="Q44" s="43"/>
      <c r="R44" s="45"/>
      <c r="S44" s="45"/>
      <c r="T44" s="46"/>
    </row>
    <row r="45" spans="1:20">
      <c r="A45" s="23" t="s">
        <v>69</v>
      </c>
      <c r="B45" s="24"/>
      <c r="C45" s="24"/>
      <c r="D45" s="24"/>
      <c r="E45" s="24"/>
      <c r="F45" s="24" t="s">
        <v>75</v>
      </c>
      <c r="G45" s="24"/>
      <c r="H45" s="24"/>
      <c r="I45" s="21"/>
      <c r="J45" s="21"/>
      <c r="K45" s="21"/>
      <c r="L45" s="21"/>
      <c r="M45" s="21"/>
      <c r="N45" s="21"/>
      <c r="O45" s="21"/>
      <c r="P45" s="21"/>
      <c r="Q45" s="21"/>
      <c r="T45" s="47"/>
    </row>
    <row r="46" spans="1:20">
      <c r="A46" s="23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T46" s="47"/>
    </row>
    <row r="47" spans="1:20">
      <c r="A47" s="23" t="s">
        <v>51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T47" s="47"/>
    </row>
    <row r="48" spans="1:20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T48" s="47"/>
    </row>
    <row r="49" spans="1:20">
      <c r="A49" s="23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T49" s="47"/>
    </row>
    <row r="50" spans="1:20" ht="15.75" customHeight="1">
      <c r="A50" s="143" t="s">
        <v>52</v>
      </c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5"/>
    </row>
    <row r="51" spans="1:20" ht="15" customHeight="1">
      <c r="A51" s="146" t="s">
        <v>53</v>
      </c>
      <c r="B51" s="147"/>
      <c r="C51" s="148" cm="1">
        <f t="array" ref="C51">SUM(C42+D42+F42:G42+I42:J42+L42:M42+O42:P42+R42:S42+R17:S17+O17:P17+L17:M17+I17:J17+F17:G17+C17:D17)</f>
        <v>124</v>
      </c>
      <c r="D51" s="149"/>
      <c r="E51" s="149"/>
      <c r="F51" s="150"/>
      <c r="G51" s="151">
        <v>1</v>
      </c>
      <c r="H51" s="152"/>
      <c r="I51" s="87" t="s">
        <v>70</v>
      </c>
      <c r="J51" s="25"/>
      <c r="K51" s="25"/>
      <c r="L51" s="153" t="s">
        <v>55</v>
      </c>
      <c r="M51" s="154"/>
      <c r="N51" s="154"/>
      <c r="O51" s="154"/>
      <c r="P51" s="154"/>
      <c r="Q51" s="154"/>
      <c r="R51" s="154"/>
      <c r="S51" s="154"/>
      <c r="T51" s="155"/>
    </row>
    <row r="52" spans="1:20" ht="15" customHeight="1">
      <c r="A52" s="123" t="s">
        <v>56</v>
      </c>
      <c r="B52" s="124"/>
      <c r="C52" s="113">
        <f>SUM(C17+F17+I17+L17+O17+R17+C42+F42+I42+L42+O42+R42)</f>
        <v>92</v>
      </c>
      <c r="D52" s="114"/>
      <c r="E52" s="114"/>
      <c r="F52" s="115"/>
      <c r="G52" s="119">
        <f>C52/C51</f>
        <v>0.74193548387096775</v>
      </c>
      <c r="H52" s="120"/>
      <c r="I52" s="27" t="s">
        <v>57</v>
      </c>
      <c r="J52" s="28"/>
      <c r="K52" s="28"/>
      <c r="L52" s="156"/>
      <c r="M52" s="157"/>
      <c r="N52" s="157"/>
      <c r="O52" s="157"/>
      <c r="P52" s="157"/>
      <c r="Q52" s="157"/>
      <c r="R52" s="157"/>
      <c r="S52" s="157"/>
      <c r="T52" s="158"/>
    </row>
    <row r="53" spans="1:20">
      <c r="A53" s="123"/>
      <c r="B53" s="124"/>
      <c r="C53" s="116"/>
      <c r="D53" s="117"/>
      <c r="E53" s="117"/>
      <c r="F53" s="118"/>
      <c r="G53" s="121"/>
      <c r="H53" s="122"/>
      <c r="I53" s="30" t="s">
        <v>58</v>
      </c>
      <c r="J53" s="28"/>
      <c r="K53" s="28"/>
      <c r="L53" s="156"/>
      <c r="M53" s="157"/>
      <c r="N53" s="157"/>
      <c r="O53" s="157"/>
      <c r="P53" s="157"/>
      <c r="Q53" s="157"/>
      <c r="R53" s="157"/>
      <c r="S53" s="157"/>
      <c r="T53" s="158"/>
    </row>
    <row r="54" spans="1:20" ht="15" customHeight="1">
      <c r="A54" s="123" t="s">
        <v>59</v>
      </c>
      <c r="B54" s="124"/>
      <c r="C54" s="113">
        <f>SUM(S42+P42+M42+J42+G42+D42+D17+G17+J17+M17+P17+S17)</f>
        <v>23</v>
      </c>
      <c r="D54" s="114"/>
      <c r="E54" s="114"/>
      <c r="F54" s="115"/>
      <c r="G54" s="119">
        <f>C54/C51</f>
        <v>0.18548387096774194</v>
      </c>
      <c r="H54" s="120"/>
      <c r="I54" s="31"/>
      <c r="J54" s="29"/>
      <c r="K54" s="29"/>
      <c r="L54" s="156"/>
      <c r="M54" s="157"/>
      <c r="N54" s="157"/>
      <c r="O54" s="157"/>
      <c r="P54" s="157"/>
      <c r="Q54" s="157"/>
      <c r="R54" s="157"/>
      <c r="S54" s="157"/>
      <c r="T54" s="158"/>
    </row>
    <row r="55" spans="1:20">
      <c r="A55" s="123"/>
      <c r="B55" s="124"/>
      <c r="C55" s="116"/>
      <c r="D55" s="117"/>
      <c r="E55" s="117"/>
      <c r="F55" s="118"/>
      <c r="G55" s="121"/>
      <c r="H55" s="122"/>
      <c r="I55" s="31"/>
      <c r="J55" s="29"/>
      <c r="K55" s="29"/>
      <c r="L55" s="156"/>
      <c r="M55" s="157"/>
      <c r="N55" s="157"/>
      <c r="O55" s="157"/>
      <c r="P55" s="157"/>
      <c r="Q55" s="157"/>
      <c r="R55" s="157"/>
      <c r="S55" s="157"/>
      <c r="T55" s="158"/>
    </row>
    <row r="56" spans="1:20" ht="15" customHeight="1">
      <c r="A56" s="123" t="s">
        <v>60</v>
      </c>
      <c r="B56" s="124"/>
      <c r="C56" s="113">
        <f>SUM(T42+Q42+N42+K42+H42+E42+T17+Q17+N17+K17+H17+E17)</f>
        <v>6</v>
      </c>
      <c r="D56" s="114"/>
      <c r="E56" s="114"/>
      <c r="F56" s="115"/>
      <c r="G56" s="130">
        <f>C56/C51</f>
        <v>4.8387096774193547E-2</v>
      </c>
      <c r="H56" s="131"/>
      <c r="I56" s="31"/>
      <c r="J56" s="29"/>
      <c r="K56" s="29"/>
      <c r="L56" s="156"/>
      <c r="M56" s="157"/>
      <c r="N56" s="157"/>
      <c r="O56" s="157"/>
      <c r="P56" s="157"/>
      <c r="Q56" s="157"/>
      <c r="R56" s="157"/>
      <c r="S56" s="157"/>
      <c r="T56" s="158"/>
    </row>
    <row r="57" spans="1:20" ht="15.75" customHeight="1">
      <c r="A57" s="125"/>
      <c r="B57" s="126"/>
      <c r="C57" s="127"/>
      <c r="D57" s="128"/>
      <c r="E57" s="128"/>
      <c r="F57" s="129"/>
      <c r="G57" s="132"/>
      <c r="H57" s="133"/>
      <c r="I57" s="32"/>
      <c r="J57" s="33"/>
      <c r="K57" s="33"/>
      <c r="L57" s="159"/>
      <c r="M57" s="160"/>
      <c r="N57" s="160"/>
      <c r="O57" s="160"/>
      <c r="P57" s="160"/>
      <c r="Q57" s="160"/>
      <c r="R57" s="160"/>
      <c r="S57" s="160"/>
      <c r="T57" s="161"/>
    </row>
    <row r="58" spans="1:20">
      <c r="A58" s="219" t="s">
        <v>71</v>
      </c>
      <c r="B58" s="220"/>
      <c r="C58" s="34"/>
      <c r="D58" s="34"/>
      <c r="E58" s="34"/>
      <c r="F58" s="35"/>
      <c r="G58" s="35"/>
      <c r="H58" s="26"/>
      <c r="I58" s="35"/>
      <c r="J58" s="36" t="s">
        <v>62</v>
      </c>
      <c r="K58" s="37"/>
      <c r="L58" s="37"/>
      <c r="M58" s="29"/>
      <c r="N58" s="29"/>
      <c r="O58" s="29"/>
      <c r="P58" s="29"/>
      <c r="Q58" s="29"/>
      <c r="T58" s="47"/>
    </row>
    <row r="59" spans="1:20">
      <c r="A59" s="107" t="s">
        <v>72</v>
      </c>
      <c r="B59" s="108"/>
      <c r="C59" s="38"/>
      <c r="D59" s="38"/>
      <c r="E59" s="38"/>
      <c r="F59" s="39"/>
      <c r="G59" s="39"/>
      <c r="H59" s="39"/>
      <c r="I59" s="39"/>
      <c r="J59" s="40" t="s">
        <v>64</v>
      </c>
      <c r="K59" s="41"/>
      <c r="L59" s="41"/>
      <c r="M59" s="33"/>
      <c r="N59" s="33"/>
      <c r="O59" s="33"/>
      <c r="P59" s="33"/>
      <c r="Q59" s="33"/>
      <c r="R59" s="48"/>
      <c r="S59" s="48"/>
      <c r="T59" s="49"/>
    </row>
    <row r="60" spans="1:20" ht="56.25" customHeight="1">
      <c r="A60" s="109" t="s">
        <v>76</v>
      </c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1"/>
    </row>
    <row r="61" spans="1:20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</row>
    <row r="62" spans="1:20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</row>
  </sheetData>
  <mergeCells count="67">
    <mergeCell ref="A1:D3"/>
    <mergeCell ref="E1:T1"/>
    <mergeCell ref="E2:T2"/>
    <mergeCell ref="E3:H3"/>
    <mergeCell ref="I3:N3"/>
    <mergeCell ref="O3:T3"/>
    <mergeCell ref="K6:K7"/>
    <mergeCell ref="L6:M6"/>
    <mergeCell ref="A4:E4"/>
    <mergeCell ref="F4:T4"/>
    <mergeCell ref="A5:B7"/>
    <mergeCell ref="C5:E5"/>
    <mergeCell ref="F5:H5"/>
    <mergeCell ref="I5:K5"/>
    <mergeCell ref="L5:N5"/>
    <mergeCell ref="O5:Q5"/>
    <mergeCell ref="R5:T5"/>
    <mergeCell ref="C6:D6"/>
    <mergeCell ref="N6:N7"/>
    <mergeCell ref="O6:P6"/>
    <mergeCell ref="Q6:Q7"/>
    <mergeCell ref="R6:S6"/>
    <mergeCell ref="A8:A18"/>
    <mergeCell ref="E6:E7"/>
    <mergeCell ref="F6:G6"/>
    <mergeCell ref="H6:H7"/>
    <mergeCell ref="I6:J6"/>
    <mergeCell ref="T6:T7"/>
    <mergeCell ref="R20:T20"/>
    <mergeCell ref="C21:D21"/>
    <mergeCell ref="E21:E22"/>
    <mergeCell ref="F21:G21"/>
    <mergeCell ref="H21:H22"/>
    <mergeCell ref="I21:J21"/>
    <mergeCell ref="K21:K22"/>
    <mergeCell ref="L21:M21"/>
    <mergeCell ref="N21:N22"/>
    <mergeCell ref="O21:P21"/>
    <mergeCell ref="C20:E20"/>
    <mergeCell ref="F20:H20"/>
    <mergeCell ref="I20:K20"/>
    <mergeCell ref="L20:N20"/>
    <mergeCell ref="O20:Q20"/>
    <mergeCell ref="Q21:Q22"/>
    <mergeCell ref="A51:B51"/>
    <mergeCell ref="C51:F51"/>
    <mergeCell ref="G51:H51"/>
    <mergeCell ref="L51:T57"/>
    <mergeCell ref="A52:B53"/>
    <mergeCell ref="R21:S21"/>
    <mergeCell ref="T21:T22"/>
    <mergeCell ref="A23:A43"/>
    <mergeCell ref="A44:B44"/>
    <mergeCell ref="A50:T50"/>
    <mergeCell ref="A20:B22"/>
    <mergeCell ref="A58:B58"/>
    <mergeCell ref="A59:B59"/>
    <mergeCell ref="A60:T60"/>
    <mergeCell ref="A61:Q61"/>
    <mergeCell ref="C52:F53"/>
    <mergeCell ref="G52:H53"/>
    <mergeCell ref="A54:B55"/>
    <mergeCell ref="C54:F55"/>
    <mergeCell ref="G54:H55"/>
    <mergeCell ref="A56:B57"/>
    <mergeCell ref="C56:F57"/>
    <mergeCell ref="G56:H57"/>
  </mergeCells>
  <printOptions horizontalCentered="1" verticalCentered="1"/>
  <pageMargins left="0.39370078740157483" right="0.39370078740157483" top="0" bottom="0" header="0.31496062992125984" footer="0.31496062992125984"/>
  <pageSetup scale="72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84BB-BD92-4A55-8697-4220DBE625D5}">
  <sheetPr>
    <pageSetUpPr fitToPage="1"/>
  </sheetPr>
  <dimension ref="A1:T62"/>
  <sheetViews>
    <sheetView topLeftCell="A46" workbookViewId="0">
      <selection activeCell="A48" sqref="A48"/>
    </sheetView>
  </sheetViews>
  <sheetFormatPr defaultColWidth="11.42578125" defaultRowHeight="15"/>
  <cols>
    <col min="2" max="2" width="18.140625" customWidth="1"/>
    <col min="3" max="3" width="6.140625" customWidth="1"/>
    <col min="4" max="4" width="6.42578125" customWidth="1"/>
    <col min="5" max="5" width="6.140625" customWidth="1"/>
    <col min="6" max="6" width="6" customWidth="1"/>
    <col min="7" max="7" width="5.85546875" customWidth="1"/>
    <col min="8" max="9" width="6.42578125" customWidth="1"/>
    <col min="10" max="10" width="7.140625" customWidth="1"/>
    <col min="11" max="11" width="6.140625" customWidth="1"/>
    <col min="12" max="12" width="5.7109375" customWidth="1"/>
    <col min="13" max="16" width="5.85546875" customWidth="1"/>
    <col min="17" max="17" width="5.7109375" customWidth="1"/>
    <col min="18" max="18" width="5.5703125" customWidth="1"/>
    <col min="19" max="19" width="5.42578125" customWidth="1"/>
    <col min="20" max="20" width="5.85546875" customWidth="1"/>
  </cols>
  <sheetData>
    <row r="1" spans="1:20" ht="15.75">
      <c r="A1" s="203"/>
      <c r="B1" s="204"/>
      <c r="C1" s="204"/>
      <c r="D1" s="205"/>
      <c r="E1" s="212" t="s">
        <v>0</v>
      </c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4"/>
    </row>
    <row r="2" spans="1:20" ht="15.75">
      <c r="A2" s="206"/>
      <c r="B2" s="207"/>
      <c r="C2" s="207"/>
      <c r="D2" s="208"/>
      <c r="E2" s="212" t="s">
        <v>1</v>
      </c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4"/>
    </row>
    <row r="3" spans="1:20" ht="16.5" customHeight="1">
      <c r="A3" s="209"/>
      <c r="B3" s="210"/>
      <c r="C3" s="210"/>
      <c r="D3" s="211"/>
      <c r="E3" s="215" t="s">
        <v>2</v>
      </c>
      <c r="F3" s="216"/>
      <c r="G3" s="216"/>
      <c r="H3" s="217"/>
      <c r="I3" s="215" t="s">
        <v>3</v>
      </c>
      <c r="J3" s="216"/>
      <c r="K3" s="216"/>
      <c r="L3" s="216"/>
      <c r="M3" s="216"/>
      <c r="N3" s="217"/>
      <c r="O3" s="215" t="s">
        <v>4</v>
      </c>
      <c r="P3" s="216"/>
      <c r="Q3" s="216"/>
      <c r="R3" s="216"/>
      <c r="S3" s="216"/>
      <c r="T3" s="217"/>
    </row>
    <row r="4" spans="1:20">
      <c r="A4" s="195" t="s">
        <v>5</v>
      </c>
      <c r="B4" s="196"/>
      <c r="C4" s="196"/>
      <c r="D4" s="196"/>
      <c r="E4" s="196"/>
      <c r="F4" s="197" t="s">
        <v>77</v>
      </c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9"/>
    </row>
    <row r="5" spans="1:20" ht="24.75" customHeight="1">
      <c r="A5" s="174" t="s">
        <v>7</v>
      </c>
      <c r="B5" s="175"/>
      <c r="C5" s="180" t="s">
        <v>8</v>
      </c>
      <c r="D5" s="181"/>
      <c r="E5" s="181"/>
      <c r="F5" s="180" t="s">
        <v>9</v>
      </c>
      <c r="G5" s="181"/>
      <c r="H5" s="181"/>
      <c r="I5" s="180" t="s">
        <v>10</v>
      </c>
      <c r="J5" s="181"/>
      <c r="K5" s="181"/>
      <c r="L5" s="180" t="s">
        <v>11</v>
      </c>
      <c r="M5" s="181"/>
      <c r="N5" s="181"/>
      <c r="O5" s="180" t="s">
        <v>12</v>
      </c>
      <c r="P5" s="181"/>
      <c r="Q5" s="181"/>
      <c r="R5" s="200" t="s">
        <v>13</v>
      </c>
      <c r="S5" s="201"/>
      <c r="T5" s="202"/>
    </row>
    <row r="6" spans="1:20" ht="15" customHeight="1">
      <c r="A6" s="176"/>
      <c r="B6" s="177"/>
      <c r="C6" s="170" t="s">
        <v>14</v>
      </c>
      <c r="D6" s="171"/>
      <c r="E6" s="167" t="s">
        <v>15</v>
      </c>
      <c r="F6" s="170" t="s">
        <v>14</v>
      </c>
      <c r="G6" s="171"/>
      <c r="H6" s="167" t="s">
        <v>15</v>
      </c>
      <c r="I6" s="165" t="s">
        <v>14</v>
      </c>
      <c r="J6" s="166"/>
      <c r="K6" s="167" t="s">
        <v>15</v>
      </c>
      <c r="L6" s="193" t="s">
        <v>14</v>
      </c>
      <c r="M6" s="194"/>
      <c r="N6" s="167" t="s">
        <v>15</v>
      </c>
      <c r="O6" s="170" t="s">
        <v>14</v>
      </c>
      <c r="P6" s="171"/>
      <c r="Q6" s="167" t="s">
        <v>15</v>
      </c>
      <c r="R6" s="189" t="s">
        <v>14</v>
      </c>
      <c r="S6" s="190"/>
      <c r="T6" s="191" t="s">
        <v>15</v>
      </c>
    </row>
    <row r="7" spans="1:20" ht="15.75" customHeight="1">
      <c r="A7" s="178"/>
      <c r="B7" s="179"/>
      <c r="C7" s="67" t="s">
        <v>16</v>
      </c>
      <c r="D7" s="68" t="s">
        <v>17</v>
      </c>
      <c r="E7" s="222"/>
      <c r="F7" s="1" t="s">
        <v>16</v>
      </c>
      <c r="G7" s="2" t="s">
        <v>17</v>
      </c>
      <c r="H7" s="168"/>
      <c r="I7" s="1" t="s">
        <v>16</v>
      </c>
      <c r="J7" s="2" t="s">
        <v>17</v>
      </c>
      <c r="K7" s="168"/>
      <c r="L7" s="1" t="s">
        <v>16</v>
      </c>
      <c r="M7" s="2" t="s">
        <v>17</v>
      </c>
      <c r="N7" s="168"/>
      <c r="O7" s="1" t="s">
        <v>16</v>
      </c>
      <c r="P7" s="2" t="s">
        <v>17</v>
      </c>
      <c r="Q7" s="168"/>
      <c r="R7" s="1" t="s">
        <v>16</v>
      </c>
      <c r="S7" s="2" t="s">
        <v>17</v>
      </c>
      <c r="T7" s="192"/>
    </row>
    <row r="8" spans="1:20" ht="24" customHeight="1">
      <c r="A8" s="138" t="s">
        <v>18</v>
      </c>
      <c r="B8" s="89" t="s">
        <v>19</v>
      </c>
      <c r="C8" s="93">
        <v>1</v>
      </c>
      <c r="D8" s="94"/>
      <c r="E8" s="95"/>
      <c r="F8" s="50">
        <v>1</v>
      </c>
      <c r="G8" s="5"/>
      <c r="H8" s="6"/>
      <c r="I8" s="52">
        <v>1</v>
      </c>
      <c r="J8" s="5"/>
      <c r="K8" s="6"/>
      <c r="L8" s="52">
        <v>1</v>
      </c>
      <c r="M8" s="5"/>
      <c r="N8" s="6"/>
      <c r="O8" s="52">
        <v>1</v>
      </c>
      <c r="P8" s="5"/>
      <c r="Q8" s="6"/>
      <c r="R8" s="52">
        <v>1</v>
      </c>
      <c r="S8" s="5"/>
      <c r="T8" s="6"/>
    </row>
    <row r="9" spans="1:20">
      <c r="A9" s="139"/>
      <c r="B9" s="90" t="s">
        <v>20</v>
      </c>
      <c r="C9" s="96">
        <v>1</v>
      </c>
      <c r="D9" s="88"/>
      <c r="E9" s="97"/>
      <c r="F9" s="50">
        <v>1</v>
      </c>
      <c r="G9" s="55"/>
      <c r="H9" s="8"/>
      <c r="I9" s="52">
        <v>1</v>
      </c>
      <c r="J9" s="55"/>
      <c r="K9" s="8"/>
      <c r="L9" s="52">
        <v>1</v>
      </c>
      <c r="M9" s="55"/>
      <c r="N9" s="8"/>
      <c r="O9" s="52"/>
      <c r="P9" s="55">
        <v>1</v>
      </c>
      <c r="Q9" s="8"/>
      <c r="R9" s="52">
        <v>1</v>
      </c>
      <c r="S9" s="55"/>
      <c r="T9" s="8"/>
    </row>
    <row r="10" spans="1:20">
      <c r="A10" s="139"/>
      <c r="B10" s="91" t="s">
        <v>21</v>
      </c>
      <c r="C10" s="96">
        <v>1</v>
      </c>
      <c r="D10" s="88"/>
      <c r="E10" s="97"/>
      <c r="F10" s="50">
        <v>1</v>
      </c>
      <c r="G10" s="52"/>
      <c r="H10" s="8"/>
      <c r="I10" s="52">
        <v>1</v>
      </c>
      <c r="J10" s="52"/>
      <c r="K10" s="8"/>
      <c r="L10" s="52">
        <v>1</v>
      </c>
      <c r="M10" s="52"/>
      <c r="N10" s="8"/>
      <c r="O10" s="52">
        <v>1</v>
      </c>
      <c r="P10" s="52"/>
      <c r="Q10" s="8"/>
      <c r="R10" s="52">
        <v>1</v>
      </c>
      <c r="S10" s="52"/>
      <c r="T10" s="8"/>
    </row>
    <row r="11" spans="1:20" ht="18" customHeight="1">
      <c r="A11" s="139"/>
      <c r="B11" s="90" t="s">
        <v>22</v>
      </c>
      <c r="C11" s="96">
        <v>1</v>
      </c>
      <c r="D11" s="88"/>
      <c r="E11" s="97"/>
      <c r="F11" s="50">
        <v>1</v>
      </c>
      <c r="G11" s="52"/>
      <c r="H11" s="8"/>
      <c r="I11" s="52"/>
      <c r="J11" s="52">
        <v>1</v>
      </c>
      <c r="K11" s="8"/>
      <c r="L11" s="52"/>
      <c r="M11" s="52">
        <v>1</v>
      </c>
      <c r="N11" s="8"/>
      <c r="O11" s="52"/>
      <c r="P11" s="52">
        <v>1</v>
      </c>
      <c r="Q11" s="8"/>
      <c r="R11" s="52">
        <v>1</v>
      </c>
      <c r="S11" s="52"/>
      <c r="T11" s="8"/>
    </row>
    <row r="12" spans="1:20" ht="21" customHeight="1">
      <c r="A12" s="139"/>
      <c r="B12" s="91" t="s">
        <v>23</v>
      </c>
      <c r="C12" s="96">
        <v>1</v>
      </c>
      <c r="D12" s="88"/>
      <c r="E12" s="97"/>
      <c r="F12" s="50">
        <v>1</v>
      </c>
      <c r="G12" s="52"/>
      <c r="H12" s="8"/>
      <c r="I12" s="52">
        <v>1</v>
      </c>
      <c r="J12" s="52"/>
      <c r="K12" s="8"/>
      <c r="L12" s="52">
        <v>1</v>
      </c>
      <c r="M12" s="52"/>
      <c r="N12" s="8"/>
      <c r="O12" s="52">
        <v>1</v>
      </c>
      <c r="P12" s="52"/>
      <c r="Q12" s="8"/>
      <c r="R12" s="52">
        <v>1</v>
      </c>
      <c r="S12" s="52"/>
      <c r="T12" s="8"/>
    </row>
    <row r="13" spans="1:20">
      <c r="A13" s="139"/>
      <c r="B13" s="91" t="s">
        <v>24</v>
      </c>
      <c r="C13" s="96"/>
      <c r="D13" s="88">
        <v>1</v>
      </c>
      <c r="E13" s="97"/>
      <c r="F13" s="50">
        <v>1</v>
      </c>
      <c r="G13" s="52"/>
      <c r="H13" s="8"/>
      <c r="I13" s="52">
        <v>1</v>
      </c>
      <c r="J13" s="52"/>
      <c r="K13" s="8"/>
      <c r="L13" s="50">
        <v>1</v>
      </c>
      <c r="M13" s="52"/>
      <c r="N13" s="8"/>
      <c r="O13" s="52">
        <v>1</v>
      </c>
      <c r="P13" s="52"/>
      <c r="Q13" s="8"/>
      <c r="R13" s="50"/>
      <c r="S13" s="52">
        <v>1</v>
      </c>
      <c r="T13" s="8"/>
    </row>
    <row r="14" spans="1:20" ht="16.5" customHeight="1">
      <c r="A14" s="139"/>
      <c r="B14" s="91" t="s">
        <v>25</v>
      </c>
      <c r="C14" s="96">
        <v>1</v>
      </c>
      <c r="D14" s="88"/>
      <c r="E14" s="97"/>
      <c r="F14" s="50">
        <v>1</v>
      </c>
      <c r="G14" s="52"/>
      <c r="H14" s="8"/>
      <c r="I14" s="52">
        <v>1</v>
      </c>
      <c r="J14" s="52"/>
      <c r="K14" s="8"/>
      <c r="L14" s="52">
        <v>1</v>
      </c>
      <c r="M14" s="52"/>
      <c r="N14" s="8"/>
      <c r="O14" s="52">
        <v>1</v>
      </c>
      <c r="P14" s="52"/>
      <c r="Q14" s="8"/>
      <c r="R14" s="50">
        <v>1</v>
      </c>
      <c r="S14" s="52"/>
      <c r="T14" s="8"/>
    </row>
    <row r="15" spans="1:20" ht="16.5" customHeight="1">
      <c r="A15" s="139"/>
      <c r="B15" s="91" t="s">
        <v>26</v>
      </c>
      <c r="C15" s="96"/>
      <c r="D15" s="88">
        <v>1</v>
      </c>
      <c r="E15" s="97"/>
      <c r="F15" s="50">
        <v>1</v>
      </c>
      <c r="G15" s="52"/>
      <c r="H15" s="8"/>
      <c r="I15" s="52">
        <v>1</v>
      </c>
      <c r="J15" s="52"/>
      <c r="K15" s="8"/>
      <c r="L15" s="52">
        <v>1</v>
      </c>
      <c r="M15" s="52"/>
      <c r="N15" s="8"/>
      <c r="O15" s="52">
        <v>1</v>
      </c>
      <c r="P15" s="52"/>
      <c r="Q15" s="8"/>
      <c r="R15" s="50"/>
      <c r="S15" s="52"/>
      <c r="T15" s="8">
        <v>1</v>
      </c>
    </row>
    <row r="16" spans="1:20" ht="15" customHeight="1">
      <c r="A16" s="139"/>
      <c r="B16" s="91" t="s">
        <v>27</v>
      </c>
      <c r="C16" s="98">
        <v>1</v>
      </c>
      <c r="D16" s="99"/>
      <c r="E16" s="100"/>
      <c r="F16" s="50">
        <v>1</v>
      </c>
      <c r="G16" s="10"/>
      <c r="H16" s="8"/>
      <c r="I16" s="52">
        <v>1</v>
      </c>
      <c r="J16" s="10"/>
      <c r="K16" s="8"/>
      <c r="L16" s="52">
        <v>1</v>
      </c>
      <c r="M16" s="10"/>
      <c r="N16" s="8"/>
      <c r="O16" s="52">
        <v>1</v>
      </c>
      <c r="P16" s="10"/>
      <c r="Q16" s="8"/>
      <c r="R16" s="9">
        <v>1</v>
      </c>
      <c r="S16" s="10"/>
      <c r="T16" s="8"/>
    </row>
    <row r="17" spans="1:20">
      <c r="A17" s="139"/>
      <c r="B17" s="11" t="s">
        <v>28</v>
      </c>
      <c r="C17" s="92">
        <f>SUM(C8:C16)</f>
        <v>7</v>
      </c>
      <c r="D17" s="92">
        <f>SUM(D8:D16)</f>
        <v>2</v>
      </c>
      <c r="E17" s="92">
        <f t="shared" ref="E17:T17" si="0">SUM(E8:E16)</f>
        <v>0</v>
      </c>
      <c r="F17" s="51">
        <f t="shared" si="0"/>
        <v>9</v>
      </c>
      <c r="G17" s="51">
        <f t="shared" si="0"/>
        <v>0</v>
      </c>
      <c r="H17" s="51">
        <f t="shared" si="0"/>
        <v>0</v>
      </c>
      <c r="I17" s="51">
        <f t="shared" si="0"/>
        <v>8</v>
      </c>
      <c r="J17" s="51">
        <f t="shared" si="0"/>
        <v>1</v>
      </c>
      <c r="K17" s="51">
        <f t="shared" si="0"/>
        <v>0</v>
      </c>
      <c r="L17" s="51">
        <f t="shared" si="0"/>
        <v>8</v>
      </c>
      <c r="M17" s="51">
        <f t="shared" si="0"/>
        <v>1</v>
      </c>
      <c r="N17" s="51">
        <f t="shared" si="0"/>
        <v>0</v>
      </c>
      <c r="O17" s="51">
        <f t="shared" si="0"/>
        <v>7</v>
      </c>
      <c r="P17" s="51">
        <f t="shared" si="0"/>
        <v>2</v>
      </c>
      <c r="Q17" s="51">
        <f t="shared" si="0"/>
        <v>0</v>
      </c>
      <c r="R17" s="51">
        <f t="shared" si="0"/>
        <v>7</v>
      </c>
      <c r="S17" s="51">
        <f t="shared" si="0"/>
        <v>1</v>
      </c>
      <c r="T17" s="51">
        <f t="shared" si="0"/>
        <v>1</v>
      </c>
    </row>
    <row r="18" spans="1:20">
      <c r="A18" s="140"/>
      <c r="B18" s="15" t="s">
        <v>29</v>
      </c>
      <c r="C18" s="83">
        <f>C17/E18</f>
        <v>0.77777777777777779</v>
      </c>
      <c r="D18" s="84">
        <f>D17/E18</f>
        <v>0.22222222222222221</v>
      </c>
      <c r="E18" s="82">
        <f>C17+D17</f>
        <v>9</v>
      </c>
      <c r="F18" s="83">
        <f t="shared" ref="F18" si="1">F17/H18</f>
        <v>1</v>
      </c>
      <c r="G18" s="84">
        <f t="shared" ref="G18" si="2">G17/H18</f>
        <v>0</v>
      </c>
      <c r="H18" s="82">
        <f t="shared" ref="H18" si="3">F17+G17</f>
        <v>9</v>
      </c>
      <c r="I18" s="83">
        <f t="shared" ref="I18" si="4">I17/K18</f>
        <v>0.88888888888888884</v>
      </c>
      <c r="J18" s="84">
        <f t="shared" ref="J18" si="5">J17/K18</f>
        <v>0.1111111111111111</v>
      </c>
      <c r="K18" s="82">
        <f t="shared" ref="K18" si="6">I17+J17</f>
        <v>9</v>
      </c>
      <c r="L18" s="83">
        <f t="shared" ref="L18" si="7">L17/N18</f>
        <v>0.88888888888888884</v>
      </c>
      <c r="M18" s="84">
        <f t="shared" ref="M18" si="8">M17/N18</f>
        <v>0.1111111111111111</v>
      </c>
      <c r="N18" s="82">
        <f t="shared" ref="N18" si="9">L17+M17</f>
        <v>9</v>
      </c>
      <c r="O18" s="83">
        <f t="shared" ref="O18" si="10">O17/Q18</f>
        <v>0.77777777777777779</v>
      </c>
      <c r="P18" s="84">
        <f t="shared" ref="P18" si="11">P17/Q18</f>
        <v>0.22222222222222221</v>
      </c>
      <c r="Q18" s="82">
        <f t="shared" ref="Q18" si="12">O17+P17</f>
        <v>9</v>
      </c>
      <c r="R18" s="83">
        <f t="shared" ref="R18" si="13">R17/T18</f>
        <v>0.875</v>
      </c>
      <c r="S18" s="84">
        <f t="shared" ref="S18" si="14">S17/T18</f>
        <v>0.125</v>
      </c>
      <c r="T18" s="82">
        <f t="shared" ref="T18" si="15">R17+S17</f>
        <v>8</v>
      </c>
    </row>
    <row r="19" spans="1:20">
      <c r="A19" s="17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20" ht="15.75" customHeight="1">
      <c r="A20" s="174" t="s">
        <v>7</v>
      </c>
      <c r="B20" s="175"/>
      <c r="C20" s="180" t="s">
        <v>30</v>
      </c>
      <c r="D20" s="181"/>
      <c r="E20" s="181"/>
      <c r="F20" s="180" t="s">
        <v>31</v>
      </c>
      <c r="G20" s="181"/>
      <c r="H20" s="182"/>
      <c r="I20" s="180" t="s">
        <v>32</v>
      </c>
      <c r="J20" s="181"/>
      <c r="K20" s="182"/>
      <c r="L20" s="183" t="s">
        <v>33</v>
      </c>
      <c r="M20" s="184"/>
      <c r="N20" s="185"/>
      <c r="O20" s="186" t="s">
        <v>34</v>
      </c>
      <c r="P20" s="187"/>
      <c r="Q20" s="188"/>
      <c r="R20" s="162" t="s">
        <v>35</v>
      </c>
      <c r="S20" s="163"/>
      <c r="T20" s="164"/>
    </row>
    <row r="21" spans="1:20" ht="15" customHeight="1">
      <c r="A21" s="176"/>
      <c r="B21" s="177"/>
      <c r="C21" s="165" t="s">
        <v>14</v>
      </c>
      <c r="D21" s="166"/>
      <c r="E21" s="167" t="s">
        <v>15</v>
      </c>
      <c r="F21" s="165" t="s">
        <v>14</v>
      </c>
      <c r="G21" s="166"/>
      <c r="H21" s="169" t="s">
        <v>15</v>
      </c>
      <c r="I21" s="165" t="s">
        <v>14</v>
      </c>
      <c r="J21" s="166"/>
      <c r="K21" s="169" t="s">
        <v>15</v>
      </c>
      <c r="L21" s="170" t="s">
        <v>14</v>
      </c>
      <c r="M21" s="171"/>
      <c r="N21" s="172" t="s">
        <v>15</v>
      </c>
      <c r="O21" s="170" t="s">
        <v>14</v>
      </c>
      <c r="P21" s="171"/>
      <c r="Q21" s="172" t="s">
        <v>15</v>
      </c>
      <c r="R21" s="134" t="s">
        <v>14</v>
      </c>
      <c r="S21" s="135"/>
      <c r="T21" s="136" t="s">
        <v>15</v>
      </c>
    </row>
    <row r="22" spans="1:20" ht="15.75" customHeight="1">
      <c r="A22" s="178"/>
      <c r="B22" s="179"/>
      <c r="C22" s="1" t="s">
        <v>16</v>
      </c>
      <c r="D22" s="2" t="s">
        <v>17</v>
      </c>
      <c r="E22" s="168"/>
      <c r="F22" s="1" t="s">
        <v>16</v>
      </c>
      <c r="G22" s="2" t="s">
        <v>17</v>
      </c>
      <c r="H22" s="137"/>
      <c r="I22" s="1" t="s">
        <v>16</v>
      </c>
      <c r="J22" s="2" t="s">
        <v>17</v>
      </c>
      <c r="K22" s="137"/>
      <c r="L22" s="1" t="s">
        <v>16</v>
      </c>
      <c r="M22" s="2" t="s">
        <v>17</v>
      </c>
      <c r="N22" s="173"/>
      <c r="O22" s="1" t="s">
        <v>16</v>
      </c>
      <c r="P22" s="2" t="s">
        <v>17</v>
      </c>
      <c r="Q22" s="173"/>
      <c r="R22" s="1" t="s">
        <v>16</v>
      </c>
      <c r="S22" s="2" t="s">
        <v>17</v>
      </c>
      <c r="T22" s="137"/>
    </row>
    <row r="23" spans="1:20" ht="24" customHeight="1">
      <c r="A23" s="138" t="s">
        <v>18</v>
      </c>
      <c r="B23" s="3" t="s">
        <v>19</v>
      </c>
      <c r="C23" s="4">
        <v>1</v>
      </c>
      <c r="D23" s="5"/>
      <c r="E23" s="56"/>
      <c r="F23" s="20">
        <v>1</v>
      </c>
      <c r="G23" s="5"/>
      <c r="H23" s="56"/>
      <c r="I23" s="20">
        <v>1</v>
      </c>
      <c r="J23" s="5"/>
      <c r="K23" s="56"/>
      <c r="L23" s="20">
        <v>1</v>
      </c>
      <c r="M23" s="5"/>
      <c r="N23" s="57"/>
      <c r="O23" s="64">
        <v>1</v>
      </c>
      <c r="P23" s="65"/>
      <c r="Q23" s="66"/>
      <c r="R23" s="64">
        <v>1</v>
      </c>
      <c r="S23" s="65"/>
      <c r="T23" s="66"/>
    </row>
    <row r="24" spans="1:20" ht="20.25">
      <c r="A24" s="139"/>
      <c r="B24" s="44" t="s">
        <v>36</v>
      </c>
      <c r="C24" s="58">
        <v>1</v>
      </c>
      <c r="D24" s="54"/>
      <c r="E24" s="59"/>
      <c r="F24" s="53">
        <v>1</v>
      </c>
      <c r="G24" s="54"/>
      <c r="H24" s="59"/>
      <c r="I24" s="53">
        <v>1</v>
      </c>
      <c r="J24" s="54"/>
      <c r="K24" s="59"/>
      <c r="L24" s="53">
        <v>1</v>
      </c>
      <c r="M24" s="54"/>
      <c r="N24" s="60"/>
      <c r="O24" s="64"/>
      <c r="P24" s="65">
        <v>1</v>
      </c>
      <c r="Q24" s="66"/>
      <c r="R24" s="64">
        <v>1</v>
      </c>
      <c r="S24" s="65"/>
      <c r="T24" s="66"/>
    </row>
    <row r="25" spans="1:20">
      <c r="A25" s="139"/>
      <c r="B25" s="7" t="s">
        <v>21</v>
      </c>
      <c r="C25" s="61">
        <v>1</v>
      </c>
      <c r="D25" s="62"/>
      <c r="E25" s="59"/>
      <c r="F25" s="63">
        <v>1</v>
      </c>
      <c r="G25" s="62"/>
      <c r="H25" s="59"/>
      <c r="I25" s="63">
        <v>1</v>
      </c>
      <c r="J25" s="62"/>
      <c r="K25" s="59"/>
      <c r="L25" s="63">
        <v>1</v>
      </c>
      <c r="M25" s="62"/>
      <c r="N25" s="60"/>
      <c r="O25" s="64">
        <v>1</v>
      </c>
      <c r="P25" s="65"/>
      <c r="Q25" s="66"/>
      <c r="R25" s="64">
        <v>1</v>
      </c>
      <c r="S25" s="65"/>
      <c r="T25" s="66"/>
    </row>
    <row r="26" spans="1:20">
      <c r="A26" s="139"/>
      <c r="B26" s="7" t="s">
        <v>37</v>
      </c>
      <c r="C26" s="71"/>
      <c r="D26" s="72"/>
      <c r="E26" s="73"/>
      <c r="F26" s="74"/>
      <c r="G26" s="72"/>
      <c r="H26" s="73"/>
      <c r="I26" s="74"/>
      <c r="J26" s="72"/>
      <c r="K26" s="73"/>
      <c r="L26" s="74">
        <v>1</v>
      </c>
      <c r="M26" s="72"/>
      <c r="N26" s="75"/>
      <c r="O26" s="76"/>
      <c r="P26" s="77"/>
      <c r="Q26" s="78"/>
      <c r="R26" s="64">
        <v>1</v>
      </c>
      <c r="S26" s="65"/>
      <c r="T26" s="66"/>
    </row>
    <row r="27" spans="1:20">
      <c r="A27" s="139"/>
      <c r="B27" s="7" t="s">
        <v>22</v>
      </c>
      <c r="C27" s="61"/>
      <c r="D27" s="62">
        <v>1</v>
      </c>
      <c r="E27" s="59"/>
      <c r="F27" s="63">
        <v>1</v>
      </c>
      <c r="G27" s="62"/>
      <c r="H27" s="59"/>
      <c r="I27" s="63"/>
      <c r="J27" s="62">
        <v>1</v>
      </c>
      <c r="K27" s="59"/>
      <c r="L27" s="63"/>
      <c r="M27" s="62">
        <v>1</v>
      </c>
      <c r="N27" s="60"/>
      <c r="O27" s="64"/>
      <c r="P27" s="65">
        <v>1</v>
      </c>
      <c r="Q27" s="66"/>
      <c r="R27" s="64">
        <v>1</v>
      </c>
      <c r="S27" s="65"/>
      <c r="T27" s="66"/>
    </row>
    <row r="28" spans="1:20">
      <c r="A28" s="139"/>
      <c r="B28" s="7" t="s">
        <v>38</v>
      </c>
      <c r="C28" s="71"/>
      <c r="D28" s="72"/>
      <c r="E28" s="73"/>
      <c r="F28" s="74"/>
      <c r="G28" s="72"/>
      <c r="H28" s="73"/>
      <c r="I28" s="74"/>
      <c r="J28" s="72"/>
      <c r="K28" s="73"/>
      <c r="L28" s="74"/>
      <c r="M28" s="72"/>
      <c r="N28" s="73"/>
      <c r="O28" s="64"/>
      <c r="P28" s="65">
        <v>1</v>
      </c>
      <c r="Q28" s="66"/>
      <c r="R28" s="64">
        <v>1</v>
      </c>
      <c r="S28" s="65"/>
      <c r="T28" s="66"/>
    </row>
    <row r="29" spans="1:20">
      <c r="A29" s="139"/>
      <c r="B29" s="7" t="s">
        <v>39</v>
      </c>
      <c r="C29" s="71"/>
      <c r="D29" s="72"/>
      <c r="E29" s="73"/>
      <c r="F29" s="74"/>
      <c r="G29" s="72"/>
      <c r="H29" s="73"/>
      <c r="I29" s="74"/>
      <c r="J29" s="72"/>
      <c r="K29" s="73"/>
      <c r="L29" s="74"/>
      <c r="M29" s="72"/>
      <c r="N29" s="75"/>
      <c r="O29" s="64">
        <v>1</v>
      </c>
      <c r="P29" s="65"/>
      <c r="Q29" s="66"/>
      <c r="R29" s="76"/>
      <c r="S29" s="77"/>
      <c r="T29" s="78"/>
    </row>
    <row r="30" spans="1:20">
      <c r="A30" s="139"/>
      <c r="B30" s="7" t="s">
        <v>40</v>
      </c>
      <c r="C30" s="71"/>
      <c r="D30" s="72"/>
      <c r="E30" s="73"/>
      <c r="F30" s="74"/>
      <c r="G30" s="72"/>
      <c r="H30" s="73"/>
      <c r="I30" s="74"/>
      <c r="J30" s="72"/>
      <c r="K30" s="73"/>
      <c r="L30" s="74"/>
      <c r="M30" s="72"/>
      <c r="N30" s="75"/>
      <c r="O30" s="64">
        <v>1</v>
      </c>
      <c r="P30" s="65"/>
      <c r="Q30" s="66"/>
      <c r="R30" s="64"/>
      <c r="S30" s="65"/>
      <c r="T30" s="66">
        <v>1</v>
      </c>
    </row>
    <row r="31" spans="1:20">
      <c r="A31" s="139"/>
      <c r="B31" s="7" t="s">
        <v>23</v>
      </c>
      <c r="C31" s="61">
        <v>1</v>
      </c>
      <c r="D31" s="62"/>
      <c r="E31" s="59"/>
      <c r="F31" s="63">
        <v>1</v>
      </c>
      <c r="G31" s="62"/>
      <c r="H31" s="59"/>
      <c r="I31" s="63">
        <v>1</v>
      </c>
      <c r="J31" s="62"/>
      <c r="K31" s="59"/>
      <c r="L31" s="63">
        <v>1</v>
      </c>
      <c r="M31" s="62"/>
      <c r="N31" s="60"/>
      <c r="O31" s="64">
        <v>1</v>
      </c>
      <c r="P31" s="65"/>
      <c r="Q31" s="66"/>
      <c r="R31" s="64">
        <v>1</v>
      </c>
      <c r="S31" s="65"/>
      <c r="T31" s="66"/>
    </row>
    <row r="32" spans="1:20">
      <c r="A32" s="139"/>
      <c r="B32" s="70" t="s">
        <v>24</v>
      </c>
      <c r="C32" s="61"/>
      <c r="D32" s="62">
        <v>1</v>
      </c>
      <c r="E32" s="59"/>
      <c r="F32" s="63"/>
      <c r="G32" s="62">
        <v>1</v>
      </c>
      <c r="H32" s="59"/>
      <c r="I32" s="63">
        <v>1</v>
      </c>
      <c r="J32" s="62"/>
      <c r="K32" s="59"/>
      <c r="L32" s="63">
        <v>1</v>
      </c>
      <c r="M32" s="62"/>
      <c r="N32" s="60"/>
      <c r="O32" s="64"/>
      <c r="P32" s="65">
        <v>1</v>
      </c>
      <c r="Q32" s="66"/>
      <c r="R32" s="64"/>
      <c r="S32" s="65">
        <v>1</v>
      </c>
      <c r="T32" s="66"/>
    </row>
    <row r="33" spans="1:20">
      <c r="A33" s="139"/>
      <c r="B33" s="70" t="s">
        <v>41</v>
      </c>
      <c r="C33" s="61">
        <v>1</v>
      </c>
      <c r="D33" s="62"/>
      <c r="E33" s="59"/>
      <c r="F33" s="63">
        <v>1</v>
      </c>
      <c r="G33" s="62"/>
      <c r="H33" s="59"/>
      <c r="I33" s="63">
        <v>1</v>
      </c>
      <c r="J33" s="62"/>
      <c r="K33" s="59"/>
      <c r="L33" s="63">
        <v>1</v>
      </c>
      <c r="M33" s="62"/>
      <c r="N33" s="60"/>
      <c r="O33" s="64"/>
      <c r="P33" s="65">
        <v>1</v>
      </c>
      <c r="Q33" s="66"/>
      <c r="R33" s="64">
        <v>1</v>
      </c>
      <c r="S33" s="65"/>
      <c r="T33" s="66"/>
    </row>
    <row r="34" spans="1:20" ht="16.5" customHeight="1">
      <c r="A34" s="139"/>
      <c r="B34" s="7" t="s">
        <v>42</v>
      </c>
      <c r="C34" s="61">
        <v>1</v>
      </c>
      <c r="D34" s="62"/>
      <c r="E34" s="59"/>
      <c r="F34" s="63">
        <v>1</v>
      </c>
      <c r="G34" s="62"/>
      <c r="H34" s="59"/>
      <c r="I34" s="63">
        <v>1</v>
      </c>
      <c r="J34" s="62"/>
      <c r="K34" s="59"/>
      <c r="L34" s="63">
        <v>1</v>
      </c>
      <c r="M34" s="62"/>
      <c r="N34" s="60"/>
      <c r="O34" s="64"/>
      <c r="P34" s="65"/>
      <c r="Q34" s="66">
        <v>1</v>
      </c>
      <c r="R34" s="64"/>
      <c r="S34" s="65"/>
      <c r="T34" s="66">
        <v>1</v>
      </c>
    </row>
    <row r="35" spans="1:20">
      <c r="A35" s="139"/>
      <c r="B35" s="70" t="s">
        <v>43</v>
      </c>
      <c r="C35" s="71"/>
      <c r="D35" s="72"/>
      <c r="E35" s="73"/>
      <c r="F35" s="74"/>
      <c r="G35" s="72"/>
      <c r="H35" s="73"/>
      <c r="I35" s="74"/>
      <c r="J35" s="72"/>
      <c r="K35" s="73"/>
      <c r="L35" s="74"/>
      <c r="M35" s="72"/>
      <c r="N35" s="75"/>
      <c r="O35" s="64">
        <v>1</v>
      </c>
      <c r="P35" s="65"/>
      <c r="Q35" s="66"/>
      <c r="R35" s="76"/>
      <c r="S35" s="77"/>
      <c r="T35" s="78"/>
    </row>
    <row r="36" spans="1:20">
      <c r="A36" s="139"/>
      <c r="B36" s="7" t="s">
        <v>44</v>
      </c>
      <c r="C36" s="71"/>
      <c r="D36" s="72"/>
      <c r="E36" s="73"/>
      <c r="F36" s="74"/>
      <c r="G36" s="72"/>
      <c r="H36" s="73"/>
      <c r="I36" s="74"/>
      <c r="J36" s="72"/>
      <c r="K36" s="73"/>
      <c r="L36" s="74"/>
      <c r="M36" s="72"/>
      <c r="N36" s="75"/>
      <c r="O36" s="76"/>
      <c r="P36" s="77"/>
      <c r="Q36" s="78"/>
      <c r="R36" s="64"/>
      <c r="S36" s="65"/>
      <c r="T36" s="66">
        <v>1</v>
      </c>
    </row>
    <row r="37" spans="1:20">
      <c r="A37" s="139"/>
      <c r="B37" s="7" t="s">
        <v>45</v>
      </c>
      <c r="C37" s="71"/>
      <c r="D37" s="72"/>
      <c r="E37" s="73"/>
      <c r="F37" s="74"/>
      <c r="G37" s="72"/>
      <c r="H37" s="73"/>
      <c r="I37" s="74"/>
      <c r="J37" s="72"/>
      <c r="K37" s="73"/>
      <c r="L37" s="74"/>
      <c r="M37" s="72"/>
      <c r="N37" s="75"/>
      <c r="O37" s="76"/>
      <c r="P37" s="77"/>
      <c r="Q37" s="78"/>
      <c r="R37" s="64"/>
      <c r="S37" s="65"/>
      <c r="T37" s="66">
        <v>1</v>
      </c>
    </row>
    <row r="38" spans="1:20">
      <c r="A38" s="139"/>
      <c r="B38" s="7" t="s">
        <v>46</v>
      </c>
      <c r="C38" s="71"/>
      <c r="D38" s="72"/>
      <c r="E38" s="73"/>
      <c r="F38" s="74"/>
      <c r="G38" s="72"/>
      <c r="H38" s="73"/>
      <c r="I38" s="74"/>
      <c r="J38" s="72"/>
      <c r="K38" s="73"/>
      <c r="L38" s="74"/>
      <c r="M38" s="72"/>
      <c r="N38" s="75"/>
      <c r="O38" s="76"/>
      <c r="P38" s="77"/>
      <c r="Q38" s="78"/>
      <c r="R38" s="64">
        <v>1</v>
      </c>
      <c r="S38" s="65"/>
      <c r="T38" s="66"/>
    </row>
    <row r="39" spans="1:20" ht="21.75" customHeight="1">
      <c r="A39" s="139"/>
      <c r="B39" s="7" t="s">
        <v>47</v>
      </c>
      <c r="C39" s="71"/>
      <c r="D39" s="72"/>
      <c r="E39" s="73"/>
      <c r="F39" s="74"/>
      <c r="G39" s="72"/>
      <c r="H39" s="73"/>
      <c r="I39" s="74"/>
      <c r="J39" s="72"/>
      <c r="K39" s="73"/>
      <c r="L39" s="74"/>
      <c r="M39" s="72"/>
      <c r="N39" s="75"/>
      <c r="O39" s="76"/>
      <c r="P39" s="77"/>
      <c r="Q39" s="78"/>
      <c r="R39" s="64"/>
      <c r="S39" s="65">
        <v>1</v>
      </c>
      <c r="T39" s="66"/>
    </row>
    <row r="40" spans="1:20">
      <c r="A40" s="139"/>
      <c r="B40" s="7" t="s">
        <v>48</v>
      </c>
      <c r="C40" s="71"/>
      <c r="D40" s="72"/>
      <c r="E40" s="73"/>
      <c r="F40" s="74"/>
      <c r="G40" s="72"/>
      <c r="H40" s="73"/>
      <c r="I40" s="74"/>
      <c r="J40" s="72"/>
      <c r="K40" s="73"/>
      <c r="L40" s="74"/>
      <c r="M40" s="72"/>
      <c r="N40" s="75"/>
      <c r="O40" s="79"/>
      <c r="P40" s="80"/>
      <c r="Q40" s="81"/>
      <c r="R40" s="67">
        <v>1</v>
      </c>
      <c r="S40" s="68"/>
      <c r="T40" s="69"/>
    </row>
    <row r="41" spans="1:20">
      <c r="A41" s="139"/>
      <c r="B41" s="7" t="s">
        <v>27</v>
      </c>
      <c r="C41" s="61">
        <v>1</v>
      </c>
      <c r="D41" s="62"/>
      <c r="E41" s="59"/>
      <c r="F41" s="63">
        <v>1</v>
      </c>
      <c r="G41" s="62"/>
      <c r="H41" s="59"/>
      <c r="I41" s="63">
        <v>1</v>
      </c>
      <c r="J41" s="62"/>
      <c r="K41" s="59"/>
      <c r="L41" s="63">
        <v>1</v>
      </c>
      <c r="M41" s="62"/>
      <c r="N41" s="60"/>
      <c r="O41" s="67">
        <v>1</v>
      </c>
      <c r="P41" s="68"/>
      <c r="Q41" s="69"/>
      <c r="R41" s="67">
        <v>1</v>
      </c>
      <c r="S41" s="68"/>
      <c r="T41" s="69"/>
    </row>
    <row r="42" spans="1:20">
      <c r="A42" s="139"/>
      <c r="B42" s="11" t="s">
        <v>28</v>
      </c>
      <c r="C42" s="12">
        <f>SUM(C23:C41)</f>
        <v>7</v>
      </c>
      <c r="D42" s="13">
        <f>SUM(D23:D41)</f>
        <v>2</v>
      </c>
      <c r="E42" s="14">
        <f>SUM(E23:E41)</f>
        <v>0</v>
      </c>
      <c r="F42" s="12">
        <f t="shared" ref="F42:T42" si="16">SUM(F23:F41)</f>
        <v>8</v>
      </c>
      <c r="G42" s="13">
        <f t="shared" si="16"/>
        <v>1</v>
      </c>
      <c r="H42" s="14">
        <f t="shared" si="16"/>
        <v>0</v>
      </c>
      <c r="I42" s="12">
        <f t="shared" si="16"/>
        <v>8</v>
      </c>
      <c r="J42" s="13">
        <f t="shared" si="16"/>
        <v>1</v>
      </c>
      <c r="K42" s="14">
        <f t="shared" si="16"/>
        <v>0</v>
      </c>
      <c r="L42" s="12">
        <f t="shared" si="16"/>
        <v>9</v>
      </c>
      <c r="M42" s="13">
        <f t="shared" si="16"/>
        <v>1</v>
      </c>
      <c r="N42" s="14">
        <f t="shared" si="16"/>
        <v>0</v>
      </c>
      <c r="O42" s="12">
        <f t="shared" si="16"/>
        <v>7</v>
      </c>
      <c r="P42" s="13">
        <f t="shared" si="16"/>
        <v>5</v>
      </c>
      <c r="Q42" s="14">
        <f t="shared" si="16"/>
        <v>1</v>
      </c>
      <c r="R42" s="12">
        <f t="shared" si="16"/>
        <v>11</v>
      </c>
      <c r="S42" s="13">
        <f t="shared" si="16"/>
        <v>2</v>
      </c>
      <c r="T42" s="14">
        <f t="shared" si="16"/>
        <v>4</v>
      </c>
    </row>
    <row r="43" spans="1:20" ht="16.5" customHeight="1">
      <c r="A43" s="140"/>
      <c r="B43" s="15" t="s">
        <v>29</v>
      </c>
      <c r="C43" s="86">
        <f>C42/E43</f>
        <v>0.77777777777777779</v>
      </c>
      <c r="D43" s="85">
        <f>D42/E43</f>
        <v>0.22222222222222221</v>
      </c>
      <c r="E43" s="16">
        <f>C42+D42</f>
        <v>9</v>
      </c>
      <c r="F43" s="86">
        <f t="shared" ref="F43" si="17">F42/H43</f>
        <v>0.88888888888888884</v>
      </c>
      <c r="G43" s="85">
        <f t="shared" ref="G43" si="18">G42/H43</f>
        <v>0.1111111111111111</v>
      </c>
      <c r="H43" s="16">
        <f t="shared" ref="H43" si="19">F42+G42</f>
        <v>9</v>
      </c>
      <c r="I43" s="86">
        <f t="shared" ref="I43" si="20">I42/K43</f>
        <v>0.88888888888888884</v>
      </c>
      <c r="J43" s="85">
        <f t="shared" ref="J43" si="21">J42/K43</f>
        <v>0.1111111111111111</v>
      </c>
      <c r="K43" s="16">
        <f t="shared" ref="K43" si="22">I42+J42</f>
        <v>9</v>
      </c>
      <c r="L43" s="86">
        <f t="shared" ref="L43" si="23">L42/N43</f>
        <v>0.9</v>
      </c>
      <c r="M43" s="85">
        <f t="shared" ref="M43" si="24">M42/N43</f>
        <v>0.1</v>
      </c>
      <c r="N43" s="16">
        <f t="shared" ref="N43" si="25">L42+M42</f>
        <v>10</v>
      </c>
      <c r="O43" s="86">
        <f t="shared" ref="O43" si="26">O42/Q43</f>
        <v>0.58333333333333337</v>
      </c>
      <c r="P43" s="85">
        <f t="shared" ref="P43" si="27">P42/Q43</f>
        <v>0.41666666666666669</v>
      </c>
      <c r="Q43" s="16">
        <f t="shared" ref="Q43" si="28">O42+P42</f>
        <v>12</v>
      </c>
      <c r="R43" s="86">
        <f t="shared" ref="R43" si="29">R42/T43</f>
        <v>0.84615384615384615</v>
      </c>
      <c r="S43" s="85">
        <f t="shared" ref="S43" si="30">S42/T43</f>
        <v>0.15384615384615385</v>
      </c>
      <c r="T43" s="16">
        <f t="shared" ref="T43" si="31">R42+S42</f>
        <v>13</v>
      </c>
    </row>
    <row r="44" spans="1:20" ht="15.75">
      <c r="A44" s="141" t="s">
        <v>49</v>
      </c>
      <c r="B44" s="142"/>
      <c r="C44" s="22"/>
      <c r="D44" s="22"/>
      <c r="E44" s="22"/>
      <c r="F44" s="22"/>
      <c r="G44" s="22"/>
      <c r="H44" s="22"/>
      <c r="I44" s="43"/>
      <c r="J44" s="43"/>
      <c r="K44" s="43"/>
      <c r="L44" s="43"/>
      <c r="M44" s="43"/>
      <c r="N44" s="43"/>
      <c r="O44" s="43"/>
      <c r="P44" s="43"/>
      <c r="Q44" s="43"/>
      <c r="R44" s="45"/>
      <c r="S44" s="45"/>
      <c r="T44" s="46"/>
    </row>
    <row r="45" spans="1:20">
      <c r="A45" s="23" t="s">
        <v>69</v>
      </c>
      <c r="B45" s="24"/>
      <c r="C45" s="24"/>
      <c r="D45" s="24"/>
      <c r="E45" s="24"/>
      <c r="F45" s="24"/>
      <c r="G45" s="24"/>
      <c r="H45" s="24"/>
      <c r="I45" s="21"/>
      <c r="J45" s="21"/>
      <c r="K45" s="21"/>
      <c r="L45" s="21"/>
      <c r="M45" s="21"/>
      <c r="N45" s="21"/>
      <c r="O45" s="21"/>
      <c r="P45" s="21"/>
      <c r="Q45" s="21"/>
      <c r="T45" s="47"/>
    </row>
    <row r="46" spans="1:20">
      <c r="A46" s="23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T46" s="47"/>
    </row>
    <row r="47" spans="1:20">
      <c r="A47" s="23" t="s">
        <v>78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T47" s="47"/>
    </row>
    <row r="48" spans="1:20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T48" s="47"/>
    </row>
    <row r="49" spans="1:20">
      <c r="A49" s="23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T49" s="47"/>
    </row>
    <row r="50" spans="1:20" ht="15.75" customHeight="1">
      <c r="A50" s="143" t="s">
        <v>52</v>
      </c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5"/>
    </row>
    <row r="51" spans="1:20" ht="15" customHeight="1">
      <c r="A51" s="146" t="s">
        <v>53</v>
      </c>
      <c r="B51" s="147"/>
      <c r="C51" s="148" cm="1">
        <f t="array" ref="C51">SUM(C42+D42+F42:G42+I42:J42+L42:M42+O42:P42+R42:S42+R17:S17+O17:P17+L17:M17+I17:J17+F17:G17+C17:D17)</f>
        <v>124</v>
      </c>
      <c r="D51" s="149"/>
      <c r="E51" s="149"/>
      <c r="F51" s="150"/>
      <c r="G51" s="151">
        <v>1</v>
      </c>
      <c r="H51" s="152"/>
      <c r="I51" s="87" t="s">
        <v>54</v>
      </c>
      <c r="J51" s="25"/>
      <c r="K51" s="25"/>
      <c r="L51" s="153" t="s">
        <v>55</v>
      </c>
      <c r="M51" s="154"/>
      <c r="N51" s="154"/>
      <c r="O51" s="154"/>
      <c r="P51" s="154"/>
      <c r="Q51" s="154"/>
      <c r="R51" s="154"/>
      <c r="S51" s="154"/>
      <c r="T51" s="155"/>
    </row>
    <row r="52" spans="1:20" ht="15" customHeight="1">
      <c r="A52" s="123" t="s">
        <v>56</v>
      </c>
      <c r="B52" s="124"/>
      <c r="C52" s="113">
        <f>SUM(C17+F17+I17+L17+O17+R17+C42+F42+I42+L42+O42+R42)</f>
        <v>96</v>
      </c>
      <c r="D52" s="114"/>
      <c r="E52" s="114"/>
      <c r="F52" s="115"/>
      <c r="G52" s="119">
        <f>C52/C51</f>
        <v>0.77419354838709675</v>
      </c>
      <c r="H52" s="120"/>
      <c r="I52" s="27" t="s">
        <v>57</v>
      </c>
      <c r="J52" s="28"/>
      <c r="K52" s="28"/>
      <c r="L52" s="156"/>
      <c r="M52" s="157"/>
      <c r="N52" s="157"/>
      <c r="O52" s="157"/>
      <c r="P52" s="157"/>
      <c r="Q52" s="157"/>
      <c r="R52" s="157"/>
      <c r="S52" s="157"/>
      <c r="T52" s="158"/>
    </row>
    <row r="53" spans="1:20">
      <c r="A53" s="123"/>
      <c r="B53" s="124"/>
      <c r="C53" s="116"/>
      <c r="D53" s="117"/>
      <c r="E53" s="117"/>
      <c r="F53" s="118"/>
      <c r="G53" s="121"/>
      <c r="H53" s="122"/>
      <c r="I53" s="30" t="s">
        <v>58</v>
      </c>
      <c r="J53" s="28"/>
      <c r="K53" s="28"/>
      <c r="L53" s="156"/>
      <c r="M53" s="157"/>
      <c r="N53" s="157"/>
      <c r="O53" s="157"/>
      <c r="P53" s="157"/>
      <c r="Q53" s="157"/>
      <c r="R53" s="157"/>
      <c r="S53" s="157"/>
      <c r="T53" s="158"/>
    </row>
    <row r="54" spans="1:20" ht="15" customHeight="1">
      <c r="A54" s="123" t="s">
        <v>59</v>
      </c>
      <c r="B54" s="124"/>
      <c r="C54" s="113">
        <f>SUM(S42+P42+M42+J42+G42+D42+D17+G17+J17+M17+P17+S17)</f>
        <v>19</v>
      </c>
      <c r="D54" s="114"/>
      <c r="E54" s="114"/>
      <c r="F54" s="115"/>
      <c r="G54" s="119">
        <f>C54/C51</f>
        <v>0.15322580645161291</v>
      </c>
      <c r="H54" s="120"/>
      <c r="I54" s="31"/>
      <c r="J54" s="29"/>
      <c r="K54" s="29"/>
      <c r="L54" s="156"/>
      <c r="M54" s="157"/>
      <c r="N54" s="157"/>
      <c r="O54" s="157"/>
      <c r="P54" s="157"/>
      <c r="Q54" s="157"/>
      <c r="R54" s="157"/>
      <c r="S54" s="157"/>
      <c r="T54" s="158"/>
    </row>
    <row r="55" spans="1:20">
      <c r="A55" s="123"/>
      <c r="B55" s="124"/>
      <c r="C55" s="116"/>
      <c r="D55" s="117"/>
      <c r="E55" s="117"/>
      <c r="F55" s="118"/>
      <c r="G55" s="121"/>
      <c r="H55" s="122"/>
      <c r="I55" s="31"/>
      <c r="J55" s="29"/>
      <c r="K55" s="29"/>
      <c r="L55" s="156"/>
      <c r="M55" s="157"/>
      <c r="N55" s="157"/>
      <c r="O55" s="157"/>
      <c r="P55" s="157"/>
      <c r="Q55" s="157"/>
      <c r="R55" s="157"/>
      <c r="S55" s="157"/>
      <c r="T55" s="158"/>
    </row>
    <row r="56" spans="1:20" ht="15" customHeight="1">
      <c r="A56" s="123" t="s">
        <v>60</v>
      </c>
      <c r="B56" s="124"/>
      <c r="C56" s="113">
        <f>SUM(T42+Q42+N42+K42+H42+E42+T17+Q17+N17+K17+H17+E17)</f>
        <v>6</v>
      </c>
      <c r="D56" s="114"/>
      <c r="E56" s="114"/>
      <c r="F56" s="115"/>
      <c r="G56" s="130">
        <f>C56/C51</f>
        <v>4.8387096774193547E-2</v>
      </c>
      <c r="H56" s="131"/>
      <c r="I56" s="31"/>
      <c r="J56" s="29"/>
      <c r="K56" s="29"/>
      <c r="L56" s="156"/>
      <c r="M56" s="157"/>
      <c r="N56" s="157"/>
      <c r="O56" s="157"/>
      <c r="P56" s="157"/>
      <c r="Q56" s="157"/>
      <c r="R56" s="157"/>
      <c r="S56" s="157"/>
      <c r="T56" s="158"/>
    </row>
    <row r="57" spans="1:20" ht="15.75" customHeight="1">
      <c r="A57" s="125"/>
      <c r="B57" s="126"/>
      <c r="C57" s="127"/>
      <c r="D57" s="128"/>
      <c r="E57" s="128"/>
      <c r="F57" s="129"/>
      <c r="G57" s="132"/>
      <c r="H57" s="133"/>
      <c r="I57" s="32"/>
      <c r="J57" s="33"/>
      <c r="K57" s="33"/>
      <c r="L57" s="159"/>
      <c r="M57" s="160"/>
      <c r="N57" s="160"/>
      <c r="O57" s="160"/>
      <c r="P57" s="160"/>
      <c r="Q57" s="160"/>
      <c r="R57" s="160"/>
      <c r="S57" s="160"/>
      <c r="T57" s="161"/>
    </row>
    <row r="58" spans="1:20">
      <c r="A58" s="36" t="s">
        <v>61</v>
      </c>
      <c r="B58" s="35"/>
      <c r="C58" s="35"/>
      <c r="D58" s="35"/>
      <c r="E58" s="35"/>
      <c r="F58" s="35"/>
      <c r="G58" s="35"/>
      <c r="H58" s="26"/>
      <c r="I58" s="35"/>
      <c r="J58" s="36" t="s">
        <v>62</v>
      </c>
      <c r="K58" s="37"/>
      <c r="L58" s="37"/>
      <c r="M58" s="29"/>
      <c r="N58" s="29"/>
      <c r="O58" s="29"/>
      <c r="P58" s="29"/>
      <c r="Q58" s="29"/>
      <c r="T58" s="47"/>
    </row>
    <row r="59" spans="1:20">
      <c r="A59" s="107" t="s">
        <v>63</v>
      </c>
      <c r="B59" s="108"/>
      <c r="C59" s="38"/>
      <c r="D59" s="38"/>
      <c r="E59" s="38"/>
      <c r="F59" s="39"/>
      <c r="G59" s="39"/>
      <c r="H59" s="39"/>
      <c r="I59" s="39"/>
      <c r="J59" s="40" t="s">
        <v>64</v>
      </c>
      <c r="K59" s="41"/>
      <c r="L59" s="41"/>
      <c r="M59" s="33"/>
      <c r="N59" s="33"/>
      <c r="O59" s="33"/>
      <c r="P59" s="33"/>
      <c r="Q59" s="33"/>
      <c r="R59" s="48"/>
      <c r="S59" s="48"/>
      <c r="T59" s="49"/>
    </row>
    <row r="60" spans="1:20" ht="42" customHeight="1">
      <c r="A60" s="109" t="s">
        <v>65</v>
      </c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1"/>
    </row>
    <row r="61" spans="1:20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</row>
    <row r="62" spans="1:20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</row>
  </sheetData>
  <mergeCells count="66">
    <mergeCell ref="A1:D3"/>
    <mergeCell ref="E1:T1"/>
    <mergeCell ref="E2:T2"/>
    <mergeCell ref="E3:H3"/>
    <mergeCell ref="I3:N3"/>
    <mergeCell ref="O3:T3"/>
    <mergeCell ref="K6:K7"/>
    <mergeCell ref="L6:M6"/>
    <mergeCell ref="A4:E4"/>
    <mergeCell ref="F4:T4"/>
    <mergeCell ref="A5:B7"/>
    <mergeCell ref="C5:E5"/>
    <mergeCell ref="F5:H5"/>
    <mergeCell ref="I5:K5"/>
    <mergeCell ref="L5:N5"/>
    <mergeCell ref="O5:Q5"/>
    <mergeCell ref="R5:T5"/>
    <mergeCell ref="C6:D6"/>
    <mergeCell ref="N6:N7"/>
    <mergeCell ref="O6:P6"/>
    <mergeCell ref="Q6:Q7"/>
    <mergeCell ref="R6:S6"/>
    <mergeCell ref="A8:A18"/>
    <mergeCell ref="E6:E7"/>
    <mergeCell ref="F6:G6"/>
    <mergeCell ref="H6:H7"/>
    <mergeCell ref="I6:J6"/>
    <mergeCell ref="T6:T7"/>
    <mergeCell ref="R20:T20"/>
    <mergeCell ref="C21:D21"/>
    <mergeCell ref="E21:E22"/>
    <mergeCell ref="F21:G21"/>
    <mergeCell ref="H21:H22"/>
    <mergeCell ref="I21:J21"/>
    <mergeCell ref="K21:K22"/>
    <mergeCell ref="L21:M21"/>
    <mergeCell ref="N21:N22"/>
    <mergeCell ref="O21:P21"/>
    <mergeCell ref="C20:E20"/>
    <mergeCell ref="F20:H20"/>
    <mergeCell ref="I20:K20"/>
    <mergeCell ref="L20:N20"/>
    <mergeCell ref="O20:Q20"/>
    <mergeCell ref="Q21:Q22"/>
    <mergeCell ref="A51:B51"/>
    <mergeCell ref="C51:F51"/>
    <mergeCell ref="G51:H51"/>
    <mergeCell ref="L51:T57"/>
    <mergeCell ref="A52:B53"/>
    <mergeCell ref="R21:S21"/>
    <mergeCell ref="T21:T22"/>
    <mergeCell ref="A23:A43"/>
    <mergeCell ref="A44:B44"/>
    <mergeCell ref="A50:T50"/>
    <mergeCell ref="A20:B22"/>
    <mergeCell ref="A59:B59"/>
    <mergeCell ref="A60:T60"/>
    <mergeCell ref="A61:Q61"/>
    <mergeCell ref="C52:F53"/>
    <mergeCell ref="G52:H53"/>
    <mergeCell ref="A54:B55"/>
    <mergeCell ref="C54:F55"/>
    <mergeCell ref="G54:H55"/>
    <mergeCell ref="A56:B57"/>
    <mergeCell ref="C56:F57"/>
    <mergeCell ref="G56:H57"/>
  </mergeCells>
  <printOptions horizontalCentered="1" verticalCentered="1"/>
  <pageMargins left="0.39370078740157483" right="0.39370078740157483" top="0" bottom="0" header="0.31496062992125984" footer="0.31496062992125984"/>
  <pageSetup scale="72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B7E8-C3AE-4115-97D8-812588C69570}">
  <sheetPr>
    <pageSetUpPr fitToPage="1"/>
  </sheetPr>
  <dimension ref="A1:T62"/>
  <sheetViews>
    <sheetView topLeftCell="A39" workbookViewId="0">
      <selection activeCell="X51" sqref="X51"/>
    </sheetView>
  </sheetViews>
  <sheetFormatPr defaultColWidth="11.42578125" defaultRowHeight="15"/>
  <cols>
    <col min="2" max="2" width="18.140625" customWidth="1"/>
    <col min="3" max="3" width="6.140625" customWidth="1"/>
    <col min="4" max="4" width="6.42578125" customWidth="1"/>
    <col min="5" max="5" width="6.140625" customWidth="1"/>
    <col min="6" max="6" width="6" customWidth="1"/>
    <col min="7" max="7" width="5.85546875" customWidth="1"/>
    <col min="8" max="9" width="6.42578125" customWidth="1"/>
    <col min="10" max="10" width="7.140625" customWidth="1"/>
    <col min="11" max="11" width="6.140625" customWidth="1"/>
    <col min="12" max="12" width="5.7109375" customWidth="1"/>
    <col min="13" max="16" width="5.85546875" customWidth="1"/>
    <col min="17" max="17" width="5.7109375" customWidth="1"/>
    <col min="18" max="18" width="5.5703125" customWidth="1"/>
    <col min="19" max="19" width="5.42578125" customWidth="1"/>
    <col min="20" max="20" width="5.85546875" customWidth="1"/>
  </cols>
  <sheetData>
    <row r="1" spans="1:20" ht="15.75">
      <c r="A1" s="203"/>
      <c r="B1" s="204"/>
      <c r="C1" s="204"/>
      <c r="D1" s="205"/>
      <c r="E1" s="212" t="s">
        <v>0</v>
      </c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4"/>
    </row>
    <row r="2" spans="1:20" ht="15.75">
      <c r="A2" s="206"/>
      <c r="B2" s="207"/>
      <c r="C2" s="207"/>
      <c r="D2" s="208"/>
      <c r="E2" s="212" t="s">
        <v>1</v>
      </c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4"/>
    </row>
    <row r="3" spans="1:20" ht="16.5" customHeight="1">
      <c r="A3" s="209"/>
      <c r="B3" s="210"/>
      <c r="C3" s="210"/>
      <c r="D3" s="211"/>
      <c r="E3" s="215" t="s">
        <v>2</v>
      </c>
      <c r="F3" s="216"/>
      <c r="G3" s="216"/>
      <c r="H3" s="217"/>
      <c r="I3" s="215" t="s">
        <v>3</v>
      </c>
      <c r="J3" s="216"/>
      <c r="K3" s="216"/>
      <c r="L3" s="216"/>
      <c r="M3" s="216"/>
      <c r="N3" s="217"/>
      <c r="O3" s="215" t="s">
        <v>4</v>
      </c>
      <c r="P3" s="216"/>
      <c r="Q3" s="216"/>
      <c r="R3" s="216"/>
      <c r="S3" s="216"/>
      <c r="T3" s="217"/>
    </row>
    <row r="4" spans="1:20">
      <c r="A4" s="195" t="s">
        <v>5</v>
      </c>
      <c r="B4" s="196"/>
      <c r="C4" s="196"/>
      <c r="D4" s="196"/>
      <c r="E4" s="196"/>
      <c r="F4" s="197" t="s">
        <v>79</v>
      </c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9"/>
    </row>
    <row r="5" spans="1:20" ht="24.75" customHeight="1">
      <c r="A5" s="174" t="s">
        <v>7</v>
      </c>
      <c r="B5" s="175"/>
      <c r="C5" s="180" t="s">
        <v>8</v>
      </c>
      <c r="D5" s="181"/>
      <c r="E5" s="181"/>
      <c r="F5" s="180" t="s">
        <v>9</v>
      </c>
      <c r="G5" s="181"/>
      <c r="H5" s="181"/>
      <c r="I5" s="180" t="s">
        <v>10</v>
      </c>
      <c r="J5" s="181"/>
      <c r="K5" s="181"/>
      <c r="L5" s="180" t="s">
        <v>11</v>
      </c>
      <c r="M5" s="181"/>
      <c r="N5" s="181"/>
      <c r="O5" s="180" t="s">
        <v>12</v>
      </c>
      <c r="P5" s="181"/>
      <c r="Q5" s="181"/>
      <c r="R5" s="200" t="s">
        <v>13</v>
      </c>
      <c r="S5" s="201"/>
      <c r="T5" s="202"/>
    </row>
    <row r="6" spans="1:20" ht="15" customHeight="1">
      <c r="A6" s="176"/>
      <c r="B6" s="177"/>
      <c r="C6" s="170" t="s">
        <v>14</v>
      </c>
      <c r="D6" s="171"/>
      <c r="E6" s="167" t="s">
        <v>15</v>
      </c>
      <c r="F6" s="170" t="s">
        <v>14</v>
      </c>
      <c r="G6" s="171"/>
      <c r="H6" s="167" t="s">
        <v>15</v>
      </c>
      <c r="I6" s="165" t="s">
        <v>14</v>
      </c>
      <c r="J6" s="166"/>
      <c r="K6" s="167" t="s">
        <v>15</v>
      </c>
      <c r="L6" s="193" t="s">
        <v>14</v>
      </c>
      <c r="M6" s="194"/>
      <c r="N6" s="167" t="s">
        <v>15</v>
      </c>
      <c r="O6" s="170" t="s">
        <v>14</v>
      </c>
      <c r="P6" s="171"/>
      <c r="Q6" s="167" t="s">
        <v>15</v>
      </c>
      <c r="R6" s="189" t="s">
        <v>14</v>
      </c>
      <c r="S6" s="190"/>
      <c r="T6" s="191" t="s">
        <v>15</v>
      </c>
    </row>
    <row r="7" spans="1:20" ht="15.75" customHeight="1">
      <c r="A7" s="178"/>
      <c r="B7" s="179"/>
      <c r="C7" s="67" t="s">
        <v>16</v>
      </c>
      <c r="D7" s="68" t="s">
        <v>17</v>
      </c>
      <c r="E7" s="222"/>
      <c r="F7" s="1" t="s">
        <v>16</v>
      </c>
      <c r="G7" s="2" t="s">
        <v>17</v>
      </c>
      <c r="H7" s="168"/>
      <c r="I7" s="1" t="s">
        <v>16</v>
      </c>
      <c r="J7" s="2" t="s">
        <v>17</v>
      </c>
      <c r="K7" s="168"/>
      <c r="L7" s="1" t="s">
        <v>16</v>
      </c>
      <c r="M7" s="2" t="s">
        <v>17</v>
      </c>
      <c r="N7" s="168"/>
      <c r="O7" s="1" t="s">
        <v>16</v>
      </c>
      <c r="P7" s="2" t="s">
        <v>17</v>
      </c>
      <c r="Q7" s="168"/>
      <c r="R7" s="1" t="s">
        <v>16</v>
      </c>
      <c r="S7" s="2" t="s">
        <v>17</v>
      </c>
      <c r="T7" s="192"/>
    </row>
    <row r="8" spans="1:20" ht="24" customHeight="1">
      <c r="A8" s="138" t="s">
        <v>18</v>
      </c>
      <c r="B8" s="89" t="s">
        <v>19</v>
      </c>
      <c r="C8" s="93">
        <v>1</v>
      </c>
      <c r="D8" s="102"/>
      <c r="E8" s="103"/>
      <c r="F8" s="50">
        <v>1</v>
      </c>
      <c r="G8" s="5"/>
      <c r="H8" s="6"/>
      <c r="I8" s="52">
        <v>1</v>
      </c>
      <c r="J8" s="5"/>
      <c r="K8" s="6"/>
      <c r="L8" s="52">
        <v>1</v>
      </c>
      <c r="M8" s="5"/>
      <c r="N8" s="6"/>
      <c r="O8" s="52">
        <v>1</v>
      </c>
      <c r="P8" s="5"/>
      <c r="Q8" s="6"/>
      <c r="R8" s="52">
        <v>1</v>
      </c>
      <c r="S8" s="5"/>
      <c r="T8" s="6"/>
    </row>
    <row r="9" spans="1:20">
      <c r="A9" s="139"/>
      <c r="B9" s="90" t="s">
        <v>20</v>
      </c>
      <c r="C9" s="96">
        <v>1</v>
      </c>
      <c r="D9" s="101"/>
      <c r="E9" s="104"/>
      <c r="F9" s="50">
        <v>1</v>
      </c>
      <c r="G9" s="55"/>
      <c r="H9" s="8"/>
      <c r="I9" s="52">
        <v>1</v>
      </c>
      <c r="J9" s="55"/>
      <c r="K9" s="8"/>
      <c r="L9" s="52">
        <v>1</v>
      </c>
      <c r="M9" s="55"/>
      <c r="N9" s="8"/>
      <c r="O9" s="52"/>
      <c r="P9" s="55">
        <v>1</v>
      </c>
      <c r="Q9" s="8"/>
      <c r="R9" s="52">
        <v>1</v>
      </c>
      <c r="S9" s="55"/>
      <c r="T9" s="8"/>
    </row>
    <row r="10" spans="1:20">
      <c r="A10" s="139"/>
      <c r="B10" s="91" t="s">
        <v>21</v>
      </c>
      <c r="C10" s="96">
        <v>1</v>
      </c>
      <c r="D10" s="50"/>
      <c r="E10" s="104"/>
      <c r="F10" s="50">
        <v>1</v>
      </c>
      <c r="G10" s="52"/>
      <c r="H10" s="8"/>
      <c r="I10" s="52">
        <v>1</v>
      </c>
      <c r="J10" s="52"/>
      <c r="K10" s="8"/>
      <c r="L10" s="52">
        <v>1</v>
      </c>
      <c r="M10" s="52"/>
      <c r="N10" s="8"/>
      <c r="O10" s="52">
        <v>1</v>
      </c>
      <c r="P10" s="52"/>
      <c r="Q10" s="8"/>
      <c r="R10" s="52">
        <v>1</v>
      </c>
      <c r="S10" s="52"/>
      <c r="T10" s="8"/>
    </row>
    <row r="11" spans="1:20" ht="18" customHeight="1">
      <c r="A11" s="139"/>
      <c r="B11" s="90" t="s">
        <v>22</v>
      </c>
      <c r="C11" s="96">
        <v>1</v>
      </c>
      <c r="D11" s="50"/>
      <c r="E11" s="104"/>
      <c r="F11" s="50">
        <v>1</v>
      </c>
      <c r="G11" s="52"/>
      <c r="H11" s="8"/>
      <c r="I11" s="52"/>
      <c r="J11" s="52">
        <v>1</v>
      </c>
      <c r="K11" s="8"/>
      <c r="L11" s="52"/>
      <c r="M11" s="52">
        <v>1</v>
      </c>
      <c r="N11" s="8"/>
      <c r="O11" s="52"/>
      <c r="P11" s="52">
        <v>1</v>
      </c>
      <c r="Q11" s="8"/>
      <c r="R11" s="52">
        <v>1</v>
      </c>
      <c r="S11" s="52"/>
      <c r="T11" s="8"/>
    </row>
    <row r="12" spans="1:20" ht="21" customHeight="1">
      <c r="A12" s="139"/>
      <c r="B12" s="91" t="s">
        <v>23</v>
      </c>
      <c r="C12" s="96">
        <v>1</v>
      </c>
      <c r="D12" s="50"/>
      <c r="E12" s="104"/>
      <c r="F12" s="50">
        <v>1</v>
      </c>
      <c r="G12" s="52"/>
      <c r="H12" s="8"/>
      <c r="I12" s="52">
        <v>1</v>
      </c>
      <c r="J12" s="52"/>
      <c r="K12" s="8"/>
      <c r="L12" s="52">
        <v>1</v>
      </c>
      <c r="M12" s="52"/>
      <c r="N12" s="8"/>
      <c r="O12" s="52">
        <v>1</v>
      </c>
      <c r="P12" s="52"/>
      <c r="Q12" s="8"/>
      <c r="R12" s="52">
        <v>1</v>
      </c>
      <c r="S12" s="52"/>
      <c r="T12" s="8"/>
    </row>
    <row r="13" spans="1:20">
      <c r="A13" s="139"/>
      <c r="B13" s="91" t="s">
        <v>24</v>
      </c>
      <c r="C13" s="96">
        <v>1</v>
      </c>
      <c r="D13" s="50"/>
      <c r="E13" s="104"/>
      <c r="F13" s="50">
        <v>1</v>
      </c>
      <c r="G13" s="52"/>
      <c r="H13" s="8"/>
      <c r="I13" s="52">
        <v>1</v>
      </c>
      <c r="J13" s="52"/>
      <c r="K13" s="8"/>
      <c r="L13" s="50">
        <v>1</v>
      </c>
      <c r="M13" s="52"/>
      <c r="N13" s="8"/>
      <c r="O13" s="52">
        <v>1</v>
      </c>
      <c r="P13" s="52"/>
      <c r="Q13" s="8"/>
      <c r="R13" s="50"/>
      <c r="S13" s="52">
        <v>1</v>
      </c>
      <c r="T13" s="8"/>
    </row>
    <row r="14" spans="1:20" ht="16.5" customHeight="1">
      <c r="A14" s="139"/>
      <c r="B14" s="91" t="s">
        <v>25</v>
      </c>
      <c r="C14" s="96">
        <v>1</v>
      </c>
      <c r="D14" s="50"/>
      <c r="E14" s="104"/>
      <c r="F14" s="50">
        <v>1</v>
      </c>
      <c r="G14" s="52"/>
      <c r="H14" s="8"/>
      <c r="I14" s="52">
        <v>1</v>
      </c>
      <c r="J14" s="52"/>
      <c r="K14" s="8"/>
      <c r="L14" s="52">
        <v>1</v>
      </c>
      <c r="M14" s="52"/>
      <c r="N14" s="8"/>
      <c r="O14" s="52">
        <v>1</v>
      </c>
      <c r="P14" s="52"/>
      <c r="Q14" s="8"/>
      <c r="R14" s="50">
        <v>1</v>
      </c>
      <c r="S14" s="52"/>
      <c r="T14" s="8"/>
    </row>
    <row r="15" spans="1:20" ht="16.5" customHeight="1">
      <c r="A15" s="139"/>
      <c r="B15" s="91" t="s">
        <v>26</v>
      </c>
      <c r="C15" s="96">
        <v>1</v>
      </c>
      <c r="D15" s="50"/>
      <c r="E15" s="104"/>
      <c r="F15" s="50">
        <v>1</v>
      </c>
      <c r="G15" s="52"/>
      <c r="H15" s="8"/>
      <c r="I15" s="52">
        <v>1</v>
      </c>
      <c r="J15" s="52"/>
      <c r="K15" s="8"/>
      <c r="L15" s="52">
        <v>1</v>
      </c>
      <c r="M15" s="52"/>
      <c r="N15" s="8"/>
      <c r="O15" s="52">
        <v>1</v>
      </c>
      <c r="P15" s="52"/>
      <c r="Q15" s="8"/>
      <c r="R15" s="50"/>
      <c r="S15" s="52"/>
      <c r="T15" s="8">
        <v>1</v>
      </c>
    </row>
    <row r="16" spans="1:20" ht="15" customHeight="1">
      <c r="A16" s="139"/>
      <c r="B16" s="91" t="s">
        <v>27</v>
      </c>
      <c r="C16" s="98">
        <v>1</v>
      </c>
      <c r="D16" s="105"/>
      <c r="E16" s="106"/>
      <c r="F16" s="50">
        <v>1</v>
      </c>
      <c r="G16" s="10"/>
      <c r="H16" s="8"/>
      <c r="I16" s="52">
        <v>1</v>
      </c>
      <c r="J16" s="10"/>
      <c r="K16" s="8"/>
      <c r="L16" s="52">
        <v>1</v>
      </c>
      <c r="M16" s="10"/>
      <c r="N16" s="8"/>
      <c r="O16" s="52">
        <v>1</v>
      </c>
      <c r="P16" s="10"/>
      <c r="Q16" s="8"/>
      <c r="R16" s="9">
        <v>1</v>
      </c>
      <c r="S16" s="10"/>
      <c r="T16" s="8"/>
    </row>
    <row r="17" spans="1:20">
      <c r="A17" s="139"/>
      <c r="B17" s="11" t="s">
        <v>28</v>
      </c>
      <c r="C17" s="92">
        <f>SUM(C8:C16)</f>
        <v>9</v>
      </c>
      <c r="D17" s="92">
        <f>SUM(D8:D16)</f>
        <v>0</v>
      </c>
      <c r="E17" s="92">
        <f t="shared" ref="E17:T17" si="0">SUM(E8:E16)</f>
        <v>0</v>
      </c>
      <c r="F17" s="51">
        <f t="shared" si="0"/>
        <v>9</v>
      </c>
      <c r="G17" s="51">
        <f t="shared" si="0"/>
        <v>0</v>
      </c>
      <c r="H17" s="51">
        <f t="shared" si="0"/>
        <v>0</v>
      </c>
      <c r="I17" s="51">
        <f t="shared" si="0"/>
        <v>8</v>
      </c>
      <c r="J17" s="51">
        <f t="shared" si="0"/>
        <v>1</v>
      </c>
      <c r="K17" s="51">
        <f t="shared" si="0"/>
        <v>0</v>
      </c>
      <c r="L17" s="51">
        <f t="shared" si="0"/>
        <v>8</v>
      </c>
      <c r="M17" s="51">
        <f t="shared" si="0"/>
        <v>1</v>
      </c>
      <c r="N17" s="51">
        <f t="shared" si="0"/>
        <v>0</v>
      </c>
      <c r="O17" s="51">
        <f t="shared" si="0"/>
        <v>7</v>
      </c>
      <c r="P17" s="51">
        <f t="shared" si="0"/>
        <v>2</v>
      </c>
      <c r="Q17" s="51">
        <f t="shared" si="0"/>
        <v>0</v>
      </c>
      <c r="R17" s="51">
        <f t="shared" si="0"/>
        <v>7</v>
      </c>
      <c r="S17" s="51">
        <f t="shared" si="0"/>
        <v>1</v>
      </c>
      <c r="T17" s="51">
        <f t="shared" si="0"/>
        <v>1</v>
      </c>
    </row>
    <row r="18" spans="1:20">
      <c r="A18" s="140"/>
      <c r="B18" s="15" t="s">
        <v>29</v>
      </c>
      <c r="C18" s="83">
        <f>C17/E18</f>
        <v>1</v>
      </c>
      <c r="D18" s="84">
        <f>D17/E18</f>
        <v>0</v>
      </c>
      <c r="E18" s="82">
        <f>C17+D17</f>
        <v>9</v>
      </c>
      <c r="F18" s="83">
        <f t="shared" ref="F18" si="1">F17/H18</f>
        <v>1</v>
      </c>
      <c r="G18" s="84">
        <f t="shared" ref="G18" si="2">G17/H18</f>
        <v>0</v>
      </c>
      <c r="H18" s="82">
        <f t="shared" ref="H18" si="3">F17+G17</f>
        <v>9</v>
      </c>
      <c r="I18" s="83">
        <f t="shared" ref="I18" si="4">I17/K18</f>
        <v>0.88888888888888884</v>
      </c>
      <c r="J18" s="84">
        <f t="shared" ref="J18" si="5">J17/K18</f>
        <v>0.1111111111111111</v>
      </c>
      <c r="K18" s="82">
        <f t="shared" ref="K18" si="6">I17+J17</f>
        <v>9</v>
      </c>
      <c r="L18" s="83">
        <f t="shared" ref="L18" si="7">L17/N18</f>
        <v>0.88888888888888884</v>
      </c>
      <c r="M18" s="84">
        <f t="shared" ref="M18" si="8">M17/N18</f>
        <v>0.1111111111111111</v>
      </c>
      <c r="N18" s="82">
        <f t="shared" ref="N18" si="9">L17+M17</f>
        <v>9</v>
      </c>
      <c r="O18" s="83">
        <f t="shared" ref="O18" si="10">O17/Q18</f>
        <v>0.77777777777777779</v>
      </c>
      <c r="P18" s="84">
        <f t="shared" ref="P18" si="11">P17/Q18</f>
        <v>0.22222222222222221</v>
      </c>
      <c r="Q18" s="82">
        <f t="shared" ref="Q18" si="12">O17+P17</f>
        <v>9</v>
      </c>
      <c r="R18" s="83">
        <f t="shared" ref="R18" si="13">R17/T18</f>
        <v>0.875</v>
      </c>
      <c r="S18" s="84">
        <f t="shared" ref="S18" si="14">S17/T18</f>
        <v>0.125</v>
      </c>
      <c r="T18" s="82">
        <f t="shared" ref="T18" si="15">R17+S17</f>
        <v>8</v>
      </c>
    </row>
    <row r="19" spans="1:20">
      <c r="A19" s="17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20" ht="15.75" customHeight="1">
      <c r="A20" s="174" t="s">
        <v>7</v>
      </c>
      <c r="B20" s="175"/>
      <c r="C20" s="180" t="s">
        <v>30</v>
      </c>
      <c r="D20" s="181"/>
      <c r="E20" s="181"/>
      <c r="F20" s="180" t="s">
        <v>31</v>
      </c>
      <c r="G20" s="181"/>
      <c r="H20" s="182"/>
      <c r="I20" s="180" t="s">
        <v>32</v>
      </c>
      <c r="J20" s="181"/>
      <c r="K20" s="182"/>
      <c r="L20" s="183" t="s">
        <v>33</v>
      </c>
      <c r="M20" s="184"/>
      <c r="N20" s="185"/>
      <c r="O20" s="186" t="s">
        <v>34</v>
      </c>
      <c r="P20" s="187"/>
      <c r="Q20" s="188"/>
      <c r="R20" s="162" t="s">
        <v>35</v>
      </c>
      <c r="S20" s="163"/>
      <c r="T20" s="164"/>
    </row>
    <row r="21" spans="1:20" ht="15" customHeight="1">
      <c r="A21" s="176"/>
      <c r="B21" s="177"/>
      <c r="C21" s="165" t="s">
        <v>14</v>
      </c>
      <c r="D21" s="166"/>
      <c r="E21" s="167" t="s">
        <v>15</v>
      </c>
      <c r="F21" s="165" t="s">
        <v>14</v>
      </c>
      <c r="G21" s="166"/>
      <c r="H21" s="169" t="s">
        <v>15</v>
      </c>
      <c r="I21" s="165" t="s">
        <v>14</v>
      </c>
      <c r="J21" s="166"/>
      <c r="K21" s="169" t="s">
        <v>15</v>
      </c>
      <c r="L21" s="170" t="s">
        <v>14</v>
      </c>
      <c r="M21" s="171"/>
      <c r="N21" s="172" t="s">
        <v>15</v>
      </c>
      <c r="O21" s="170" t="s">
        <v>14</v>
      </c>
      <c r="P21" s="171"/>
      <c r="Q21" s="172" t="s">
        <v>15</v>
      </c>
      <c r="R21" s="134" t="s">
        <v>14</v>
      </c>
      <c r="S21" s="135"/>
      <c r="T21" s="136" t="s">
        <v>15</v>
      </c>
    </row>
    <row r="22" spans="1:20" ht="15.75" customHeight="1">
      <c r="A22" s="178"/>
      <c r="B22" s="179"/>
      <c r="C22" s="1" t="s">
        <v>16</v>
      </c>
      <c r="D22" s="2" t="s">
        <v>17</v>
      </c>
      <c r="E22" s="168"/>
      <c r="F22" s="1" t="s">
        <v>16</v>
      </c>
      <c r="G22" s="2" t="s">
        <v>17</v>
      </c>
      <c r="H22" s="137"/>
      <c r="I22" s="1" t="s">
        <v>16</v>
      </c>
      <c r="J22" s="2" t="s">
        <v>17</v>
      </c>
      <c r="K22" s="137"/>
      <c r="L22" s="1" t="s">
        <v>16</v>
      </c>
      <c r="M22" s="2" t="s">
        <v>17</v>
      </c>
      <c r="N22" s="173"/>
      <c r="O22" s="1" t="s">
        <v>16</v>
      </c>
      <c r="P22" s="2" t="s">
        <v>17</v>
      </c>
      <c r="Q22" s="173"/>
      <c r="R22" s="1" t="s">
        <v>16</v>
      </c>
      <c r="S22" s="2" t="s">
        <v>17</v>
      </c>
      <c r="T22" s="137"/>
    </row>
    <row r="23" spans="1:20" ht="24" customHeight="1">
      <c r="A23" s="138" t="s">
        <v>18</v>
      </c>
      <c r="B23" s="3" t="s">
        <v>19</v>
      </c>
      <c r="C23" s="4">
        <v>1</v>
      </c>
      <c r="D23" s="5"/>
      <c r="E23" s="56"/>
      <c r="F23" s="20">
        <v>1</v>
      </c>
      <c r="G23" s="5"/>
      <c r="H23" s="56"/>
      <c r="I23" s="20">
        <v>1</v>
      </c>
      <c r="J23" s="5"/>
      <c r="K23" s="56"/>
      <c r="L23" s="20"/>
      <c r="M23" s="5"/>
      <c r="N23" s="57">
        <v>1</v>
      </c>
      <c r="O23" s="64">
        <v>1</v>
      </c>
      <c r="P23" s="65"/>
      <c r="Q23" s="66"/>
      <c r="R23" s="64">
        <v>1</v>
      </c>
      <c r="S23" s="65"/>
      <c r="T23" s="66"/>
    </row>
    <row r="24" spans="1:20" ht="20.25">
      <c r="A24" s="139"/>
      <c r="B24" s="44" t="s">
        <v>36</v>
      </c>
      <c r="C24" s="58">
        <v>1</v>
      </c>
      <c r="D24" s="54"/>
      <c r="E24" s="59"/>
      <c r="F24" s="53">
        <v>1</v>
      </c>
      <c r="G24" s="54"/>
      <c r="H24" s="59"/>
      <c r="I24" s="53">
        <v>1</v>
      </c>
      <c r="J24" s="54"/>
      <c r="K24" s="59"/>
      <c r="L24" s="53">
        <v>1</v>
      </c>
      <c r="M24" s="54"/>
      <c r="N24" s="60"/>
      <c r="O24" s="64">
        <v>1</v>
      </c>
      <c r="P24" s="65"/>
      <c r="Q24" s="66"/>
      <c r="R24" s="64">
        <v>1</v>
      </c>
      <c r="S24" s="65"/>
      <c r="T24" s="66"/>
    </row>
    <row r="25" spans="1:20">
      <c r="A25" s="139"/>
      <c r="B25" s="7" t="s">
        <v>21</v>
      </c>
      <c r="C25" s="61">
        <v>1</v>
      </c>
      <c r="D25" s="62"/>
      <c r="E25" s="59"/>
      <c r="F25" s="63">
        <v>1</v>
      </c>
      <c r="G25" s="62"/>
      <c r="H25" s="59"/>
      <c r="I25" s="63">
        <v>1</v>
      </c>
      <c r="J25" s="62"/>
      <c r="K25" s="59"/>
      <c r="L25" s="63">
        <v>1</v>
      </c>
      <c r="M25" s="62"/>
      <c r="N25" s="60"/>
      <c r="O25" s="64">
        <v>1</v>
      </c>
      <c r="P25" s="65"/>
      <c r="Q25" s="66"/>
      <c r="R25" s="64">
        <v>1</v>
      </c>
      <c r="S25" s="65"/>
      <c r="T25" s="66"/>
    </row>
    <row r="26" spans="1:20">
      <c r="A26" s="139"/>
      <c r="B26" s="7" t="s">
        <v>37</v>
      </c>
      <c r="C26" s="71"/>
      <c r="D26" s="72"/>
      <c r="E26" s="73"/>
      <c r="F26" s="74"/>
      <c r="G26" s="72"/>
      <c r="H26" s="73"/>
      <c r="I26" s="74"/>
      <c r="J26" s="72"/>
      <c r="K26" s="73"/>
      <c r="L26" s="74"/>
      <c r="M26" s="72"/>
      <c r="N26" s="75"/>
      <c r="O26" s="76"/>
      <c r="P26" s="77"/>
      <c r="Q26" s="78"/>
      <c r="R26" s="64">
        <v>1</v>
      </c>
      <c r="S26" s="65"/>
      <c r="T26" s="66"/>
    </row>
    <row r="27" spans="1:20">
      <c r="A27" s="139"/>
      <c r="B27" s="7" t="s">
        <v>22</v>
      </c>
      <c r="C27" s="61"/>
      <c r="D27" s="62">
        <v>1</v>
      </c>
      <c r="E27" s="59"/>
      <c r="F27" s="63"/>
      <c r="G27" s="62">
        <v>1</v>
      </c>
      <c r="H27" s="59"/>
      <c r="I27" s="63"/>
      <c r="J27" s="62">
        <v>1</v>
      </c>
      <c r="K27" s="59"/>
      <c r="L27" s="63">
        <v>1</v>
      </c>
      <c r="M27" s="62"/>
      <c r="N27" s="60"/>
      <c r="O27" s="64"/>
      <c r="P27" s="65">
        <v>1</v>
      </c>
      <c r="Q27" s="66"/>
      <c r="R27" s="64">
        <v>1</v>
      </c>
      <c r="S27" s="65"/>
      <c r="T27" s="66"/>
    </row>
    <row r="28" spans="1:20">
      <c r="A28" s="139"/>
      <c r="B28" s="7" t="s">
        <v>38</v>
      </c>
      <c r="C28" s="71"/>
      <c r="D28" s="72"/>
      <c r="E28" s="73"/>
      <c r="F28" s="74"/>
      <c r="G28" s="72"/>
      <c r="H28" s="73"/>
      <c r="I28" s="74"/>
      <c r="J28" s="72"/>
      <c r="K28" s="73"/>
      <c r="L28" s="63"/>
      <c r="M28" s="62"/>
      <c r="N28" s="60">
        <v>1</v>
      </c>
      <c r="O28" s="64">
        <v>1</v>
      </c>
      <c r="P28" s="65"/>
      <c r="Q28" s="66"/>
      <c r="R28" s="64">
        <v>1</v>
      </c>
      <c r="S28" s="65"/>
      <c r="T28" s="66"/>
    </row>
    <row r="29" spans="1:20">
      <c r="A29" s="139"/>
      <c r="B29" s="7" t="s">
        <v>39</v>
      </c>
      <c r="C29" s="71"/>
      <c r="D29" s="72"/>
      <c r="E29" s="73"/>
      <c r="F29" s="74"/>
      <c r="G29" s="72"/>
      <c r="H29" s="73"/>
      <c r="I29" s="74"/>
      <c r="J29" s="72"/>
      <c r="K29" s="73"/>
      <c r="L29" s="74"/>
      <c r="M29" s="72"/>
      <c r="N29" s="75"/>
      <c r="O29" s="64">
        <v>1</v>
      </c>
      <c r="P29" s="65"/>
      <c r="Q29" s="66"/>
      <c r="R29" s="76"/>
      <c r="S29" s="77"/>
      <c r="T29" s="78"/>
    </row>
    <row r="30" spans="1:20">
      <c r="A30" s="139"/>
      <c r="B30" s="7" t="s">
        <v>40</v>
      </c>
      <c r="C30" s="71"/>
      <c r="D30" s="72"/>
      <c r="E30" s="73"/>
      <c r="F30" s="74"/>
      <c r="G30" s="72"/>
      <c r="H30" s="73"/>
      <c r="I30" s="74"/>
      <c r="J30" s="72"/>
      <c r="K30" s="73"/>
      <c r="L30" s="74"/>
      <c r="M30" s="72"/>
      <c r="N30" s="75"/>
      <c r="O30" s="64">
        <v>1</v>
      </c>
      <c r="P30" s="65"/>
      <c r="Q30" s="66"/>
      <c r="R30" s="64"/>
      <c r="S30" s="65"/>
      <c r="T30" s="66">
        <v>1</v>
      </c>
    </row>
    <row r="31" spans="1:20">
      <c r="A31" s="139"/>
      <c r="B31" s="7" t="s">
        <v>23</v>
      </c>
      <c r="C31" s="61">
        <v>1</v>
      </c>
      <c r="D31" s="62"/>
      <c r="E31" s="59"/>
      <c r="F31" s="63">
        <v>1</v>
      </c>
      <c r="G31" s="62"/>
      <c r="H31" s="59"/>
      <c r="I31" s="63">
        <v>1</v>
      </c>
      <c r="J31" s="62"/>
      <c r="K31" s="59"/>
      <c r="L31" s="63">
        <v>1</v>
      </c>
      <c r="M31" s="62"/>
      <c r="N31" s="60"/>
      <c r="O31" s="64">
        <v>1</v>
      </c>
      <c r="P31" s="65"/>
      <c r="Q31" s="66"/>
      <c r="R31" s="64">
        <v>1</v>
      </c>
      <c r="S31" s="65"/>
      <c r="T31" s="66"/>
    </row>
    <row r="32" spans="1:20">
      <c r="A32" s="139"/>
      <c r="B32" s="70" t="s">
        <v>24</v>
      </c>
      <c r="C32" s="61"/>
      <c r="D32" s="62">
        <v>1</v>
      </c>
      <c r="E32" s="59"/>
      <c r="F32" s="63"/>
      <c r="G32" s="62">
        <v>1</v>
      </c>
      <c r="H32" s="59"/>
      <c r="I32" s="63">
        <v>1</v>
      </c>
      <c r="J32" s="62"/>
      <c r="K32" s="59"/>
      <c r="L32" s="63">
        <v>1</v>
      </c>
      <c r="M32" s="62"/>
      <c r="N32" s="60"/>
      <c r="O32" s="64">
        <v>1</v>
      </c>
      <c r="P32" s="65"/>
      <c r="Q32" s="66"/>
      <c r="R32" s="64"/>
      <c r="S32" s="65">
        <v>1</v>
      </c>
      <c r="T32" s="66"/>
    </row>
    <row r="33" spans="1:20">
      <c r="A33" s="139"/>
      <c r="B33" s="70" t="s">
        <v>41</v>
      </c>
      <c r="C33" s="61">
        <v>1</v>
      </c>
      <c r="D33" s="62"/>
      <c r="E33" s="59"/>
      <c r="F33" s="63">
        <v>1</v>
      </c>
      <c r="G33" s="62"/>
      <c r="H33" s="59"/>
      <c r="I33" s="63">
        <v>1</v>
      </c>
      <c r="J33" s="62"/>
      <c r="K33" s="59"/>
      <c r="L33" s="63">
        <v>1</v>
      </c>
      <c r="M33" s="62"/>
      <c r="N33" s="60"/>
      <c r="O33" s="64">
        <v>1</v>
      </c>
      <c r="P33" s="65"/>
      <c r="Q33" s="66"/>
      <c r="R33" s="64"/>
      <c r="S33" s="65"/>
      <c r="T33" s="66">
        <v>1</v>
      </c>
    </row>
    <row r="34" spans="1:20" ht="16.5" customHeight="1">
      <c r="A34" s="139"/>
      <c r="B34" s="7" t="s">
        <v>42</v>
      </c>
      <c r="C34" s="61">
        <v>1</v>
      </c>
      <c r="D34" s="62"/>
      <c r="E34" s="59"/>
      <c r="F34" s="63">
        <v>1</v>
      </c>
      <c r="G34" s="62"/>
      <c r="H34" s="59"/>
      <c r="I34" s="63">
        <v>1</v>
      </c>
      <c r="J34" s="62"/>
      <c r="K34" s="59"/>
      <c r="L34" s="63">
        <v>1</v>
      </c>
      <c r="M34" s="62"/>
      <c r="N34" s="60"/>
      <c r="O34" s="64"/>
      <c r="P34" s="65"/>
      <c r="Q34" s="66">
        <v>1</v>
      </c>
      <c r="R34" s="64"/>
      <c r="S34" s="65"/>
      <c r="T34" s="66">
        <v>1</v>
      </c>
    </row>
    <row r="35" spans="1:20">
      <c r="A35" s="139"/>
      <c r="B35" s="70" t="s">
        <v>43</v>
      </c>
      <c r="C35" s="71"/>
      <c r="D35" s="72"/>
      <c r="E35" s="73"/>
      <c r="F35" s="74"/>
      <c r="G35" s="72"/>
      <c r="H35" s="73"/>
      <c r="I35" s="74"/>
      <c r="J35" s="72"/>
      <c r="K35" s="73"/>
      <c r="L35" s="74"/>
      <c r="M35" s="72"/>
      <c r="N35" s="75"/>
      <c r="O35" s="64">
        <v>1</v>
      </c>
      <c r="P35" s="65"/>
      <c r="Q35" s="66"/>
      <c r="R35" s="76"/>
      <c r="S35" s="77"/>
      <c r="T35" s="78"/>
    </row>
    <row r="36" spans="1:20">
      <c r="A36" s="139"/>
      <c r="B36" s="7" t="s">
        <v>44</v>
      </c>
      <c r="C36" s="71"/>
      <c r="D36" s="72"/>
      <c r="E36" s="73"/>
      <c r="F36" s="74"/>
      <c r="G36" s="72"/>
      <c r="H36" s="73"/>
      <c r="I36" s="74"/>
      <c r="J36" s="72"/>
      <c r="K36" s="73"/>
      <c r="L36" s="74"/>
      <c r="M36" s="72"/>
      <c r="N36" s="75"/>
      <c r="O36" s="76"/>
      <c r="P36" s="77"/>
      <c r="Q36" s="78"/>
      <c r="R36" s="64"/>
      <c r="S36" s="65"/>
      <c r="T36" s="66">
        <v>1</v>
      </c>
    </row>
    <row r="37" spans="1:20">
      <c r="A37" s="139"/>
      <c r="B37" s="7" t="s">
        <v>45</v>
      </c>
      <c r="C37" s="71"/>
      <c r="D37" s="72"/>
      <c r="E37" s="73"/>
      <c r="F37" s="74"/>
      <c r="G37" s="72"/>
      <c r="H37" s="73"/>
      <c r="I37" s="74"/>
      <c r="J37" s="72"/>
      <c r="K37" s="73"/>
      <c r="L37" s="74"/>
      <c r="M37" s="72"/>
      <c r="N37" s="75"/>
      <c r="O37" s="76"/>
      <c r="P37" s="77"/>
      <c r="Q37" s="78"/>
      <c r="R37" s="64">
        <v>1</v>
      </c>
      <c r="S37" s="65"/>
      <c r="T37" s="66"/>
    </row>
    <row r="38" spans="1:20">
      <c r="A38" s="139"/>
      <c r="B38" s="7" t="s">
        <v>46</v>
      </c>
      <c r="C38" s="71"/>
      <c r="D38" s="72"/>
      <c r="E38" s="73"/>
      <c r="F38" s="74"/>
      <c r="G38" s="72"/>
      <c r="H38" s="73"/>
      <c r="I38" s="74"/>
      <c r="J38" s="72"/>
      <c r="K38" s="73"/>
      <c r="L38" s="74"/>
      <c r="M38" s="72"/>
      <c r="N38" s="75"/>
      <c r="O38" s="76"/>
      <c r="P38" s="77"/>
      <c r="Q38" s="78"/>
      <c r="R38" s="64">
        <v>1</v>
      </c>
      <c r="S38" s="65"/>
      <c r="T38" s="66"/>
    </row>
    <row r="39" spans="1:20" ht="21.75" customHeight="1">
      <c r="A39" s="139"/>
      <c r="B39" s="7" t="s">
        <v>47</v>
      </c>
      <c r="C39" s="71"/>
      <c r="D39" s="72"/>
      <c r="E39" s="73"/>
      <c r="F39" s="74"/>
      <c r="G39" s="72"/>
      <c r="H39" s="73"/>
      <c r="I39" s="74"/>
      <c r="J39" s="72"/>
      <c r="K39" s="73"/>
      <c r="L39" s="74"/>
      <c r="M39" s="72"/>
      <c r="N39" s="75"/>
      <c r="O39" s="76"/>
      <c r="P39" s="77"/>
      <c r="Q39" s="78"/>
      <c r="R39" s="64"/>
      <c r="S39" s="65">
        <v>1</v>
      </c>
      <c r="T39" s="66"/>
    </row>
    <row r="40" spans="1:20">
      <c r="A40" s="139"/>
      <c r="B40" s="7" t="s">
        <v>48</v>
      </c>
      <c r="C40" s="71"/>
      <c r="D40" s="72"/>
      <c r="E40" s="73"/>
      <c r="F40" s="74"/>
      <c r="G40" s="72"/>
      <c r="H40" s="73"/>
      <c r="I40" s="74"/>
      <c r="J40" s="72"/>
      <c r="K40" s="73"/>
      <c r="L40" s="74"/>
      <c r="M40" s="72"/>
      <c r="N40" s="75"/>
      <c r="O40" s="79"/>
      <c r="P40" s="80"/>
      <c r="Q40" s="81"/>
      <c r="R40" s="67">
        <v>1</v>
      </c>
      <c r="S40" s="68"/>
      <c r="T40" s="69"/>
    </row>
    <row r="41" spans="1:20">
      <c r="A41" s="139"/>
      <c r="B41" s="7" t="s">
        <v>27</v>
      </c>
      <c r="C41" s="61">
        <v>1</v>
      </c>
      <c r="D41" s="62"/>
      <c r="E41" s="59"/>
      <c r="F41" s="63">
        <v>1</v>
      </c>
      <c r="G41" s="62"/>
      <c r="H41" s="59"/>
      <c r="I41" s="63"/>
      <c r="J41" s="62">
        <v>1</v>
      </c>
      <c r="K41" s="59"/>
      <c r="L41" s="63">
        <v>1</v>
      </c>
      <c r="M41" s="62"/>
      <c r="N41" s="60"/>
      <c r="O41" s="67"/>
      <c r="P41" s="68"/>
      <c r="Q41" s="69">
        <v>1</v>
      </c>
      <c r="R41" s="67">
        <v>1</v>
      </c>
      <c r="S41" s="68"/>
      <c r="T41" s="69"/>
    </row>
    <row r="42" spans="1:20">
      <c r="A42" s="139"/>
      <c r="B42" s="11" t="s">
        <v>28</v>
      </c>
      <c r="C42" s="12">
        <f>SUM(C23:C41)</f>
        <v>7</v>
      </c>
      <c r="D42" s="13">
        <f>SUM(D23:D41)</f>
        <v>2</v>
      </c>
      <c r="E42" s="14">
        <f>SUM(E23:E41)</f>
        <v>0</v>
      </c>
      <c r="F42" s="12">
        <f t="shared" ref="F42:T42" si="16">SUM(F23:F41)</f>
        <v>7</v>
      </c>
      <c r="G42" s="13">
        <f t="shared" si="16"/>
        <v>2</v>
      </c>
      <c r="H42" s="14">
        <f t="shared" si="16"/>
        <v>0</v>
      </c>
      <c r="I42" s="12">
        <f t="shared" si="16"/>
        <v>7</v>
      </c>
      <c r="J42" s="13">
        <f t="shared" si="16"/>
        <v>2</v>
      </c>
      <c r="K42" s="14">
        <f t="shared" si="16"/>
        <v>0</v>
      </c>
      <c r="L42" s="12">
        <f t="shared" si="16"/>
        <v>8</v>
      </c>
      <c r="M42" s="13">
        <f t="shared" si="16"/>
        <v>0</v>
      </c>
      <c r="N42" s="14">
        <f t="shared" si="16"/>
        <v>2</v>
      </c>
      <c r="O42" s="12">
        <f t="shared" si="16"/>
        <v>10</v>
      </c>
      <c r="P42" s="13">
        <f t="shared" si="16"/>
        <v>1</v>
      </c>
      <c r="Q42" s="14">
        <f t="shared" si="16"/>
        <v>2</v>
      </c>
      <c r="R42" s="12">
        <f t="shared" si="16"/>
        <v>11</v>
      </c>
      <c r="S42" s="13">
        <f t="shared" si="16"/>
        <v>2</v>
      </c>
      <c r="T42" s="14">
        <f t="shared" si="16"/>
        <v>4</v>
      </c>
    </row>
    <row r="43" spans="1:20" ht="16.5" customHeight="1">
      <c r="A43" s="140"/>
      <c r="B43" s="15" t="s">
        <v>29</v>
      </c>
      <c r="C43" s="86">
        <f>C42/E43</f>
        <v>0.77777777777777779</v>
      </c>
      <c r="D43" s="85">
        <f>D42/E43</f>
        <v>0.22222222222222221</v>
      </c>
      <c r="E43" s="16">
        <f>C42+D42</f>
        <v>9</v>
      </c>
      <c r="F43" s="86">
        <f t="shared" ref="F43" si="17">F42/H43</f>
        <v>0.77777777777777779</v>
      </c>
      <c r="G43" s="85">
        <f t="shared" ref="G43" si="18">G42/H43</f>
        <v>0.22222222222222221</v>
      </c>
      <c r="H43" s="16">
        <f t="shared" ref="H43" si="19">F42+G42</f>
        <v>9</v>
      </c>
      <c r="I43" s="86">
        <f t="shared" ref="I43" si="20">I42/K43</f>
        <v>0.77777777777777779</v>
      </c>
      <c r="J43" s="85">
        <f t="shared" ref="J43" si="21">J42/K43</f>
        <v>0.22222222222222221</v>
      </c>
      <c r="K43" s="16">
        <f t="shared" ref="K43" si="22">I42+J42</f>
        <v>9</v>
      </c>
      <c r="L43" s="86">
        <f t="shared" ref="L43" si="23">L42/N43</f>
        <v>1</v>
      </c>
      <c r="M43" s="85">
        <f t="shared" ref="M43" si="24">M42/N43</f>
        <v>0</v>
      </c>
      <c r="N43" s="16">
        <f t="shared" ref="N43" si="25">L42+M42</f>
        <v>8</v>
      </c>
      <c r="O43" s="86">
        <f t="shared" ref="O43" si="26">O42/Q43</f>
        <v>0.90909090909090906</v>
      </c>
      <c r="P43" s="85">
        <f t="shared" ref="P43" si="27">P42/Q43</f>
        <v>9.0909090909090912E-2</v>
      </c>
      <c r="Q43" s="16">
        <f t="shared" ref="Q43" si="28">O42+P42</f>
        <v>11</v>
      </c>
      <c r="R43" s="86">
        <f t="shared" ref="R43" si="29">R42/T43</f>
        <v>0.84615384615384615</v>
      </c>
      <c r="S43" s="85">
        <f t="shared" ref="S43" si="30">S42/T43</f>
        <v>0.15384615384615385</v>
      </c>
      <c r="T43" s="16">
        <f t="shared" ref="T43" si="31">R42+S42</f>
        <v>13</v>
      </c>
    </row>
    <row r="44" spans="1:20" ht="15.75">
      <c r="A44" s="141" t="s">
        <v>49</v>
      </c>
      <c r="B44" s="142"/>
      <c r="C44" s="22" t="s">
        <v>80</v>
      </c>
      <c r="D44" s="22"/>
      <c r="E44" s="22"/>
      <c r="F44" s="22"/>
      <c r="G44" s="22"/>
      <c r="H44" s="22"/>
      <c r="I44" s="43"/>
      <c r="J44" s="43"/>
      <c r="K44" s="43"/>
      <c r="L44" s="43"/>
      <c r="M44" s="43"/>
      <c r="N44" s="43"/>
      <c r="O44" s="43"/>
      <c r="P44" s="43"/>
      <c r="Q44" s="43"/>
      <c r="R44" s="45"/>
      <c r="S44" s="45"/>
      <c r="T44" s="46"/>
    </row>
    <row r="45" spans="1:20">
      <c r="A45" s="23" t="s">
        <v>81</v>
      </c>
      <c r="B45" s="24"/>
      <c r="C45" s="24"/>
      <c r="D45" s="24"/>
      <c r="E45" s="24"/>
      <c r="F45" s="24"/>
      <c r="G45" s="24"/>
      <c r="H45" s="24"/>
      <c r="I45" s="21"/>
      <c r="J45" s="21"/>
      <c r="K45" s="21"/>
      <c r="L45" s="21"/>
      <c r="M45" s="21"/>
      <c r="N45" s="21"/>
      <c r="O45" s="21"/>
      <c r="P45" s="21"/>
      <c r="Q45" s="21"/>
      <c r="T45" s="47"/>
    </row>
    <row r="46" spans="1:20">
      <c r="A46" s="23" t="s">
        <v>82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T46" s="47"/>
    </row>
    <row r="47" spans="1:20">
      <c r="A47" s="23" t="s">
        <v>83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T47" s="47"/>
    </row>
    <row r="48" spans="1:20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T48" s="47"/>
    </row>
    <row r="49" spans="1:20">
      <c r="A49" s="23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T49" s="47"/>
    </row>
    <row r="50" spans="1:20" ht="15.75" customHeight="1">
      <c r="A50" s="143" t="s">
        <v>52</v>
      </c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5"/>
    </row>
    <row r="51" spans="1:20" ht="15" customHeight="1">
      <c r="A51" s="146" t="s">
        <v>53</v>
      </c>
      <c r="B51" s="147"/>
      <c r="C51" s="148" cm="1">
        <f t="array" ref="C51">SUM(C42+D42+F42:G42+I42:J42+L42:M42+O42:P42+R42:S42+R17:S17+O17:P17+L17:M17+I17:J17+F17:G17+C17:D17)</f>
        <v>121</v>
      </c>
      <c r="D51" s="149"/>
      <c r="E51" s="149"/>
      <c r="F51" s="150"/>
      <c r="G51" s="151">
        <v>1</v>
      </c>
      <c r="H51" s="152"/>
      <c r="I51" s="87" t="s">
        <v>54</v>
      </c>
      <c r="J51" s="25"/>
      <c r="K51" s="25"/>
      <c r="L51" s="153" t="s">
        <v>55</v>
      </c>
      <c r="M51" s="154"/>
      <c r="N51" s="154"/>
      <c r="O51" s="154"/>
      <c r="P51" s="154"/>
      <c r="Q51" s="154"/>
      <c r="R51" s="154"/>
      <c r="S51" s="154"/>
      <c r="T51" s="155"/>
    </row>
    <row r="52" spans="1:20" ht="15" customHeight="1">
      <c r="A52" s="123" t="s">
        <v>56</v>
      </c>
      <c r="B52" s="124"/>
      <c r="C52" s="113">
        <f>SUM(C17+F17+I17+L17+O17+R17+C42+F42+I42+L42+O42+R42)</f>
        <v>98</v>
      </c>
      <c r="D52" s="114"/>
      <c r="E52" s="114"/>
      <c r="F52" s="115"/>
      <c r="G52" s="119">
        <f>C52/C51</f>
        <v>0.80991735537190079</v>
      </c>
      <c r="H52" s="120"/>
      <c r="I52" s="27" t="s">
        <v>57</v>
      </c>
      <c r="J52" s="28"/>
      <c r="K52" s="28"/>
      <c r="L52" s="156"/>
      <c r="M52" s="157"/>
      <c r="N52" s="157"/>
      <c r="O52" s="157"/>
      <c r="P52" s="157"/>
      <c r="Q52" s="157"/>
      <c r="R52" s="157"/>
      <c r="S52" s="157"/>
      <c r="T52" s="158"/>
    </row>
    <row r="53" spans="1:20">
      <c r="A53" s="123"/>
      <c r="B53" s="124"/>
      <c r="C53" s="116"/>
      <c r="D53" s="117"/>
      <c r="E53" s="117"/>
      <c r="F53" s="118"/>
      <c r="G53" s="121"/>
      <c r="H53" s="122"/>
      <c r="I53" s="30" t="s">
        <v>58</v>
      </c>
      <c r="J53" s="28"/>
      <c r="K53" s="28"/>
      <c r="L53" s="156"/>
      <c r="M53" s="157"/>
      <c r="N53" s="157"/>
      <c r="O53" s="157"/>
      <c r="P53" s="157"/>
      <c r="Q53" s="157"/>
      <c r="R53" s="157"/>
      <c r="S53" s="157"/>
      <c r="T53" s="158"/>
    </row>
    <row r="54" spans="1:20" ht="15" customHeight="1">
      <c r="A54" s="123" t="s">
        <v>59</v>
      </c>
      <c r="B54" s="124"/>
      <c r="C54" s="113">
        <f>SUM(S42+P42+M42+J42+G42+D42+D17+G17+J17+M17+P17+S17)</f>
        <v>14</v>
      </c>
      <c r="D54" s="114"/>
      <c r="E54" s="114"/>
      <c r="F54" s="115"/>
      <c r="G54" s="119">
        <f>C54/C51</f>
        <v>0.11570247933884298</v>
      </c>
      <c r="H54" s="120"/>
      <c r="I54" s="31"/>
      <c r="J54" s="29"/>
      <c r="K54" s="29"/>
      <c r="L54" s="156"/>
      <c r="M54" s="157"/>
      <c r="N54" s="157"/>
      <c r="O54" s="157"/>
      <c r="P54" s="157"/>
      <c r="Q54" s="157"/>
      <c r="R54" s="157"/>
      <c r="S54" s="157"/>
      <c r="T54" s="158"/>
    </row>
    <row r="55" spans="1:20">
      <c r="A55" s="123"/>
      <c r="B55" s="124"/>
      <c r="C55" s="116"/>
      <c r="D55" s="117"/>
      <c r="E55" s="117"/>
      <c r="F55" s="118"/>
      <c r="G55" s="121"/>
      <c r="H55" s="122"/>
      <c r="I55" s="31"/>
      <c r="J55" s="29"/>
      <c r="K55" s="29"/>
      <c r="L55" s="156"/>
      <c r="M55" s="157"/>
      <c r="N55" s="157"/>
      <c r="O55" s="157"/>
      <c r="P55" s="157"/>
      <c r="Q55" s="157"/>
      <c r="R55" s="157"/>
      <c r="S55" s="157"/>
      <c r="T55" s="158"/>
    </row>
    <row r="56" spans="1:20" ht="15" customHeight="1">
      <c r="A56" s="123" t="s">
        <v>60</v>
      </c>
      <c r="B56" s="124"/>
      <c r="C56" s="113">
        <f>SUM(T42+Q42+N42+K42+H42+E42+T17+Q17+N17+K17+H17+E17)</f>
        <v>9</v>
      </c>
      <c r="D56" s="114"/>
      <c r="E56" s="114"/>
      <c r="F56" s="115"/>
      <c r="G56" s="130">
        <f>C56/C51</f>
        <v>7.43801652892562E-2</v>
      </c>
      <c r="H56" s="131"/>
      <c r="I56" s="31"/>
      <c r="J56" s="29"/>
      <c r="K56" s="29"/>
      <c r="L56" s="156"/>
      <c r="M56" s="157"/>
      <c r="N56" s="157"/>
      <c r="O56" s="157"/>
      <c r="P56" s="157"/>
      <c r="Q56" s="157"/>
      <c r="R56" s="157"/>
      <c r="S56" s="157"/>
      <c r="T56" s="158"/>
    </row>
    <row r="57" spans="1:20" ht="15.75" customHeight="1">
      <c r="A57" s="125"/>
      <c r="B57" s="126"/>
      <c r="C57" s="127"/>
      <c r="D57" s="128"/>
      <c r="E57" s="128"/>
      <c r="F57" s="129"/>
      <c r="G57" s="132"/>
      <c r="H57" s="133"/>
      <c r="I57" s="32"/>
      <c r="J57" s="33"/>
      <c r="K57" s="33"/>
      <c r="L57" s="159"/>
      <c r="M57" s="160"/>
      <c r="N57" s="160"/>
      <c r="O57" s="160"/>
      <c r="P57" s="160"/>
      <c r="Q57" s="160"/>
      <c r="R57" s="160"/>
      <c r="S57" s="160"/>
      <c r="T57" s="161"/>
    </row>
    <row r="58" spans="1:20">
      <c r="A58" s="36" t="s">
        <v>61</v>
      </c>
      <c r="B58" s="35"/>
      <c r="C58" s="35"/>
      <c r="D58" s="35"/>
      <c r="E58" s="35"/>
      <c r="F58" s="35"/>
      <c r="G58" s="35"/>
      <c r="H58" s="26"/>
      <c r="I58" s="35"/>
      <c r="J58" s="36" t="s">
        <v>62</v>
      </c>
      <c r="K58" s="37"/>
      <c r="L58" s="37"/>
      <c r="M58" s="29"/>
      <c r="N58" s="29"/>
      <c r="O58" s="29"/>
      <c r="P58" s="29"/>
      <c r="Q58" s="29"/>
      <c r="T58" s="47"/>
    </row>
    <row r="59" spans="1:20">
      <c r="A59" s="107" t="s">
        <v>63</v>
      </c>
      <c r="B59" s="108"/>
      <c r="C59" s="38"/>
      <c r="D59" s="38"/>
      <c r="E59" s="38"/>
      <c r="F59" s="39"/>
      <c r="G59" s="39"/>
      <c r="H59" s="39"/>
      <c r="I59" s="39"/>
      <c r="J59" s="40" t="s">
        <v>64</v>
      </c>
      <c r="K59" s="41"/>
      <c r="L59" s="41"/>
      <c r="M59" s="33"/>
      <c r="N59" s="33"/>
      <c r="O59" s="33"/>
      <c r="P59" s="33"/>
      <c r="Q59" s="33"/>
      <c r="R59" s="48"/>
      <c r="S59" s="48"/>
      <c r="T59" s="49"/>
    </row>
    <row r="60" spans="1:20" ht="42" customHeight="1">
      <c r="A60" s="109" t="s">
        <v>65</v>
      </c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1"/>
    </row>
    <row r="61" spans="1:20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</row>
    <row r="62" spans="1:20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</row>
  </sheetData>
  <mergeCells count="66">
    <mergeCell ref="A59:B59"/>
    <mergeCell ref="A60:T60"/>
    <mergeCell ref="A61:Q61"/>
    <mergeCell ref="C52:F53"/>
    <mergeCell ref="G52:H53"/>
    <mergeCell ref="A54:B55"/>
    <mergeCell ref="C54:F55"/>
    <mergeCell ref="G54:H55"/>
    <mergeCell ref="A56:B57"/>
    <mergeCell ref="C56:F57"/>
    <mergeCell ref="G56:H57"/>
    <mergeCell ref="Q21:Q22"/>
    <mergeCell ref="A51:B51"/>
    <mergeCell ref="C51:F51"/>
    <mergeCell ref="G51:H51"/>
    <mergeCell ref="L51:T57"/>
    <mergeCell ref="A52:B53"/>
    <mergeCell ref="R21:S21"/>
    <mergeCell ref="T21:T22"/>
    <mergeCell ref="A23:A43"/>
    <mergeCell ref="A44:B44"/>
    <mergeCell ref="A50:T50"/>
    <mergeCell ref="A20:B22"/>
    <mergeCell ref="T6:T7"/>
    <mergeCell ref="R20:T20"/>
    <mergeCell ref="C21:D21"/>
    <mergeCell ref="E21:E22"/>
    <mergeCell ref="F21:G21"/>
    <mergeCell ref="H21:H22"/>
    <mergeCell ref="I21:J21"/>
    <mergeCell ref="K21:K22"/>
    <mergeCell ref="L21:M21"/>
    <mergeCell ref="N21:N22"/>
    <mergeCell ref="O21:P21"/>
    <mergeCell ref="C20:E20"/>
    <mergeCell ref="F20:H20"/>
    <mergeCell ref="I20:K20"/>
    <mergeCell ref="L20:N20"/>
    <mergeCell ref="O20:Q20"/>
    <mergeCell ref="A8:A18"/>
    <mergeCell ref="E6:E7"/>
    <mergeCell ref="F6:G6"/>
    <mergeCell ref="H6:H7"/>
    <mergeCell ref="I6:J6"/>
    <mergeCell ref="K6:K7"/>
    <mergeCell ref="L6:M6"/>
    <mergeCell ref="A4:E4"/>
    <mergeCell ref="F4:T4"/>
    <mergeCell ref="A5:B7"/>
    <mergeCell ref="C5:E5"/>
    <mergeCell ref="F5:H5"/>
    <mergeCell ref="I5:K5"/>
    <mergeCell ref="L5:N5"/>
    <mergeCell ref="O5:Q5"/>
    <mergeCell ref="R5:T5"/>
    <mergeCell ref="C6:D6"/>
    <mergeCell ref="N6:N7"/>
    <mergeCell ref="O6:P6"/>
    <mergeCell ref="Q6:Q7"/>
    <mergeCell ref="R6:S6"/>
    <mergeCell ref="A1:D3"/>
    <mergeCell ref="E1:T1"/>
    <mergeCell ref="E2:T2"/>
    <mergeCell ref="E3:H3"/>
    <mergeCell ref="I3:N3"/>
    <mergeCell ref="O3:T3"/>
  </mergeCells>
  <printOptions horizontalCentered="1" verticalCentered="1"/>
  <pageMargins left="0.39370078740157483" right="0.39370078740157483" top="0" bottom="0" header="0.31496062992125984" footer="0.31496062992125984"/>
  <pageSetup scale="72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363D-6A13-403F-ACB6-55F4B313750F}">
  <sheetPr>
    <pageSetUpPr fitToPage="1"/>
  </sheetPr>
  <dimension ref="A1:T62"/>
  <sheetViews>
    <sheetView topLeftCell="A44" workbookViewId="0">
      <selection activeCell="A48" sqref="A48"/>
    </sheetView>
  </sheetViews>
  <sheetFormatPr defaultColWidth="11.42578125" defaultRowHeight="15"/>
  <cols>
    <col min="2" max="2" width="18.140625" customWidth="1"/>
    <col min="3" max="3" width="6.140625" customWidth="1"/>
    <col min="4" max="4" width="6.42578125" customWidth="1"/>
    <col min="5" max="5" width="6.140625" customWidth="1"/>
    <col min="6" max="6" width="6" customWidth="1"/>
    <col min="7" max="7" width="5.85546875" customWidth="1"/>
    <col min="8" max="9" width="6.42578125" customWidth="1"/>
    <col min="10" max="10" width="7.140625" customWidth="1"/>
    <col min="11" max="11" width="6.140625" customWidth="1"/>
    <col min="12" max="12" width="5.7109375" customWidth="1"/>
    <col min="13" max="16" width="5.85546875" customWidth="1"/>
    <col min="17" max="17" width="5.7109375" customWidth="1"/>
    <col min="18" max="18" width="5.5703125" customWidth="1"/>
    <col min="19" max="19" width="5.42578125" customWidth="1"/>
    <col min="20" max="20" width="5.85546875" customWidth="1"/>
  </cols>
  <sheetData>
    <row r="1" spans="1:20" ht="15.75">
      <c r="A1" s="203"/>
      <c r="B1" s="204"/>
      <c r="C1" s="204"/>
      <c r="D1" s="205"/>
      <c r="E1" s="212" t="s">
        <v>0</v>
      </c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4"/>
    </row>
    <row r="2" spans="1:20" ht="15.75">
      <c r="A2" s="206"/>
      <c r="B2" s="207"/>
      <c r="C2" s="207"/>
      <c r="D2" s="208"/>
      <c r="E2" s="212" t="s">
        <v>1</v>
      </c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4"/>
    </row>
    <row r="3" spans="1:20" ht="16.5" customHeight="1">
      <c r="A3" s="209"/>
      <c r="B3" s="210"/>
      <c r="C3" s="210"/>
      <c r="D3" s="211"/>
      <c r="E3" s="215" t="s">
        <v>2</v>
      </c>
      <c r="F3" s="216"/>
      <c r="G3" s="216"/>
      <c r="H3" s="217"/>
      <c r="I3" s="215" t="s">
        <v>3</v>
      </c>
      <c r="J3" s="216"/>
      <c r="K3" s="216"/>
      <c r="L3" s="216"/>
      <c r="M3" s="216"/>
      <c r="N3" s="217"/>
      <c r="O3" s="215" t="s">
        <v>4</v>
      </c>
      <c r="P3" s="216"/>
      <c r="Q3" s="216"/>
      <c r="R3" s="216"/>
      <c r="S3" s="216"/>
      <c r="T3" s="217"/>
    </row>
    <row r="4" spans="1:20">
      <c r="A4" s="195" t="s">
        <v>5</v>
      </c>
      <c r="B4" s="196"/>
      <c r="C4" s="196"/>
      <c r="D4" s="196"/>
      <c r="E4" s="196"/>
      <c r="F4" s="197" t="s">
        <v>6</v>
      </c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9"/>
    </row>
    <row r="5" spans="1:20" ht="24.75" customHeight="1">
      <c r="A5" s="174" t="s">
        <v>7</v>
      </c>
      <c r="B5" s="175"/>
      <c r="C5" s="180" t="s">
        <v>8</v>
      </c>
      <c r="D5" s="181"/>
      <c r="E5" s="181"/>
      <c r="F5" s="180" t="s">
        <v>9</v>
      </c>
      <c r="G5" s="181"/>
      <c r="H5" s="181"/>
      <c r="I5" s="180" t="s">
        <v>10</v>
      </c>
      <c r="J5" s="181"/>
      <c r="K5" s="181"/>
      <c r="L5" s="180" t="s">
        <v>11</v>
      </c>
      <c r="M5" s="181"/>
      <c r="N5" s="181"/>
      <c r="O5" s="180" t="s">
        <v>12</v>
      </c>
      <c r="P5" s="181"/>
      <c r="Q5" s="181"/>
      <c r="R5" s="200" t="s">
        <v>13</v>
      </c>
      <c r="S5" s="201"/>
      <c r="T5" s="202"/>
    </row>
    <row r="6" spans="1:20" ht="15" customHeight="1">
      <c r="A6" s="176"/>
      <c r="B6" s="177"/>
      <c r="C6" s="170" t="s">
        <v>14</v>
      </c>
      <c r="D6" s="171"/>
      <c r="E6" s="167" t="s">
        <v>15</v>
      </c>
      <c r="F6" s="170" t="s">
        <v>14</v>
      </c>
      <c r="G6" s="171"/>
      <c r="H6" s="167" t="s">
        <v>15</v>
      </c>
      <c r="I6" s="165" t="s">
        <v>14</v>
      </c>
      <c r="J6" s="166"/>
      <c r="K6" s="167" t="s">
        <v>15</v>
      </c>
      <c r="L6" s="193" t="s">
        <v>14</v>
      </c>
      <c r="M6" s="194"/>
      <c r="N6" s="167" t="s">
        <v>15</v>
      </c>
      <c r="O6" s="170" t="s">
        <v>14</v>
      </c>
      <c r="P6" s="171"/>
      <c r="Q6" s="167" t="s">
        <v>15</v>
      </c>
      <c r="R6" s="189" t="s">
        <v>14</v>
      </c>
      <c r="S6" s="190"/>
      <c r="T6" s="191" t="s">
        <v>15</v>
      </c>
    </row>
    <row r="7" spans="1:20" ht="15.75" customHeight="1">
      <c r="A7" s="178"/>
      <c r="B7" s="179"/>
      <c r="C7" s="1" t="s">
        <v>16</v>
      </c>
      <c r="D7" s="2" t="s">
        <v>17</v>
      </c>
      <c r="E7" s="168"/>
      <c r="F7" s="1" t="s">
        <v>16</v>
      </c>
      <c r="G7" s="2" t="s">
        <v>17</v>
      </c>
      <c r="H7" s="168"/>
      <c r="I7" s="1" t="s">
        <v>16</v>
      </c>
      <c r="J7" s="2" t="s">
        <v>17</v>
      </c>
      <c r="K7" s="168"/>
      <c r="L7" s="1" t="s">
        <v>16</v>
      </c>
      <c r="M7" s="2" t="s">
        <v>17</v>
      </c>
      <c r="N7" s="168"/>
      <c r="O7" s="1" t="s">
        <v>16</v>
      </c>
      <c r="P7" s="2" t="s">
        <v>17</v>
      </c>
      <c r="Q7" s="168"/>
      <c r="R7" s="1" t="s">
        <v>16</v>
      </c>
      <c r="S7" s="2" t="s">
        <v>17</v>
      </c>
      <c r="T7" s="192"/>
    </row>
    <row r="8" spans="1:20" ht="24" customHeight="1">
      <c r="A8" s="138" t="s">
        <v>18</v>
      </c>
      <c r="B8" s="3" t="s">
        <v>19</v>
      </c>
      <c r="C8" s="4">
        <v>1</v>
      </c>
      <c r="D8" s="5"/>
      <c r="E8" s="6"/>
      <c r="F8" s="52">
        <v>1</v>
      </c>
      <c r="G8" s="5"/>
      <c r="H8" s="6"/>
      <c r="I8" s="52">
        <v>1</v>
      </c>
      <c r="J8" s="5"/>
      <c r="K8" s="6"/>
      <c r="L8" s="52">
        <v>1</v>
      </c>
      <c r="M8" s="5"/>
      <c r="N8" s="6"/>
      <c r="O8" s="52">
        <v>1</v>
      </c>
      <c r="P8" s="5"/>
      <c r="Q8" s="6"/>
      <c r="R8" s="52">
        <v>1</v>
      </c>
      <c r="S8" s="5"/>
      <c r="T8" s="6"/>
    </row>
    <row r="9" spans="1:20">
      <c r="A9" s="139"/>
      <c r="B9" s="44" t="s">
        <v>20</v>
      </c>
      <c r="C9" s="4">
        <v>1</v>
      </c>
      <c r="D9" s="55"/>
      <c r="E9" s="8"/>
      <c r="F9" s="52">
        <v>1</v>
      </c>
      <c r="G9" s="55"/>
      <c r="H9" s="8"/>
      <c r="I9" s="52">
        <v>1</v>
      </c>
      <c r="J9" s="55"/>
      <c r="K9" s="8"/>
      <c r="L9" s="52">
        <v>1</v>
      </c>
      <c r="M9" s="55"/>
      <c r="N9" s="8"/>
      <c r="O9" s="52">
        <v>1</v>
      </c>
      <c r="P9" s="55"/>
      <c r="Q9" s="8"/>
      <c r="R9" s="52"/>
      <c r="S9" s="55">
        <v>1</v>
      </c>
      <c r="T9" s="8"/>
    </row>
    <row r="10" spans="1:20">
      <c r="A10" s="139"/>
      <c r="B10" s="7" t="s">
        <v>21</v>
      </c>
      <c r="C10" s="4">
        <v>1</v>
      </c>
      <c r="D10" s="52"/>
      <c r="E10" s="8"/>
      <c r="F10" s="52">
        <v>1</v>
      </c>
      <c r="G10" s="52"/>
      <c r="H10" s="8"/>
      <c r="I10" s="52">
        <v>1</v>
      </c>
      <c r="J10" s="52"/>
      <c r="K10" s="8"/>
      <c r="L10" s="52">
        <v>1</v>
      </c>
      <c r="M10" s="52"/>
      <c r="N10" s="8"/>
      <c r="O10" s="52">
        <v>1</v>
      </c>
      <c r="P10" s="52"/>
      <c r="Q10" s="8"/>
      <c r="R10" s="52">
        <v>1</v>
      </c>
      <c r="S10" s="52"/>
      <c r="T10" s="8"/>
    </row>
    <row r="11" spans="1:20" ht="18" customHeight="1">
      <c r="A11" s="139"/>
      <c r="B11" s="44" t="s">
        <v>22</v>
      </c>
      <c r="C11" s="4">
        <v>1</v>
      </c>
      <c r="D11" s="52"/>
      <c r="E11" s="8"/>
      <c r="F11" s="52">
        <v>1</v>
      </c>
      <c r="G11" s="52"/>
      <c r="H11" s="8"/>
      <c r="I11" s="52">
        <v>1</v>
      </c>
      <c r="J11" s="52"/>
      <c r="K11" s="8"/>
      <c r="L11" s="52">
        <v>1</v>
      </c>
      <c r="M11" s="52"/>
      <c r="N11" s="8"/>
      <c r="O11" s="52">
        <v>1</v>
      </c>
      <c r="P11" s="52"/>
      <c r="Q11" s="8"/>
      <c r="R11" s="52">
        <v>1</v>
      </c>
      <c r="S11" s="52"/>
      <c r="T11" s="8"/>
    </row>
    <row r="12" spans="1:20" ht="21" customHeight="1">
      <c r="A12" s="139"/>
      <c r="B12" s="7" t="s">
        <v>23</v>
      </c>
      <c r="C12" s="4">
        <v>1</v>
      </c>
      <c r="D12" s="52"/>
      <c r="E12" s="8"/>
      <c r="F12" s="52">
        <v>1</v>
      </c>
      <c r="G12" s="52"/>
      <c r="H12" s="8"/>
      <c r="I12" s="52">
        <v>1</v>
      </c>
      <c r="J12" s="52"/>
      <c r="K12" s="8"/>
      <c r="L12" s="52">
        <v>1</v>
      </c>
      <c r="M12" s="52"/>
      <c r="N12" s="8"/>
      <c r="O12" s="52">
        <v>1</v>
      </c>
      <c r="P12" s="52"/>
      <c r="Q12" s="8"/>
      <c r="R12" s="52">
        <v>1</v>
      </c>
      <c r="S12" s="52"/>
      <c r="T12" s="8"/>
    </row>
    <row r="13" spans="1:20">
      <c r="A13" s="139"/>
      <c r="B13" s="7" t="s">
        <v>24</v>
      </c>
      <c r="C13" s="4"/>
      <c r="D13" s="52">
        <v>1</v>
      </c>
      <c r="E13" s="8"/>
      <c r="F13" s="52">
        <v>1</v>
      </c>
      <c r="G13" s="52"/>
      <c r="H13" s="8"/>
      <c r="I13" s="52">
        <v>1</v>
      </c>
      <c r="J13" s="52"/>
      <c r="K13" s="8"/>
      <c r="L13" s="50">
        <v>1</v>
      </c>
      <c r="M13" s="52"/>
      <c r="N13" s="8"/>
      <c r="O13" s="52"/>
      <c r="P13" s="52">
        <v>1</v>
      </c>
      <c r="Q13" s="8"/>
      <c r="R13" s="50"/>
      <c r="S13" s="52">
        <v>1</v>
      </c>
      <c r="T13" s="8"/>
    </row>
    <row r="14" spans="1:20" ht="16.5" customHeight="1">
      <c r="A14" s="139"/>
      <c r="B14" s="7" t="s">
        <v>25</v>
      </c>
      <c r="C14" s="4">
        <v>1</v>
      </c>
      <c r="D14" s="52"/>
      <c r="E14" s="8"/>
      <c r="F14" s="52">
        <v>1</v>
      </c>
      <c r="G14" s="52"/>
      <c r="H14" s="8"/>
      <c r="I14" s="52">
        <v>1</v>
      </c>
      <c r="J14" s="52"/>
      <c r="K14" s="8"/>
      <c r="L14" s="52">
        <v>1</v>
      </c>
      <c r="M14" s="52"/>
      <c r="N14" s="8"/>
      <c r="O14" s="52"/>
      <c r="P14" s="52">
        <v>1</v>
      </c>
      <c r="Q14" s="8"/>
      <c r="R14" s="50"/>
      <c r="S14" s="52">
        <v>1</v>
      </c>
      <c r="T14" s="8"/>
    </row>
    <row r="15" spans="1:20" ht="16.5" customHeight="1">
      <c r="A15" s="139"/>
      <c r="B15" s="7" t="s">
        <v>26</v>
      </c>
      <c r="C15" s="4">
        <v>1</v>
      </c>
      <c r="D15" s="52"/>
      <c r="E15" s="8"/>
      <c r="F15" s="52">
        <v>1</v>
      </c>
      <c r="G15" s="52"/>
      <c r="H15" s="8"/>
      <c r="I15" s="52">
        <v>1</v>
      </c>
      <c r="J15" s="52"/>
      <c r="K15" s="8"/>
      <c r="L15" s="52">
        <v>1</v>
      </c>
      <c r="M15" s="52"/>
      <c r="N15" s="8"/>
      <c r="O15" s="52">
        <v>1</v>
      </c>
      <c r="P15" s="52"/>
      <c r="Q15" s="8"/>
      <c r="R15" s="50"/>
      <c r="S15" s="52"/>
      <c r="T15" s="8">
        <v>1</v>
      </c>
    </row>
    <row r="16" spans="1:20" ht="15" customHeight="1">
      <c r="A16" s="139"/>
      <c r="B16" s="7" t="s">
        <v>27</v>
      </c>
      <c r="C16" s="4">
        <v>1</v>
      </c>
      <c r="D16" s="10"/>
      <c r="E16" s="8"/>
      <c r="F16" s="52">
        <v>1</v>
      </c>
      <c r="G16" s="10"/>
      <c r="H16" s="8"/>
      <c r="I16" s="52">
        <v>1</v>
      </c>
      <c r="J16" s="10"/>
      <c r="K16" s="8"/>
      <c r="L16" s="52">
        <v>1</v>
      </c>
      <c r="M16" s="10"/>
      <c r="N16" s="8"/>
      <c r="O16" s="52">
        <v>1</v>
      </c>
      <c r="P16" s="10"/>
      <c r="Q16" s="8"/>
      <c r="R16" s="9">
        <v>1</v>
      </c>
      <c r="S16" s="10"/>
      <c r="T16" s="8"/>
    </row>
    <row r="17" spans="1:20">
      <c r="A17" s="139"/>
      <c r="B17" s="11" t="s">
        <v>28</v>
      </c>
      <c r="C17" s="51">
        <f>SUM(C8:C16)</f>
        <v>8</v>
      </c>
      <c r="D17" s="51">
        <f>SUM(D8:D16)</f>
        <v>1</v>
      </c>
      <c r="E17" s="51">
        <f t="shared" ref="E17:T17" si="0">SUM(E8:E16)</f>
        <v>0</v>
      </c>
      <c r="F17" s="51">
        <f t="shared" si="0"/>
        <v>9</v>
      </c>
      <c r="G17" s="51">
        <f t="shared" si="0"/>
        <v>0</v>
      </c>
      <c r="H17" s="51">
        <f t="shared" si="0"/>
        <v>0</v>
      </c>
      <c r="I17" s="51">
        <f t="shared" si="0"/>
        <v>9</v>
      </c>
      <c r="J17" s="51">
        <f t="shared" si="0"/>
        <v>0</v>
      </c>
      <c r="K17" s="51">
        <f t="shared" si="0"/>
        <v>0</v>
      </c>
      <c r="L17" s="51">
        <f t="shared" si="0"/>
        <v>9</v>
      </c>
      <c r="M17" s="51">
        <f t="shared" si="0"/>
        <v>0</v>
      </c>
      <c r="N17" s="51">
        <f t="shared" si="0"/>
        <v>0</v>
      </c>
      <c r="O17" s="51">
        <f t="shared" si="0"/>
        <v>7</v>
      </c>
      <c r="P17" s="51">
        <f t="shared" si="0"/>
        <v>2</v>
      </c>
      <c r="Q17" s="51">
        <f t="shared" si="0"/>
        <v>0</v>
      </c>
      <c r="R17" s="51">
        <f t="shared" si="0"/>
        <v>5</v>
      </c>
      <c r="S17" s="51">
        <f t="shared" si="0"/>
        <v>3</v>
      </c>
      <c r="T17" s="51">
        <f t="shared" si="0"/>
        <v>1</v>
      </c>
    </row>
    <row r="18" spans="1:20">
      <c r="A18" s="140"/>
      <c r="B18" s="15" t="s">
        <v>29</v>
      </c>
      <c r="C18" s="83">
        <f>C17/E18</f>
        <v>0.88888888888888884</v>
      </c>
      <c r="D18" s="84">
        <f>D17/E18</f>
        <v>0.1111111111111111</v>
      </c>
      <c r="E18" s="82">
        <f>C17+D17</f>
        <v>9</v>
      </c>
      <c r="F18" s="83">
        <f t="shared" ref="F18" si="1">F17/H18</f>
        <v>1</v>
      </c>
      <c r="G18" s="84">
        <f t="shared" ref="G18" si="2">G17/H18</f>
        <v>0</v>
      </c>
      <c r="H18" s="82">
        <f t="shared" ref="H18" si="3">F17+G17</f>
        <v>9</v>
      </c>
      <c r="I18" s="83">
        <f t="shared" ref="I18" si="4">I17/K18</f>
        <v>1</v>
      </c>
      <c r="J18" s="84">
        <f t="shared" ref="J18" si="5">J17/K18</f>
        <v>0</v>
      </c>
      <c r="K18" s="82">
        <f t="shared" ref="K18" si="6">I17+J17</f>
        <v>9</v>
      </c>
      <c r="L18" s="83">
        <f t="shared" ref="L18" si="7">L17/N18</f>
        <v>1</v>
      </c>
      <c r="M18" s="84">
        <f t="shared" ref="M18" si="8">M17/N18</f>
        <v>0</v>
      </c>
      <c r="N18" s="82">
        <f t="shared" ref="N18" si="9">L17+M17</f>
        <v>9</v>
      </c>
      <c r="O18" s="83">
        <f t="shared" ref="O18" si="10">O17/Q18</f>
        <v>0.77777777777777779</v>
      </c>
      <c r="P18" s="84">
        <f t="shared" ref="P18" si="11">P17/Q18</f>
        <v>0.22222222222222221</v>
      </c>
      <c r="Q18" s="82">
        <f t="shared" ref="Q18" si="12">O17+P17</f>
        <v>9</v>
      </c>
      <c r="R18" s="83">
        <f t="shared" ref="R18" si="13">R17/T18</f>
        <v>0.625</v>
      </c>
      <c r="S18" s="84">
        <f t="shared" ref="S18" si="14">S17/T18</f>
        <v>0.375</v>
      </c>
      <c r="T18" s="82">
        <f t="shared" ref="T18" si="15">R17+S17</f>
        <v>8</v>
      </c>
    </row>
    <row r="19" spans="1:20">
      <c r="A19" s="17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20" ht="15.75" customHeight="1">
      <c r="A20" s="174" t="s">
        <v>7</v>
      </c>
      <c r="B20" s="175"/>
      <c r="C20" s="180" t="s">
        <v>30</v>
      </c>
      <c r="D20" s="181"/>
      <c r="E20" s="181"/>
      <c r="F20" s="180" t="s">
        <v>31</v>
      </c>
      <c r="G20" s="181"/>
      <c r="H20" s="182"/>
      <c r="I20" s="180" t="s">
        <v>32</v>
      </c>
      <c r="J20" s="181"/>
      <c r="K20" s="182"/>
      <c r="L20" s="183" t="s">
        <v>33</v>
      </c>
      <c r="M20" s="184"/>
      <c r="N20" s="185"/>
      <c r="O20" s="186" t="s">
        <v>34</v>
      </c>
      <c r="P20" s="187"/>
      <c r="Q20" s="188"/>
      <c r="R20" s="162" t="s">
        <v>35</v>
      </c>
      <c r="S20" s="163"/>
      <c r="T20" s="164"/>
    </row>
    <row r="21" spans="1:20" ht="15" customHeight="1">
      <c r="A21" s="176"/>
      <c r="B21" s="177"/>
      <c r="C21" s="165" t="s">
        <v>14</v>
      </c>
      <c r="D21" s="166"/>
      <c r="E21" s="167" t="s">
        <v>15</v>
      </c>
      <c r="F21" s="165" t="s">
        <v>14</v>
      </c>
      <c r="G21" s="166"/>
      <c r="H21" s="169" t="s">
        <v>15</v>
      </c>
      <c r="I21" s="165" t="s">
        <v>14</v>
      </c>
      <c r="J21" s="166"/>
      <c r="K21" s="169" t="s">
        <v>15</v>
      </c>
      <c r="L21" s="170" t="s">
        <v>14</v>
      </c>
      <c r="M21" s="171"/>
      <c r="N21" s="172" t="s">
        <v>15</v>
      </c>
      <c r="O21" s="170" t="s">
        <v>14</v>
      </c>
      <c r="P21" s="171"/>
      <c r="Q21" s="172" t="s">
        <v>15</v>
      </c>
      <c r="R21" s="134" t="s">
        <v>14</v>
      </c>
      <c r="S21" s="135"/>
      <c r="T21" s="136" t="s">
        <v>15</v>
      </c>
    </row>
    <row r="22" spans="1:20" ht="15.75" customHeight="1">
      <c r="A22" s="178"/>
      <c r="B22" s="179"/>
      <c r="C22" s="1" t="s">
        <v>16</v>
      </c>
      <c r="D22" s="2" t="s">
        <v>17</v>
      </c>
      <c r="E22" s="168"/>
      <c r="F22" s="1" t="s">
        <v>16</v>
      </c>
      <c r="G22" s="2" t="s">
        <v>17</v>
      </c>
      <c r="H22" s="137"/>
      <c r="I22" s="1" t="s">
        <v>16</v>
      </c>
      <c r="J22" s="2" t="s">
        <v>17</v>
      </c>
      <c r="K22" s="137"/>
      <c r="L22" s="1" t="s">
        <v>16</v>
      </c>
      <c r="M22" s="2" t="s">
        <v>17</v>
      </c>
      <c r="N22" s="173"/>
      <c r="O22" s="1" t="s">
        <v>16</v>
      </c>
      <c r="P22" s="2" t="s">
        <v>17</v>
      </c>
      <c r="Q22" s="173"/>
      <c r="R22" s="1" t="s">
        <v>16</v>
      </c>
      <c r="S22" s="2" t="s">
        <v>17</v>
      </c>
      <c r="T22" s="137"/>
    </row>
    <row r="23" spans="1:20" ht="24" customHeight="1">
      <c r="A23" s="138" t="s">
        <v>18</v>
      </c>
      <c r="B23" s="3" t="s">
        <v>19</v>
      </c>
      <c r="C23" s="4">
        <v>1</v>
      </c>
      <c r="D23" s="5"/>
      <c r="E23" s="56"/>
      <c r="F23" s="20">
        <v>1</v>
      </c>
      <c r="G23" s="5"/>
      <c r="H23" s="56"/>
      <c r="I23" s="20"/>
      <c r="J23" s="5">
        <v>1</v>
      </c>
      <c r="K23" s="56"/>
      <c r="L23" s="20">
        <v>1</v>
      </c>
      <c r="M23" s="5"/>
      <c r="N23" s="57"/>
      <c r="O23" s="64">
        <v>1</v>
      </c>
      <c r="P23" s="65"/>
      <c r="Q23" s="66"/>
      <c r="R23" s="64">
        <v>1</v>
      </c>
      <c r="S23" s="65"/>
      <c r="T23" s="66"/>
    </row>
    <row r="24" spans="1:20" ht="20.25">
      <c r="A24" s="139"/>
      <c r="B24" s="44" t="s">
        <v>36</v>
      </c>
      <c r="C24" s="58">
        <v>1</v>
      </c>
      <c r="D24" s="54"/>
      <c r="E24" s="59"/>
      <c r="F24" s="53"/>
      <c r="G24" s="54">
        <v>1</v>
      </c>
      <c r="H24" s="59"/>
      <c r="I24" s="53">
        <v>1</v>
      </c>
      <c r="J24" s="54"/>
      <c r="K24" s="59"/>
      <c r="L24" s="53">
        <v>1</v>
      </c>
      <c r="M24" s="54"/>
      <c r="N24" s="60"/>
      <c r="O24" s="64"/>
      <c r="P24" s="65">
        <v>1</v>
      </c>
      <c r="Q24" s="66"/>
      <c r="R24" s="64">
        <v>1</v>
      </c>
      <c r="S24" s="65"/>
      <c r="T24" s="66"/>
    </row>
    <row r="25" spans="1:20">
      <c r="A25" s="139"/>
      <c r="B25" s="7" t="s">
        <v>21</v>
      </c>
      <c r="C25" s="61">
        <v>1</v>
      </c>
      <c r="D25" s="62"/>
      <c r="E25" s="59"/>
      <c r="F25" s="63">
        <v>1</v>
      </c>
      <c r="G25" s="62"/>
      <c r="H25" s="59"/>
      <c r="I25" s="63">
        <v>1</v>
      </c>
      <c r="J25" s="62"/>
      <c r="K25" s="59"/>
      <c r="L25" s="63">
        <v>1</v>
      </c>
      <c r="M25" s="62"/>
      <c r="N25" s="60"/>
      <c r="O25" s="64">
        <v>1</v>
      </c>
      <c r="P25" s="65"/>
      <c r="Q25" s="66"/>
      <c r="R25" s="64">
        <v>1</v>
      </c>
      <c r="S25" s="65"/>
      <c r="T25" s="66"/>
    </row>
    <row r="26" spans="1:20">
      <c r="A26" s="139"/>
      <c r="B26" s="7" t="s">
        <v>37</v>
      </c>
      <c r="C26" s="71"/>
      <c r="D26" s="72"/>
      <c r="E26" s="73"/>
      <c r="F26" s="74"/>
      <c r="G26" s="72"/>
      <c r="H26" s="73"/>
      <c r="I26" s="74"/>
      <c r="J26" s="72"/>
      <c r="K26" s="73"/>
      <c r="L26" s="74"/>
      <c r="M26" s="72"/>
      <c r="N26" s="75"/>
      <c r="O26" s="76"/>
      <c r="P26" s="77"/>
      <c r="Q26" s="78"/>
      <c r="R26" s="64">
        <v>1</v>
      </c>
      <c r="S26" s="65"/>
      <c r="T26" s="66"/>
    </row>
    <row r="27" spans="1:20">
      <c r="A27" s="139"/>
      <c r="B27" s="7" t="s">
        <v>22</v>
      </c>
      <c r="C27" s="61"/>
      <c r="D27" s="62">
        <v>1</v>
      </c>
      <c r="E27" s="59"/>
      <c r="F27" s="63"/>
      <c r="G27" s="62">
        <v>1</v>
      </c>
      <c r="H27" s="59"/>
      <c r="I27" s="63">
        <v>1</v>
      </c>
      <c r="J27" s="62"/>
      <c r="K27" s="59"/>
      <c r="L27" s="63">
        <v>1</v>
      </c>
      <c r="M27" s="62"/>
      <c r="N27" s="60"/>
      <c r="O27" s="64">
        <v>1</v>
      </c>
      <c r="P27" s="65"/>
      <c r="Q27" s="66"/>
      <c r="R27" s="64">
        <v>1</v>
      </c>
      <c r="S27" s="65"/>
      <c r="T27" s="66"/>
    </row>
    <row r="28" spans="1:20">
      <c r="A28" s="139"/>
      <c r="B28" s="7" t="s">
        <v>38</v>
      </c>
      <c r="C28" s="71"/>
      <c r="D28" s="72"/>
      <c r="E28" s="73"/>
      <c r="F28" s="74"/>
      <c r="G28" s="72"/>
      <c r="H28" s="73"/>
      <c r="I28" s="74"/>
      <c r="J28" s="72"/>
      <c r="K28" s="73"/>
      <c r="L28" s="63"/>
      <c r="M28" s="62"/>
      <c r="N28" s="60">
        <v>1</v>
      </c>
      <c r="O28" s="64">
        <v>1</v>
      </c>
      <c r="P28" s="65"/>
      <c r="Q28" s="66"/>
      <c r="R28" s="64">
        <v>1</v>
      </c>
      <c r="S28" s="65"/>
      <c r="T28" s="66"/>
    </row>
    <row r="29" spans="1:20">
      <c r="A29" s="139"/>
      <c r="B29" s="7" t="s">
        <v>39</v>
      </c>
      <c r="C29" s="71"/>
      <c r="D29" s="72"/>
      <c r="E29" s="73"/>
      <c r="F29" s="74"/>
      <c r="G29" s="72"/>
      <c r="H29" s="73"/>
      <c r="I29" s="74"/>
      <c r="J29" s="72"/>
      <c r="K29" s="73"/>
      <c r="L29" s="74"/>
      <c r="M29" s="72"/>
      <c r="N29" s="75"/>
      <c r="O29" s="64">
        <v>1</v>
      </c>
      <c r="P29" s="65"/>
      <c r="Q29" s="66"/>
      <c r="R29" s="76"/>
      <c r="S29" s="77"/>
      <c r="T29" s="78"/>
    </row>
    <row r="30" spans="1:20">
      <c r="A30" s="139"/>
      <c r="B30" s="7" t="s">
        <v>40</v>
      </c>
      <c r="C30" s="71"/>
      <c r="D30" s="72"/>
      <c r="E30" s="73"/>
      <c r="F30" s="74"/>
      <c r="G30" s="72"/>
      <c r="H30" s="73"/>
      <c r="I30" s="74"/>
      <c r="J30" s="72"/>
      <c r="K30" s="73"/>
      <c r="L30" s="74"/>
      <c r="M30" s="72"/>
      <c r="N30" s="75"/>
      <c r="O30" s="64">
        <v>1</v>
      </c>
      <c r="P30" s="65"/>
      <c r="Q30" s="66"/>
      <c r="R30" s="64"/>
      <c r="S30" s="65"/>
      <c r="T30" s="66">
        <v>1</v>
      </c>
    </row>
    <row r="31" spans="1:20">
      <c r="A31" s="139"/>
      <c r="B31" s="7" t="s">
        <v>23</v>
      </c>
      <c r="C31" s="61">
        <v>1</v>
      </c>
      <c r="D31" s="62"/>
      <c r="E31" s="59"/>
      <c r="F31" s="63">
        <v>1</v>
      </c>
      <c r="G31" s="62"/>
      <c r="H31" s="59"/>
      <c r="I31" s="63">
        <v>1</v>
      </c>
      <c r="J31" s="62"/>
      <c r="K31" s="59"/>
      <c r="L31" s="63">
        <v>1</v>
      </c>
      <c r="M31" s="62"/>
      <c r="N31" s="60"/>
      <c r="O31" s="64">
        <v>1</v>
      </c>
      <c r="P31" s="65"/>
      <c r="Q31" s="66"/>
      <c r="R31" s="64">
        <v>1</v>
      </c>
      <c r="S31" s="65"/>
      <c r="T31" s="66"/>
    </row>
    <row r="32" spans="1:20">
      <c r="A32" s="139"/>
      <c r="B32" s="70" t="s">
        <v>24</v>
      </c>
      <c r="C32" s="61"/>
      <c r="D32" s="62">
        <v>1</v>
      </c>
      <c r="E32" s="59"/>
      <c r="F32" s="63"/>
      <c r="G32" s="62">
        <v>1</v>
      </c>
      <c r="H32" s="59"/>
      <c r="I32" s="63"/>
      <c r="J32" s="62">
        <v>1</v>
      </c>
      <c r="K32" s="59"/>
      <c r="L32" s="63">
        <v>1</v>
      </c>
      <c r="M32" s="62"/>
      <c r="N32" s="60"/>
      <c r="O32" s="64"/>
      <c r="P32" s="65">
        <v>1</v>
      </c>
      <c r="Q32" s="66"/>
      <c r="R32" s="64"/>
      <c r="S32" s="65">
        <v>1</v>
      </c>
      <c r="T32" s="66"/>
    </row>
    <row r="33" spans="1:20">
      <c r="A33" s="139"/>
      <c r="B33" s="70" t="s">
        <v>41</v>
      </c>
      <c r="C33" s="61">
        <v>1</v>
      </c>
      <c r="D33" s="62"/>
      <c r="E33" s="59"/>
      <c r="F33" s="63">
        <v>1</v>
      </c>
      <c r="G33" s="62"/>
      <c r="H33" s="59"/>
      <c r="I33" s="63">
        <v>1</v>
      </c>
      <c r="J33" s="62"/>
      <c r="K33" s="59"/>
      <c r="L33" s="63"/>
      <c r="M33" s="62">
        <v>1</v>
      </c>
      <c r="N33" s="60"/>
      <c r="O33" s="64">
        <v>1</v>
      </c>
      <c r="P33" s="65"/>
      <c r="Q33" s="66"/>
      <c r="R33" s="64"/>
      <c r="S33" s="65"/>
      <c r="T33" s="66">
        <v>1</v>
      </c>
    </row>
    <row r="34" spans="1:20" ht="16.5" customHeight="1">
      <c r="A34" s="139"/>
      <c r="B34" s="7" t="s">
        <v>42</v>
      </c>
      <c r="C34" s="61">
        <v>1</v>
      </c>
      <c r="D34" s="62"/>
      <c r="E34" s="59"/>
      <c r="F34" s="63">
        <v>1</v>
      </c>
      <c r="G34" s="62"/>
      <c r="H34" s="59"/>
      <c r="I34" s="63">
        <v>1</v>
      </c>
      <c r="J34" s="62"/>
      <c r="K34" s="59"/>
      <c r="L34" s="63"/>
      <c r="M34" s="62">
        <v>1</v>
      </c>
      <c r="N34" s="60"/>
      <c r="O34" s="64"/>
      <c r="P34" s="65"/>
      <c r="Q34" s="66">
        <v>1</v>
      </c>
      <c r="R34" s="64"/>
      <c r="S34" s="65"/>
      <c r="T34" s="66">
        <v>1</v>
      </c>
    </row>
    <row r="35" spans="1:20">
      <c r="A35" s="139"/>
      <c r="B35" s="70" t="s">
        <v>43</v>
      </c>
      <c r="C35" s="71"/>
      <c r="D35" s="72"/>
      <c r="E35" s="73"/>
      <c r="F35" s="74"/>
      <c r="G35" s="72"/>
      <c r="H35" s="73"/>
      <c r="I35" s="74"/>
      <c r="J35" s="72"/>
      <c r="K35" s="73"/>
      <c r="L35" s="74"/>
      <c r="M35" s="72"/>
      <c r="N35" s="75"/>
      <c r="O35" s="64">
        <v>1</v>
      </c>
      <c r="P35" s="65"/>
      <c r="Q35" s="66"/>
      <c r="R35" s="76"/>
      <c r="S35" s="77"/>
      <c r="T35" s="78"/>
    </row>
    <row r="36" spans="1:20">
      <c r="A36" s="139"/>
      <c r="B36" s="7" t="s">
        <v>44</v>
      </c>
      <c r="C36" s="71"/>
      <c r="D36" s="72"/>
      <c r="E36" s="73"/>
      <c r="F36" s="74"/>
      <c r="G36" s="72"/>
      <c r="H36" s="73"/>
      <c r="I36" s="74"/>
      <c r="J36" s="72"/>
      <c r="K36" s="73"/>
      <c r="L36" s="74"/>
      <c r="M36" s="72"/>
      <c r="N36" s="75"/>
      <c r="O36" s="76"/>
      <c r="P36" s="77"/>
      <c r="Q36" s="78"/>
      <c r="R36" s="64"/>
      <c r="S36" s="65"/>
      <c r="T36" s="66">
        <v>1</v>
      </c>
    </row>
    <row r="37" spans="1:20">
      <c r="A37" s="139"/>
      <c r="B37" s="7" t="s">
        <v>45</v>
      </c>
      <c r="C37" s="71"/>
      <c r="D37" s="72"/>
      <c r="E37" s="73"/>
      <c r="F37" s="74"/>
      <c r="G37" s="72"/>
      <c r="H37" s="73"/>
      <c r="I37" s="74"/>
      <c r="J37" s="72"/>
      <c r="K37" s="73"/>
      <c r="L37" s="74"/>
      <c r="M37" s="72"/>
      <c r="N37" s="75"/>
      <c r="O37" s="76"/>
      <c r="P37" s="77"/>
      <c r="Q37" s="78"/>
      <c r="R37" s="64">
        <v>1</v>
      </c>
      <c r="S37" s="65"/>
      <c r="T37" s="66"/>
    </row>
    <row r="38" spans="1:20">
      <c r="A38" s="139"/>
      <c r="B38" s="7" t="s">
        <v>46</v>
      </c>
      <c r="C38" s="71"/>
      <c r="D38" s="72"/>
      <c r="E38" s="73"/>
      <c r="F38" s="74"/>
      <c r="G38" s="72"/>
      <c r="H38" s="73"/>
      <c r="I38" s="74"/>
      <c r="J38" s="72"/>
      <c r="K38" s="73"/>
      <c r="L38" s="74"/>
      <c r="M38" s="72"/>
      <c r="N38" s="75"/>
      <c r="O38" s="76"/>
      <c r="P38" s="77"/>
      <c r="Q38" s="78"/>
      <c r="R38" s="64">
        <v>1</v>
      </c>
      <c r="S38" s="65"/>
      <c r="T38" s="66"/>
    </row>
    <row r="39" spans="1:20" ht="21.75" customHeight="1">
      <c r="A39" s="139"/>
      <c r="B39" s="7" t="s">
        <v>47</v>
      </c>
      <c r="C39" s="71"/>
      <c r="D39" s="72"/>
      <c r="E39" s="73"/>
      <c r="F39" s="74"/>
      <c r="G39" s="72"/>
      <c r="H39" s="73"/>
      <c r="I39" s="74"/>
      <c r="J39" s="72"/>
      <c r="K39" s="73"/>
      <c r="L39" s="74"/>
      <c r="M39" s="72"/>
      <c r="N39" s="75"/>
      <c r="O39" s="76"/>
      <c r="P39" s="77"/>
      <c r="Q39" s="78"/>
      <c r="R39" s="64"/>
      <c r="S39" s="65">
        <v>1</v>
      </c>
      <c r="T39" s="66"/>
    </row>
    <row r="40" spans="1:20">
      <c r="A40" s="139"/>
      <c r="B40" s="7" t="s">
        <v>48</v>
      </c>
      <c r="C40" s="71"/>
      <c r="D40" s="72"/>
      <c r="E40" s="73"/>
      <c r="F40" s="74"/>
      <c r="G40" s="72"/>
      <c r="H40" s="73"/>
      <c r="I40" s="74"/>
      <c r="J40" s="72"/>
      <c r="K40" s="73"/>
      <c r="L40" s="74"/>
      <c r="M40" s="72"/>
      <c r="N40" s="75"/>
      <c r="O40" s="79"/>
      <c r="P40" s="80"/>
      <c r="Q40" s="81"/>
      <c r="R40" s="67">
        <v>1</v>
      </c>
      <c r="S40" s="68"/>
      <c r="T40" s="69"/>
    </row>
    <row r="41" spans="1:20">
      <c r="A41" s="139"/>
      <c r="B41" s="7" t="s">
        <v>27</v>
      </c>
      <c r="C41" s="61">
        <v>1</v>
      </c>
      <c r="D41" s="62"/>
      <c r="E41" s="59"/>
      <c r="F41" s="63">
        <v>1</v>
      </c>
      <c r="G41" s="62"/>
      <c r="H41" s="59"/>
      <c r="I41" s="63">
        <v>1</v>
      </c>
      <c r="J41" s="62"/>
      <c r="K41" s="59"/>
      <c r="L41" s="63">
        <v>1</v>
      </c>
      <c r="M41" s="62"/>
      <c r="N41" s="60"/>
      <c r="O41" s="67">
        <v>1</v>
      </c>
      <c r="P41" s="68"/>
      <c r="Q41" s="69"/>
      <c r="R41" s="67">
        <v>1</v>
      </c>
      <c r="S41" s="68"/>
      <c r="T41" s="69"/>
    </row>
    <row r="42" spans="1:20">
      <c r="A42" s="139"/>
      <c r="B42" s="11" t="s">
        <v>28</v>
      </c>
      <c r="C42" s="12">
        <f>SUM(C23:C41)</f>
        <v>7</v>
      </c>
      <c r="D42" s="13">
        <f>SUM(D23:D41)</f>
        <v>2</v>
      </c>
      <c r="E42" s="14">
        <f>SUM(E23:E41)</f>
        <v>0</v>
      </c>
      <c r="F42" s="12">
        <f t="shared" ref="F42:T42" si="16">SUM(F23:F41)</f>
        <v>6</v>
      </c>
      <c r="G42" s="13">
        <f t="shared" si="16"/>
        <v>3</v>
      </c>
      <c r="H42" s="14">
        <f t="shared" si="16"/>
        <v>0</v>
      </c>
      <c r="I42" s="12">
        <f t="shared" si="16"/>
        <v>7</v>
      </c>
      <c r="J42" s="13">
        <f t="shared" si="16"/>
        <v>2</v>
      </c>
      <c r="K42" s="14">
        <f t="shared" si="16"/>
        <v>0</v>
      </c>
      <c r="L42" s="12">
        <f t="shared" si="16"/>
        <v>7</v>
      </c>
      <c r="M42" s="13">
        <f t="shared" si="16"/>
        <v>2</v>
      </c>
      <c r="N42" s="14">
        <f t="shared" si="16"/>
        <v>1</v>
      </c>
      <c r="O42" s="12">
        <f t="shared" si="16"/>
        <v>10</v>
      </c>
      <c r="P42" s="13">
        <f t="shared" si="16"/>
        <v>2</v>
      </c>
      <c r="Q42" s="14">
        <f t="shared" si="16"/>
        <v>1</v>
      </c>
      <c r="R42" s="12">
        <f t="shared" si="16"/>
        <v>11</v>
      </c>
      <c r="S42" s="13">
        <f t="shared" si="16"/>
        <v>2</v>
      </c>
      <c r="T42" s="14">
        <f t="shared" si="16"/>
        <v>4</v>
      </c>
    </row>
    <row r="43" spans="1:20" ht="16.5" customHeight="1">
      <c r="A43" s="140"/>
      <c r="B43" s="15" t="s">
        <v>29</v>
      </c>
      <c r="C43" s="86">
        <f>C42/E43</f>
        <v>0.77777777777777779</v>
      </c>
      <c r="D43" s="85">
        <f>D42/E43</f>
        <v>0.22222222222222221</v>
      </c>
      <c r="E43" s="16">
        <f>C42+D42</f>
        <v>9</v>
      </c>
      <c r="F43" s="86">
        <f t="shared" ref="F43" si="17">F42/H43</f>
        <v>0.66666666666666663</v>
      </c>
      <c r="G43" s="85">
        <f t="shared" ref="G43" si="18">G42/H43</f>
        <v>0.33333333333333331</v>
      </c>
      <c r="H43" s="16">
        <f t="shared" ref="H43" si="19">F42+G42</f>
        <v>9</v>
      </c>
      <c r="I43" s="86">
        <f t="shared" ref="I43" si="20">I42/K43</f>
        <v>0.77777777777777779</v>
      </c>
      <c r="J43" s="85">
        <f t="shared" ref="J43" si="21">J42/K43</f>
        <v>0.22222222222222221</v>
      </c>
      <c r="K43" s="16">
        <f t="shared" ref="K43" si="22">I42+J42</f>
        <v>9</v>
      </c>
      <c r="L43" s="86">
        <f t="shared" ref="L43" si="23">L42/N43</f>
        <v>0.77777777777777779</v>
      </c>
      <c r="M43" s="85">
        <f t="shared" ref="M43" si="24">M42/N43</f>
        <v>0.22222222222222221</v>
      </c>
      <c r="N43" s="16">
        <f t="shared" ref="N43" si="25">L42+M42</f>
        <v>9</v>
      </c>
      <c r="O43" s="86">
        <f t="shared" ref="O43" si="26">O42/Q43</f>
        <v>0.83333333333333337</v>
      </c>
      <c r="P43" s="85">
        <f t="shared" ref="P43" si="27">P42/Q43</f>
        <v>0.16666666666666666</v>
      </c>
      <c r="Q43" s="16">
        <f t="shared" ref="Q43" si="28">O42+P42</f>
        <v>12</v>
      </c>
      <c r="R43" s="86">
        <f t="shared" ref="R43" si="29">R42/T43</f>
        <v>0.84615384615384615</v>
      </c>
      <c r="S43" s="85">
        <f t="shared" ref="S43" si="30">S42/T43</f>
        <v>0.15384615384615385</v>
      </c>
      <c r="T43" s="16">
        <f t="shared" ref="T43" si="31">R42+S42</f>
        <v>13</v>
      </c>
    </row>
    <row r="44" spans="1:20" ht="15.75">
      <c r="A44" s="141" t="s">
        <v>49</v>
      </c>
      <c r="B44" s="142"/>
      <c r="C44" s="22"/>
      <c r="D44" s="22"/>
      <c r="E44" s="22"/>
      <c r="F44" s="22"/>
      <c r="G44" s="22"/>
      <c r="H44" s="22"/>
      <c r="I44" s="43"/>
      <c r="J44" s="43"/>
      <c r="K44" s="43"/>
      <c r="L44" s="43"/>
      <c r="M44" s="43"/>
      <c r="N44" s="43"/>
      <c r="O44" s="43"/>
      <c r="P44" s="43"/>
      <c r="Q44" s="43"/>
      <c r="R44" s="45"/>
      <c r="S44" s="45"/>
      <c r="T44" s="46"/>
    </row>
    <row r="45" spans="1:20">
      <c r="A45" s="23" t="s">
        <v>84</v>
      </c>
      <c r="B45" s="24"/>
      <c r="C45" s="24"/>
      <c r="D45" s="24"/>
      <c r="E45" s="24"/>
      <c r="F45" s="24"/>
      <c r="G45" s="24"/>
      <c r="H45" s="24"/>
      <c r="I45" s="21"/>
      <c r="J45" s="21"/>
      <c r="K45" s="21"/>
      <c r="L45" s="21"/>
      <c r="M45" s="21"/>
      <c r="N45" s="21"/>
      <c r="O45" s="21"/>
      <c r="P45" s="21"/>
      <c r="Q45" s="21"/>
      <c r="T45" s="47"/>
    </row>
    <row r="46" spans="1:20">
      <c r="A46" s="23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T46" s="47"/>
    </row>
    <row r="47" spans="1:20">
      <c r="A47" s="23" t="s">
        <v>85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T47" s="47"/>
    </row>
    <row r="48" spans="1:20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T48" s="47"/>
    </row>
    <row r="49" spans="1:20">
      <c r="A49" s="23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T49" s="47"/>
    </row>
    <row r="50" spans="1:20" ht="15.75" customHeight="1">
      <c r="A50" s="143" t="s">
        <v>52</v>
      </c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5"/>
    </row>
    <row r="51" spans="1:20" ht="15" customHeight="1">
      <c r="A51" s="146" t="s">
        <v>53</v>
      </c>
      <c r="B51" s="147"/>
      <c r="C51" s="148" cm="1">
        <f t="array" ref="C51">SUM(C42+D42+F42:G42+I42:J42+L42:M42+O42:P42+R42:S42+R17:S17+O17:P17+L17:M17+I17:J17+F17:G17+C17:D17)</f>
        <v>123</v>
      </c>
      <c r="D51" s="149"/>
      <c r="E51" s="149"/>
      <c r="F51" s="150"/>
      <c r="G51" s="151">
        <v>1</v>
      </c>
      <c r="H51" s="152"/>
      <c r="I51" s="87" t="s">
        <v>54</v>
      </c>
      <c r="J51" s="25"/>
      <c r="K51" s="25"/>
      <c r="L51" s="153" t="s">
        <v>55</v>
      </c>
      <c r="M51" s="154"/>
      <c r="N51" s="154"/>
      <c r="O51" s="154"/>
      <c r="P51" s="154"/>
      <c r="Q51" s="154"/>
      <c r="R51" s="154"/>
      <c r="S51" s="154"/>
      <c r="T51" s="155"/>
    </row>
    <row r="52" spans="1:20" ht="15" customHeight="1">
      <c r="A52" s="123" t="s">
        <v>56</v>
      </c>
      <c r="B52" s="124"/>
      <c r="C52" s="113">
        <f>SUM(C17+F17+I17+L17+O17+R17+C42+F42+I42+L42+O42+R42)</f>
        <v>95</v>
      </c>
      <c r="D52" s="114"/>
      <c r="E52" s="114"/>
      <c r="F52" s="115"/>
      <c r="G52" s="119">
        <f>C52/C51</f>
        <v>0.77235772357723576</v>
      </c>
      <c r="H52" s="120"/>
      <c r="I52" s="27" t="s">
        <v>57</v>
      </c>
      <c r="J52" s="28"/>
      <c r="K52" s="28"/>
      <c r="L52" s="156"/>
      <c r="M52" s="157"/>
      <c r="N52" s="157"/>
      <c r="O52" s="157"/>
      <c r="P52" s="157"/>
      <c r="Q52" s="157"/>
      <c r="R52" s="157"/>
      <c r="S52" s="157"/>
      <c r="T52" s="158"/>
    </row>
    <row r="53" spans="1:20">
      <c r="A53" s="123"/>
      <c r="B53" s="124"/>
      <c r="C53" s="116"/>
      <c r="D53" s="117"/>
      <c r="E53" s="117"/>
      <c r="F53" s="118"/>
      <c r="G53" s="121"/>
      <c r="H53" s="122"/>
      <c r="I53" s="30" t="s">
        <v>58</v>
      </c>
      <c r="J53" s="28"/>
      <c r="K53" s="28"/>
      <c r="L53" s="156"/>
      <c r="M53" s="157"/>
      <c r="N53" s="157"/>
      <c r="O53" s="157"/>
      <c r="P53" s="157"/>
      <c r="Q53" s="157"/>
      <c r="R53" s="157"/>
      <c r="S53" s="157"/>
      <c r="T53" s="158"/>
    </row>
    <row r="54" spans="1:20" ht="15" customHeight="1">
      <c r="A54" s="123" t="s">
        <v>59</v>
      </c>
      <c r="B54" s="124"/>
      <c r="C54" s="113">
        <f>SUM(S42+P42+M42+J42+G42+D42+D17+G17+J17+M17+P17+S17)</f>
        <v>19</v>
      </c>
      <c r="D54" s="114"/>
      <c r="E54" s="114"/>
      <c r="F54" s="115"/>
      <c r="G54" s="119">
        <f>C54/C51</f>
        <v>0.15447154471544716</v>
      </c>
      <c r="H54" s="120"/>
      <c r="I54" s="31"/>
      <c r="J54" s="29"/>
      <c r="K54" s="29"/>
      <c r="L54" s="156"/>
      <c r="M54" s="157"/>
      <c r="N54" s="157"/>
      <c r="O54" s="157"/>
      <c r="P54" s="157"/>
      <c r="Q54" s="157"/>
      <c r="R54" s="157"/>
      <c r="S54" s="157"/>
      <c r="T54" s="158"/>
    </row>
    <row r="55" spans="1:20">
      <c r="A55" s="123"/>
      <c r="B55" s="124"/>
      <c r="C55" s="116"/>
      <c r="D55" s="117"/>
      <c r="E55" s="117"/>
      <c r="F55" s="118"/>
      <c r="G55" s="121"/>
      <c r="H55" s="122"/>
      <c r="I55" s="31"/>
      <c r="J55" s="29"/>
      <c r="K55" s="29"/>
      <c r="L55" s="156"/>
      <c r="M55" s="157"/>
      <c r="N55" s="157"/>
      <c r="O55" s="157"/>
      <c r="P55" s="157"/>
      <c r="Q55" s="157"/>
      <c r="R55" s="157"/>
      <c r="S55" s="157"/>
      <c r="T55" s="158"/>
    </row>
    <row r="56" spans="1:20" ht="15" customHeight="1">
      <c r="A56" s="123" t="s">
        <v>60</v>
      </c>
      <c r="B56" s="124"/>
      <c r="C56" s="113">
        <f>SUM(T42+Q42+N42+K42+H42+E42+T17+Q17+N17+K17+H17+E17)</f>
        <v>7</v>
      </c>
      <c r="D56" s="114"/>
      <c r="E56" s="114"/>
      <c r="F56" s="115"/>
      <c r="G56" s="130">
        <f>C56/C51</f>
        <v>5.6910569105691054E-2</v>
      </c>
      <c r="H56" s="131"/>
      <c r="I56" s="31"/>
      <c r="J56" s="29"/>
      <c r="K56" s="29"/>
      <c r="L56" s="156"/>
      <c r="M56" s="157"/>
      <c r="N56" s="157"/>
      <c r="O56" s="157"/>
      <c r="P56" s="157"/>
      <c r="Q56" s="157"/>
      <c r="R56" s="157"/>
      <c r="S56" s="157"/>
      <c r="T56" s="158"/>
    </row>
    <row r="57" spans="1:20" ht="15.75" customHeight="1">
      <c r="A57" s="125"/>
      <c r="B57" s="126"/>
      <c r="C57" s="127"/>
      <c r="D57" s="128"/>
      <c r="E57" s="128"/>
      <c r="F57" s="129"/>
      <c r="G57" s="132"/>
      <c r="H57" s="133"/>
      <c r="I57" s="32"/>
      <c r="J57" s="33"/>
      <c r="K57" s="33"/>
      <c r="L57" s="159"/>
      <c r="M57" s="160"/>
      <c r="N57" s="160"/>
      <c r="O57" s="160"/>
      <c r="P57" s="160"/>
      <c r="Q57" s="160"/>
      <c r="R57" s="160"/>
      <c r="S57" s="160"/>
      <c r="T57" s="161"/>
    </row>
    <row r="58" spans="1:20">
      <c r="A58" s="36" t="s">
        <v>61</v>
      </c>
      <c r="B58" s="35"/>
      <c r="C58" s="35"/>
      <c r="D58" s="35"/>
      <c r="E58" s="35"/>
      <c r="F58" s="35"/>
      <c r="G58" s="35"/>
      <c r="H58" s="26"/>
      <c r="I58" s="35"/>
      <c r="J58" s="36" t="s">
        <v>62</v>
      </c>
      <c r="K58" s="37"/>
      <c r="L58" s="37"/>
      <c r="M58" s="29"/>
      <c r="N58" s="29"/>
      <c r="O58" s="29"/>
      <c r="P58" s="29"/>
      <c r="Q58" s="29"/>
      <c r="T58" s="47"/>
    </row>
    <row r="59" spans="1:20">
      <c r="A59" s="107" t="s">
        <v>63</v>
      </c>
      <c r="B59" s="108"/>
      <c r="C59" s="38"/>
      <c r="D59" s="38"/>
      <c r="E59" s="38"/>
      <c r="F59" s="39"/>
      <c r="G59" s="39"/>
      <c r="H59" s="39"/>
      <c r="I59" s="39"/>
      <c r="J59" s="40" t="s">
        <v>64</v>
      </c>
      <c r="K59" s="41"/>
      <c r="L59" s="41"/>
      <c r="M59" s="33"/>
      <c r="N59" s="33"/>
      <c r="O59" s="33"/>
      <c r="P59" s="33"/>
      <c r="Q59" s="33"/>
      <c r="R59" s="48"/>
      <c r="S59" s="48"/>
      <c r="T59" s="49"/>
    </row>
    <row r="60" spans="1:20" ht="42" customHeight="1">
      <c r="A60" s="109" t="s">
        <v>65</v>
      </c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1"/>
    </row>
    <row r="61" spans="1:20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</row>
    <row r="62" spans="1:20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</row>
  </sheetData>
  <mergeCells count="66">
    <mergeCell ref="A1:D3"/>
    <mergeCell ref="E1:T1"/>
    <mergeCell ref="E2:T2"/>
    <mergeCell ref="E3:H3"/>
    <mergeCell ref="I3:N3"/>
    <mergeCell ref="O3:T3"/>
    <mergeCell ref="K6:K7"/>
    <mergeCell ref="L6:M6"/>
    <mergeCell ref="A4:E4"/>
    <mergeCell ref="F4:T4"/>
    <mergeCell ref="A5:B7"/>
    <mergeCell ref="C5:E5"/>
    <mergeCell ref="F5:H5"/>
    <mergeCell ref="I5:K5"/>
    <mergeCell ref="L5:N5"/>
    <mergeCell ref="O5:Q5"/>
    <mergeCell ref="R5:T5"/>
    <mergeCell ref="C6:D6"/>
    <mergeCell ref="A8:A18"/>
    <mergeCell ref="E6:E7"/>
    <mergeCell ref="F6:G6"/>
    <mergeCell ref="H6:H7"/>
    <mergeCell ref="I6:J6"/>
    <mergeCell ref="N6:N7"/>
    <mergeCell ref="O6:P6"/>
    <mergeCell ref="Q6:Q7"/>
    <mergeCell ref="R6:S6"/>
    <mergeCell ref="T6:T7"/>
    <mergeCell ref="R20:T20"/>
    <mergeCell ref="C21:D21"/>
    <mergeCell ref="E21:E22"/>
    <mergeCell ref="F21:G21"/>
    <mergeCell ref="H21:H22"/>
    <mergeCell ref="I21:J21"/>
    <mergeCell ref="K21:K22"/>
    <mergeCell ref="L21:M21"/>
    <mergeCell ref="N21:N22"/>
    <mergeCell ref="O21:P21"/>
    <mergeCell ref="C20:E20"/>
    <mergeCell ref="F20:H20"/>
    <mergeCell ref="I20:K20"/>
    <mergeCell ref="L20:N20"/>
    <mergeCell ref="O20:Q20"/>
    <mergeCell ref="Q21:Q22"/>
    <mergeCell ref="A51:B51"/>
    <mergeCell ref="C51:F51"/>
    <mergeCell ref="G51:H51"/>
    <mergeCell ref="L51:T57"/>
    <mergeCell ref="A52:B53"/>
    <mergeCell ref="R21:S21"/>
    <mergeCell ref="T21:T22"/>
    <mergeCell ref="A23:A43"/>
    <mergeCell ref="A44:B44"/>
    <mergeCell ref="A50:T50"/>
    <mergeCell ref="A20:B22"/>
    <mergeCell ref="A59:B59"/>
    <mergeCell ref="A60:T60"/>
    <mergeCell ref="A61:Q61"/>
    <mergeCell ref="C52:F53"/>
    <mergeCell ref="G52:H53"/>
    <mergeCell ref="A54:B55"/>
    <mergeCell ref="C54:F55"/>
    <mergeCell ref="G54:H55"/>
    <mergeCell ref="A56:B57"/>
    <mergeCell ref="C56:F57"/>
    <mergeCell ref="G56:H57"/>
  </mergeCells>
  <printOptions horizontalCentered="1" verticalCentered="1"/>
  <pageMargins left="0.39370078740157483" right="0.39370078740157483" top="0" bottom="0" header="0.31496062992125984" footer="0.31496062992125984"/>
  <pageSetup scale="72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F1F3-21C9-47ED-BF9B-B5522E00FB11}">
  <sheetPr>
    <pageSetUpPr fitToPage="1"/>
  </sheetPr>
  <dimension ref="A1:T62"/>
  <sheetViews>
    <sheetView tabSelected="1" workbookViewId="0">
      <selection activeCell="C54" sqref="C54:F55"/>
    </sheetView>
  </sheetViews>
  <sheetFormatPr defaultColWidth="11.42578125" defaultRowHeight="15"/>
  <cols>
    <col min="2" max="2" width="18.140625" customWidth="1"/>
    <col min="3" max="3" width="6.140625" customWidth="1"/>
    <col min="4" max="4" width="6.42578125" customWidth="1"/>
    <col min="5" max="5" width="6.140625" customWidth="1"/>
    <col min="6" max="6" width="6" customWidth="1"/>
    <col min="7" max="7" width="5.85546875" customWidth="1"/>
    <col min="8" max="9" width="6.42578125" customWidth="1"/>
    <col min="10" max="10" width="7.140625" customWidth="1"/>
    <col min="11" max="11" width="6.140625" customWidth="1"/>
    <col min="12" max="12" width="5.7109375" customWidth="1"/>
    <col min="13" max="16" width="5.85546875" customWidth="1"/>
    <col min="17" max="17" width="5.7109375" customWidth="1"/>
    <col min="18" max="18" width="5.5703125" customWidth="1"/>
    <col min="19" max="19" width="5.42578125" customWidth="1"/>
    <col min="20" max="20" width="5.85546875" customWidth="1"/>
  </cols>
  <sheetData>
    <row r="1" spans="1:20" ht="15.75">
      <c r="A1" s="203"/>
      <c r="B1" s="204"/>
      <c r="C1" s="204"/>
      <c r="D1" s="205"/>
      <c r="E1" s="212" t="s">
        <v>0</v>
      </c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4"/>
    </row>
    <row r="2" spans="1:20" ht="15.75">
      <c r="A2" s="206"/>
      <c r="B2" s="207"/>
      <c r="C2" s="207"/>
      <c r="D2" s="208"/>
      <c r="E2" s="212" t="s">
        <v>1</v>
      </c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4"/>
    </row>
    <row r="3" spans="1:20" ht="16.5" customHeight="1">
      <c r="A3" s="209"/>
      <c r="B3" s="210"/>
      <c r="C3" s="210"/>
      <c r="D3" s="211"/>
      <c r="E3" s="215" t="s">
        <v>2</v>
      </c>
      <c r="F3" s="216"/>
      <c r="G3" s="216"/>
      <c r="H3" s="217"/>
      <c r="I3" s="215" t="s">
        <v>3</v>
      </c>
      <c r="J3" s="216"/>
      <c r="K3" s="216"/>
      <c r="L3" s="216"/>
      <c r="M3" s="216"/>
      <c r="N3" s="217"/>
      <c r="O3" s="215" t="s">
        <v>4</v>
      </c>
      <c r="P3" s="216"/>
      <c r="Q3" s="216"/>
      <c r="R3" s="216"/>
      <c r="S3" s="216"/>
      <c r="T3" s="217"/>
    </row>
    <row r="4" spans="1:20">
      <c r="A4" s="195" t="s">
        <v>5</v>
      </c>
      <c r="B4" s="196"/>
      <c r="C4" s="196"/>
      <c r="D4" s="196"/>
      <c r="E4" s="196"/>
      <c r="F4" s="197" t="s">
        <v>6</v>
      </c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9"/>
    </row>
    <row r="5" spans="1:20" ht="24.75" customHeight="1">
      <c r="A5" s="174" t="s">
        <v>7</v>
      </c>
      <c r="B5" s="175"/>
      <c r="C5" s="180" t="s">
        <v>8</v>
      </c>
      <c r="D5" s="181"/>
      <c r="E5" s="181"/>
      <c r="F5" s="180" t="s">
        <v>9</v>
      </c>
      <c r="G5" s="181"/>
      <c r="H5" s="181"/>
      <c r="I5" s="180" t="s">
        <v>10</v>
      </c>
      <c r="J5" s="181"/>
      <c r="K5" s="181"/>
      <c r="L5" s="180" t="s">
        <v>11</v>
      </c>
      <c r="M5" s="181"/>
      <c r="N5" s="181"/>
      <c r="O5" s="180" t="s">
        <v>12</v>
      </c>
      <c r="P5" s="181"/>
      <c r="Q5" s="181"/>
      <c r="R5" s="200" t="s">
        <v>13</v>
      </c>
      <c r="S5" s="201"/>
      <c r="T5" s="202"/>
    </row>
    <row r="6" spans="1:20" ht="15" customHeight="1">
      <c r="A6" s="176"/>
      <c r="B6" s="177"/>
      <c r="C6" s="170" t="s">
        <v>14</v>
      </c>
      <c r="D6" s="171"/>
      <c r="E6" s="167" t="s">
        <v>15</v>
      </c>
      <c r="F6" s="170" t="s">
        <v>14</v>
      </c>
      <c r="G6" s="171"/>
      <c r="H6" s="167" t="s">
        <v>15</v>
      </c>
      <c r="I6" s="165" t="s">
        <v>14</v>
      </c>
      <c r="J6" s="166"/>
      <c r="K6" s="167" t="s">
        <v>15</v>
      </c>
      <c r="L6" s="193" t="s">
        <v>14</v>
      </c>
      <c r="M6" s="194"/>
      <c r="N6" s="167" t="s">
        <v>15</v>
      </c>
      <c r="O6" s="170" t="s">
        <v>14</v>
      </c>
      <c r="P6" s="171"/>
      <c r="Q6" s="167" t="s">
        <v>15</v>
      </c>
      <c r="R6" s="189" t="s">
        <v>14</v>
      </c>
      <c r="S6" s="190"/>
      <c r="T6" s="191" t="s">
        <v>15</v>
      </c>
    </row>
    <row r="7" spans="1:20" ht="15.75" customHeight="1">
      <c r="A7" s="178"/>
      <c r="B7" s="179"/>
      <c r="C7" s="1" t="s">
        <v>16</v>
      </c>
      <c r="D7" s="2" t="s">
        <v>17</v>
      </c>
      <c r="E7" s="168"/>
      <c r="F7" s="1" t="s">
        <v>16</v>
      </c>
      <c r="G7" s="2" t="s">
        <v>17</v>
      </c>
      <c r="H7" s="168"/>
      <c r="I7" s="1" t="s">
        <v>16</v>
      </c>
      <c r="J7" s="2" t="s">
        <v>17</v>
      </c>
      <c r="K7" s="168"/>
      <c r="L7" s="1" t="s">
        <v>16</v>
      </c>
      <c r="M7" s="2" t="s">
        <v>17</v>
      </c>
      <c r="N7" s="168"/>
      <c r="O7" s="1" t="s">
        <v>16</v>
      </c>
      <c r="P7" s="2" t="s">
        <v>17</v>
      </c>
      <c r="Q7" s="168"/>
      <c r="R7" s="1" t="s">
        <v>16</v>
      </c>
      <c r="S7" s="2" t="s">
        <v>17</v>
      </c>
      <c r="T7" s="192"/>
    </row>
    <row r="8" spans="1:20" ht="24" customHeight="1">
      <c r="A8" s="138" t="s">
        <v>18</v>
      </c>
      <c r="B8" s="3" t="s">
        <v>19</v>
      </c>
      <c r="C8" s="4">
        <v>1</v>
      </c>
      <c r="D8" s="5"/>
      <c r="E8" s="6"/>
      <c r="F8" s="52">
        <v>1</v>
      </c>
      <c r="G8" s="5"/>
      <c r="H8" s="6"/>
      <c r="I8" s="52">
        <v>1</v>
      </c>
      <c r="J8" s="5"/>
      <c r="K8" s="6"/>
      <c r="L8" s="52">
        <v>1</v>
      </c>
      <c r="M8" s="5"/>
      <c r="N8" s="6"/>
      <c r="O8" s="52">
        <v>1</v>
      </c>
      <c r="P8" s="5"/>
      <c r="Q8" s="6"/>
      <c r="R8" s="52">
        <v>1</v>
      </c>
      <c r="S8" s="5"/>
      <c r="T8" s="6"/>
    </row>
    <row r="9" spans="1:20">
      <c r="A9" s="139"/>
      <c r="B9" s="44" t="s">
        <v>20</v>
      </c>
      <c r="C9" s="4">
        <v>1</v>
      </c>
      <c r="D9" s="55"/>
      <c r="E9" s="8"/>
      <c r="F9" s="52">
        <v>1</v>
      </c>
      <c r="G9" s="55"/>
      <c r="H9" s="8"/>
      <c r="I9" s="52">
        <v>1</v>
      </c>
      <c r="J9" s="55"/>
      <c r="K9" s="8"/>
      <c r="L9" s="52">
        <v>1</v>
      </c>
      <c r="M9" s="55"/>
      <c r="N9" s="8"/>
      <c r="O9" s="52">
        <v>1</v>
      </c>
      <c r="P9" s="55"/>
      <c r="Q9" s="8"/>
      <c r="R9" s="52"/>
      <c r="S9" s="55">
        <v>1</v>
      </c>
      <c r="T9" s="8"/>
    </row>
    <row r="10" spans="1:20">
      <c r="A10" s="139"/>
      <c r="B10" s="7" t="s">
        <v>21</v>
      </c>
      <c r="C10" s="4">
        <v>1</v>
      </c>
      <c r="D10" s="52"/>
      <c r="E10" s="8"/>
      <c r="F10" s="52">
        <v>1</v>
      </c>
      <c r="G10" s="52"/>
      <c r="H10" s="8"/>
      <c r="I10" s="52">
        <v>1</v>
      </c>
      <c r="J10" s="52"/>
      <c r="K10" s="8"/>
      <c r="L10" s="52">
        <v>1</v>
      </c>
      <c r="M10" s="52"/>
      <c r="N10" s="8"/>
      <c r="O10" s="52">
        <v>1</v>
      </c>
      <c r="P10" s="52"/>
      <c r="Q10" s="8"/>
      <c r="R10" s="52">
        <v>1</v>
      </c>
      <c r="S10" s="52"/>
      <c r="T10" s="8"/>
    </row>
    <row r="11" spans="1:20" ht="18" customHeight="1">
      <c r="A11" s="139"/>
      <c r="B11" s="44" t="s">
        <v>22</v>
      </c>
      <c r="C11" s="4">
        <v>1</v>
      </c>
      <c r="D11" s="52"/>
      <c r="E11" s="8"/>
      <c r="F11" s="52">
        <v>1</v>
      </c>
      <c r="G11" s="52"/>
      <c r="H11" s="8"/>
      <c r="I11" s="52">
        <v>1</v>
      </c>
      <c r="J11" s="52"/>
      <c r="K11" s="8"/>
      <c r="L11" s="52">
        <v>1</v>
      </c>
      <c r="M11" s="52"/>
      <c r="N11" s="8"/>
      <c r="O11" s="52">
        <v>1</v>
      </c>
      <c r="P11" s="52"/>
      <c r="Q11" s="8"/>
      <c r="R11" s="52">
        <v>1</v>
      </c>
      <c r="S11" s="52"/>
      <c r="T11" s="8"/>
    </row>
    <row r="12" spans="1:20" ht="21" customHeight="1">
      <c r="A12" s="139"/>
      <c r="B12" s="7" t="s">
        <v>23</v>
      </c>
      <c r="C12" s="4">
        <v>1</v>
      </c>
      <c r="D12" s="52"/>
      <c r="E12" s="8"/>
      <c r="F12" s="52">
        <v>1</v>
      </c>
      <c r="G12" s="52"/>
      <c r="H12" s="8"/>
      <c r="I12" s="52">
        <v>1</v>
      </c>
      <c r="J12" s="52"/>
      <c r="K12" s="8"/>
      <c r="L12" s="52">
        <v>1</v>
      </c>
      <c r="M12" s="52"/>
      <c r="N12" s="8"/>
      <c r="O12" s="52">
        <v>1</v>
      </c>
      <c r="P12" s="52"/>
      <c r="Q12" s="8"/>
      <c r="R12" s="52">
        <v>1</v>
      </c>
      <c r="S12" s="52"/>
      <c r="T12" s="8"/>
    </row>
    <row r="13" spans="1:20">
      <c r="A13" s="139"/>
      <c r="B13" s="7" t="s">
        <v>24</v>
      </c>
      <c r="C13" s="4"/>
      <c r="D13" s="52">
        <v>1</v>
      </c>
      <c r="E13" s="8"/>
      <c r="F13" s="52">
        <v>1</v>
      </c>
      <c r="G13" s="52"/>
      <c r="H13" s="8"/>
      <c r="I13" s="52">
        <v>1</v>
      </c>
      <c r="J13" s="52"/>
      <c r="K13" s="8"/>
      <c r="L13" s="50">
        <v>1</v>
      </c>
      <c r="M13" s="52"/>
      <c r="N13" s="8"/>
      <c r="O13" s="52"/>
      <c r="P13" s="52">
        <v>1</v>
      </c>
      <c r="Q13" s="8"/>
      <c r="R13" s="50"/>
      <c r="S13" s="52">
        <v>1</v>
      </c>
      <c r="T13" s="8"/>
    </row>
    <row r="14" spans="1:20" ht="16.5" customHeight="1">
      <c r="A14" s="139"/>
      <c r="B14" s="7" t="s">
        <v>25</v>
      </c>
      <c r="C14" s="4">
        <v>1</v>
      </c>
      <c r="D14" s="52"/>
      <c r="E14" s="8"/>
      <c r="F14" s="52">
        <v>1</v>
      </c>
      <c r="G14" s="52"/>
      <c r="H14" s="8"/>
      <c r="I14" s="52">
        <v>1</v>
      </c>
      <c r="J14" s="52"/>
      <c r="K14" s="8"/>
      <c r="L14" s="52">
        <v>1</v>
      </c>
      <c r="M14" s="52"/>
      <c r="N14" s="8"/>
      <c r="O14" s="52">
        <v>1</v>
      </c>
      <c r="P14" s="52"/>
      <c r="Q14" s="8"/>
      <c r="R14" s="50">
        <v>1</v>
      </c>
      <c r="S14" s="52"/>
      <c r="T14" s="8"/>
    </row>
    <row r="15" spans="1:20" ht="16.5" customHeight="1">
      <c r="A15" s="139"/>
      <c r="B15" s="7" t="s">
        <v>26</v>
      </c>
      <c r="C15" s="4">
        <v>1</v>
      </c>
      <c r="D15" s="52"/>
      <c r="E15" s="8"/>
      <c r="F15" s="52">
        <v>1</v>
      </c>
      <c r="G15" s="52"/>
      <c r="H15" s="8"/>
      <c r="I15" s="52">
        <v>1</v>
      </c>
      <c r="J15" s="52"/>
      <c r="K15" s="8"/>
      <c r="L15" s="52">
        <v>1</v>
      </c>
      <c r="M15" s="52"/>
      <c r="N15" s="8"/>
      <c r="O15" s="52">
        <v>1</v>
      </c>
      <c r="P15" s="52"/>
      <c r="Q15" s="8"/>
      <c r="R15" s="76"/>
      <c r="S15" s="77"/>
      <c r="T15" s="78"/>
    </row>
    <row r="16" spans="1:20" ht="15" customHeight="1">
      <c r="A16" s="139"/>
      <c r="B16" s="7" t="s">
        <v>27</v>
      </c>
      <c r="C16" s="4">
        <v>1</v>
      </c>
      <c r="D16" s="10"/>
      <c r="E16" s="8"/>
      <c r="F16" s="52">
        <v>1</v>
      </c>
      <c r="G16" s="10"/>
      <c r="H16" s="8"/>
      <c r="I16" s="52">
        <v>1</v>
      </c>
      <c r="J16" s="10"/>
      <c r="K16" s="8"/>
      <c r="L16" s="52">
        <v>1</v>
      </c>
      <c r="M16" s="10"/>
      <c r="N16" s="8"/>
      <c r="O16" s="52">
        <v>1</v>
      </c>
      <c r="P16" s="10"/>
      <c r="Q16" s="8"/>
      <c r="R16" s="9">
        <v>1</v>
      </c>
      <c r="S16" s="10"/>
      <c r="T16" s="8"/>
    </row>
    <row r="17" spans="1:20">
      <c r="A17" s="139"/>
      <c r="B17" s="11" t="s">
        <v>28</v>
      </c>
      <c r="C17" s="51">
        <f>SUM(C8:C16)</f>
        <v>8</v>
      </c>
      <c r="D17" s="51">
        <f>SUM(D8:D16)</f>
        <v>1</v>
      </c>
      <c r="E17" s="51">
        <f t="shared" ref="E17:T17" si="0">SUM(E8:E16)</f>
        <v>0</v>
      </c>
      <c r="F17" s="51">
        <f t="shared" si="0"/>
        <v>9</v>
      </c>
      <c r="G17" s="51">
        <f t="shared" si="0"/>
        <v>0</v>
      </c>
      <c r="H17" s="51">
        <f t="shared" si="0"/>
        <v>0</v>
      </c>
      <c r="I17" s="51">
        <f t="shared" si="0"/>
        <v>9</v>
      </c>
      <c r="J17" s="51">
        <f t="shared" si="0"/>
        <v>0</v>
      </c>
      <c r="K17" s="51">
        <f t="shared" si="0"/>
        <v>0</v>
      </c>
      <c r="L17" s="51">
        <f t="shared" si="0"/>
        <v>9</v>
      </c>
      <c r="M17" s="51">
        <f t="shared" si="0"/>
        <v>0</v>
      </c>
      <c r="N17" s="51">
        <f t="shared" si="0"/>
        <v>0</v>
      </c>
      <c r="O17" s="51">
        <f t="shared" si="0"/>
        <v>8</v>
      </c>
      <c r="P17" s="51">
        <f t="shared" si="0"/>
        <v>1</v>
      </c>
      <c r="Q17" s="51">
        <f t="shared" si="0"/>
        <v>0</v>
      </c>
      <c r="R17" s="51">
        <f t="shared" si="0"/>
        <v>6</v>
      </c>
      <c r="S17" s="51">
        <f t="shared" si="0"/>
        <v>2</v>
      </c>
      <c r="T17" s="51">
        <f t="shared" si="0"/>
        <v>0</v>
      </c>
    </row>
    <row r="18" spans="1:20">
      <c r="A18" s="140"/>
      <c r="B18" s="15" t="s">
        <v>29</v>
      </c>
      <c r="C18" s="83">
        <f>C17/E18</f>
        <v>0.88888888888888884</v>
      </c>
      <c r="D18" s="84">
        <f>D17/E18</f>
        <v>0.1111111111111111</v>
      </c>
      <c r="E18" s="82">
        <f>C17+D17</f>
        <v>9</v>
      </c>
      <c r="F18" s="83">
        <f t="shared" ref="F18" si="1">F17/H18</f>
        <v>1</v>
      </c>
      <c r="G18" s="84">
        <f t="shared" ref="G18" si="2">G17/H18</f>
        <v>0</v>
      </c>
      <c r="H18" s="82">
        <f t="shared" ref="H18" si="3">F17+G17</f>
        <v>9</v>
      </c>
      <c r="I18" s="83">
        <f t="shared" ref="I18" si="4">I17/K18</f>
        <v>1</v>
      </c>
      <c r="J18" s="84">
        <f t="shared" ref="J18" si="5">J17/K18</f>
        <v>0</v>
      </c>
      <c r="K18" s="82">
        <f t="shared" ref="K18" si="6">I17+J17</f>
        <v>9</v>
      </c>
      <c r="L18" s="83">
        <f t="shared" ref="L18" si="7">L17/N18</f>
        <v>1</v>
      </c>
      <c r="M18" s="84">
        <f t="shared" ref="M18" si="8">M17/N18</f>
        <v>0</v>
      </c>
      <c r="N18" s="82">
        <f t="shared" ref="N18" si="9">L17+M17</f>
        <v>9</v>
      </c>
      <c r="O18" s="83">
        <f t="shared" ref="O18" si="10">O17/Q18</f>
        <v>0.88888888888888884</v>
      </c>
      <c r="P18" s="84">
        <f t="shared" ref="P18" si="11">P17/Q18</f>
        <v>0.1111111111111111</v>
      </c>
      <c r="Q18" s="82">
        <f t="shared" ref="Q18" si="12">O17+P17</f>
        <v>9</v>
      </c>
      <c r="R18" s="83">
        <f t="shared" ref="R18" si="13">R17/T18</f>
        <v>0.75</v>
      </c>
      <c r="S18" s="84">
        <f t="shared" ref="S18" si="14">S17/T18</f>
        <v>0.25</v>
      </c>
      <c r="T18" s="82">
        <f t="shared" ref="T18" si="15">R17+S17</f>
        <v>8</v>
      </c>
    </row>
    <row r="19" spans="1:20">
      <c r="A19" s="17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20" ht="15.75" customHeight="1">
      <c r="A20" s="174" t="s">
        <v>7</v>
      </c>
      <c r="B20" s="175"/>
      <c r="C20" s="180" t="s">
        <v>30</v>
      </c>
      <c r="D20" s="181"/>
      <c r="E20" s="181"/>
      <c r="F20" s="180" t="s">
        <v>31</v>
      </c>
      <c r="G20" s="181"/>
      <c r="H20" s="182"/>
      <c r="I20" s="180" t="s">
        <v>32</v>
      </c>
      <c r="J20" s="181"/>
      <c r="K20" s="182"/>
      <c r="L20" s="183" t="s">
        <v>33</v>
      </c>
      <c r="M20" s="184"/>
      <c r="N20" s="185"/>
      <c r="O20" s="186" t="s">
        <v>34</v>
      </c>
      <c r="P20" s="187"/>
      <c r="Q20" s="188"/>
      <c r="R20" s="162" t="s">
        <v>35</v>
      </c>
      <c r="S20" s="163"/>
      <c r="T20" s="164"/>
    </row>
    <row r="21" spans="1:20" ht="15" customHeight="1">
      <c r="A21" s="176"/>
      <c r="B21" s="177"/>
      <c r="C21" s="165" t="s">
        <v>14</v>
      </c>
      <c r="D21" s="166"/>
      <c r="E21" s="167" t="s">
        <v>15</v>
      </c>
      <c r="F21" s="165" t="s">
        <v>14</v>
      </c>
      <c r="G21" s="166"/>
      <c r="H21" s="169" t="s">
        <v>15</v>
      </c>
      <c r="I21" s="165" t="s">
        <v>14</v>
      </c>
      <c r="J21" s="166"/>
      <c r="K21" s="169" t="s">
        <v>15</v>
      </c>
      <c r="L21" s="170" t="s">
        <v>14</v>
      </c>
      <c r="M21" s="171"/>
      <c r="N21" s="172" t="s">
        <v>15</v>
      </c>
      <c r="O21" s="170" t="s">
        <v>14</v>
      </c>
      <c r="P21" s="171"/>
      <c r="Q21" s="172" t="s">
        <v>15</v>
      </c>
      <c r="R21" s="134" t="s">
        <v>14</v>
      </c>
      <c r="S21" s="135"/>
      <c r="T21" s="136" t="s">
        <v>15</v>
      </c>
    </row>
    <row r="22" spans="1:20" ht="15.75" customHeight="1">
      <c r="A22" s="178"/>
      <c r="B22" s="179"/>
      <c r="C22" s="1" t="s">
        <v>16</v>
      </c>
      <c r="D22" s="2" t="s">
        <v>17</v>
      </c>
      <c r="E22" s="168"/>
      <c r="F22" s="1" t="s">
        <v>16</v>
      </c>
      <c r="G22" s="2" t="s">
        <v>17</v>
      </c>
      <c r="H22" s="137"/>
      <c r="I22" s="1" t="s">
        <v>16</v>
      </c>
      <c r="J22" s="2" t="s">
        <v>17</v>
      </c>
      <c r="K22" s="137"/>
      <c r="L22" s="1" t="s">
        <v>16</v>
      </c>
      <c r="M22" s="2" t="s">
        <v>17</v>
      </c>
      <c r="N22" s="173"/>
      <c r="O22" s="1" t="s">
        <v>16</v>
      </c>
      <c r="P22" s="2" t="s">
        <v>17</v>
      </c>
      <c r="Q22" s="173"/>
      <c r="R22" s="1" t="s">
        <v>16</v>
      </c>
      <c r="S22" s="2" t="s">
        <v>17</v>
      </c>
      <c r="T22" s="137"/>
    </row>
    <row r="23" spans="1:20" ht="24" customHeight="1">
      <c r="A23" s="138" t="s">
        <v>18</v>
      </c>
      <c r="B23" s="3" t="s">
        <v>19</v>
      </c>
      <c r="C23" s="4">
        <v>1</v>
      </c>
      <c r="D23" s="5"/>
      <c r="E23" s="56"/>
      <c r="F23" s="20">
        <v>1</v>
      </c>
      <c r="G23" s="5"/>
      <c r="H23" s="56"/>
      <c r="I23" s="20"/>
      <c r="J23" s="5">
        <v>1</v>
      </c>
      <c r="K23" s="56"/>
      <c r="L23" s="20">
        <v>1</v>
      </c>
      <c r="M23" s="5"/>
      <c r="N23" s="57"/>
      <c r="O23" s="64">
        <v>1</v>
      </c>
      <c r="P23" s="65"/>
      <c r="Q23" s="66"/>
      <c r="R23" s="64">
        <v>1</v>
      </c>
      <c r="S23" s="65"/>
      <c r="T23" s="66"/>
    </row>
    <row r="24" spans="1:20" ht="20.25">
      <c r="A24" s="139"/>
      <c r="B24" s="44" t="s">
        <v>36</v>
      </c>
      <c r="C24" s="58">
        <v>1</v>
      </c>
      <c r="D24" s="54"/>
      <c r="E24" s="59"/>
      <c r="F24" s="53"/>
      <c r="G24" s="54">
        <v>1</v>
      </c>
      <c r="H24" s="59"/>
      <c r="I24" s="53">
        <v>1</v>
      </c>
      <c r="J24" s="54"/>
      <c r="K24" s="59"/>
      <c r="L24" s="53">
        <v>1</v>
      </c>
      <c r="M24" s="54"/>
      <c r="N24" s="60"/>
      <c r="O24" s="64"/>
      <c r="P24" s="65">
        <v>1</v>
      </c>
      <c r="Q24" s="66"/>
      <c r="R24" s="64">
        <v>1</v>
      </c>
      <c r="S24" s="65"/>
      <c r="T24" s="66"/>
    </row>
    <row r="25" spans="1:20">
      <c r="A25" s="139"/>
      <c r="B25" s="7" t="s">
        <v>21</v>
      </c>
      <c r="C25" s="61">
        <v>1</v>
      </c>
      <c r="D25" s="62"/>
      <c r="E25" s="59"/>
      <c r="F25" s="63">
        <v>1</v>
      </c>
      <c r="G25" s="62"/>
      <c r="H25" s="59"/>
      <c r="I25" s="63">
        <v>1</v>
      </c>
      <c r="J25" s="62"/>
      <c r="K25" s="59"/>
      <c r="L25" s="63">
        <v>1</v>
      </c>
      <c r="M25" s="62"/>
      <c r="N25" s="60"/>
      <c r="O25" s="64">
        <v>1</v>
      </c>
      <c r="P25" s="65"/>
      <c r="Q25" s="66"/>
      <c r="R25" s="64">
        <v>1</v>
      </c>
      <c r="S25" s="65"/>
      <c r="T25" s="66"/>
    </row>
    <row r="26" spans="1:20">
      <c r="A26" s="139"/>
      <c r="B26" s="7" t="s">
        <v>37</v>
      </c>
      <c r="C26" s="71"/>
      <c r="D26" s="72"/>
      <c r="E26" s="73"/>
      <c r="F26" s="74"/>
      <c r="G26" s="72"/>
      <c r="H26" s="73"/>
      <c r="I26" s="74"/>
      <c r="J26" s="72"/>
      <c r="K26" s="73"/>
      <c r="L26" s="74"/>
      <c r="M26" s="72"/>
      <c r="N26" s="75"/>
      <c r="O26" s="76"/>
      <c r="P26" s="77"/>
      <c r="Q26" s="78"/>
      <c r="R26" s="64">
        <v>1</v>
      </c>
      <c r="S26" s="65"/>
      <c r="T26" s="66"/>
    </row>
    <row r="27" spans="1:20">
      <c r="A27" s="139"/>
      <c r="B27" s="7" t="s">
        <v>22</v>
      </c>
      <c r="C27" s="61"/>
      <c r="D27" s="62">
        <v>1</v>
      </c>
      <c r="E27" s="59"/>
      <c r="F27" s="63"/>
      <c r="G27" s="62">
        <v>1</v>
      </c>
      <c r="H27" s="59"/>
      <c r="I27" s="63">
        <v>1</v>
      </c>
      <c r="J27" s="62"/>
      <c r="K27" s="59"/>
      <c r="L27" s="63">
        <v>1</v>
      </c>
      <c r="M27" s="62"/>
      <c r="N27" s="60"/>
      <c r="O27" s="64">
        <v>1</v>
      </c>
      <c r="P27" s="65"/>
      <c r="Q27" s="66"/>
      <c r="R27" s="64">
        <v>1</v>
      </c>
      <c r="S27" s="65"/>
      <c r="T27" s="66"/>
    </row>
    <row r="28" spans="1:20">
      <c r="A28" s="139"/>
      <c r="B28" s="7" t="s">
        <v>38</v>
      </c>
      <c r="C28" s="71"/>
      <c r="D28" s="72"/>
      <c r="E28" s="73"/>
      <c r="F28" s="74"/>
      <c r="G28" s="72"/>
      <c r="H28" s="73"/>
      <c r="I28" s="74"/>
      <c r="J28" s="72"/>
      <c r="K28" s="73"/>
      <c r="L28" s="76"/>
      <c r="M28" s="77"/>
      <c r="N28" s="78"/>
      <c r="O28" s="64">
        <v>1</v>
      </c>
      <c r="P28" s="65"/>
      <c r="Q28" s="66"/>
      <c r="R28" s="64">
        <v>1</v>
      </c>
      <c r="S28" s="65"/>
      <c r="T28" s="66"/>
    </row>
    <row r="29" spans="1:20">
      <c r="A29" s="139"/>
      <c r="B29" s="7" t="s">
        <v>39</v>
      </c>
      <c r="C29" s="71"/>
      <c r="D29" s="72"/>
      <c r="E29" s="73"/>
      <c r="F29" s="74"/>
      <c r="G29" s="72"/>
      <c r="H29" s="73"/>
      <c r="I29" s="74"/>
      <c r="J29" s="72"/>
      <c r="K29" s="73"/>
      <c r="L29" s="74"/>
      <c r="M29" s="72"/>
      <c r="N29" s="75"/>
      <c r="O29" s="64">
        <v>1</v>
      </c>
      <c r="P29" s="65"/>
      <c r="Q29" s="66"/>
      <c r="R29" s="76"/>
      <c r="S29" s="77"/>
      <c r="T29" s="78"/>
    </row>
    <row r="30" spans="1:20">
      <c r="A30" s="139"/>
      <c r="B30" s="7" t="s">
        <v>40</v>
      </c>
      <c r="C30" s="71"/>
      <c r="D30" s="72"/>
      <c r="E30" s="73"/>
      <c r="F30" s="74"/>
      <c r="G30" s="72"/>
      <c r="H30" s="73"/>
      <c r="I30" s="74"/>
      <c r="J30" s="72"/>
      <c r="K30" s="73"/>
      <c r="L30" s="74"/>
      <c r="M30" s="72"/>
      <c r="N30" s="75"/>
      <c r="O30" s="64">
        <v>1</v>
      </c>
      <c r="P30" s="65"/>
      <c r="Q30" s="66"/>
      <c r="R30" s="76"/>
      <c r="S30" s="77"/>
      <c r="T30" s="78"/>
    </row>
    <row r="31" spans="1:20">
      <c r="A31" s="139"/>
      <c r="B31" s="7" t="s">
        <v>23</v>
      </c>
      <c r="C31" s="61">
        <v>1</v>
      </c>
      <c r="D31" s="62"/>
      <c r="E31" s="59"/>
      <c r="F31" s="63">
        <v>1</v>
      </c>
      <c r="G31" s="62"/>
      <c r="H31" s="59"/>
      <c r="I31" s="63">
        <v>1</v>
      </c>
      <c r="J31" s="62"/>
      <c r="K31" s="59"/>
      <c r="L31" s="63">
        <v>1</v>
      </c>
      <c r="M31" s="62"/>
      <c r="N31" s="60"/>
      <c r="O31" s="64">
        <v>1</v>
      </c>
      <c r="P31" s="65"/>
      <c r="Q31" s="66"/>
      <c r="R31" s="64">
        <v>1</v>
      </c>
      <c r="S31" s="65"/>
      <c r="T31" s="66"/>
    </row>
    <row r="32" spans="1:20">
      <c r="A32" s="139"/>
      <c r="B32" s="70" t="s">
        <v>24</v>
      </c>
      <c r="C32" s="61"/>
      <c r="D32" s="62">
        <v>1</v>
      </c>
      <c r="E32" s="59"/>
      <c r="F32" s="63"/>
      <c r="G32" s="62">
        <v>1</v>
      </c>
      <c r="H32" s="59"/>
      <c r="I32" s="63"/>
      <c r="J32" s="62">
        <v>1</v>
      </c>
      <c r="K32" s="59"/>
      <c r="L32" s="63">
        <v>1</v>
      </c>
      <c r="M32" s="62"/>
      <c r="N32" s="60"/>
      <c r="O32" s="64"/>
      <c r="P32" s="65">
        <v>1</v>
      </c>
      <c r="Q32" s="66"/>
      <c r="R32" s="64"/>
      <c r="S32" s="65">
        <v>1</v>
      </c>
      <c r="T32" s="66"/>
    </row>
    <row r="33" spans="1:20">
      <c r="A33" s="139"/>
      <c r="B33" s="70" t="s">
        <v>41</v>
      </c>
      <c r="C33" s="61">
        <v>1</v>
      </c>
      <c r="D33" s="62"/>
      <c r="E33" s="59"/>
      <c r="F33" s="63">
        <v>1</v>
      </c>
      <c r="G33" s="62"/>
      <c r="H33" s="59"/>
      <c r="I33" s="63">
        <v>1</v>
      </c>
      <c r="J33" s="62"/>
      <c r="K33" s="59"/>
      <c r="L33" s="63"/>
      <c r="M33" s="62">
        <v>1</v>
      </c>
      <c r="N33" s="60"/>
      <c r="O33" s="64">
        <v>1</v>
      </c>
      <c r="P33" s="65"/>
      <c r="Q33" s="66"/>
      <c r="R33" s="76"/>
      <c r="S33" s="77"/>
      <c r="T33" s="78"/>
    </row>
    <row r="34" spans="1:20" ht="16.5" customHeight="1">
      <c r="A34" s="139"/>
      <c r="B34" s="7" t="s">
        <v>42</v>
      </c>
      <c r="C34" s="61">
        <v>1</v>
      </c>
      <c r="D34" s="62"/>
      <c r="E34" s="59"/>
      <c r="F34" s="63">
        <v>1</v>
      </c>
      <c r="G34" s="62"/>
      <c r="H34" s="59"/>
      <c r="I34" s="63">
        <v>1</v>
      </c>
      <c r="J34" s="62"/>
      <c r="K34" s="59"/>
      <c r="L34" s="63"/>
      <c r="M34" s="62">
        <v>1</v>
      </c>
      <c r="N34" s="60"/>
      <c r="O34" s="76"/>
      <c r="P34" s="77"/>
      <c r="Q34" s="78"/>
      <c r="R34" s="76"/>
      <c r="S34" s="77"/>
      <c r="T34" s="78"/>
    </row>
    <row r="35" spans="1:20">
      <c r="A35" s="139"/>
      <c r="B35" s="70" t="s">
        <v>43</v>
      </c>
      <c r="C35" s="71"/>
      <c r="D35" s="72"/>
      <c r="E35" s="73"/>
      <c r="F35" s="74"/>
      <c r="G35" s="72"/>
      <c r="H35" s="73"/>
      <c r="I35" s="74"/>
      <c r="J35" s="72"/>
      <c r="K35" s="73"/>
      <c r="L35" s="74"/>
      <c r="M35" s="72"/>
      <c r="N35" s="75"/>
      <c r="O35" s="64">
        <v>1</v>
      </c>
      <c r="P35" s="65"/>
      <c r="Q35" s="66"/>
      <c r="R35" s="76"/>
      <c r="S35" s="77"/>
      <c r="T35" s="78"/>
    </row>
    <row r="36" spans="1:20">
      <c r="A36" s="139"/>
      <c r="B36" s="7" t="s">
        <v>44</v>
      </c>
      <c r="C36" s="71"/>
      <c r="D36" s="72"/>
      <c r="E36" s="73"/>
      <c r="F36" s="74"/>
      <c r="G36" s="72"/>
      <c r="H36" s="73"/>
      <c r="I36" s="74"/>
      <c r="J36" s="72"/>
      <c r="K36" s="73"/>
      <c r="L36" s="74"/>
      <c r="M36" s="72"/>
      <c r="N36" s="75"/>
      <c r="O36" s="76"/>
      <c r="P36" s="77"/>
      <c r="Q36" s="78"/>
      <c r="R36" s="76"/>
      <c r="S36" s="77"/>
      <c r="T36" s="78"/>
    </row>
    <row r="37" spans="1:20">
      <c r="A37" s="139"/>
      <c r="B37" s="7" t="s">
        <v>45</v>
      </c>
      <c r="C37" s="71"/>
      <c r="D37" s="72"/>
      <c r="E37" s="73"/>
      <c r="F37" s="74"/>
      <c r="G37" s="72"/>
      <c r="H37" s="73"/>
      <c r="I37" s="74"/>
      <c r="J37" s="72"/>
      <c r="K37" s="73"/>
      <c r="L37" s="74"/>
      <c r="M37" s="72"/>
      <c r="N37" s="75"/>
      <c r="O37" s="76"/>
      <c r="P37" s="77"/>
      <c r="Q37" s="78"/>
      <c r="R37" s="64">
        <v>1</v>
      </c>
      <c r="S37" s="65"/>
      <c r="T37" s="66"/>
    </row>
    <row r="38" spans="1:20">
      <c r="A38" s="139"/>
      <c r="B38" s="7" t="s">
        <v>46</v>
      </c>
      <c r="C38" s="71"/>
      <c r="D38" s="72"/>
      <c r="E38" s="73"/>
      <c r="F38" s="74"/>
      <c r="G38" s="72"/>
      <c r="H38" s="73"/>
      <c r="I38" s="74"/>
      <c r="J38" s="72"/>
      <c r="K38" s="73"/>
      <c r="L38" s="74"/>
      <c r="M38" s="72"/>
      <c r="N38" s="75"/>
      <c r="O38" s="76"/>
      <c r="P38" s="77"/>
      <c r="Q38" s="78"/>
      <c r="R38" s="64">
        <v>1</v>
      </c>
      <c r="S38" s="65"/>
      <c r="T38" s="66"/>
    </row>
    <row r="39" spans="1:20" ht="21.75" customHeight="1">
      <c r="A39" s="139"/>
      <c r="B39" s="7" t="s">
        <v>47</v>
      </c>
      <c r="C39" s="71"/>
      <c r="D39" s="72"/>
      <c r="E39" s="73"/>
      <c r="F39" s="74"/>
      <c r="G39" s="72"/>
      <c r="H39" s="73"/>
      <c r="I39" s="74"/>
      <c r="J39" s="72"/>
      <c r="K39" s="73"/>
      <c r="L39" s="74"/>
      <c r="M39" s="72"/>
      <c r="N39" s="75"/>
      <c r="O39" s="76"/>
      <c r="P39" s="77"/>
      <c r="Q39" s="78"/>
      <c r="R39" s="64"/>
      <c r="S39" s="65">
        <v>1</v>
      </c>
      <c r="T39" s="66"/>
    </row>
    <row r="40" spans="1:20">
      <c r="A40" s="139"/>
      <c r="B40" s="7" t="s">
        <v>48</v>
      </c>
      <c r="C40" s="71"/>
      <c r="D40" s="72"/>
      <c r="E40" s="73"/>
      <c r="F40" s="74"/>
      <c r="G40" s="72"/>
      <c r="H40" s="73"/>
      <c r="I40" s="74"/>
      <c r="J40" s="72"/>
      <c r="K40" s="73"/>
      <c r="L40" s="74"/>
      <c r="M40" s="72"/>
      <c r="N40" s="75"/>
      <c r="O40" s="79"/>
      <c r="P40" s="80"/>
      <c r="Q40" s="81"/>
      <c r="R40" s="67">
        <v>1</v>
      </c>
      <c r="S40" s="68"/>
      <c r="T40" s="69"/>
    </row>
    <row r="41" spans="1:20">
      <c r="A41" s="139"/>
      <c r="B41" s="7" t="s">
        <v>27</v>
      </c>
      <c r="C41" s="61">
        <v>1</v>
      </c>
      <c r="D41" s="62"/>
      <c r="E41" s="59"/>
      <c r="F41" s="63">
        <v>1</v>
      </c>
      <c r="G41" s="62"/>
      <c r="H41" s="59"/>
      <c r="I41" s="63">
        <v>1</v>
      </c>
      <c r="J41" s="62"/>
      <c r="K41" s="59"/>
      <c r="L41" s="63">
        <v>1</v>
      </c>
      <c r="M41" s="62"/>
      <c r="N41" s="60"/>
      <c r="O41" s="67">
        <v>1</v>
      </c>
      <c r="P41" s="68"/>
      <c r="Q41" s="69"/>
      <c r="R41" s="67">
        <v>1</v>
      </c>
      <c r="S41" s="68"/>
      <c r="T41" s="69"/>
    </row>
    <row r="42" spans="1:20">
      <c r="A42" s="139"/>
      <c r="B42" s="11" t="s">
        <v>28</v>
      </c>
      <c r="C42" s="12">
        <f>SUM(C23:C41)</f>
        <v>7</v>
      </c>
      <c r="D42" s="13">
        <f>SUM(D23:D41)</f>
        <v>2</v>
      </c>
      <c r="E42" s="14">
        <f>SUM(E23:E41)</f>
        <v>0</v>
      </c>
      <c r="F42" s="12">
        <f t="shared" ref="F42:T42" si="16">SUM(F23:F41)</f>
        <v>6</v>
      </c>
      <c r="G42" s="13">
        <f t="shared" si="16"/>
        <v>3</v>
      </c>
      <c r="H42" s="14">
        <f t="shared" si="16"/>
        <v>0</v>
      </c>
      <c r="I42" s="12">
        <f t="shared" si="16"/>
        <v>7</v>
      </c>
      <c r="J42" s="13">
        <f t="shared" si="16"/>
        <v>2</v>
      </c>
      <c r="K42" s="14">
        <f t="shared" si="16"/>
        <v>0</v>
      </c>
      <c r="L42" s="12">
        <f t="shared" si="16"/>
        <v>7</v>
      </c>
      <c r="M42" s="13">
        <f t="shared" si="16"/>
        <v>2</v>
      </c>
      <c r="N42" s="14">
        <f t="shared" si="16"/>
        <v>0</v>
      </c>
      <c r="O42" s="12">
        <f t="shared" si="16"/>
        <v>10</v>
      </c>
      <c r="P42" s="13">
        <f t="shared" si="16"/>
        <v>2</v>
      </c>
      <c r="Q42" s="14">
        <f t="shared" si="16"/>
        <v>0</v>
      </c>
      <c r="R42" s="12">
        <f t="shared" si="16"/>
        <v>11</v>
      </c>
      <c r="S42" s="13">
        <f t="shared" si="16"/>
        <v>2</v>
      </c>
      <c r="T42" s="14">
        <f t="shared" si="16"/>
        <v>0</v>
      </c>
    </row>
    <row r="43" spans="1:20" ht="16.5" customHeight="1">
      <c r="A43" s="140"/>
      <c r="B43" s="15" t="s">
        <v>29</v>
      </c>
      <c r="C43" s="86">
        <f>C42/E43</f>
        <v>0.77777777777777779</v>
      </c>
      <c r="D43" s="85">
        <f>D42/E43</f>
        <v>0.22222222222222221</v>
      </c>
      <c r="E43" s="16">
        <f>C42+D42</f>
        <v>9</v>
      </c>
      <c r="F43" s="86">
        <f t="shared" ref="F43" si="17">F42/H43</f>
        <v>0.66666666666666663</v>
      </c>
      <c r="G43" s="85">
        <f t="shared" ref="G43" si="18">G42/H43</f>
        <v>0.33333333333333331</v>
      </c>
      <c r="H43" s="16">
        <f t="shared" ref="H43" si="19">F42+G42</f>
        <v>9</v>
      </c>
      <c r="I43" s="86">
        <f t="shared" ref="I43" si="20">I42/K43</f>
        <v>0.77777777777777779</v>
      </c>
      <c r="J43" s="85">
        <f t="shared" ref="J43" si="21">J42/K43</f>
        <v>0.22222222222222221</v>
      </c>
      <c r="K43" s="16">
        <f t="shared" ref="K43" si="22">I42+J42</f>
        <v>9</v>
      </c>
      <c r="L43" s="86">
        <f t="shared" ref="L43" si="23">L42/N43</f>
        <v>0.77777777777777779</v>
      </c>
      <c r="M43" s="85">
        <f t="shared" ref="M43" si="24">M42/N43</f>
        <v>0.22222222222222221</v>
      </c>
      <c r="N43" s="16">
        <f t="shared" ref="N43" si="25">L42+M42</f>
        <v>9</v>
      </c>
      <c r="O43" s="86">
        <f t="shared" ref="O43" si="26">O42/Q43</f>
        <v>0.83333333333333337</v>
      </c>
      <c r="P43" s="85">
        <f t="shared" ref="P43" si="27">P42/Q43</f>
        <v>0.16666666666666666</v>
      </c>
      <c r="Q43" s="16">
        <f t="shared" ref="Q43" si="28">O42+P42</f>
        <v>12</v>
      </c>
      <c r="R43" s="86">
        <f t="shared" ref="R43" si="29">R42/T43</f>
        <v>0.84615384615384615</v>
      </c>
      <c r="S43" s="85">
        <f t="shared" ref="S43" si="30">S42/T43</f>
        <v>0.15384615384615385</v>
      </c>
      <c r="T43" s="16">
        <f t="shared" ref="T43" si="31">R42+S42</f>
        <v>13</v>
      </c>
    </row>
    <row r="44" spans="1:20" ht="15.75">
      <c r="A44" s="141" t="s">
        <v>49</v>
      </c>
      <c r="B44" s="142"/>
      <c r="C44" s="22"/>
      <c r="D44" s="22"/>
      <c r="E44" s="22"/>
      <c r="F44" s="22"/>
      <c r="G44" s="22"/>
      <c r="H44" s="22"/>
      <c r="I44" s="43"/>
      <c r="J44" s="43"/>
      <c r="K44" s="43"/>
      <c r="L44" s="43"/>
      <c r="M44" s="43"/>
      <c r="N44" s="43"/>
      <c r="O44" s="43"/>
      <c r="P44" s="43"/>
      <c r="Q44" s="43"/>
      <c r="R44" s="45"/>
      <c r="S44" s="45"/>
      <c r="T44" s="46"/>
    </row>
    <row r="45" spans="1:20">
      <c r="A45" s="23" t="s">
        <v>86</v>
      </c>
      <c r="B45" s="24"/>
      <c r="C45" s="24"/>
      <c r="D45" s="24"/>
      <c r="E45" s="24"/>
      <c r="F45" s="24"/>
      <c r="G45" s="24"/>
      <c r="H45" s="24"/>
      <c r="I45" s="21"/>
      <c r="J45" s="21"/>
      <c r="K45" s="21"/>
      <c r="L45" s="21"/>
      <c r="M45" s="21"/>
      <c r="N45" s="21"/>
      <c r="O45" s="21"/>
      <c r="P45" s="21"/>
      <c r="Q45" s="21"/>
      <c r="T45" s="47"/>
    </row>
    <row r="46" spans="1:20">
      <c r="A46" s="223" t="s">
        <v>87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T46" s="47"/>
    </row>
    <row r="47" spans="1:20">
      <c r="A47" s="23" t="s">
        <v>85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T47" s="47"/>
    </row>
    <row r="48" spans="1:20">
      <c r="A48" s="23" t="s">
        <v>88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T48" s="47"/>
    </row>
    <row r="49" spans="1:20">
      <c r="A49" s="23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T49" s="47"/>
    </row>
    <row r="50" spans="1:20" ht="15.75" customHeight="1">
      <c r="A50" s="143" t="s">
        <v>52</v>
      </c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5"/>
    </row>
    <row r="51" spans="1:20" ht="15" customHeight="1">
      <c r="A51" s="146" t="s">
        <v>53</v>
      </c>
      <c r="B51" s="147"/>
      <c r="C51" s="148" cm="1">
        <f t="array" ref="C51">SUM(C42+D42+F42:G42+I42:J42+L42:M42+O42:P42+R42:S42+R17:S17+O17:P17+L17:M17+I17:J17+F17:G17+C17:D17)</f>
        <v>123</v>
      </c>
      <c r="D51" s="149"/>
      <c r="E51" s="149"/>
      <c r="F51" s="150"/>
      <c r="G51" s="151">
        <v>1</v>
      </c>
      <c r="H51" s="152"/>
      <c r="I51" s="87" t="s">
        <v>54</v>
      </c>
      <c r="J51" s="25"/>
      <c r="K51" s="25"/>
      <c r="L51" s="153" t="s">
        <v>55</v>
      </c>
      <c r="M51" s="154"/>
      <c r="N51" s="154"/>
      <c r="O51" s="154"/>
      <c r="P51" s="154"/>
      <c r="Q51" s="154"/>
      <c r="R51" s="154"/>
      <c r="S51" s="154"/>
      <c r="T51" s="155"/>
    </row>
    <row r="52" spans="1:20" ht="15" customHeight="1">
      <c r="A52" s="123" t="s">
        <v>56</v>
      </c>
      <c r="B52" s="124"/>
      <c r="C52" s="113">
        <f>SUM(C17+F17+I17+L17+O17+R17+C42+F42+I42+L42+O42+R42)</f>
        <v>97</v>
      </c>
      <c r="D52" s="114"/>
      <c r="E52" s="114"/>
      <c r="F52" s="115"/>
      <c r="G52" s="119">
        <f>C52/C51</f>
        <v>0.78861788617886175</v>
      </c>
      <c r="H52" s="120"/>
      <c r="I52" s="27" t="s">
        <v>57</v>
      </c>
      <c r="J52" s="28"/>
      <c r="K52" s="28"/>
      <c r="L52" s="156"/>
      <c r="M52" s="157"/>
      <c r="N52" s="157"/>
      <c r="O52" s="157"/>
      <c r="P52" s="157"/>
      <c r="Q52" s="157"/>
      <c r="R52" s="157"/>
      <c r="S52" s="157"/>
      <c r="T52" s="158"/>
    </row>
    <row r="53" spans="1:20">
      <c r="A53" s="123"/>
      <c r="B53" s="124"/>
      <c r="C53" s="116"/>
      <c r="D53" s="117"/>
      <c r="E53" s="117"/>
      <c r="F53" s="118"/>
      <c r="G53" s="121"/>
      <c r="H53" s="122"/>
      <c r="I53" s="30" t="s">
        <v>58</v>
      </c>
      <c r="J53" s="28"/>
      <c r="K53" s="28"/>
      <c r="L53" s="156"/>
      <c r="M53" s="157"/>
      <c r="N53" s="157"/>
      <c r="O53" s="157"/>
      <c r="P53" s="157"/>
      <c r="Q53" s="157"/>
      <c r="R53" s="157"/>
      <c r="S53" s="157"/>
      <c r="T53" s="158"/>
    </row>
    <row r="54" spans="1:20" ht="15" customHeight="1">
      <c r="A54" s="123" t="s">
        <v>59</v>
      </c>
      <c r="B54" s="124"/>
      <c r="C54" s="113">
        <f>SUM(S42+P42+M42+J42+G42+D42+D17+G17+J17+M17+P17+S17)</f>
        <v>17</v>
      </c>
      <c r="D54" s="114"/>
      <c r="E54" s="114"/>
      <c r="F54" s="115"/>
      <c r="G54" s="119">
        <f>C54/C51</f>
        <v>0.13821138211382114</v>
      </c>
      <c r="H54" s="120"/>
      <c r="I54" s="31"/>
      <c r="J54" s="29"/>
      <c r="K54" s="29"/>
      <c r="L54" s="156"/>
      <c r="M54" s="157"/>
      <c r="N54" s="157"/>
      <c r="O54" s="157"/>
      <c r="P54" s="157"/>
      <c r="Q54" s="157"/>
      <c r="R54" s="157"/>
      <c r="S54" s="157"/>
      <c r="T54" s="158"/>
    </row>
    <row r="55" spans="1:20">
      <c r="A55" s="123"/>
      <c r="B55" s="124"/>
      <c r="C55" s="116"/>
      <c r="D55" s="117"/>
      <c r="E55" s="117"/>
      <c r="F55" s="118"/>
      <c r="G55" s="121"/>
      <c r="H55" s="122"/>
      <c r="I55" s="31"/>
      <c r="J55" s="29"/>
      <c r="K55" s="29"/>
      <c r="L55" s="156"/>
      <c r="M55" s="157"/>
      <c r="N55" s="157"/>
      <c r="O55" s="157"/>
      <c r="P55" s="157"/>
      <c r="Q55" s="157"/>
      <c r="R55" s="157"/>
      <c r="S55" s="157"/>
      <c r="T55" s="158"/>
    </row>
    <row r="56" spans="1:20" ht="15" customHeight="1">
      <c r="A56" s="123" t="s">
        <v>60</v>
      </c>
      <c r="B56" s="124"/>
      <c r="C56" s="113">
        <f>SUM(T42+Q42+N42+K42+H42+E42+T17+Q17+N17+K17+H17+E17)</f>
        <v>0</v>
      </c>
      <c r="D56" s="114"/>
      <c r="E56" s="114"/>
      <c r="F56" s="115"/>
      <c r="G56" s="130">
        <f>C56/C51</f>
        <v>0</v>
      </c>
      <c r="H56" s="131"/>
      <c r="I56" s="31"/>
      <c r="J56" s="29"/>
      <c r="K56" s="29"/>
      <c r="L56" s="156"/>
      <c r="M56" s="157"/>
      <c r="N56" s="157"/>
      <c r="O56" s="157"/>
      <c r="P56" s="157"/>
      <c r="Q56" s="157"/>
      <c r="R56" s="157"/>
      <c r="S56" s="157"/>
      <c r="T56" s="158"/>
    </row>
    <row r="57" spans="1:20" ht="15.75" customHeight="1">
      <c r="A57" s="125"/>
      <c r="B57" s="126"/>
      <c r="C57" s="127"/>
      <c r="D57" s="128"/>
      <c r="E57" s="128"/>
      <c r="F57" s="129"/>
      <c r="G57" s="132"/>
      <c r="H57" s="133"/>
      <c r="I57" s="32"/>
      <c r="J57" s="33"/>
      <c r="K57" s="33"/>
      <c r="L57" s="159"/>
      <c r="M57" s="160"/>
      <c r="N57" s="160"/>
      <c r="O57" s="160"/>
      <c r="P57" s="160"/>
      <c r="Q57" s="160"/>
      <c r="R57" s="160"/>
      <c r="S57" s="160"/>
      <c r="T57" s="161"/>
    </row>
    <row r="58" spans="1:20">
      <c r="A58" s="36" t="s">
        <v>61</v>
      </c>
      <c r="B58" s="35"/>
      <c r="C58" s="35"/>
      <c r="D58" s="35"/>
      <c r="E58" s="35"/>
      <c r="F58" s="35"/>
      <c r="G58" s="35"/>
      <c r="H58" s="26"/>
      <c r="I58" s="35"/>
      <c r="J58" s="36" t="s">
        <v>62</v>
      </c>
      <c r="K58" s="37"/>
      <c r="L58" s="37"/>
      <c r="M58" s="29"/>
      <c r="N58" s="29"/>
      <c r="O58" s="29"/>
      <c r="P58" s="29"/>
      <c r="Q58" s="29"/>
      <c r="T58" s="47"/>
    </row>
    <row r="59" spans="1:20">
      <c r="A59" s="107" t="s">
        <v>63</v>
      </c>
      <c r="B59" s="108"/>
      <c r="C59" s="38"/>
      <c r="D59" s="38"/>
      <c r="E59" s="38"/>
      <c r="F59" s="39"/>
      <c r="G59" s="39"/>
      <c r="H59" s="39"/>
      <c r="I59" s="39"/>
      <c r="J59" s="40" t="s">
        <v>64</v>
      </c>
      <c r="K59" s="41"/>
      <c r="L59" s="41"/>
      <c r="M59" s="33"/>
      <c r="N59" s="33"/>
      <c r="O59" s="33"/>
      <c r="P59" s="33"/>
      <c r="Q59" s="33"/>
      <c r="R59" s="48"/>
      <c r="S59" s="48"/>
      <c r="T59" s="49"/>
    </row>
    <row r="60" spans="1:20" ht="42" customHeight="1">
      <c r="A60" s="109" t="s">
        <v>65</v>
      </c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1"/>
    </row>
    <row r="61" spans="1:20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</row>
    <row r="62" spans="1:20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</row>
  </sheetData>
  <mergeCells count="66">
    <mergeCell ref="A59:B59"/>
    <mergeCell ref="A60:T60"/>
    <mergeCell ref="A61:Q61"/>
    <mergeCell ref="C52:F53"/>
    <mergeCell ref="G52:H53"/>
    <mergeCell ref="A54:B55"/>
    <mergeCell ref="C54:F55"/>
    <mergeCell ref="G54:H55"/>
    <mergeCell ref="A56:B57"/>
    <mergeCell ref="C56:F57"/>
    <mergeCell ref="G56:H57"/>
    <mergeCell ref="R21:S21"/>
    <mergeCell ref="T21:T22"/>
    <mergeCell ref="A23:A43"/>
    <mergeCell ref="A44:B44"/>
    <mergeCell ref="A50:T50"/>
    <mergeCell ref="A51:B51"/>
    <mergeCell ref="C51:F51"/>
    <mergeCell ref="G51:H51"/>
    <mergeCell ref="L51:T57"/>
    <mergeCell ref="A52:B53"/>
    <mergeCell ref="R20:T20"/>
    <mergeCell ref="C21:D21"/>
    <mergeCell ref="E21:E22"/>
    <mergeCell ref="F21:G21"/>
    <mergeCell ref="H21:H22"/>
    <mergeCell ref="I21:J21"/>
    <mergeCell ref="K21:K22"/>
    <mergeCell ref="L21:M21"/>
    <mergeCell ref="N21:N22"/>
    <mergeCell ref="O21:P21"/>
    <mergeCell ref="A20:B22"/>
    <mergeCell ref="C20:E20"/>
    <mergeCell ref="F20:H20"/>
    <mergeCell ref="I20:K20"/>
    <mergeCell ref="L20:N20"/>
    <mergeCell ref="O20:Q20"/>
    <mergeCell ref="Q21:Q22"/>
    <mergeCell ref="N6:N7"/>
    <mergeCell ref="O6:P6"/>
    <mergeCell ref="Q6:Q7"/>
    <mergeCell ref="R6:S6"/>
    <mergeCell ref="T6:T7"/>
    <mergeCell ref="A8:A18"/>
    <mergeCell ref="E6:E7"/>
    <mergeCell ref="F6:G6"/>
    <mergeCell ref="H6:H7"/>
    <mergeCell ref="I6:J6"/>
    <mergeCell ref="K6:K7"/>
    <mergeCell ref="L6:M6"/>
    <mergeCell ref="A4:E4"/>
    <mergeCell ref="F4:T4"/>
    <mergeCell ref="A5:B7"/>
    <mergeCell ref="C5:E5"/>
    <mergeCell ref="F5:H5"/>
    <mergeCell ref="I5:K5"/>
    <mergeCell ref="L5:N5"/>
    <mergeCell ref="O5:Q5"/>
    <mergeCell ref="R5:T5"/>
    <mergeCell ref="C6:D6"/>
    <mergeCell ref="A1:D3"/>
    <mergeCell ref="E1:T1"/>
    <mergeCell ref="E2:T2"/>
    <mergeCell ref="E3:H3"/>
    <mergeCell ref="I3:N3"/>
    <mergeCell ref="O3:T3"/>
  </mergeCells>
  <printOptions horizontalCentered="1" verticalCentered="1"/>
  <pageMargins left="0.39370078740157483" right="0.39370078740157483" top="0" bottom="0" header="0.31496062992125984" footer="0.31496062992125984"/>
  <pageSetup scale="7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Practicante Calidad Cartagena</dc:creator>
  <cp:keywords/>
  <dc:description/>
  <cp:lastModifiedBy>Claudia Marcela Caballero Escorcia</cp:lastModifiedBy>
  <cp:revision/>
  <dcterms:created xsi:type="dcterms:W3CDTF">2022-04-12T14:57:13Z</dcterms:created>
  <dcterms:modified xsi:type="dcterms:W3CDTF">2026-08-26T01:54:52Z</dcterms:modified>
  <cp:category/>
  <cp:contentStatus/>
</cp:coreProperties>
</file>