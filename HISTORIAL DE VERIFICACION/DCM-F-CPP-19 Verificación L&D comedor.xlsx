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epesywaffles-my.sharepoint.com/personal/claudia_caballero_crepesywaffles_com/Documents/Escritorio/PROGRAMA HACCP BARRANQUILLA/PROGRAMAS/4. PROGRAMA DE LIMPIEZA Y DESINFECCIÓN/1. HACCP LYD/Verificación Mensuales  L&amp;D/2026/"/>
    </mc:Choice>
  </mc:AlternateContent>
  <xr:revisionPtr revIDLastSave="621" documentId="13_ncr:1_{3B6F3DC2-AC3F-4F89-982B-F65E2DE726ED}" xr6:coauthVersionLast="47" xr6:coauthVersionMax="47" xr10:uidLastSave="{D262ABE9-D7C7-4C03-BF89-970A6296FE82}"/>
  <bookViews>
    <workbookView xWindow="-108" yWindow="-108" windowWidth="23256" windowHeight="12576" firstSheet="4" activeTab="6" xr2:uid="{00000000-000D-0000-FFFF-FFFF00000000}"/>
  </bookViews>
  <sheets>
    <sheet name="BLANCO" sheetId="15" r:id="rId1"/>
    <sheet name="ENERO" sheetId="16" r:id="rId2"/>
    <sheet name="FEBRERO" sheetId="17" r:id="rId3"/>
    <sheet name="MARZO" sheetId="18" r:id="rId4"/>
    <sheet name="ABRIL" sheetId="19" r:id="rId5"/>
    <sheet name="MAYO" sheetId="21" r:id="rId6"/>
    <sheet name="JUNIO" sheetId="2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1" l="1"/>
  <c r="C46" i="21"/>
  <c r="C44" i="21"/>
  <c r="C42" i="21"/>
  <c r="C41" i="21"/>
  <c r="C46" i="20"/>
  <c r="C44" i="20"/>
  <c r="C42" i="20"/>
  <c r="C41" i="20"/>
  <c r="C44" i="19"/>
  <c r="C41" i="19"/>
  <c r="C46" i="19"/>
  <c r="E44" i="19"/>
  <c r="C42" i="19"/>
  <c r="E42" i="19" s="1"/>
  <c r="C42" i="18"/>
  <c r="C44" i="18"/>
  <c r="C41" i="18"/>
  <c r="C46" i="18"/>
  <c r="E44" i="18"/>
  <c r="E42" i="18"/>
  <c r="E42" i="16"/>
  <c r="C46" i="17"/>
  <c r="C44" i="17"/>
  <c r="E44" i="17" s="1"/>
  <c r="C42" i="17"/>
  <c r="E42" i="17" s="1"/>
  <c r="E44" i="16"/>
  <c r="C46" i="15"/>
  <c r="C44" i="15"/>
  <c r="E44" i="15" s="1"/>
  <c r="C42" i="15"/>
  <c r="E42" i="15" s="1"/>
  <c r="C46" i="16"/>
  <c r="E46" i="16" s="1"/>
  <c r="E42" i="21" l="1"/>
  <c r="E44" i="21"/>
  <c r="E42" i="20"/>
  <c r="E44" i="20"/>
</calcChain>
</file>

<file path=xl/sharedStrings.xml><?xml version="1.0" encoding="utf-8"?>
<sst xmlns="http://schemas.openxmlformats.org/spreadsheetml/2006/main" count="1026" uniqueCount="80">
  <si>
    <t> </t>
  </si>
  <si>
    <t>AREA DE DIRECCION Y CALIDAD</t>
  </si>
  <si>
    <t>Verificacion de orden, limpieza y desinfeccion del Comedor.</t>
  </si>
  <si>
    <r>
      <rPr>
        <b/>
        <sz val="11"/>
        <color rgb="FF000000"/>
        <rFont val="Calibri"/>
      </rPr>
      <t xml:space="preserve">Código: </t>
    </r>
    <r>
      <rPr>
        <sz val="11"/>
        <color rgb="FF000000"/>
        <rFont val="Calibri"/>
      </rPr>
      <t>DCM-F-CPP-19</t>
    </r>
  </si>
  <si>
    <t>Fecha: 02-Feb-26</t>
  </si>
  <si>
    <r>
      <rPr>
        <b/>
        <sz val="11"/>
        <color rgb="FF000000"/>
        <rFont val="Calibri"/>
      </rPr>
      <t>Versión :</t>
    </r>
    <r>
      <rPr>
        <sz val="11"/>
        <color rgb="FF000000"/>
        <rFont val="Calibri"/>
      </rPr>
      <t>02</t>
    </r>
  </si>
  <si>
    <t>VERIFICACIÓN REALIZADA POR:___________________________________</t>
  </si>
  <si>
    <r>
      <t xml:space="preserve">FECHA Y HORA </t>
    </r>
    <r>
      <rPr>
        <b/>
        <sz val="8"/>
        <color rgb="FF000000"/>
        <rFont val="Arial"/>
        <family val="2"/>
      </rPr>
      <t xml:space="preserve">: </t>
    </r>
  </si>
  <si>
    <t>ASPECTO</t>
  </si>
  <si>
    <t>SATISFACTORIO</t>
  </si>
  <si>
    <t>NA</t>
  </si>
  <si>
    <t>OBSERVACIONES</t>
  </si>
  <si>
    <t>SI</t>
  </si>
  <si>
    <t>NO</t>
  </si>
  <si>
    <t>ASPECTOS GENERALES</t>
  </si>
  <si>
    <t xml:space="preserve">Puerta de acceso </t>
  </si>
  <si>
    <t>Paredes</t>
  </si>
  <si>
    <t>Lamparas</t>
  </si>
  <si>
    <t>Pisos</t>
  </si>
  <si>
    <t>Ventanas</t>
  </si>
  <si>
    <t xml:space="preserve">Linea de servicio </t>
  </si>
  <si>
    <t xml:space="preserve">Meson de servicio </t>
  </si>
  <si>
    <t>Estanterias de ollas</t>
  </si>
  <si>
    <t>Recipientes plásticos</t>
  </si>
  <si>
    <t>Utensilios</t>
  </si>
  <si>
    <t>Sillas</t>
  </si>
  <si>
    <t>Mesas</t>
  </si>
  <si>
    <t>Extintor</t>
  </si>
  <si>
    <t>Mesón Residuos Organicos</t>
  </si>
  <si>
    <t xml:space="preserve">Atomizadores producto desinfectante </t>
  </si>
  <si>
    <t>Orden general del almacén</t>
  </si>
  <si>
    <t>EQUIPOS</t>
  </si>
  <si>
    <t>Estufa</t>
  </si>
  <si>
    <t xml:space="preserve">Ventiladores </t>
  </si>
  <si>
    <t>Nevera</t>
  </si>
  <si>
    <t>Licuadora</t>
  </si>
  <si>
    <t>Campana extractora</t>
  </si>
  <si>
    <t xml:space="preserve">Aire acondicionado </t>
  </si>
  <si>
    <t>Maquina dispensadora café</t>
  </si>
  <si>
    <t xml:space="preserve">Cafetera </t>
  </si>
  <si>
    <t>Nevera de Novaventa (alimentos)</t>
  </si>
  <si>
    <t>Dispensador de agua</t>
  </si>
  <si>
    <t>Microondas</t>
  </si>
  <si>
    <t xml:space="preserve">COMENTARIOS: </t>
  </si>
  <si>
    <t>PARA DILIGENCIAMIENTO DE LA DIRECCIÓN DE CALIDAD</t>
  </si>
  <si>
    <t xml:space="preserve">TOTAL ASPECTOS CALIFICADOS: </t>
  </si>
  <si>
    <r>
      <t>CALIFICACIÓN=</t>
    </r>
    <r>
      <rPr>
        <sz val="8"/>
        <rFont val="Arial"/>
        <family val="2"/>
      </rPr>
      <t xml:space="preserve">                        </t>
    </r>
  </si>
  <si>
    <t xml:space="preserve">SATISFACTORIO: </t>
  </si>
  <si>
    <t>Satisfactorio x 100</t>
  </si>
  <si>
    <t>(Total - No aplica)</t>
  </si>
  <si>
    <t xml:space="preserve">NO SATISFACTORIO:   </t>
  </si>
  <si>
    <t xml:space="preserve">NO APLICA:   </t>
  </si>
  <si>
    <t xml:space="preserve">Responsable Diligenciamiento: </t>
  </si>
  <si>
    <t>Verificado por:</t>
  </si>
  <si>
    <t xml:space="preserve">Cargo </t>
  </si>
  <si>
    <t xml:space="preserve">Dirección de Calidad </t>
  </si>
  <si>
    <r>
      <rPr>
        <b/>
        <sz val="8"/>
        <color rgb="FF000000"/>
        <rFont val="Calibri"/>
      </rPr>
      <t xml:space="preserve">CÓDIGO: </t>
    </r>
    <r>
      <rPr>
        <sz val="8"/>
        <color rgb="FF000000"/>
        <rFont val="Calibri"/>
      </rPr>
      <t>DCM-F-CPP-19</t>
    </r>
    <r>
      <rPr>
        <b/>
        <sz val="8"/>
        <color rgb="FF000000"/>
        <rFont val="Calibri"/>
      </rPr>
      <t xml:space="preserve"> / PREPARADO POR: </t>
    </r>
    <r>
      <rPr>
        <sz val="8"/>
        <color rgb="FF000000"/>
        <rFont val="Calibri"/>
      </rPr>
      <t>Auxiliar de calidad</t>
    </r>
    <r>
      <rPr>
        <b/>
        <sz val="8"/>
        <color rgb="FF000000"/>
        <rFont val="Calibri"/>
      </rPr>
      <t xml:space="preserve"> / REVISADO POR: </t>
    </r>
    <r>
      <rPr>
        <sz val="8"/>
        <color rgb="FF000000"/>
        <rFont val="Calibri"/>
      </rPr>
      <t>Coordinación de calidad</t>
    </r>
    <r>
      <rPr>
        <b/>
        <sz val="8"/>
        <color rgb="FF000000"/>
        <rFont val="Calibri"/>
      </rPr>
      <t xml:space="preserve"> / APROBADO POR: </t>
    </r>
    <r>
      <rPr>
        <sz val="8"/>
        <color rgb="FF000000"/>
        <rFont val="Calibri"/>
      </rPr>
      <t>Dirección de Calidad y Medio Ambiente</t>
    </r>
    <r>
      <rPr>
        <b/>
        <sz val="8"/>
        <color rgb="FF000000"/>
        <rFont val="Calibri"/>
      </rPr>
      <t xml:space="preserve"> / FECHA: 02-Feb</t>
    </r>
    <r>
      <rPr>
        <sz val="8"/>
        <color rgb="FF000000"/>
        <rFont val="Calibri"/>
      </rPr>
      <t xml:space="preserve">-26 </t>
    </r>
    <r>
      <rPr>
        <b/>
        <sz val="8"/>
        <color rgb="FF000000"/>
        <rFont val="Calibri"/>
      </rPr>
      <t xml:space="preserve">/ VERSIÓN: </t>
    </r>
    <r>
      <rPr>
        <sz val="8"/>
        <color rgb="FF000000"/>
        <rFont val="Calibri"/>
      </rPr>
      <t>02
DOCUMENTO CONTROLADO</t>
    </r>
  </si>
  <si>
    <r>
      <t xml:space="preserve">Código: </t>
    </r>
    <r>
      <rPr>
        <sz val="11"/>
        <color rgb="FF000000"/>
        <rFont val="Calibri"/>
        <family val="2"/>
      </rPr>
      <t>DCM-F-DPR-19</t>
    </r>
  </si>
  <si>
    <r>
      <rPr>
        <b/>
        <sz val="11"/>
        <color rgb="FF000000"/>
        <rFont val="Calibri"/>
      </rPr>
      <t xml:space="preserve">Fecha: </t>
    </r>
    <r>
      <rPr>
        <sz val="11"/>
        <color rgb="FF000000"/>
        <rFont val="Calibri"/>
      </rPr>
      <t>16/01/2026</t>
    </r>
  </si>
  <si>
    <r>
      <t>Versión :</t>
    </r>
    <r>
      <rPr>
        <sz val="11"/>
        <color rgb="FF000000"/>
        <rFont val="Calibri"/>
        <family val="2"/>
      </rPr>
      <t>01</t>
    </r>
  </si>
  <si>
    <t>16/01/2026/ 15:00</t>
  </si>
  <si>
    <t>Paredes con salpicadura y restos de cinta.</t>
  </si>
  <si>
    <t>Zocalo suelto</t>
  </si>
  <si>
    <t>En la parte inferior hay residuos de alimentos.</t>
  </si>
  <si>
    <t>ppm:400</t>
  </si>
  <si>
    <t>Acumulación de polvo,</t>
  </si>
  <si>
    <t>Tiene alimentos sin tapa y restos de comida en parte inferior de nevera.</t>
  </si>
  <si>
    <t>Acumulación de polvo en parte superior.</t>
  </si>
  <si>
    <t>Acumulación de polvo.</t>
  </si>
  <si>
    <t>Plato de microondas sucio.</t>
  </si>
  <si>
    <r>
      <rPr>
        <b/>
        <sz val="7"/>
        <color rgb="FF000000"/>
        <rFont val="Arial"/>
      </rPr>
      <t>CALIFICACIÓN=</t>
    </r>
    <r>
      <rPr>
        <sz val="8"/>
        <color rgb="FF000000"/>
        <rFont val="Arial"/>
      </rPr>
      <t xml:space="preserve">                        59%</t>
    </r>
  </si>
  <si>
    <t>Responsable Diligenciamiento: Hillary Gutierrez</t>
  </si>
  <si>
    <t>Cargo: Auxiliar de calidad.</t>
  </si>
  <si>
    <r>
      <rPr>
        <sz val="9"/>
        <color rgb="FF000000"/>
        <rFont val="Calibri"/>
      </rPr>
      <t xml:space="preserve">CÓDIGO: DCM-F-DPR-19 / PREPARADO POR: Auxiliar de calidad / REVISADO POR: Coordinador de calidad / APROBADO POR: Directora de Calidad y Medio Ambiente / FECHA: 28-Abr-25 / VERSIÓN: 01
</t>
    </r>
    <r>
      <rPr>
        <b/>
        <sz val="9"/>
        <color rgb="FF000000"/>
        <rFont val="Calibri"/>
      </rPr>
      <t>DOCUMENTO CONTROLADO</t>
    </r>
  </si>
  <si>
    <t>CALIDAD Y MEDIO AMBIENTE</t>
  </si>
  <si>
    <t>COMENTARIOS: Mejorar la limpieza de la sanduchera.</t>
  </si>
  <si>
    <t>Angeo sucio</t>
  </si>
  <si>
    <t>Acumulación de polvo</t>
  </si>
  <si>
    <t>Patas desniveladas</t>
  </si>
  <si>
    <t>Residuos de alimentos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</si>
</sst>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9"/>
      <name val="Arial"/>
      <family val="2"/>
    </font>
    <font>
      <sz val="8"/>
      <name val="Arial"/>
      <family val="2"/>
    </font>
    <font>
      <u/>
      <sz val="7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7"/>
      <color rgb="FF000000"/>
      <name val="Arial"/>
    </font>
    <font>
      <sz val="8"/>
      <color rgb="FF000000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12"/>
      <name val="Arial"/>
      <family val="2"/>
    </font>
    <font>
      <b/>
      <sz val="11"/>
      <color rgb="FF000000"/>
      <name val="Calibri"/>
    </font>
    <font>
      <sz val="11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8"/>
      <color rgb="FF000000"/>
      <name val="Calibri"/>
    </font>
    <font>
      <sz val="8"/>
      <color rgb="FF000000"/>
      <name val="Calibri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7">
    <xf numFmtId="0" fontId="0" fillId="0" borderId="0" xfId="0"/>
    <xf numFmtId="0" fontId="10" fillId="0" borderId="22" xfId="0" applyFont="1" applyBorder="1"/>
    <xf numFmtId="0" fontId="9" fillId="0" borderId="15" xfId="0" applyFont="1" applyBorder="1"/>
    <xf numFmtId="0" fontId="9" fillId="0" borderId="25" xfId="0" applyFont="1" applyBorder="1"/>
    <xf numFmtId="0" fontId="1" fillId="0" borderId="14" xfId="0" applyFont="1" applyBorder="1"/>
    <xf numFmtId="0" fontId="9" fillId="0" borderId="26" xfId="0" applyFont="1" applyBorder="1"/>
    <xf numFmtId="0" fontId="9" fillId="0" borderId="27" xfId="0" applyFont="1" applyBorder="1"/>
    <xf numFmtId="0" fontId="1" fillId="0" borderId="14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9" fillId="0" borderId="29" xfId="0" applyFont="1" applyBorder="1"/>
    <xf numFmtId="0" fontId="9" fillId="0" borderId="11" xfId="0" applyFont="1" applyBorder="1"/>
    <xf numFmtId="0" fontId="1" fillId="0" borderId="10" xfId="0" applyFont="1" applyBorder="1" applyAlignment="1">
      <alignment wrapText="1"/>
    </xf>
    <xf numFmtId="0" fontId="9" fillId="0" borderId="30" xfId="0" applyFont="1" applyBorder="1"/>
    <xf numFmtId="0" fontId="9" fillId="0" borderId="31" xfId="0" applyFont="1" applyBorder="1"/>
    <xf numFmtId="9" fontId="1" fillId="0" borderId="35" xfId="0" applyNumberFormat="1" applyFont="1" applyBorder="1"/>
    <xf numFmtId="0" fontId="2" fillId="0" borderId="8" xfId="0" applyFont="1" applyBorder="1"/>
    <xf numFmtId="0" fontId="6" fillId="0" borderId="7" xfId="0" applyFont="1" applyBorder="1"/>
    <xf numFmtId="0" fontId="3" fillId="0" borderId="7" xfId="0" applyFont="1" applyBorder="1"/>
    <xf numFmtId="0" fontId="1" fillId="0" borderId="7" xfId="0" applyFont="1" applyBorder="1"/>
    <xf numFmtId="0" fontId="1" fillId="0" borderId="6" xfId="0" applyFont="1" applyBorder="1"/>
    <xf numFmtId="0" fontId="10" fillId="0" borderId="0" xfId="0" applyFont="1"/>
    <xf numFmtId="0" fontId="10" fillId="0" borderId="11" xfId="0" applyFont="1" applyBorder="1"/>
    <xf numFmtId="0" fontId="13" fillId="0" borderId="32" xfId="0" applyFont="1" applyBorder="1"/>
    <xf numFmtId="0" fontId="13" fillId="0" borderId="37" xfId="0" applyFont="1" applyBorder="1"/>
    <xf numFmtId="0" fontId="10" fillId="0" borderId="5" xfId="0" applyFont="1" applyBorder="1"/>
    <xf numFmtId="0" fontId="10" fillId="0" borderId="4" xfId="0" applyFont="1" applyBorder="1"/>
    <xf numFmtId="0" fontId="10" fillId="0" borderId="16" xfId="0" applyFont="1" applyBorder="1"/>
    <xf numFmtId="0" fontId="8" fillId="0" borderId="3" xfId="0" applyFont="1" applyBorder="1"/>
    <xf numFmtId="0" fontId="8" fillId="0" borderId="2" xfId="0" applyFont="1" applyBorder="1"/>
    <xf numFmtId="0" fontId="8" fillId="0" borderId="21" xfId="0" applyFont="1" applyBorder="1"/>
    <xf numFmtId="0" fontId="10" fillId="0" borderId="2" xfId="0" applyFont="1" applyBorder="1"/>
    <xf numFmtId="0" fontId="10" fillId="0" borderId="21" xfId="0" applyFont="1" applyBorder="1"/>
    <xf numFmtId="0" fontId="15" fillId="2" borderId="34" xfId="0" applyFont="1" applyFill="1" applyBorder="1"/>
    <xf numFmtId="0" fontId="13" fillId="0" borderId="39" xfId="0" applyFont="1" applyBorder="1"/>
    <xf numFmtId="0" fontId="18" fillId="0" borderId="42" xfId="0" applyFont="1" applyBorder="1" applyAlignment="1">
      <alignment horizontal="center"/>
    </xf>
    <xf numFmtId="0" fontId="15" fillId="2" borderId="19" xfId="0" applyFont="1" applyFill="1" applyBorder="1"/>
    <xf numFmtId="0" fontId="1" fillId="0" borderId="50" xfId="0" applyFont="1" applyBorder="1" applyAlignment="1">
      <alignment wrapText="1"/>
    </xf>
    <xf numFmtId="0" fontId="1" fillId="0" borderId="51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5" fillId="2" borderId="52" xfId="0" applyFont="1" applyFill="1" applyBorder="1"/>
    <xf numFmtId="0" fontId="10" fillId="0" borderId="17" xfId="0" applyFont="1" applyBorder="1"/>
    <xf numFmtId="0" fontId="9" fillId="0" borderId="27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7" fillId="0" borderId="45" xfId="0" applyFont="1" applyBorder="1" applyAlignment="1">
      <alignment vertical="center" textRotation="90" wrapText="1" readingOrder="1"/>
    </xf>
    <xf numFmtId="0" fontId="7" fillId="0" borderId="46" xfId="0" applyFont="1" applyBorder="1" applyAlignment="1">
      <alignment vertical="center" textRotation="90" wrapText="1" readingOrder="1"/>
    </xf>
    <xf numFmtId="0" fontId="11" fillId="0" borderId="8" xfId="0" applyFont="1" applyBorder="1" applyAlignment="1">
      <alignment wrapText="1"/>
    </xf>
    <xf numFmtId="9" fontId="1" fillId="0" borderId="35" xfId="0" applyNumberFormat="1" applyFont="1" applyBorder="1" applyAlignment="1">
      <alignment vertical="center"/>
    </xf>
    <xf numFmtId="0" fontId="18" fillId="0" borderId="39" xfId="0" applyFont="1" applyBorder="1"/>
    <xf numFmtId="0" fontId="5" fillId="0" borderId="36" xfId="0" applyFont="1" applyBorder="1" applyAlignment="1">
      <alignment horizontal="left" vertical="top" wrapText="1"/>
    </xf>
    <xf numFmtId="0" fontId="5" fillId="0" borderId="3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7" fillId="0" borderId="49" xfId="0" applyFont="1" applyBorder="1" applyAlignment="1">
      <alignment horizontal="center"/>
    </xf>
    <xf numFmtId="0" fontId="8" fillId="0" borderId="3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10" fillId="0" borderId="3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22" fillId="0" borderId="12" xfId="0" applyFont="1" applyBorder="1" applyAlignment="1">
      <alignment horizontal="left" vertical="top" wrapText="1"/>
    </xf>
    <xf numFmtId="0" fontId="22" fillId="0" borderId="13" xfId="0" applyFont="1" applyBorder="1" applyAlignment="1">
      <alignment horizontal="left" vertical="top" wrapText="1"/>
    </xf>
    <xf numFmtId="0" fontId="22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4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9" fontId="1" fillId="0" borderId="44" xfId="0" applyNumberFormat="1" applyFont="1" applyBorder="1" applyAlignment="1">
      <alignment horizontal="center"/>
    </xf>
    <xf numFmtId="9" fontId="1" fillId="0" borderId="4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center" textRotation="90" wrapText="1" readingOrder="1"/>
    </xf>
    <xf numFmtId="0" fontId="7" fillId="0" borderId="45" xfId="0" applyFont="1" applyBorder="1" applyAlignment="1">
      <alignment horizontal="center" vertical="center" textRotation="90" wrapText="1" readingOrder="1"/>
    </xf>
    <xf numFmtId="0" fontId="7" fillId="0" borderId="33" xfId="0" applyFont="1" applyBorder="1" applyAlignment="1">
      <alignment horizontal="center" vertical="center" textRotation="90" wrapText="1" readingOrder="1"/>
    </xf>
    <xf numFmtId="0" fontId="7" fillId="0" borderId="46" xfId="0" applyFont="1" applyBorder="1" applyAlignment="1">
      <alignment horizontal="center" vertical="center" textRotation="90" wrapText="1" readingOrder="1"/>
    </xf>
    <xf numFmtId="0" fontId="4" fillId="0" borderId="34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7" fillId="0" borderId="48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21" xfId="0" applyFont="1" applyBorder="1" applyAlignment="1">
      <alignment horizontal="center" wrapText="1"/>
    </xf>
    <xf numFmtId="0" fontId="5" fillId="0" borderId="23" xfId="0" applyFont="1" applyBorder="1" applyAlignment="1">
      <alignment horizontal="left" vertical="top" wrapText="1"/>
    </xf>
    <xf numFmtId="0" fontId="5" fillId="0" borderId="35" xfId="0" applyFont="1" applyBorder="1" applyAlignment="1">
      <alignment horizontal="left" vertical="top" wrapText="1"/>
    </xf>
    <xf numFmtId="0" fontId="5" fillId="0" borderId="41" xfId="0" applyFont="1" applyBorder="1" applyAlignment="1">
      <alignment horizontal="center" vertical="top" wrapText="1"/>
    </xf>
    <xf numFmtId="0" fontId="5" fillId="0" borderId="43" xfId="0" applyFont="1" applyBorder="1" applyAlignment="1">
      <alignment horizontal="center" vertical="top" wrapText="1"/>
    </xf>
    <xf numFmtId="0" fontId="13" fillId="0" borderId="38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47" xfId="0" applyFont="1" applyBorder="1" applyAlignment="1">
      <alignment horizontal="center"/>
    </xf>
    <xf numFmtId="0" fontId="10" fillId="0" borderId="38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wrapText="1"/>
    </xf>
    <xf numFmtId="0" fontId="10" fillId="0" borderId="46" xfId="0" applyFont="1" applyBorder="1" applyAlignment="1">
      <alignment horizontal="center" wrapText="1"/>
    </xf>
    <xf numFmtId="0" fontId="1" fillId="0" borderId="44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21" fillId="0" borderId="38" xfId="0" applyFont="1" applyBorder="1" applyAlignment="1">
      <alignment horizontal="center" vertical="top" wrapText="1"/>
    </xf>
    <xf numFmtId="0" fontId="24" fillId="0" borderId="32" xfId="0" applyFont="1" applyBorder="1" applyAlignment="1">
      <alignment horizontal="center" vertical="top" wrapText="1"/>
    </xf>
    <xf numFmtId="0" fontId="24" fillId="0" borderId="37" xfId="0" applyFont="1" applyBorder="1" applyAlignment="1">
      <alignment horizontal="center" vertical="top" wrapText="1"/>
    </xf>
    <xf numFmtId="0" fontId="24" fillId="0" borderId="40" xfId="0" applyFont="1" applyBorder="1" applyAlignment="1">
      <alignment horizontal="center" vertical="top" wrapText="1"/>
    </xf>
    <xf numFmtId="0" fontId="24" fillId="0" borderId="24" xfId="0" applyFont="1" applyBorder="1" applyAlignment="1">
      <alignment horizontal="center" vertical="top" wrapText="1"/>
    </xf>
    <xf numFmtId="0" fontId="24" fillId="0" borderId="19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9" fontId="1" fillId="0" borderId="44" xfId="0" applyNumberFormat="1" applyFont="1" applyBorder="1" applyAlignment="1">
      <alignment horizontal="center" vertical="center"/>
    </xf>
    <xf numFmtId="9" fontId="1" fillId="0" borderId="49" xfId="0" applyNumberFormat="1" applyFont="1" applyBorder="1" applyAlignment="1">
      <alignment horizontal="center" vertical="center"/>
    </xf>
    <xf numFmtId="9" fontId="17" fillId="0" borderId="44" xfId="0" applyNumberFormat="1" applyFont="1" applyBorder="1" applyAlignment="1">
      <alignment horizontal="center" vertical="center"/>
    </xf>
    <xf numFmtId="9" fontId="17" fillId="0" borderId="49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8" fillId="0" borderId="12" xfId="0" applyFont="1" applyBorder="1" applyAlignment="1"/>
    <xf numFmtId="0" fontId="13" fillId="0" borderId="20" xfId="0" applyFont="1" applyBorder="1" applyAlignment="1"/>
    <xf numFmtId="0" fontId="13" fillId="0" borderId="12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0</xdr:row>
      <xdr:rowOff>39689</xdr:rowOff>
    </xdr:from>
    <xdr:to>
      <xdr:col>1</xdr:col>
      <xdr:colOff>666749</xdr:colOff>
      <xdr:row>2</xdr:row>
      <xdr:rowOff>104777</xdr:rowOff>
    </xdr:to>
    <xdr:pic>
      <xdr:nvPicPr>
        <xdr:cNvPr id="2" name="Imagen 1" descr="image003">
          <a:extLst>
            <a:ext uri="{FF2B5EF4-FFF2-40B4-BE49-F238E27FC236}">
              <a16:creationId xmlns:a16="http://schemas.microsoft.com/office/drawing/2014/main" id="{632B3689-1D78-40A0-BC0D-02F85AD11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8204" y="39689"/>
          <a:ext cx="581025" cy="4460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0</xdr:row>
      <xdr:rowOff>47625</xdr:rowOff>
    </xdr:from>
    <xdr:to>
      <xdr:col>1</xdr:col>
      <xdr:colOff>666750</xdr:colOff>
      <xdr:row>2</xdr:row>
      <xdr:rowOff>104775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41734A80-C9CD-4FCA-A240-45A9D0F6A090}"/>
            </a:ext>
            <a:ext uri="{147F2762-F138-4A5C-976F-8EAC2B608ADB}">
              <a16:predDERef xmlns:a16="http://schemas.microsoft.com/office/drawing/2014/main" pred="{632B3689-1D78-40A0-BC0D-02F85AD11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7625"/>
          <a:ext cx="590550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47625</xdr:rowOff>
    </xdr:from>
    <xdr:to>
      <xdr:col>1</xdr:col>
      <xdr:colOff>666750</xdr:colOff>
      <xdr:row>2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F0AC68-167E-9188-8E57-8DF6BCBC3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7625"/>
          <a:ext cx="590550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0</xdr:row>
      <xdr:rowOff>39689</xdr:rowOff>
    </xdr:from>
    <xdr:to>
      <xdr:col>1</xdr:col>
      <xdr:colOff>666749</xdr:colOff>
      <xdr:row>2</xdr:row>
      <xdr:rowOff>104777</xdr:rowOff>
    </xdr:to>
    <xdr:pic>
      <xdr:nvPicPr>
        <xdr:cNvPr id="2" name="Imagen 1" descr="image003">
          <a:extLst>
            <a:ext uri="{FF2B5EF4-FFF2-40B4-BE49-F238E27FC236}">
              <a16:creationId xmlns:a16="http://schemas.microsoft.com/office/drawing/2014/main" id="{0E40B122-EA70-4F44-A83B-CC2F3DB57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4" y="39689"/>
          <a:ext cx="581025" cy="4651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0</xdr:row>
      <xdr:rowOff>47625</xdr:rowOff>
    </xdr:from>
    <xdr:to>
      <xdr:col>1</xdr:col>
      <xdr:colOff>666750</xdr:colOff>
      <xdr:row>2</xdr:row>
      <xdr:rowOff>104775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4FD303E2-CEDE-4B61-A3F5-384014591146}"/>
            </a:ext>
            <a:ext uri="{147F2762-F138-4A5C-976F-8EAC2B608ADB}">
              <a16:predDERef xmlns:a16="http://schemas.microsoft.com/office/drawing/2014/main" pred="{0E40B122-EA70-4F44-A83B-CC2F3DB57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47625"/>
          <a:ext cx="590550" cy="457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0</xdr:row>
      <xdr:rowOff>39689</xdr:rowOff>
    </xdr:from>
    <xdr:to>
      <xdr:col>1</xdr:col>
      <xdr:colOff>666749</xdr:colOff>
      <xdr:row>2</xdr:row>
      <xdr:rowOff>104777</xdr:rowOff>
    </xdr:to>
    <xdr:pic>
      <xdr:nvPicPr>
        <xdr:cNvPr id="2" name="Imagen 1" descr="image003">
          <a:extLst>
            <a:ext uri="{FF2B5EF4-FFF2-40B4-BE49-F238E27FC236}">
              <a16:creationId xmlns:a16="http://schemas.microsoft.com/office/drawing/2014/main" id="{82FB8DD6-76E3-49B7-82B0-43E801A68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4" y="39689"/>
          <a:ext cx="581025" cy="4651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0</xdr:row>
      <xdr:rowOff>47625</xdr:rowOff>
    </xdr:from>
    <xdr:to>
      <xdr:col>1</xdr:col>
      <xdr:colOff>666750</xdr:colOff>
      <xdr:row>2</xdr:row>
      <xdr:rowOff>104775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E802F32F-B271-4A5F-A955-A37EDC033285}"/>
            </a:ext>
            <a:ext uri="{147F2762-F138-4A5C-976F-8EAC2B608ADB}">
              <a16:predDERef xmlns:a16="http://schemas.microsoft.com/office/drawing/2014/main" pred="{82FB8DD6-76E3-49B7-82B0-43E801A68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47625"/>
          <a:ext cx="590550" cy="457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0</xdr:row>
      <xdr:rowOff>39689</xdr:rowOff>
    </xdr:from>
    <xdr:to>
      <xdr:col>1</xdr:col>
      <xdr:colOff>666749</xdr:colOff>
      <xdr:row>2</xdr:row>
      <xdr:rowOff>104777</xdr:rowOff>
    </xdr:to>
    <xdr:pic>
      <xdr:nvPicPr>
        <xdr:cNvPr id="2" name="Imagen 1" descr="image003">
          <a:extLst>
            <a:ext uri="{FF2B5EF4-FFF2-40B4-BE49-F238E27FC236}">
              <a16:creationId xmlns:a16="http://schemas.microsoft.com/office/drawing/2014/main" id="{9A84D998-C9EC-4C68-A4BB-79BDB3C29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4" y="39689"/>
          <a:ext cx="581025" cy="4651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0</xdr:row>
      <xdr:rowOff>47625</xdr:rowOff>
    </xdr:from>
    <xdr:to>
      <xdr:col>1</xdr:col>
      <xdr:colOff>666750</xdr:colOff>
      <xdr:row>2</xdr:row>
      <xdr:rowOff>104775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1FD60425-A576-47A2-9483-5F509F0A17C0}"/>
            </a:ext>
            <a:ext uri="{147F2762-F138-4A5C-976F-8EAC2B608ADB}">
              <a16:predDERef xmlns:a16="http://schemas.microsoft.com/office/drawing/2014/main" pred="{9A84D998-C9EC-4C68-A4BB-79BDB3C29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47625"/>
          <a:ext cx="590550" cy="4572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0</xdr:row>
      <xdr:rowOff>39689</xdr:rowOff>
    </xdr:from>
    <xdr:to>
      <xdr:col>1</xdr:col>
      <xdr:colOff>666749</xdr:colOff>
      <xdr:row>2</xdr:row>
      <xdr:rowOff>104777</xdr:rowOff>
    </xdr:to>
    <xdr:pic>
      <xdr:nvPicPr>
        <xdr:cNvPr id="2" name="Imagen 1" descr="image003">
          <a:extLst>
            <a:ext uri="{FF2B5EF4-FFF2-40B4-BE49-F238E27FC236}">
              <a16:creationId xmlns:a16="http://schemas.microsoft.com/office/drawing/2014/main" id="{2E375076-4481-474C-B59B-622EE23AC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4" y="39689"/>
          <a:ext cx="581025" cy="4651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0</xdr:row>
      <xdr:rowOff>47625</xdr:rowOff>
    </xdr:from>
    <xdr:to>
      <xdr:col>1</xdr:col>
      <xdr:colOff>666750</xdr:colOff>
      <xdr:row>2</xdr:row>
      <xdr:rowOff>104775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D9482FC-BEB3-4320-8E9E-845989BB52FE}"/>
            </a:ext>
            <a:ext uri="{147F2762-F138-4A5C-976F-8EAC2B608ADB}">
              <a16:predDERef xmlns:a16="http://schemas.microsoft.com/office/drawing/2014/main" pred="{2E375076-4481-474C-B59B-622EE23AC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47625"/>
          <a:ext cx="590550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0</xdr:row>
      <xdr:rowOff>39689</xdr:rowOff>
    </xdr:from>
    <xdr:to>
      <xdr:col>1</xdr:col>
      <xdr:colOff>666749</xdr:colOff>
      <xdr:row>2</xdr:row>
      <xdr:rowOff>104777</xdr:rowOff>
    </xdr:to>
    <xdr:pic>
      <xdr:nvPicPr>
        <xdr:cNvPr id="2" name="Imagen 1" descr="image003">
          <a:extLst>
            <a:ext uri="{FF2B5EF4-FFF2-40B4-BE49-F238E27FC236}">
              <a16:creationId xmlns:a16="http://schemas.microsoft.com/office/drawing/2014/main" id="{09AE667E-8D31-4B94-A374-B6748B2FA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4" y="39689"/>
          <a:ext cx="581025" cy="4651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76200</xdr:colOff>
      <xdr:row>0</xdr:row>
      <xdr:rowOff>47625</xdr:rowOff>
    </xdr:from>
    <xdr:to>
      <xdr:col>1</xdr:col>
      <xdr:colOff>666750</xdr:colOff>
      <xdr:row>2</xdr:row>
      <xdr:rowOff>104775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70C133C0-2C64-4171-8252-039E5CC81E56}"/>
            </a:ext>
            <a:ext uri="{147F2762-F138-4A5C-976F-8EAC2B608ADB}">
              <a16:predDERef xmlns:a16="http://schemas.microsoft.com/office/drawing/2014/main" pred="{09AE667E-8D31-4B94-A374-B6748B2FA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47625"/>
          <a:ext cx="59055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6FD5-34D1-472A-A120-F1B18CABD3FB}">
  <sheetPr>
    <pageSetUpPr fitToPage="1"/>
  </sheetPr>
  <dimension ref="A1:F51"/>
  <sheetViews>
    <sheetView topLeftCell="A39" workbookViewId="0">
      <selection activeCell="A51" sqref="A51:F51"/>
    </sheetView>
  </sheetViews>
  <sheetFormatPr defaultColWidth="11.42578125" defaultRowHeight="14.45"/>
  <cols>
    <col min="2" max="2" width="21.28515625" customWidth="1"/>
    <col min="3" max="3" width="10.140625" customWidth="1"/>
    <col min="4" max="4" width="10.28515625" customWidth="1"/>
    <col min="5" max="5" width="15.85546875" customWidth="1"/>
    <col min="6" max="6" width="27.7109375" customWidth="1"/>
  </cols>
  <sheetData>
    <row r="1" spans="1:6" ht="15.75" customHeight="1">
      <c r="A1" s="92" t="s">
        <v>0</v>
      </c>
      <c r="B1" s="93"/>
      <c r="C1" s="98" t="s">
        <v>1</v>
      </c>
      <c r="D1" s="98"/>
      <c r="E1" s="98"/>
      <c r="F1" s="99"/>
    </row>
    <row r="2" spans="1:6" ht="15.75" customHeight="1">
      <c r="A2" s="94"/>
      <c r="B2" s="95"/>
      <c r="C2" s="92" t="s">
        <v>2</v>
      </c>
      <c r="D2" s="100"/>
      <c r="E2" s="100"/>
      <c r="F2" s="101"/>
    </row>
    <row r="3" spans="1:6" ht="15.75" customHeight="1">
      <c r="A3" s="96"/>
      <c r="B3" s="97"/>
      <c r="C3" s="144" t="s">
        <v>3</v>
      </c>
      <c r="D3" s="145"/>
      <c r="E3" s="34" t="s">
        <v>4</v>
      </c>
      <c r="F3" s="47" t="s">
        <v>5</v>
      </c>
    </row>
    <row r="4" spans="1:6" ht="15">
      <c r="A4" s="32" t="s">
        <v>6</v>
      </c>
      <c r="C4" s="22"/>
      <c r="D4" s="23"/>
      <c r="E4" s="39" t="s">
        <v>7</v>
      </c>
      <c r="F4" s="35"/>
    </row>
    <row r="5" spans="1:6">
      <c r="A5" s="102" t="s">
        <v>8</v>
      </c>
      <c r="B5" s="103"/>
      <c r="C5" s="106" t="s">
        <v>9</v>
      </c>
      <c r="D5" s="107"/>
      <c r="E5" s="108" t="s">
        <v>10</v>
      </c>
      <c r="F5" s="21" t="s">
        <v>11</v>
      </c>
    </row>
    <row r="6" spans="1:6" ht="15.75" customHeight="1">
      <c r="A6" s="104"/>
      <c r="B6" s="105"/>
      <c r="C6" s="1" t="s">
        <v>12</v>
      </c>
      <c r="D6" s="20" t="s">
        <v>13</v>
      </c>
      <c r="E6" s="109"/>
      <c r="F6" s="21"/>
    </row>
    <row r="7" spans="1:6" ht="15" customHeight="1">
      <c r="A7" s="72" t="s">
        <v>14</v>
      </c>
      <c r="B7" s="7" t="s">
        <v>15</v>
      </c>
      <c r="C7" s="2" t="s">
        <v>0</v>
      </c>
      <c r="D7" s="2" t="s">
        <v>0</v>
      </c>
      <c r="E7" s="5" t="s">
        <v>0</v>
      </c>
      <c r="F7" s="3" t="s">
        <v>0</v>
      </c>
    </row>
    <row r="8" spans="1:6">
      <c r="A8" s="72"/>
      <c r="B8" s="4" t="s">
        <v>16</v>
      </c>
      <c r="C8" s="5" t="s">
        <v>0</v>
      </c>
      <c r="D8" s="5" t="s">
        <v>0</v>
      </c>
      <c r="E8" s="5" t="s">
        <v>0</v>
      </c>
      <c r="F8" s="6" t="s">
        <v>0</v>
      </c>
    </row>
    <row r="9" spans="1:6">
      <c r="A9" s="72"/>
      <c r="B9" s="7" t="s">
        <v>17</v>
      </c>
      <c r="C9" s="5" t="s">
        <v>0</v>
      </c>
      <c r="D9" s="5" t="s">
        <v>0</v>
      </c>
      <c r="E9" s="5" t="s">
        <v>0</v>
      </c>
      <c r="F9" s="6" t="s">
        <v>0</v>
      </c>
    </row>
    <row r="10" spans="1:6">
      <c r="A10" s="72"/>
      <c r="B10" s="7" t="s">
        <v>18</v>
      </c>
      <c r="C10" s="5" t="s">
        <v>0</v>
      </c>
      <c r="D10" s="5" t="s">
        <v>0</v>
      </c>
      <c r="E10" s="5" t="s">
        <v>0</v>
      </c>
      <c r="F10" s="6" t="s">
        <v>0</v>
      </c>
    </row>
    <row r="11" spans="1:6">
      <c r="A11" s="72"/>
      <c r="B11" s="7" t="s">
        <v>19</v>
      </c>
      <c r="C11" s="5" t="s">
        <v>0</v>
      </c>
      <c r="D11" s="5" t="s">
        <v>0</v>
      </c>
      <c r="E11" s="5" t="s">
        <v>0</v>
      </c>
      <c r="F11" s="6" t="s">
        <v>0</v>
      </c>
    </row>
    <row r="12" spans="1:6">
      <c r="A12" s="72"/>
      <c r="B12" s="7" t="s">
        <v>20</v>
      </c>
      <c r="C12" s="5" t="s">
        <v>0</v>
      </c>
      <c r="D12" s="5" t="s">
        <v>0</v>
      </c>
      <c r="E12" s="5" t="s">
        <v>0</v>
      </c>
      <c r="F12" s="6" t="s">
        <v>0</v>
      </c>
    </row>
    <row r="13" spans="1:6">
      <c r="A13" s="72"/>
      <c r="B13" s="7" t="s">
        <v>21</v>
      </c>
      <c r="C13" s="5" t="s">
        <v>0</v>
      </c>
      <c r="D13" s="5" t="s">
        <v>0</v>
      </c>
      <c r="E13" s="5" t="s">
        <v>0</v>
      </c>
      <c r="F13" s="6" t="s">
        <v>0</v>
      </c>
    </row>
    <row r="14" spans="1:6">
      <c r="A14" s="72"/>
      <c r="B14" s="7" t="s">
        <v>22</v>
      </c>
      <c r="C14" s="5" t="s">
        <v>0</v>
      </c>
      <c r="D14" s="5" t="s">
        <v>0</v>
      </c>
      <c r="E14" s="5" t="s">
        <v>0</v>
      </c>
      <c r="F14" s="6" t="s">
        <v>0</v>
      </c>
    </row>
    <row r="15" spans="1:6">
      <c r="A15" s="72"/>
      <c r="B15" s="7" t="s">
        <v>23</v>
      </c>
      <c r="C15" s="5" t="s">
        <v>0</v>
      </c>
      <c r="D15" s="5" t="s">
        <v>0</v>
      </c>
      <c r="E15" s="5" t="s">
        <v>0</v>
      </c>
      <c r="F15" s="6" t="s">
        <v>0</v>
      </c>
    </row>
    <row r="16" spans="1:6">
      <c r="A16" s="72"/>
      <c r="B16" s="7" t="s">
        <v>24</v>
      </c>
      <c r="C16" s="5" t="s">
        <v>0</v>
      </c>
      <c r="D16" s="5" t="s">
        <v>0</v>
      </c>
      <c r="E16" s="5" t="s">
        <v>0</v>
      </c>
      <c r="F16" s="6" t="s">
        <v>0</v>
      </c>
    </row>
    <row r="17" spans="1:6">
      <c r="A17" s="72"/>
      <c r="B17" s="7" t="s">
        <v>25</v>
      </c>
      <c r="C17" s="5" t="s">
        <v>0</v>
      </c>
      <c r="D17" s="5" t="s">
        <v>0</v>
      </c>
      <c r="E17" s="5" t="s">
        <v>0</v>
      </c>
      <c r="F17" s="6" t="s">
        <v>0</v>
      </c>
    </row>
    <row r="18" spans="1:6">
      <c r="A18" s="72"/>
      <c r="B18" s="7" t="s">
        <v>26</v>
      </c>
      <c r="C18" s="5" t="s">
        <v>0</v>
      </c>
      <c r="D18" s="5" t="s">
        <v>0</v>
      </c>
      <c r="E18" s="5" t="s">
        <v>0</v>
      </c>
      <c r="F18" s="6" t="s">
        <v>0</v>
      </c>
    </row>
    <row r="19" spans="1:6">
      <c r="A19" s="72"/>
      <c r="B19" s="7" t="s">
        <v>27</v>
      </c>
      <c r="C19" s="5" t="s">
        <v>0</v>
      </c>
      <c r="D19" s="5" t="s">
        <v>0</v>
      </c>
      <c r="E19" s="5" t="s">
        <v>0</v>
      </c>
      <c r="F19" s="6" t="s">
        <v>0</v>
      </c>
    </row>
    <row r="20" spans="1:6" ht="25.5" customHeight="1">
      <c r="A20" s="72"/>
      <c r="B20" s="7" t="s">
        <v>28</v>
      </c>
      <c r="C20" s="5" t="s">
        <v>0</v>
      </c>
      <c r="D20" s="5" t="s">
        <v>0</v>
      </c>
      <c r="E20" s="5" t="s">
        <v>0</v>
      </c>
      <c r="F20" s="6" t="s">
        <v>0</v>
      </c>
    </row>
    <row r="21" spans="1:6" ht="25.5" customHeight="1">
      <c r="A21" s="72"/>
      <c r="B21" s="8" t="s">
        <v>29</v>
      </c>
      <c r="C21" s="9" t="s">
        <v>0</v>
      </c>
      <c r="D21" s="9" t="s">
        <v>0</v>
      </c>
      <c r="E21" s="9" t="s">
        <v>0</v>
      </c>
      <c r="F21" s="10" t="s">
        <v>0</v>
      </c>
    </row>
    <row r="22" spans="1:6" ht="26.25" customHeight="1">
      <c r="A22" s="72"/>
      <c r="B22" s="11" t="s">
        <v>30</v>
      </c>
      <c r="C22" s="12" t="s">
        <v>0</v>
      </c>
      <c r="D22" s="12" t="s">
        <v>0</v>
      </c>
      <c r="E22" s="12" t="s">
        <v>0</v>
      </c>
      <c r="F22" s="13" t="s">
        <v>0</v>
      </c>
    </row>
    <row r="23" spans="1:6" ht="15" customHeight="1">
      <c r="A23" s="73" t="s">
        <v>31</v>
      </c>
      <c r="B23" s="36" t="s">
        <v>32</v>
      </c>
      <c r="C23" s="2" t="s">
        <v>0</v>
      </c>
      <c r="D23" s="2" t="s">
        <v>0</v>
      </c>
      <c r="E23" s="2" t="s">
        <v>0</v>
      </c>
      <c r="F23" s="3" t="s">
        <v>0</v>
      </c>
    </row>
    <row r="24" spans="1:6">
      <c r="A24" s="74"/>
      <c r="B24" s="37" t="s">
        <v>33</v>
      </c>
      <c r="C24" s="5" t="s">
        <v>0</v>
      </c>
      <c r="D24" s="5" t="s">
        <v>0</v>
      </c>
      <c r="E24" s="5" t="s">
        <v>0</v>
      </c>
      <c r="F24" s="6" t="s">
        <v>0</v>
      </c>
    </row>
    <row r="25" spans="1:6">
      <c r="A25" s="74"/>
      <c r="B25" s="37" t="s">
        <v>34</v>
      </c>
      <c r="C25" s="5" t="s">
        <v>0</v>
      </c>
      <c r="D25" s="5" t="s">
        <v>0</v>
      </c>
      <c r="E25" s="5" t="s">
        <v>0</v>
      </c>
      <c r="F25" s="6" t="s">
        <v>0</v>
      </c>
    </row>
    <row r="26" spans="1:6">
      <c r="A26" s="74"/>
      <c r="B26" s="37" t="s">
        <v>35</v>
      </c>
      <c r="C26" s="5" t="s">
        <v>0</v>
      </c>
      <c r="D26" s="5" t="s">
        <v>0</v>
      </c>
      <c r="E26" s="5" t="s">
        <v>0</v>
      </c>
      <c r="F26" s="6" t="s">
        <v>0</v>
      </c>
    </row>
    <row r="27" spans="1:6">
      <c r="A27" s="74"/>
      <c r="B27" s="37" t="s">
        <v>36</v>
      </c>
      <c r="C27" s="5" t="s">
        <v>0</v>
      </c>
      <c r="D27" s="5" t="s">
        <v>0</v>
      </c>
      <c r="E27" s="5" t="s">
        <v>0</v>
      </c>
      <c r="F27" s="6" t="s">
        <v>0</v>
      </c>
    </row>
    <row r="28" spans="1:6">
      <c r="A28" s="74"/>
      <c r="B28" s="37" t="s">
        <v>37</v>
      </c>
      <c r="C28" s="5" t="s">
        <v>0</v>
      </c>
      <c r="D28" s="5" t="s">
        <v>0</v>
      </c>
      <c r="E28" s="5" t="s">
        <v>0</v>
      </c>
      <c r="F28" s="6" t="s">
        <v>0</v>
      </c>
    </row>
    <row r="29" spans="1:6" ht="27">
      <c r="A29" s="74"/>
      <c r="B29" s="37" t="s">
        <v>38</v>
      </c>
      <c r="C29" s="5" t="s">
        <v>0</v>
      </c>
      <c r="D29" s="5" t="s">
        <v>0</v>
      </c>
      <c r="E29" s="5" t="s">
        <v>0</v>
      </c>
      <c r="F29" s="6" t="s">
        <v>0</v>
      </c>
    </row>
    <row r="30" spans="1:6" ht="25.5" customHeight="1">
      <c r="A30" s="74"/>
      <c r="B30" s="37" t="s">
        <v>39</v>
      </c>
      <c r="C30" s="5" t="s">
        <v>0</v>
      </c>
      <c r="D30" s="5" t="s">
        <v>0</v>
      </c>
      <c r="E30" s="5" t="s">
        <v>0</v>
      </c>
      <c r="F30" s="6" t="s">
        <v>0</v>
      </c>
    </row>
    <row r="31" spans="1:6" ht="27">
      <c r="A31" s="74"/>
      <c r="B31" s="37" t="s">
        <v>40</v>
      </c>
      <c r="C31" s="5" t="s">
        <v>0</v>
      </c>
      <c r="D31" s="5" t="s">
        <v>0</v>
      </c>
      <c r="E31" s="5" t="s">
        <v>0</v>
      </c>
      <c r="F31" s="6" t="s">
        <v>0</v>
      </c>
    </row>
    <row r="32" spans="1:6" ht="25.5" customHeight="1">
      <c r="A32" s="74"/>
      <c r="B32" s="37" t="s">
        <v>41</v>
      </c>
      <c r="C32" s="5" t="s">
        <v>0</v>
      </c>
      <c r="D32" s="5" t="s">
        <v>0</v>
      </c>
      <c r="E32" s="5" t="s">
        <v>0</v>
      </c>
      <c r="F32" s="6" t="s">
        <v>0</v>
      </c>
    </row>
    <row r="33" spans="1:6">
      <c r="A33" s="75"/>
      <c r="B33" s="38" t="s">
        <v>42</v>
      </c>
      <c r="C33" s="9" t="s">
        <v>0</v>
      </c>
      <c r="D33" s="9" t="s">
        <v>0</v>
      </c>
      <c r="E33" s="9" t="s">
        <v>0</v>
      </c>
      <c r="F33" s="10" t="s">
        <v>0</v>
      </c>
    </row>
    <row r="34" spans="1:6">
      <c r="A34" s="76" t="s">
        <v>43</v>
      </c>
      <c r="B34" s="77"/>
      <c r="C34" s="77"/>
      <c r="D34" s="77"/>
      <c r="E34" s="77"/>
      <c r="F34" s="78"/>
    </row>
    <row r="35" spans="1:6" ht="15.75" customHeight="1">
      <c r="A35" s="76"/>
      <c r="B35" s="79"/>
      <c r="C35" s="79"/>
      <c r="D35" s="79"/>
      <c r="E35" s="79"/>
      <c r="F35" s="80"/>
    </row>
    <row r="36" spans="1:6" ht="14.45" customHeight="1">
      <c r="A36" s="76"/>
      <c r="B36" s="79"/>
      <c r="C36" s="79"/>
      <c r="D36" s="79"/>
      <c r="E36" s="79"/>
      <c r="F36" s="80"/>
    </row>
    <row r="37" spans="1:6">
      <c r="A37" s="76"/>
      <c r="B37" s="79"/>
      <c r="C37" s="79"/>
      <c r="D37" s="79"/>
      <c r="E37" s="79"/>
      <c r="F37" s="80"/>
    </row>
    <row r="38" spans="1:6">
      <c r="A38" s="76"/>
      <c r="B38" s="79"/>
      <c r="C38" s="79"/>
      <c r="D38" s="79"/>
      <c r="E38" s="79"/>
      <c r="F38" s="80"/>
    </row>
    <row r="39" spans="1:6">
      <c r="A39" s="81"/>
      <c r="B39" s="82"/>
      <c r="C39" s="82"/>
      <c r="D39" s="82"/>
      <c r="E39" s="82"/>
      <c r="F39" s="83"/>
    </row>
    <row r="40" spans="1:6">
      <c r="A40" s="84" t="s">
        <v>44</v>
      </c>
      <c r="B40" s="85"/>
      <c r="C40" s="86"/>
      <c r="D40" s="86"/>
      <c r="E40" s="85"/>
      <c r="F40" s="87"/>
    </row>
    <row r="41" spans="1:6" ht="15.75" customHeight="1">
      <c r="A41" s="88" t="s">
        <v>45</v>
      </c>
      <c r="B41" s="89"/>
      <c r="C41" s="90">
        <v>0</v>
      </c>
      <c r="D41" s="91"/>
      <c r="E41" s="14">
        <v>1</v>
      </c>
      <c r="F41" s="15" t="s">
        <v>46</v>
      </c>
    </row>
    <row r="42" spans="1:6" ht="15.75" customHeight="1">
      <c r="A42" s="48" t="s">
        <v>47</v>
      </c>
      <c r="B42" s="49"/>
      <c r="C42" s="52">
        <f>COUNTIF(C5:C31,1)</f>
        <v>0</v>
      </c>
      <c r="D42" s="53"/>
      <c r="E42" s="110" t="e">
        <f>C42/$C$41</f>
        <v>#DIV/0!</v>
      </c>
      <c r="F42" s="16" t="s">
        <v>48</v>
      </c>
    </row>
    <row r="43" spans="1:6" ht="15.75" customHeight="1">
      <c r="A43" s="66"/>
      <c r="B43" s="67"/>
      <c r="C43" s="68"/>
      <c r="D43" s="69"/>
      <c r="E43" s="111"/>
      <c r="F43" s="17" t="s">
        <v>49</v>
      </c>
    </row>
    <row r="44" spans="1:6" ht="15.75" customHeight="1">
      <c r="A44" s="48" t="s">
        <v>50</v>
      </c>
      <c r="B44" s="49"/>
      <c r="C44" s="52">
        <f>COUNTIF(C7:C33,1)</f>
        <v>0</v>
      </c>
      <c r="D44" s="53"/>
      <c r="E44" s="110" t="e">
        <f>C44/$C$41</f>
        <v>#DIV/0!</v>
      </c>
      <c r="F44" s="18" t="s">
        <v>0</v>
      </c>
    </row>
    <row r="45" spans="1:6" ht="15.75" customHeight="1">
      <c r="A45" s="66"/>
      <c r="B45" s="67"/>
      <c r="C45" s="68"/>
      <c r="D45" s="69"/>
      <c r="E45" s="111"/>
      <c r="F45" s="18" t="s">
        <v>0</v>
      </c>
    </row>
    <row r="46" spans="1:6" ht="15.75" customHeight="1">
      <c r="A46" s="48" t="s">
        <v>51</v>
      </c>
      <c r="B46" s="49"/>
      <c r="C46" s="52">
        <f>COUNTIF(E7:E33,1)</f>
        <v>0</v>
      </c>
      <c r="D46" s="53"/>
      <c r="E46" s="56" t="s">
        <v>0</v>
      </c>
      <c r="F46" s="18" t="s">
        <v>0</v>
      </c>
    </row>
    <row r="47" spans="1:6" ht="15.75" customHeight="1">
      <c r="A47" s="50"/>
      <c r="B47" s="51"/>
      <c r="C47" s="54"/>
      <c r="D47" s="55"/>
      <c r="E47" s="57"/>
      <c r="F47" s="19" t="s">
        <v>0</v>
      </c>
    </row>
    <row r="48" spans="1:6" ht="15.75" customHeight="1">
      <c r="A48" s="24" t="s">
        <v>52</v>
      </c>
      <c r="B48" s="25"/>
      <c r="C48" s="25"/>
      <c r="D48" s="26"/>
      <c r="E48" s="20" t="s">
        <v>53</v>
      </c>
      <c r="F48" s="21" t="s">
        <v>0</v>
      </c>
    </row>
    <row r="49" spans="1:6" ht="15.75" customHeight="1">
      <c r="A49" s="27" t="s">
        <v>54</v>
      </c>
      <c r="B49" s="28"/>
      <c r="C49" s="28"/>
      <c r="D49" s="29"/>
      <c r="E49" s="30" t="s">
        <v>55</v>
      </c>
      <c r="F49" s="31"/>
    </row>
    <row r="50" spans="1:6">
      <c r="A50" s="58" t="s">
        <v>54</v>
      </c>
      <c r="B50" s="59"/>
      <c r="C50" s="59"/>
      <c r="D50" s="60"/>
      <c r="E50" s="61" t="s">
        <v>55</v>
      </c>
      <c r="F50" s="62"/>
    </row>
    <row r="51" spans="1:6" ht="33" customHeight="1">
      <c r="A51" s="63" t="s">
        <v>56</v>
      </c>
      <c r="B51" s="64"/>
      <c r="C51" s="64"/>
      <c r="D51" s="64"/>
      <c r="E51" s="64"/>
      <c r="F51" s="65"/>
    </row>
  </sheetData>
  <mergeCells count="25">
    <mergeCell ref="A46:B47"/>
    <mergeCell ref="C46:D47"/>
    <mergeCell ref="E46:E47"/>
    <mergeCell ref="A51:F51"/>
    <mergeCell ref="A50:D50"/>
    <mergeCell ref="E50:F50"/>
    <mergeCell ref="A42:B43"/>
    <mergeCell ref="C42:D43"/>
    <mergeCell ref="E42:E43"/>
    <mergeCell ref="A44:B45"/>
    <mergeCell ref="C44:D45"/>
    <mergeCell ref="E44:E45"/>
    <mergeCell ref="A7:A22"/>
    <mergeCell ref="A23:A33"/>
    <mergeCell ref="A34:F39"/>
    <mergeCell ref="A40:F40"/>
    <mergeCell ref="A41:B41"/>
    <mergeCell ref="C41:D41"/>
    <mergeCell ref="A1:B3"/>
    <mergeCell ref="C1:F1"/>
    <mergeCell ref="C2:F2"/>
    <mergeCell ref="C3:D3"/>
    <mergeCell ref="A5:B6"/>
    <mergeCell ref="C5:D5"/>
    <mergeCell ref="E5:E6"/>
  </mergeCells>
  <printOptions horizontalCentered="1" verticalCentered="1"/>
  <pageMargins left="0" right="0" top="0" bottom="0" header="0" footer="0"/>
  <pageSetup paperSize="28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89B8-8CD5-42FD-9C20-BAB211834778}">
  <dimension ref="A1:F51"/>
  <sheetViews>
    <sheetView topLeftCell="A40" workbookViewId="0">
      <selection activeCell="E44" sqref="E44:E45"/>
    </sheetView>
  </sheetViews>
  <sheetFormatPr defaultColWidth="8.85546875" defaultRowHeight="14.45"/>
  <cols>
    <col min="2" max="2" width="22.5703125" customWidth="1"/>
    <col min="3" max="3" width="10.140625" customWidth="1"/>
    <col min="4" max="4" width="10.42578125" customWidth="1"/>
    <col min="5" max="5" width="17.5703125" customWidth="1"/>
    <col min="6" max="6" width="20.85546875" customWidth="1"/>
  </cols>
  <sheetData>
    <row r="1" spans="1:6">
      <c r="A1" s="92" t="s">
        <v>0</v>
      </c>
      <c r="B1" s="93"/>
      <c r="C1" s="98" t="s">
        <v>1</v>
      </c>
      <c r="D1" s="98"/>
      <c r="E1" s="98"/>
      <c r="F1" s="99"/>
    </row>
    <row r="2" spans="1:6">
      <c r="A2" s="94"/>
      <c r="B2" s="95"/>
      <c r="C2" s="92" t="s">
        <v>2</v>
      </c>
      <c r="D2" s="100"/>
      <c r="E2" s="100"/>
      <c r="F2" s="101"/>
    </row>
    <row r="3" spans="1:6">
      <c r="A3" s="96"/>
      <c r="B3" s="97"/>
      <c r="C3" s="146" t="s">
        <v>57</v>
      </c>
      <c r="D3" s="145"/>
      <c r="E3" s="34" t="s">
        <v>58</v>
      </c>
      <c r="F3" s="33" t="s">
        <v>59</v>
      </c>
    </row>
    <row r="4" spans="1:6">
      <c r="A4" s="32" t="s">
        <v>6</v>
      </c>
      <c r="C4" s="22"/>
      <c r="D4" s="23"/>
      <c r="E4" s="39" t="s">
        <v>7</v>
      </c>
      <c r="F4" s="35" t="s">
        <v>60</v>
      </c>
    </row>
    <row r="5" spans="1:6" ht="15" customHeight="1">
      <c r="A5" s="102" t="s">
        <v>8</v>
      </c>
      <c r="B5" s="103"/>
      <c r="C5" s="106" t="s">
        <v>9</v>
      </c>
      <c r="D5" s="107"/>
      <c r="E5" s="108" t="s">
        <v>10</v>
      </c>
      <c r="F5" s="21" t="s">
        <v>11</v>
      </c>
    </row>
    <row r="6" spans="1:6">
      <c r="A6" s="104"/>
      <c r="B6" s="105"/>
      <c r="C6" s="1" t="s">
        <v>12</v>
      </c>
      <c r="D6" s="20" t="s">
        <v>13</v>
      </c>
      <c r="E6" s="109"/>
      <c r="F6" s="21"/>
    </row>
    <row r="7" spans="1:6" ht="24" customHeight="1">
      <c r="A7" s="72" t="s">
        <v>14</v>
      </c>
      <c r="B7" s="7" t="s">
        <v>15</v>
      </c>
      <c r="C7" s="2" t="s">
        <v>0</v>
      </c>
      <c r="D7" s="2" t="s">
        <v>0</v>
      </c>
      <c r="E7" s="5">
        <v>1</v>
      </c>
      <c r="F7" s="3" t="s">
        <v>0</v>
      </c>
    </row>
    <row r="8" spans="1:6" ht="42">
      <c r="A8" s="72"/>
      <c r="B8" s="4" t="s">
        <v>16</v>
      </c>
      <c r="C8" s="5"/>
      <c r="D8" s="5">
        <v>1</v>
      </c>
      <c r="E8" s="5" t="s">
        <v>0</v>
      </c>
      <c r="F8" s="41" t="s">
        <v>61</v>
      </c>
    </row>
    <row r="9" spans="1:6">
      <c r="A9" s="72"/>
      <c r="B9" s="7" t="s">
        <v>17</v>
      </c>
      <c r="C9" s="5">
        <v>1</v>
      </c>
      <c r="D9" s="5" t="s">
        <v>0</v>
      </c>
      <c r="E9" s="5" t="s">
        <v>0</v>
      </c>
      <c r="F9" s="6" t="s">
        <v>0</v>
      </c>
    </row>
    <row r="10" spans="1:6">
      <c r="A10" s="72"/>
      <c r="B10" s="7" t="s">
        <v>18</v>
      </c>
      <c r="C10" s="5">
        <v>1</v>
      </c>
      <c r="D10" s="5" t="s">
        <v>0</v>
      </c>
      <c r="E10" s="5" t="s">
        <v>0</v>
      </c>
      <c r="F10" s="6" t="s">
        <v>62</v>
      </c>
    </row>
    <row r="11" spans="1:6">
      <c r="A11" s="72"/>
      <c r="B11" s="7" t="s">
        <v>19</v>
      </c>
      <c r="C11" s="5">
        <v>1</v>
      </c>
      <c r="D11" s="5"/>
      <c r="E11" s="5" t="s">
        <v>0</v>
      </c>
      <c r="F11" s="6" t="s">
        <v>0</v>
      </c>
    </row>
    <row r="12" spans="1:6" ht="42">
      <c r="A12" s="72"/>
      <c r="B12" s="7" t="s">
        <v>20</v>
      </c>
      <c r="C12" s="5" t="s">
        <v>0</v>
      </c>
      <c r="D12" s="5">
        <v>1</v>
      </c>
      <c r="E12" s="5" t="s">
        <v>0</v>
      </c>
      <c r="F12" s="41" t="s">
        <v>63</v>
      </c>
    </row>
    <row r="13" spans="1:6">
      <c r="A13" s="72"/>
      <c r="B13" s="7" t="s">
        <v>21</v>
      </c>
      <c r="C13" s="5">
        <v>1</v>
      </c>
      <c r="D13" s="5" t="s">
        <v>0</v>
      </c>
      <c r="E13" s="5" t="s">
        <v>0</v>
      </c>
      <c r="F13" s="6" t="s">
        <v>0</v>
      </c>
    </row>
    <row r="14" spans="1:6">
      <c r="A14" s="72"/>
      <c r="B14" s="7" t="s">
        <v>22</v>
      </c>
      <c r="C14" s="5" t="s">
        <v>0</v>
      </c>
      <c r="D14" s="5" t="s">
        <v>0</v>
      </c>
      <c r="E14" s="5">
        <v>1</v>
      </c>
      <c r="F14" s="6" t="s">
        <v>0</v>
      </c>
    </row>
    <row r="15" spans="1:6">
      <c r="A15" s="72"/>
      <c r="B15" s="7" t="s">
        <v>23</v>
      </c>
      <c r="C15" s="5">
        <v>1</v>
      </c>
      <c r="D15" s="5" t="s">
        <v>0</v>
      </c>
      <c r="E15" s="5" t="s">
        <v>0</v>
      </c>
      <c r="F15" s="6" t="s">
        <v>0</v>
      </c>
    </row>
    <row r="16" spans="1:6">
      <c r="A16" s="72"/>
      <c r="B16" s="7" t="s">
        <v>24</v>
      </c>
      <c r="C16" s="5">
        <v>1</v>
      </c>
      <c r="D16" s="5" t="s">
        <v>0</v>
      </c>
      <c r="E16" s="5" t="s">
        <v>0</v>
      </c>
      <c r="F16" s="6" t="s">
        <v>0</v>
      </c>
    </row>
    <row r="17" spans="1:6">
      <c r="A17" s="72"/>
      <c r="B17" s="7" t="s">
        <v>25</v>
      </c>
      <c r="C17" s="5">
        <v>1</v>
      </c>
      <c r="D17" s="5" t="s">
        <v>0</v>
      </c>
      <c r="E17" s="5" t="s">
        <v>0</v>
      </c>
      <c r="F17" s="6" t="s">
        <v>0</v>
      </c>
    </row>
    <row r="18" spans="1:6">
      <c r="A18" s="72"/>
      <c r="B18" s="7" t="s">
        <v>26</v>
      </c>
      <c r="C18" s="5">
        <v>1</v>
      </c>
      <c r="D18" s="5" t="s">
        <v>0</v>
      </c>
      <c r="E18" s="5" t="s">
        <v>0</v>
      </c>
      <c r="F18" s="6" t="s">
        <v>0</v>
      </c>
    </row>
    <row r="19" spans="1:6">
      <c r="A19" s="72"/>
      <c r="B19" s="7" t="s">
        <v>27</v>
      </c>
      <c r="C19" s="5" t="s">
        <v>0</v>
      </c>
      <c r="D19" s="5" t="s">
        <v>0</v>
      </c>
      <c r="E19" s="5">
        <v>1</v>
      </c>
      <c r="F19" s="6" t="s">
        <v>0</v>
      </c>
    </row>
    <row r="20" spans="1:6" ht="27">
      <c r="A20" s="72"/>
      <c r="B20" s="7" t="s">
        <v>28</v>
      </c>
      <c r="C20" s="5">
        <v>1</v>
      </c>
      <c r="D20" s="5" t="s">
        <v>0</v>
      </c>
      <c r="E20" s="5" t="s">
        <v>0</v>
      </c>
      <c r="F20" s="6" t="s">
        <v>0</v>
      </c>
    </row>
    <row r="21" spans="1:6" ht="27">
      <c r="A21" s="72"/>
      <c r="B21" s="8" t="s">
        <v>29</v>
      </c>
      <c r="C21" s="9">
        <v>1</v>
      </c>
      <c r="D21" s="9" t="s">
        <v>0</v>
      </c>
      <c r="E21" s="9" t="s">
        <v>0</v>
      </c>
      <c r="F21" s="10" t="s">
        <v>64</v>
      </c>
    </row>
    <row r="22" spans="1:6" ht="27">
      <c r="A22" s="72"/>
      <c r="B22" s="11" t="s">
        <v>30</v>
      </c>
      <c r="C22" s="12">
        <v>1</v>
      </c>
      <c r="D22" s="12" t="s">
        <v>0</v>
      </c>
      <c r="E22" s="12" t="s">
        <v>0</v>
      </c>
      <c r="F22" s="13" t="s">
        <v>0</v>
      </c>
    </row>
    <row r="23" spans="1:6" ht="15" customHeight="1">
      <c r="A23" s="43"/>
      <c r="B23" s="36" t="s">
        <v>32</v>
      </c>
      <c r="C23" s="2">
        <v>1</v>
      </c>
      <c r="D23" s="2" t="s">
        <v>0</v>
      </c>
      <c r="E23" s="2" t="s">
        <v>0</v>
      </c>
      <c r="F23" s="3" t="s">
        <v>0</v>
      </c>
    </row>
    <row r="24" spans="1:6" ht="28.15">
      <c r="A24" s="74" t="s">
        <v>31</v>
      </c>
      <c r="B24" s="37" t="s">
        <v>33</v>
      </c>
      <c r="C24" s="5" t="s">
        <v>0</v>
      </c>
      <c r="D24" s="5">
        <v>1</v>
      </c>
      <c r="E24" s="5" t="s">
        <v>0</v>
      </c>
      <c r="F24" s="41" t="s">
        <v>65</v>
      </c>
    </row>
    <row r="25" spans="1:6" ht="55.9">
      <c r="A25" s="74"/>
      <c r="B25" s="37" t="s">
        <v>34</v>
      </c>
      <c r="C25" s="5" t="s">
        <v>0</v>
      </c>
      <c r="D25" s="5">
        <v>1</v>
      </c>
      <c r="E25" s="5" t="s">
        <v>0</v>
      </c>
      <c r="F25" s="41" t="s">
        <v>66</v>
      </c>
    </row>
    <row r="26" spans="1:6">
      <c r="A26" s="74"/>
      <c r="B26" s="37" t="s">
        <v>35</v>
      </c>
      <c r="C26" s="5">
        <v>1</v>
      </c>
      <c r="D26" s="5" t="s">
        <v>0</v>
      </c>
      <c r="E26" s="5" t="s">
        <v>0</v>
      </c>
      <c r="F26" s="6" t="s">
        <v>0</v>
      </c>
    </row>
    <row r="27" spans="1:6" ht="12.75" customHeight="1">
      <c r="A27" s="74"/>
      <c r="B27" s="37" t="s">
        <v>36</v>
      </c>
      <c r="C27" s="5">
        <v>1</v>
      </c>
      <c r="D27" s="5" t="s">
        <v>0</v>
      </c>
      <c r="E27" s="5" t="s">
        <v>0</v>
      </c>
      <c r="F27" s="6" t="s">
        <v>0</v>
      </c>
    </row>
    <row r="28" spans="1:6" ht="55.5" customHeight="1">
      <c r="A28" s="74"/>
      <c r="B28" s="37" t="s">
        <v>37</v>
      </c>
      <c r="C28" s="5">
        <v>1</v>
      </c>
      <c r="D28" s="5" t="s">
        <v>0</v>
      </c>
      <c r="E28" s="5" t="s">
        <v>0</v>
      </c>
      <c r="F28" s="6" t="s">
        <v>0</v>
      </c>
    </row>
    <row r="29" spans="1:6" ht="27.6" customHeight="1">
      <c r="A29" s="74"/>
      <c r="B29" s="37" t="s">
        <v>38</v>
      </c>
      <c r="C29" s="5" t="s">
        <v>0</v>
      </c>
      <c r="D29" s="5">
        <v>1</v>
      </c>
      <c r="E29" s="5"/>
      <c r="F29" s="41" t="s">
        <v>67</v>
      </c>
    </row>
    <row r="30" spans="1:6" ht="28.15">
      <c r="A30" s="74"/>
      <c r="B30" s="37" t="s">
        <v>39</v>
      </c>
      <c r="C30" s="5" t="s">
        <v>0</v>
      </c>
      <c r="D30" s="5">
        <v>1</v>
      </c>
      <c r="E30" s="5" t="s">
        <v>0</v>
      </c>
      <c r="F30" s="41" t="s">
        <v>68</v>
      </c>
    </row>
    <row r="31" spans="1:6" ht="28.15">
      <c r="A31" s="74"/>
      <c r="B31" s="37" t="s">
        <v>40</v>
      </c>
      <c r="C31" s="5" t="s">
        <v>0</v>
      </c>
      <c r="D31" s="5">
        <v>1</v>
      </c>
      <c r="E31" s="5" t="s">
        <v>0</v>
      </c>
      <c r="F31" s="41" t="s">
        <v>67</v>
      </c>
    </row>
    <row r="32" spans="1:6">
      <c r="A32" s="74"/>
      <c r="B32" s="37" t="s">
        <v>41</v>
      </c>
      <c r="C32" s="5">
        <v>1</v>
      </c>
      <c r="D32" s="5"/>
      <c r="E32" s="5" t="s">
        <v>0</v>
      </c>
      <c r="F32" s="6"/>
    </row>
    <row r="33" spans="1:6" ht="28.15">
      <c r="A33" s="44"/>
      <c r="B33" s="38" t="s">
        <v>42</v>
      </c>
      <c r="C33" s="9" t="s">
        <v>0</v>
      </c>
      <c r="D33" s="9">
        <v>1</v>
      </c>
      <c r="E33" s="9" t="s">
        <v>0</v>
      </c>
      <c r="F33" s="42" t="s">
        <v>69</v>
      </c>
    </row>
    <row r="34" spans="1:6" ht="15" customHeight="1">
      <c r="A34" s="76" t="s">
        <v>43</v>
      </c>
      <c r="B34" s="77"/>
      <c r="C34" s="77"/>
      <c r="D34" s="77"/>
      <c r="E34" s="77"/>
      <c r="F34" s="78"/>
    </row>
    <row r="35" spans="1:6">
      <c r="A35" s="76"/>
      <c r="B35" s="79"/>
      <c r="C35" s="79"/>
      <c r="D35" s="79"/>
      <c r="E35" s="79"/>
      <c r="F35" s="80"/>
    </row>
    <row r="36" spans="1:6">
      <c r="A36" s="76"/>
      <c r="B36" s="79"/>
      <c r="C36" s="79"/>
      <c r="D36" s="79"/>
      <c r="E36" s="79"/>
      <c r="F36" s="80"/>
    </row>
    <row r="37" spans="1:6">
      <c r="A37" s="76"/>
      <c r="B37" s="79"/>
      <c r="C37" s="79"/>
      <c r="D37" s="79"/>
      <c r="E37" s="79"/>
      <c r="F37" s="80"/>
    </row>
    <row r="38" spans="1:6">
      <c r="A38" s="76"/>
      <c r="B38" s="79"/>
      <c r="C38" s="79"/>
      <c r="D38" s="79"/>
      <c r="E38" s="79"/>
      <c r="F38" s="80"/>
    </row>
    <row r="39" spans="1:6">
      <c r="A39" s="81"/>
      <c r="B39" s="82"/>
      <c r="C39" s="82"/>
      <c r="D39" s="82"/>
      <c r="E39" s="82"/>
      <c r="F39" s="83"/>
    </row>
    <row r="40" spans="1:6" ht="16.5" customHeight="1">
      <c r="A40" s="84" t="s">
        <v>44</v>
      </c>
      <c r="B40" s="85"/>
      <c r="C40" s="86"/>
      <c r="D40" s="86"/>
      <c r="E40" s="85"/>
      <c r="F40" s="87"/>
    </row>
    <row r="41" spans="1:6" ht="22.5" customHeight="1">
      <c r="A41" s="128" t="s">
        <v>45</v>
      </c>
      <c r="B41" s="129"/>
      <c r="C41" s="130">
        <v>27</v>
      </c>
      <c r="D41" s="131"/>
      <c r="E41" s="46">
        <v>1</v>
      </c>
      <c r="F41" s="45" t="s">
        <v>70</v>
      </c>
    </row>
    <row r="42" spans="1:6" ht="15" customHeight="1">
      <c r="A42" s="132" t="s">
        <v>47</v>
      </c>
      <c r="B42" s="133"/>
      <c r="C42" s="136">
        <v>16</v>
      </c>
      <c r="D42" s="137"/>
      <c r="E42" s="124">
        <f>C42/$C$41</f>
        <v>0.59259259259259256</v>
      </c>
      <c r="F42" s="16" t="s">
        <v>48</v>
      </c>
    </row>
    <row r="43" spans="1:6">
      <c r="A43" s="140"/>
      <c r="B43" s="141"/>
      <c r="C43" s="142"/>
      <c r="D43" s="143"/>
      <c r="E43" s="125"/>
      <c r="F43" s="17" t="s">
        <v>49</v>
      </c>
    </row>
    <row r="44" spans="1:6" ht="15" customHeight="1">
      <c r="A44" s="132" t="s">
        <v>50</v>
      </c>
      <c r="B44" s="133"/>
      <c r="C44" s="136">
        <v>7</v>
      </c>
      <c r="D44" s="137"/>
      <c r="E44" s="124">
        <f>C44/$C$41</f>
        <v>0.25925925925925924</v>
      </c>
      <c r="F44" s="18" t="s">
        <v>0</v>
      </c>
    </row>
    <row r="45" spans="1:6">
      <c r="A45" s="140"/>
      <c r="B45" s="141"/>
      <c r="C45" s="142"/>
      <c r="D45" s="143"/>
      <c r="E45" s="125"/>
      <c r="F45" s="18" t="s">
        <v>0</v>
      </c>
    </row>
    <row r="46" spans="1:6" ht="15" customHeight="1">
      <c r="A46" s="132" t="s">
        <v>51</v>
      </c>
      <c r="B46" s="133"/>
      <c r="C46" s="136">
        <f>COUNTIF(E7:E33,1)</f>
        <v>3</v>
      </c>
      <c r="D46" s="137"/>
      <c r="E46" s="126">
        <f>C46/$C$41</f>
        <v>0.1111111111111111</v>
      </c>
      <c r="F46" s="18" t="s">
        <v>0</v>
      </c>
    </row>
    <row r="47" spans="1:6" ht="15" customHeight="1">
      <c r="A47" s="134"/>
      <c r="B47" s="135"/>
      <c r="C47" s="138"/>
      <c r="D47" s="139"/>
      <c r="E47" s="127"/>
      <c r="F47" s="19" t="s">
        <v>0</v>
      </c>
    </row>
    <row r="48" spans="1:6">
      <c r="A48" s="118" t="s">
        <v>71</v>
      </c>
      <c r="B48" s="119"/>
      <c r="C48" s="119"/>
      <c r="D48" s="120"/>
      <c r="E48" s="20" t="s">
        <v>53</v>
      </c>
      <c r="F48" s="21" t="s">
        <v>0</v>
      </c>
    </row>
    <row r="49" spans="1:6">
      <c r="A49" s="121" t="s">
        <v>72</v>
      </c>
      <c r="B49" s="122"/>
      <c r="C49" s="122"/>
      <c r="D49" s="123"/>
      <c r="E49" s="20" t="s">
        <v>55</v>
      </c>
      <c r="F49" s="40"/>
    </row>
    <row r="50" spans="1:6" ht="15.75" customHeight="1">
      <c r="A50" s="112" t="s">
        <v>73</v>
      </c>
      <c r="B50" s="113"/>
      <c r="C50" s="113"/>
      <c r="D50" s="113"/>
      <c r="E50" s="113"/>
      <c r="F50" s="114"/>
    </row>
    <row r="51" spans="1:6" ht="22.5" customHeight="1">
      <c r="A51" s="115"/>
      <c r="B51" s="116"/>
      <c r="C51" s="116"/>
      <c r="D51" s="116"/>
      <c r="E51" s="116"/>
      <c r="F51" s="117"/>
    </row>
  </sheetData>
  <mergeCells count="25">
    <mergeCell ref="A7:A22"/>
    <mergeCell ref="A46:B47"/>
    <mergeCell ref="C46:D47"/>
    <mergeCell ref="A42:B43"/>
    <mergeCell ref="A44:B45"/>
    <mergeCell ref="C42:D43"/>
    <mergeCell ref="C44:D45"/>
    <mergeCell ref="A34:F39"/>
    <mergeCell ref="A40:F40"/>
    <mergeCell ref="E5:E6"/>
    <mergeCell ref="C1:F1"/>
    <mergeCell ref="C2:F2"/>
    <mergeCell ref="C3:D3"/>
    <mergeCell ref="A5:B6"/>
    <mergeCell ref="A1:B3"/>
    <mergeCell ref="C5:D5"/>
    <mergeCell ref="A50:F51"/>
    <mergeCell ref="A24:A32"/>
    <mergeCell ref="A48:D48"/>
    <mergeCell ref="A49:D49"/>
    <mergeCell ref="E42:E43"/>
    <mergeCell ref="E44:E45"/>
    <mergeCell ref="E46:E47"/>
    <mergeCell ref="A41:B41"/>
    <mergeCell ref="C41:D4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F44E-0856-4FA6-BDEB-3A55653229F5}">
  <sheetPr>
    <pageSetUpPr fitToPage="1"/>
  </sheetPr>
  <dimension ref="A1:F51"/>
  <sheetViews>
    <sheetView topLeftCell="A33" workbookViewId="0">
      <selection activeCell="E44" sqref="E44:E45"/>
    </sheetView>
  </sheetViews>
  <sheetFormatPr defaultColWidth="11.42578125" defaultRowHeight="15"/>
  <cols>
    <col min="2" max="2" width="21.28515625" customWidth="1"/>
    <col min="3" max="3" width="10.140625" customWidth="1"/>
    <col min="4" max="4" width="10.28515625" customWidth="1"/>
    <col min="5" max="5" width="15.85546875" customWidth="1"/>
    <col min="6" max="6" width="27.7109375" customWidth="1"/>
  </cols>
  <sheetData>
    <row r="1" spans="1:6" ht="15.75" customHeight="1">
      <c r="A1" s="92" t="s">
        <v>0</v>
      </c>
      <c r="B1" s="93"/>
      <c r="C1" s="98" t="s">
        <v>74</v>
      </c>
      <c r="D1" s="98"/>
      <c r="E1" s="98"/>
      <c r="F1" s="99"/>
    </row>
    <row r="2" spans="1:6" ht="15.75" customHeight="1">
      <c r="A2" s="94"/>
      <c r="B2" s="95"/>
      <c r="C2" s="92" t="s">
        <v>2</v>
      </c>
      <c r="D2" s="100"/>
      <c r="E2" s="100"/>
      <c r="F2" s="101"/>
    </row>
    <row r="3" spans="1:6" ht="15.75" customHeight="1">
      <c r="A3" s="96"/>
      <c r="B3" s="97"/>
      <c r="C3" s="144" t="s">
        <v>3</v>
      </c>
      <c r="D3" s="145"/>
      <c r="E3" s="34" t="s">
        <v>4</v>
      </c>
      <c r="F3" s="47" t="s">
        <v>5</v>
      </c>
    </row>
    <row r="4" spans="1:6">
      <c r="A4" s="32" t="s">
        <v>6</v>
      </c>
      <c r="C4" s="22"/>
      <c r="D4" s="23"/>
      <c r="E4" s="39" t="s">
        <v>7</v>
      </c>
      <c r="F4" s="35"/>
    </row>
    <row r="5" spans="1:6">
      <c r="A5" s="102" t="s">
        <v>8</v>
      </c>
      <c r="B5" s="103"/>
      <c r="C5" s="106" t="s">
        <v>9</v>
      </c>
      <c r="D5" s="107"/>
      <c r="E5" s="108" t="s">
        <v>10</v>
      </c>
      <c r="F5" s="21" t="s">
        <v>11</v>
      </c>
    </row>
    <row r="6" spans="1:6" ht="15.75" customHeight="1">
      <c r="A6" s="104"/>
      <c r="B6" s="105"/>
      <c r="C6" s="1" t="s">
        <v>12</v>
      </c>
      <c r="D6" s="20" t="s">
        <v>13</v>
      </c>
      <c r="E6" s="109"/>
      <c r="F6" s="21"/>
    </row>
    <row r="7" spans="1:6" ht="15" customHeight="1">
      <c r="A7" s="72" t="s">
        <v>14</v>
      </c>
      <c r="B7" s="7" t="s">
        <v>15</v>
      </c>
      <c r="C7" s="2">
        <v>1</v>
      </c>
      <c r="D7" s="2" t="s">
        <v>0</v>
      </c>
      <c r="E7" s="5" t="s">
        <v>0</v>
      </c>
      <c r="F7" s="3" t="s">
        <v>0</v>
      </c>
    </row>
    <row r="8" spans="1:6">
      <c r="A8" s="72"/>
      <c r="B8" s="4" t="s">
        <v>16</v>
      </c>
      <c r="C8" s="5"/>
      <c r="D8" s="5">
        <v>1</v>
      </c>
      <c r="E8" s="5" t="s">
        <v>0</v>
      </c>
      <c r="F8" s="6" t="s">
        <v>0</v>
      </c>
    </row>
    <row r="9" spans="1:6">
      <c r="A9" s="72"/>
      <c r="B9" s="7" t="s">
        <v>17</v>
      </c>
      <c r="C9" s="5">
        <v>1</v>
      </c>
      <c r="D9" s="5" t="s">
        <v>0</v>
      </c>
      <c r="E9" s="5" t="s">
        <v>0</v>
      </c>
      <c r="F9" s="6" t="s">
        <v>0</v>
      </c>
    </row>
    <row r="10" spans="1:6">
      <c r="A10" s="72"/>
      <c r="B10" s="7" t="s">
        <v>18</v>
      </c>
      <c r="C10" s="5" t="s">
        <v>0</v>
      </c>
      <c r="D10" s="5">
        <v>1</v>
      </c>
      <c r="E10" s="5" t="s">
        <v>0</v>
      </c>
      <c r="F10" s="6" t="s">
        <v>0</v>
      </c>
    </row>
    <row r="11" spans="1:6">
      <c r="A11" s="72"/>
      <c r="B11" s="7" t="s">
        <v>19</v>
      </c>
      <c r="C11" s="5">
        <v>1</v>
      </c>
      <c r="D11" s="5" t="s">
        <v>0</v>
      </c>
      <c r="E11" s="5" t="s">
        <v>0</v>
      </c>
      <c r="F11" s="6" t="s">
        <v>0</v>
      </c>
    </row>
    <row r="12" spans="1:6">
      <c r="A12" s="72"/>
      <c r="B12" s="7" t="s">
        <v>20</v>
      </c>
      <c r="C12" s="5">
        <v>1</v>
      </c>
      <c r="D12" s="5" t="s">
        <v>0</v>
      </c>
      <c r="E12" s="5" t="s">
        <v>0</v>
      </c>
      <c r="F12" s="6" t="s">
        <v>0</v>
      </c>
    </row>
    <row r="13" spans="1:6">
      <c r="A13" s="72"/>
      <c r="B13" s="7" t="s">
        <v>21</v>
      </c>
      <c r="C13" s="5">
        <v>1</v>
      </c>
      <c r="D13" s="5" t="s">
        <v>0</v>
      </c>
      <c r="E13" s="5" t="s">
        <v>0</v>
      </c>
      <c r="F13" s="6" t="s">
        <v>0</v>
      </c>
    </row>
    <row r="14" spans="1:6">
      <c r="A14" s="72"/>
      <c r="B14" s="7" t="s">
        <v>22</v>
      </c>
      <c r="C14" s="5">
        <v>1</v>
      </c>
      <c r="D14" s="5" t="s">
        <v>0</v>
      </c>
      <c r="E14" s="5" t="s">
        <v>0</v>
      </c>
      <c r="F14" s="6" t="s">
        <v>0</v>
      </c>
    </row>
    <row r="15" spans="1:6">
      <c r="A15" s="72"/>
      <c r="B15" s="7" t="s">
        <v>23</v>
      </c>
      <c r="C15" s="5">
        <v>1</v>
      </c>
      <c r="D15" s="5" t="s">
        <v>0</v>
      </c>
      <c r="E15" s="5" t="s">
        <v>0</v>
      </c>
      <c r="F15" s="6" t="s">
        <v>0</v>
      </c>
    </row>
    <row r="16" spans="1:6">
      <c r="A16" s="72"/>
      <c r="B16" s="7" t="s">
        <v>24</v>
      </c>
      <c r="C16" s="5">
        <v>1</v>
      </c>
      <c r="D16" s="5" t="s">
        <v>0</v>
      </c>
      <c r="E16" s="5" t="s">
        <v>0</v>
      </c>
      <c r="F16" s="6" t="s">
        <v>0</v>
      </c>
    </row>
    <row r="17" spans="1:6">
      <c r="A17" s="72"/>
      <c r="B17" s="7" t="s">
        <v>25</v>
      </c>
      <c r="C17" s="5">
        <v>1</v>
      </c>
      <c r="D17" s="5" t="s">
        <v>0</v>
      </c>
      <c r="E17" s="5" t="s">
        <v>0</v>
      </c>
      <c r="F17" s="6" t="s">
        <v>0</v>
      </c>
    </row>
    <row r="18" spans="1:6">
      <c r="A18" s="72"/>
      <c r="B18" s="7" t="s">
        <v>26</v>
      </c>
      <c r="C18" s="5">
        <v>1</v>
      </c>
      <c r="D18" s="5" t="s">
        <v>0</v>
      </c>
      <c r="E18" s="5" t="s">
        <v>0</v>
      </c>
      <c r="F18" s="6" t="s">
        <v>0</v>
      </c>
    </row>
    <row r="19" spans="1:6">
      <c r="A19" s="72"/>
      <c r="B19" s="7" t="s">
        <v>27</v>
      </c>
      <c r="C19" s="5">
        <v>1</v>
      </c>
      <c r="D19" s="5" t="s">
        <v>0</v>
      </c>
      <c r="E19" s="5" t="s">
        <v>0</v>
      </c>
      <c r="F19" s="6" t="s">
        <v>0</v>
      </c>
    </row>
    <row r="20" spans="1:6" ht="25.5" customHeight="1">
      <c r="A20" s="72"/>
      <c r="B20" s="7" t="s">
        <v>28</v>
      </c>
      <c r="C20" s="5">
        <v>1</v>
      </c>
      <c r="D20" s="5" t="s">
        <v>0</v>
      </c>
      <c r="E20" s="5" t="s">
        <v>0</v>
      </c>
      <c r="F20" s="6" t="s">
        <v>0</v>
      </c>
    </row>
    <row r="21" spans="1:6" ht="25.5" customHeight="1">
      <c r="A21" s="72"/>
      <c r="B21" s="8" t="s">
        <v>29</v>
      </c>
      <c r="C21" s="9">
        <v>1</v>
      </c>
      <c r="D21" s="9" t="s">
        <v>0</v>
      </c>
      <c r="E21" s="9" t="s">
        <v>0</v>
      </c>
      <c r="F21" s="10" t="s">
        <v>0</v>
      </c>
    </row>
    <row r="22" spans="1:6" ht="26.25" customHeight="1">
      <c r="A22" s="72"/>
      <c r="B22" s="11" t="s">
        <v>30</v>
      </c>
      <c r="C22" s="12">
        <v>1</v>
      </c>
      <c r="D22" s="12" t="s">
        <v>0</v>
      </c>
      <c r="E22" s="12" t="s">
        <v>0</v>
      </c>
      <c r="F22" s="13" t="s">
        <v>0</v>
      </c>
    </row>
    <row r="23" spans="1:6" ht="15" customHeight="1">
      <c r="A23" s="73" t="s">
        <v>31</v>
      </c>
      <c r="B23" s="36" t="s">
        <v>32</v>
      </c>
      <c r="C23" s="2">
        <v>1</v>
      </c>
      <c r="D23" s="2" t="s">
        <v>0</v>
      </c>
      <c r="E23" s="2" t="s">
        <v>0</v>
      </c>
      <c r="F23" s="3" t="s">
        <v>0</v>
      </c>
    </row>
    <row r="24" spans="1:6">
      <c r="A24" s="74"/>
      <c r="B24" s="37" t="s">
        <v>33</v>
      </c>
      <c r="C24" s="5" t="s">
        <v>0</v>
      </c>
      <c r="D24" s="5">
        <v>1</v>
      </c>
      <c r="E24" s="5" t="s">
        <v>0</v>
      </c>
      <c r="F24" s="6" t="s">
        <v>0</v>
      </c>
    </row>
    <row r="25" spans="1:6">
      <c r="A25" s="74"/>
      <c r="B25" s="37" t="s">
        <v>34</v>
      </c>
      <c r="C25" s="5">
        <v>1</v>
      </c>
      <c r="D25" s="5" t="s">
        <v>0</v>
      </c>
      <c r="E25" s="5"/>
      <c r="F25" s="6" t="s">
        <v>0</v>
      </c>
    </row>
    <row r="26" spans="1:6">
      <c r="A26" s="74"/>
      <c r="B26" s="37" t="s">
        <v>35</v>
      </c>
      <c r="C26" s="5">
        <v>1</v>
      </c>
      <c r="D26" s="5" t="s">
        <v>0</v>
      </c>
      <c r="E26" s="5" t="s">
        <v>0</v>
      </c>
      <c r="F26" s="6" t="s">
        <v>0</v>
      </c>
    </row>
    <row r="27" spans="1:6">
      <c r="A27" s="74"/>
      <c r="B27" s="37" t="s">
        <v>36</v>
      </c>
      <c r="C27" s="5">
        <v>1</v>
      </c>
      <c r="D27" s="5" t="s">
        <v>0</v>
      </c>
      <c r="E27" s="5" t="s">
        <v>0</v>
      </c>
      <c r="F27" s="6" t="s">
        <v>0</v>
      </c>
    </row>
    <row r="28" spans="1:6">
      <c r="A28" s="74"/>
      <c r="B28" s="37" t="s">
        <v>37</v>
      </c>
      <c r="C28" s="5">
        <v>1</v>
      </c>
      <c r="D28" s="5" t="s">
        <v>0</v>
      </c>
      <c r="E28" s="5" t="s">
        <v>0</v>
      </c>
      <c r="F28" s="6" t="s">
        <v>0</v>
      </c>
    </row>
    <row r="29" spans="1:6" ht="24">
      <c r="A29" s="74"/>
      <c r="B29" s="37" t="s">
        <v>38</v>
      </c>
      <c r="C29" s="5" t="s">
        <v>0</v>
      </c>
      <c r="D29" s="5">
        <v>1</v>
      </c>
      <c r="E29" s="5" t="s">
        <v>0</v>
      </c>
      <c r="F29" s="6" t="s">
        <v>0</v>
      </c>
    </row>
    <row r="30" spans="1:6" ht="25.5" customHeight="1">
      <c r="A30" s="74"/>
      <c r="B30" s="37" t="s">
        <v>39</v>
      </c>
      <c r="C30" s="5">
        <v>1</v>
      </c>
      <c r="D30" s="5"/>
      <c r="E30" s="5" t="s">
        <v>0</v>
      </c>
      <c r="F30" s="6" t="s">
        <v>0</v>
      </c>
    </row>
    <row r="31" spans="1:6" ht="24">
      <c r="A31" s="74"/>
      <c r="B31" s="37" t="s">
        <v>40</v>
      </c>
      <c r="C31" s="5" t="s">
        <v>0</v>
      </c>
      <c r="D31" s="5">
        <v>1</v>
      </c>
      <c r="E31" s="5" t="s">
        <v>0</v>
      </c>
      <c r="F31" s="6" t="s">
        <v>0</v>
      </c>
    </row>
    <row r="32" spans="1:6" ht="25.5" customHeight="1">
      <c r="A32" s="74"/>
      <c r="B32" s="37" t="s">
        <v>41</v>
      </c>
      <c r="C32" s="5">
        <v>1</v>
      </c>
      <c r="D32" s="5" t="s">
        <v>0</v>
      </c>
      <c r="E32" s="5" t="s">
        <v>0</v>
      </c>
      <c r="F32" s="6" t="s">
        <v>0</v>
      </c>
    </row>
    <row r="33" spans="1:6">
      <c r="A33" s="75"/>
      <c r="B33" s="38" t="s">
        <v>42</v>
      </c>
      <c r="C33" s="9" t="s">
        <v>0</v>
      </c>
      <c r="D33" s="9">
        <v>1</v>
      </c>
      <c r="E33" s="9" t="s">
        <v>0</v>
      </c>
      <c r="F33" s="10" t="s">
        <v>0</v>
      </c>
    </row>
    <row r="34" spans="1:6">
      <c r="A34" s="76" t="s">
        <v>43</v>
      </c>
      <c r="B34" s="77"/>
      <c r="C34" s="77"/>
      <c r="D34" s="77"/>
      <c r="E34" s="77"/>
      <c r="F34" s="78"/>
    </row>
    <row r="35" spans="1:6" ht="15.75" customHeight="1">
      <c r="A35" s="76"/>
      <c r="B35" s="79"/>
      <c r="C35" s="79"/>
      <c r="D35" s="79"/>
      <c r="E35" s="79"/>
      <c r="F35" s="80"/>
    </row>
    <row r="36" spans="1:6" ht="14.45" customHeight="1">
      <c r="A36" s="76"/>
      <c r="B36" s="79"/>
      <c r="C36" s="79"/>
      <c r="D36" s="79"/>
      <c r="E36" s="79"/>
      <c r="F36" s="80"/>
    </row>
    <row r="37" spans="1:6">
      <c r="A37" s="76"/>
      <c r="B37" s="79"/>
      <c r="C37" s="79"/>
      <c r="D37" s="79"/>
      <c r="E37" s="79"/>
      <c r="F37" s="80"/>
    </row>
    <row r="38" spans="1:6">
      <c r="A38" s="76"/>
      <c r="B38" s="79"/>
      <c r="C38" s="79"/>
      <c r="D38" s="79"/>
      <c r="E38" s="79"/>
      <c r="F38" s="80"/>
    </row>
    <row r="39" spans="1:6">
      <c r="A39" s="81"/>
      <c r="B39" s="82"/>
      <c r="C39" s="82"/>
      <c r="D39" s="82"/>
      <c r="E39" s="82"/>
      <c r="F39" s="83"/>
    </row>
    <row r="40" spans="1:6">
      <c r="A40" s="84" t="s">
        <v>44</v>
      </c>
      <c r="B40" s="85"/>
      <c r="C40" s="86"/>
      <c r="D40" s="86"/>
      <c r="E40" s="85"/>
      <c r="F40" s="87"/>
    </row>
    <row r="41" spans="1:6" ht="15.75" customHeight="1">
      <c r="A41" s="88" t="s">
        <v>45</v>
      </c>
      <c r="B41" s="89"/>
      <c r="C41" s="90">
        <v>27</v>
      </c>
      <c r="D41" s="91"/>
      <c r="E41" s="14">
        <v>1</v>
      </c>
      <c r="F41" s="15" t="s">
        <v>46</v>
      </c>
    </row>
    <row r="42" spans="1:6" ht="15.75" customHeight="1">
      <c r="A42" s="48" t="s">
        <v>47</v>
      </c>
      <c r="B42" s="49"/>
      <c r="C42" s="52">
        <f>COUNTIF(C5:C31,1)</f>
        <v>20</v>
      </c>
      <c r="D42" s="53"/>
      <c r="E42" s="70">
        <f>C42/$C$41</f>
        <v>0.7407407407407407</v>
      </c>
      <c r="F42" s="16" t="s">
        <v>48</v>
      </c>
    </row>
    <row r="43" spans="1:6" ht="15.75" customHeight="1">
      <c r="A43" s="66"/>
      <c r="B43" s="67"/>
      <c r="C43" s="68"/>
      <c r="D43" s="69"/>
      <c r="E43" s="71"/>
      <c r="F43" s="17" t="s">
        <v>49</v>
      </c>
    </row>
    <row r="44" spans="1:6" ht="15.75" customHeight="1">
      <c r="A44" s="48" t="s">
        <v>50</v>
      </c>
      <c r="B44" s="49"/>
      <c r="C44" s="52">
        <f>COUNTIF(C7:C33,1)</f>
        <v>21</v>
      </c>
      <c r="D44" s="53"/>
      <c r="E44" s="70">
        <f>C44/$C$41</f>
        <v>0.77777777777777779</v>
      </c>
      <c r="F44" s="18" t="s">
        <v>0</v>
      </c>
    </row>
    <row r="45" spans="1:6" ht="15.75" customHeight="1">
      <c r="A45" s="66"/>
      <c r="B45" s="67"/>
      <c r="C45" s="68"/>
      <c r="D45" s="69"/>
      <c r="E45" s="71"/>
      <c r="F45" s="18" t="s">
        <v>0</v>
      </c>
    </row>
    <row r="46" spans="1:6" ht="15.75" customHeight="1">
      <c r="A46" s="48" t="s">
        <v>51</v>
      </c>
      <c r="B46" s="49"/>
      <c r="C46" s="52">
        <f>COUNTIF(E7:E33,1)</f>
        <v>0</v>
      </c>
      <c r="D46" s="53"/>
      <c r="E46" s="56" t="s">
        <v>0</v>
      </c>
      <c r="F46" s="18" t="s">
        <v>0</v>
      </c>
    </row>
    <row r="47" spans="1:6" ht="15.75" customHeight="1">
      <c r="A47" s="50"/>
      <c r="B47" s="51"/>
      <c r="C47" s="54"/>
      <c r="D47" s="55"/>
      <c r="E47" s="57"/>
      <c r="F47" s="19" t="s">
        <v>0</v>
      </c>
    </row>
    <row r="48" spans="1:6" ht="15.75" customHeight="1">
      <c r="A48" s="24" t="s">
        <v>52</v>
      </c>
      <c r="B48" s="25"/>
      <c r="C48" s="25"/>
      <c r="D48" s="26"/>
      <c r="E48" s="20" t="s">
        <v>53</v>
      </c>
      <c r="F48" s="21" t="s">
        <v>0</v>
      </c>
    </row>
    <row r="49" spans="1:6" ht="15.75" customHeight="1">
      <c r="A49" s="27" t="s">
        <v>54</v>
      </c>
      <c r="B49" s="28"/>
      <c r="C49" s="28"/>
      <c r="D49" s="29"/>
      <c r="E49" s="30" t="s">
        <v>55</v>
      </c>
      <c r="F49" s="31"/>
    </row>
    <row r="50" spans="1:6">
      <c r="A50" s="58" t="s">
        <v>54</v>
      </c>
      <c r="B50" s="59"/>
      <c r="C50" s="59"/>
      <c r="D50" s="60"/>
      <c r="E50" s="61" t="s">
        <v>55</v>
      </c>
      <c r="F50" s="62"/>
    </row>
    <row r="51" spans="1:6" ht="33" customHeight="1">
      <c r="A51" s="63" t="s">
        <v>56</v>
      </c>
      <c r="B51" s="64"/>
      <c r="C51" s="64"/>
      <c r="D51" s="64"/>
      <c r="E51" s="64"/>
      <c r="F51" s="65"/>
    </row>
  </sheetData>
  <mergeCells count="25">
    <mergeCell ref="A51:F51"/>
    <mergeCell ref="A42:B43"/>
    <mergeCell ref="C42:D43"/>
    <mergeCell ref="E42:E43"/>
    <mergeCell ref="A44:B45"/>
    <mergeCell ref="C44:D45"/>
    <mergeCell ref="E44:E45"/>
    <mergeCell ref="A46:B47"/>
    <mergeCell ref="C46:D47"/>
    <mergeCell ref="E46:E47"/>
    <mergeCell ref="A50:D50"/>
    <mergeCell ref="E50:F50"/>
    <mergeCell ref="A7:A22"/>
    <mergeCell ref="A23:A33"/>
    <mergeCell ref="A34:F39"/>
    <mergeCell ref="A40:F40"/>
    <mergeCell ref="A41:B41"/>
    <mergeCell ref="C41:D41"/>
    <mergeCell ref="A1:B3"/>
    <mergeCell ref="C1:F1"/>
    <mergeCell ref="C2:F2"/>
    <mergeCell ref="C3:D3"/>
    <mergeCell ref="A5:B6"/>
    <mergeCell ref="C5:D5"/>
    <mergeCell ref="E5:E6"/>
  </mergeCells>
  <pageMargins left="0" right="0" top="0" bottom="0" header="0" footer="0"/>
  <pageSetup paperSize="281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4446-DAB4-417B-92A7-30A0CED472A0}">
  <sheetPr>
    <pageSetUpPr fitToPage="1"/>
  </sheetPr>
  <dimension ref="A1:F51"/>
  <sheetViews>
    <sheetView topLeftCell="A23" workbookViewId="0">
      <selection activeCell="C44" sqref="C44:D45"/>
    </sheetView>
  </sheetViews>
  <sheetFormatPr defaultColWidth="11.42578125" defaultRowHeight="15"/>
  <cols>
    <col min="2" max="2" width="21.28515625" customWidth="1"/>
    <col min="3" max="3" width="10.140625" customWidth="1"/>
    <col min="4" max="4" width="15.28515625" customWidth="1"/>
    <col min="5" max="5" width="24" customWidth="1"/>
    <col min="6" max="6" width="27.7109375" customWidth="1"/>
  </cols>
  <sheetData>
    <row r="1" spans="1:6" ht="15.75" customHeight="1">
      <c r="A1" s="92" t="s">
        <v>0</v>
      </c>
      <c r="B1" s="93"/>
      <c r="C1" s="98" t="s">
        <v>74</v>
      </c>
      <c r="D1" s="98"/>
      <c r="E1" s="98"/>
      <c r="F1" s="99"/>
    </row>
    <row r="2" spans="1:6" ht="15.75" customHeight="1">
      <c r="A2" s="94"/>
      <c r="B2" s="95"/>
      <c r="C2" s="92" t="s">
        <v>2</v>
      </c>
      <c r="D2" s="100"/>
      <c r="E2" s="100"/>
      <c r="F2" s="101"/>
    </row>
    <row r="3" spans="1:6" ht="15.75" customHeight="1">
      <c r="A3" s="96"/>
      <c r="B3" s="97"/>
      <c r="C3" s="144" t="s">
        <v>3</v>
      </c>
      <c r="D3" s="145"/>
      <c r="E3" s="34" t="s">
        <v>4</v>
      </c>
      <c r="F3" s="47" t="s">
        <v>5</v>
      </c>
    </row>
    <row r="4" spans="1:6">
      <c r="A4" s="32" t="s">
        <v>6</v>
      </c>
      <c r="C4" s="22"/>
      <c r="D4" s="23"/>
      <c r="E4" s="39" t="s">
        <v>7</v>
      </c>
      <c r="F4" s="35"/>
    </row>
    <row r="5" spans="1:6">
      <c r="A5" s="102" t="s">
        <v>8</v>
      </c>
      <c r="B5" s="103"/>
      <c r="C5" s="106" t="s">
        <v>9</v>
      </c>
      <c r="D5" s="107"/>
      <c r="E5" s="108" t="s">
        <v>10</v>
      </c>
      <c r="F5" s="21" t="s">
        <v>11</v>
      </c>
    </row>
    <row r="6" spans="1:6" ht="15.75" customHeight="1">
      <c r="A6" s="104"/>
      <c r="B6" s="105"/>
      <c r="C6" s="1" t="s">
        <v>12</v>
      </c>
      <c r="D6" s="20" t="s">
        <v>13</v>
      </c>
      <c r="E6" s="109"/>
      <c r="F6" s="21"/>
    </row>
    <row r="7" spans="1:6" ht="15" customHeight="1">
      <c r="A7" s="72" t="s">
        <v>14</v>
      </c>
      <c r="B7" s="7" t="s">
        <v>15</v>
      </c>
      <c r="C7" s="2">
        <v>1</v>
      </c>
      <c r="D7" s="2" t="s">
        <v>0</v>
      </c>
      <c r="E7" s="5" t="s">
        <v>0</v>
      </c>
      <c r="F7" s="3" t="s">
        <v>0</v>
      </c>
    </row>
    <row r="8" spans="1:6">
      <c r="A8" s="72"/>
      <c r="B8" s="4" t="s">
        <v>16</v>
      </c>
      <c r="C8" s="5" t="s">
        <v>0</v>
      </c>
      <c r="D8" s="5">
        <v>1</v>
      </c>
      <c r="E8" s="5" t="s">
        <v>0</v>
      </c>
      <c r="F8" s="6" t="s">
        <v>0</v>
      </c>
    </row>
    <row r="9" spans="1:6">
      <c r="A9" s="72"/>
      <c r="B9" s="7" t="s">
        <v>17</v>
      </c>
      <c r="C9" s="5">
        <v>1</v>
      </c>
      <c r="D9" s="5" t="s">
        <v>0</v>
      </c>
      <c r="E9" s="5" t="s">
        <v>0</v>
      </c>
      <c r="F9" s="6" t="s">
        <v>0</v>
      </c>
    </row>
    <row r="10" spans="1:6">
      <c r="A10" s="72"/>
      <c r="B10" s="7" t="s">
        <v>18</v>
      </c>
      <c r="C10" s="5" t="s">
        <v>0</v>
      </c>
      <c r="D10" s="5">
        <v>1</v>
      </c>
      <c r="E10" s="5" t="s">
        <v>0</v>
      </c>
      <c r="F10" s="6" t="s">
        <v>0</v>
      </c>
    </row>
    <row r="11" spans="1:6">
      <c r="A11" s="72"/>
      <c r="B11" s="7" t="s">
        <v>19</v>
      </c>
      <c r="C11" s="5">
        <v>1</v>
      </c>
      <c r="D11" s="5" t="s">
        <v>0</v>
      </c>
      <c r="E11" s="5" t="s">
        <v>0</v>
      </c>
      <c r="F11" s="6" t="s">
        <v>0</v>
      </c>
    </row>
    <row r="12" spans="1:6">
      <c r="A12" s="72"/>
      <c r="B12" s="7" t="s">
        <v>20</v>
      </c>
      <c r="C12" s="5">
        <v>1</v>
      </c>
      <c r="D12" s="5" t="s">
        <v>0</v>
      </c>
      <c r="E12" s="5" t="s">
        <v>0</v>
      </c>
      <c r="F12" s="6" t="s">
        <v>0</v>
      </c>
    </row>
    <row r="13" spans="1:6">
      <c r="A13" s="72"/>
      <c r="B13" s="7" t="s">
        <v>21</v>
      </c>
      <c r="C13" s="5">
        <v>1</v>
      </c>
      <c r="D13" s="5" t="s">
        <v>0</v>
      </c>
      <c r="E13" s="5" t="s">
        <v>0</v>
      </c>
      <c r="F13" s="6" t="s">
        <v>0</v>
      </c>
    </row>
    <row r="14" spans="1:6">
      <c r="A14" s="72"/>
      <c r="B14" s="7" t="s">
        <v>22</v>
      </c>
      <c r="C14" s="5">
        <v>1</v>
      </c>
      <c r="D14" s="5" t="s">
        <v>0</v>
      </c>
      <c r="E14" s="5" t="s">
        <v>0</v>
      </c>
      <c r="F14" s="6" t="s">
        <v>0</v>
      </c>
    </row>
    <row r="15" spans="1:6">
      <c r="A15" s="72"/>
      <c r="B15" s="7" t="s">
        <v>23</v>
      </c>
      <c r="C15" s="5">
        <v>1</v>
      </c>
      <c r="D15" s="5" t="s">
        <v>0</v>
      </c>
      <c r="E15" s="5" t="s">
        <v>0</v>
      </c>
      <c r="F15" s="6" t="s">
        <v>0</v>
      </c>
    </row>
    <row r="16" spans="1:6">
      <c r="A16" s="72"/>
      <c r="B16" s="7" t="s">
        <v>24</v>
      </c>
      <c r="C16" s="5">
        <v>1</v>
      </c>
      <c r="D16" s="5" t="s">
        <v>0</v>
      </c>
      <c r="E16" s="5" t="s">
        <v>0</v>
      </c>
      <c r="F16" s="6" t="s">
        <v>0</v>
      </c>
    </row>
    <row r="17" spans="1:6">
      <c r="A17" s="72"/>
      <c r="B17" s="7" t="s">
        <v>25</v>
      </c>
      <c r="C17" s="5">
        <v>1</v>
      </c>
      <c r="D17" s="5" t="s">
        <v>0</v>
      </c>
      <c r="E17" s="5" t="s">
        <v>0</v>
      </c>
      <c r="F17" s="6" t="s">
        <v>0</v>
      </c>
    </row>
    <row r="18" spans="1:6">
      <c r="A18" s="72"/>
      <c r="B18" s="7" t="s">
        <v>26</v>
      </c>
      <c r="C18" s="5">
        <v>1</v>
      </c>
      <c r="D18" s="5" t="s">
        <v>0</v>
      </c>
      <c r="E18" s="5" t="s">
        <v>0</v>
      </c>
      <c r="F18" s="6" t="s">
        <v>0</v>
      </c>
    </row>
    <row r="19" spans="1:6">
      <c r="A19" s="72"/>
      <c r="B19" s="7" t="s">
        <v>27</v>
      </c>
      <c r="C19" s="5">
        <v>1</v>
      </c>
      <c r="D19" s="5" t="s">
        <v>0</v>
      </c>
      <c r="E19" s="5" t="s">
        <v>0</v>
      </c>
      <c r="F19" s="6" t="s">
        <v>0</v>
      </c>
    </row>
    <row r="20" spans="1:6" ht="25.5" customHeight="1">
      <c r="A20" s="72"/>
      <c r="B20" s="7" t="s">
        <v>28</v>
      </c>
      <c r="C20" s="5">
        <v>1</v>
      </c>
      <c r="D20" s="5" t="s">
        <v>0</v>
      </c>
      <c r="E20" s="5" t="s">
        <v>0</v>
      </c>
      <c r="F20" s="6" t="s">
        <v>0</v>
      </c>
    </row>
    <row r="21" spans="1:6" ht="25.5" customHeight="1">
      <c r="A21" s="72"/>
      <c r="B21" s="8" t="s">
        <v>29</v>
      </c>
      <c r="C21" s="9">
        <v>1</v>
      </c>
      <c r="D21" s="9" t="s">
        <v>0</v>
      </c>
      <c r="E21" s="9" t="s">
        <v>0</v>
      </c>
      <c r="F21" s="10" t="s">
        <v>0</v>
      </c>
    </row>
    <row r="22" spans="1:6" ht="26.25" customHeight="1">
      <c r="A22" s="72"/>
      <c r="B22" s="11" t="s">
        <v>30</v>
      </c>
      <c r="C22" s="12">
        <v>1</v>
      </c>
      <c r="D22" s="12" t="s">
        <v>0</v>
      </c>
      <c r="E22" s="12" t="s">
        <v>0</v>
      </c>
      <c r="F22" s="13" t="s">
        <v>0</v>
      </c>
    </row>
    <row r="23" spans="1:6" ht="15" customHeight="1">
      <c r="A23" s="73" t="s">
        <v>31</v>
      </c>
      <c r="B23" s="36" t="s">
        <v>32</v>
      </c>
      <c r="C23" s="2">
        <v>1</v>
      </c>
      <c r="D23" s="2" t="s">
        <v>0</v>
      </c>
      <c r="E23" s="2" t="s">
        <v>0</v>
      </c>
      <c r="F23" s="3" t="s">
        <v>0</v>
      </c>
    </row>
    <row r="24" spans="1:6">
      <c r="A24" s="74"/>
      <c r="B24" s="37" t="s">
        <v>33</v>
      </c>
      <c r="C24" s="5">
        <v>1</v>
      </c>
      <c r="D24" s="5" t="s">
        <v>0</v>
      </c>
      <c r="E24" s="5" t="s">
        <v>0</v>
      </c>
      <c r="F24" s="6" t="s">
        <v>0</v>
      </c>
    </row>
    <row r="25" spans="1:6">
      <c r="A25" s="74"/>
      <c r="B25" s="37" t="s">
        <v>34</v>
      </c>
      <c r="C25" s="5" t="s">
        <v>0</v>
      </c>
      <c r="D25" s="5">
        <v>1</v>
      </c>
      <c r="E25" s="5" t="s">
        <v>0</v>
      </c>
      <c r="F25" s="6" t="s">
        <v>0</v>
      </c>
    </row>
    <row r="26" spans="1:6">
      <c r="A26" s="74"/>
      <c r="B26" s="37" t="s">
        <v>35</v>
      </c>
      <c r="C26" s="5">
        <v>1</v>
      </c>
      <c r="D26" s="5" t="s">
        <v>0</v>
      </c>
      <c r="E26" s="5" t="s">
        <v>0</v>
      </c>
      <c r="F26" s="6" t="s">
        <v>0</v>
      </c>
    </row>
    <row r="27" spans="1:6">
      <c r="A27" s="74"/>
      <c r="B27" s="37" t="s">
        <v>36</v>
      </c>
      <c r="C27" s="5">
        <v>1</v>
      </c>
      <c r="D27" s="5" t="s">
        <v>0</v>
      </c>
      <c r="E27" s="5" t="s">
        <v>0</v>
      </c>
      <c r="F27" s="6" t="s">
        <v>0</v>
      </c>
    </row>
    <row r="28" spans="1:6">
      <c r="A28" s="74"/>
      <c r="B28" s="37" t="s">
        <v>37</v>
      </c>
      <c r="C28" s="5">
        <v>1</v>
      </c>
      <c r="D28" s="5" t="s">
        <v>0</v>
      </c>
      <c r="E28" s="5" t="s">
        <v>0</v>
      </c>
      <c r="F28" s="6" t="s">
        <v>0</v>
      </c>
    </row>
    <row r="29" spans="1:6" ht="24">
      <c r="A29" s="74"/>
      <c r="B29" s="37" t="s">
        <v>38</v>
      </c>
      <c r="C29" s="5" t="s">
        <v>0</v>
      </c>
      <c r="D29" s="5">
        <v>1</v>
      </c>
      <c r="E29" s="5" t="s">
        <v>0</v>
      </c>
      <c r="F29" s="6" t="s">
        <v>0</v>
      </c>
    </row>
    <row r="30" spans="1:6" ht="25.5" customHeight="1">
      <c r="A30" s="74"/>
      <c r="B30" s="37" t="s">
        <v>39</v>
      </c>
      <c r="C30" s="5">
        <v>1</v>
      </c>
      <c r="D30" s="5" t="s">
        <v>0</v>
      </c>
      <c r="E30" s="5" t="s">
        <v>0</v>
      </c>
      <c r="F30" s="6" t="s">
        <v>0</v>
      </c>
    </row>
    <row r="31" spans="1:6" ht="24">
      <c r="A31" s="74"/>
      <c r="B31" s="37" t="s">
        <v>40</v>
      </c>
      <c r="C31" s="5" t="s">
        <v>0</v>
      </c>
      <c r="D31" s="5">
        <v>1</v>
      </c>
      <c r="E31" s="5" t="s">
        <v>0</v>
      </c>
      <c r="F31" s="6" t="s">
        <v>0</v>
      </c>
    </row>
    <row r="32" spans="1:6" ht="25.5" customHeight="1">
      <c r="A32" s="74"/>
      <c r="B32" s="37" t="s">
        <v>41</v>
      </c>
      <c r="C32" s="5">
        <v>1</v>
      </c>
      <c r="D32" s="5" t="s">
        <v>0</v>
      </c>
      <c r="E32" s="5" t="s">
        <v>0</v>
      </c>
      <c r="F32" s="6" t="s">
        <v>0</v>
      </c>
    </row>
    <row r="33" spans="1:6">
      <c r="A33" s="75"/>
      <c r="B33" s="38" t="s">
        <v>42</v>
      </c>
      <c r="C33" s="9" t="s">
        <v>0</v>
      </c>
      <c r="D33" s="9">
        <v>1</v>
      </c>
      <c r="E33" s="9" t="s">
        <v>0</v>
      </c>
      <c r="F33" s="10" t="s">
        <v>0</v>
      </c>
    </row>
    <row r="34" spans="1:6">
      <c r="A34" s="76" t="s">
        <v>75</v>
      </c>
      <c r="B34" s="77"/>
      <c r="C34" s="77"/>
      <c r="D34" s="77"/>
      <c r="E34" s="77"/>
      <c r="F34" s="78"/>
    </row>
    <row r="35" spans="1:6" ht="15.75" customHeight="1">
      <c r="A35" s="76"/>
      <c r="B35" s="79"/>
      <c r="C35" s="79"/>
      <c r="D35" s="79"/>
      <c r="E35" s="79"/>
      <c r="F35" s="80"/>
    </row>
    <row r="36" spans="1:6" ht="14.45" customHeight="1">
      <c r="A36" s="76"/>
      <c r="B36" s="79"/>
      <c r="C36" s="79"/>
      <c r="D36" s="79"/>
      <c r="E36" s="79"/>
      <c r="F36" s="80"/>
    </row>
    <row r="37" spans="1:6">
      <c r="A37" s="76"/>
      <c r="B37" s="79"/>
      <c r="C37" s="79"/>
      <c r="D37" s="79"/>
      <c r="E37" s="79"/>
      <c r="F37" s="80"/>
    </row>
    <row r="38" spans="1:6">
      <c r="A38" s="76"/>
      <c r="B38" s="79"/>
      <c r="C38" s="79"/>
      <c r="D38" s="79"/>
      <c r="E38" s="79"/>
      <c r="F38" s="80"/>
    </row>
    <row r="39" spans="1:6">
      <c r="A39" s="81"/>
      <c r="B39" s="82"/>
      <c r="C39" s="82"/>
      <c r="D39" s="82"/>
      <c r="E39" s="82"/>
      <c r="F39" s="83"/>
    </row>
    <row r="40" spans="1:6">
      <c r="A40" s="84" t="s">
        <v>44</v>
      </c>
      <c r="B40" s="85"/>
      <c r="C40" s="86"/>
      <c r="D40" s="86"/>
      <c r="E40" s="85"/>
      <c r="F40" s="87"/>
    </row>
    <row r="41" spans="1:6" ht="15.75" customHeight="1">
      <c r="A41" s="88" t="s">
        <v>45</v>
      </c>
      <c r="B41" s="89"/>
      <c r="C41" s="90">
        <f>SUM(C7:D33)</f>
        <v>27</v>
      </c>
      <c r="D41" s="91"/>
      <c r="E41" s="14">
        <v>1</v>
      </c>
      <c r="F41" s="15" t="s">
        <v>46</v>
      </c>
    </row>
    <row r="42" spans="1:6" ht="15.75" customHeight="1">
      <c r="A42" s="48" t="s">
        <v>47</v>
      </c>
      <c r="B42" s="49"/>
      <c r="C42" s="52">
        <f>COUNTIF(C7:C33,1)</f>
        <v>21</v>
      </c>
      <c r="D42" s="53"/>
      <c r="E42" s="70">
        <f>C42/$C$41</f>
        <v>0.77777777777777779</v>
      </c>
      <c r="F42" s="16" t="s">
        <v>48</v>
      </c>
    </row>
    <row r="43" spans="1:6" ht="15.75" customHeight="1">
      <c r="A43" s="66"/>
      <c r="B43" s="67"/>
      <c r="C43" s="68"/>
      <c r="D43" s="69"/>
      <c r="E43" s="71"/>
      <c r="F43" s="17" t="s">
        <v>49</v>
      </c>
    </row>
    <row r="44" spans="1:6" ht="15.75" customHeight="1">
      <c r="A44" s="48" t="s">
        <v>50</v>
      </c>
      <c r="B44" s="49"/>
      <c r="C44" s="52">
        <f>COUNTIF(D7:D33,1)</f>
        <v>6</v>
      </c>
      <c r="D44" s="53"/>
      <c r="E44" s="70">
        <f>C44/$C$41</f>
        <v>0.22222222222222221</v>
      </c>
      <c r="F44" s="18" t="s">
        <v>0</v>
      </c>
    </row>
    <row r="45" spans="1:6" ht="15.75" customHeight="1">
      <c r="A45" s="66"/>
      <c r="B45" s="67"/>
      <c r="C45" s="68"/>
      <c r="D45" s="69"/>
      <c r="E45" s="71"/>
      <c r="F45" s="18" t="s">
        <v>0</v>
      </c>
    </row>
    <row r="46" spans="1:6" ht="15.75" customHeight="1">
      <c r="A46" s="48" t="s">
        <v>51</v>
      </c>
      <c r="B46" s="49"/>
      <c r="C46" s="52">
        <f>COUNTIF(E7:E33,1)</f>
        <v>0</v>
      </c>
      <c r="D46" s="53"/>
      <c r="E46" s="56" t="s">
        <v>0</v>
      </c>
      <c r="F46" s="18" t="s">
        <v>0</v>
      </c>
    </row>
    <row r="47" spans="1:6" ht="15.75" customHeight="1">
      <c r="A47" s="50"/>
      <c r="B47" s="51"/>
      <c r="C47" s="54"/>
      <c r="D47" s="55"/>
      <c r="E47" s="57"/>
      <c r="F47" s="19" t="s">
        <v>0</v>
      </c>
    </row>
    <row r="48" spans="1:6" ht="15.75" customHeight="1">
      <c r="A48" s="24" t="s">
        <v>52</v>
      </c>
      <c r="B48" s="25"/>
      <c r="C48" s="25"/>
      <c r="D48" s="26"/>
      <c r="E48" s="20" t="s">
        <v>53</v>
      </c>
      <c r="F48" s="21" t="s">
        <v>0</v>
      </c>
    </row>
    <row r="49" spans="1:6" ht="15.75" customHeight="1">
      <c r="A49" s="27" t="s">
        <v>54</v>
      </c>
      <c r="B49" s="28"/>
      <c r="C49" s="28"/>
      <c r="D49" s="29"/>
      <c r="E49" s="30" t="s">
        <v>55</v>
      </c>
      <c r="F49" s="31"/>
    </row>
    <row r="50" spans="1:6">
      <c r="A50" s="58" t="s">
        <v>54</v>
      </c>
      <c r="B50" s="59"/>
      <c r="C50" s="59"/>
      <c r="D50" s="60"/>
      <c r="E50" s="61" t="s">
        <v>55</v>
      </c>
      <c r="F50" s="62"/>
    </row>
    <row r="51" spans="1:6" ht="33" customHeight="1">
      <c r="A51" s="63" t="s">
        <v>56</v>
      </c>
      <c r="B51" s="64"/>
      <c r="C51" s="64"/>
      <c r="D51" s="64"/>
      <c r="E51" s="64"/>
      <c r="F51" s="65"/>
    </row>
  </sheetData>
  <mergeCells count="25">
    <mergeCell ref="A51:F51"/>
    <mergeCell ref="A42:B43"/>
    <mergeCell ref="C42:D43"/>
    <mergeCell ref="E42:E43"/>
    <mergeCell ref="A44:B45"/>
    <mergeCell ref="C44:D45"/>
    <mergeCell ref="E44:E45"/>
    <mergeCell ref="A46:B47"/>
    <mergeCell ref="C46:D47"/>
    <mergeCell ref="E46:E47"/>
    <mergeCell ref="A50:D50"/>
    <mergeCell ref="E50:F50"/>
    <mergeCell ref="A7:A22"/>
    <mergeCell ref="A23:A33"/>
    <mergeCell ref="A34:F39"/>
    <mergeCell ref="A40:F40"/>
    <mergeCell ref="A41:B41"/>
    <mergeCell ref="C41:D41"/>
    <mergeCell ref="A1:B3"/>
    <mergeCell ref="C1:F1"/>
    <mergeCell ref="C2:F2"/>
    <mergeCell ref="C3:D3"/>
    <mergeCell ref="A5:B6"/>
    <mergeCell ref="C5:D5"/>
    <mergeCell ref="E5:E6"/>
  </mergeCells>
  <printOptions horizontalCentered="1" verticalCentered="1"/>
  <pageMargins left="0" right="0" top="0" bottom="0" header="0" footer="0"/>
  <pageSetup paperSize="281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68AE-2FDA-4D1D-A9FB-DAA26555FBD7}">
  <sheetPr>
    <pageSetUpPr fitToPage="1"/>
  </sheetPr>
  <dimension ref="A1:F51"/>
  <sheetViews>
    <sheetView topLeftCell="A36" workbookViewId="0">
      <selection activeCell="F18" sqref="F18"/>
    </sheetView>
  </sheetViews>
  <sheetFormatPr defaultColWidth="11.42578125" defaultRowHeight="15"/>
  <cols>
    <col min="2" max="2" width="21.28515625" customWidth="1"/>
    <col min="3" max="3" width="10.140625" customWidth="1"/>
    <col min="4" max="4" width="10.28515625" customWidth="1"/>
    <col min="5" max="5" width="15.85546875" customWidth="1"/>
    <col min="6" max="6" width="27.7109375" customWidth="1"/>
  </cols>
  <sheetData>
    <row r="1" spans="1:6" ht="15.75" customHeight="1">
      <c r="A1" s="92" t="s">
        <v>0</v>
      </c>
      <c r="B1" s="93"/>
      <c r="C1" s="98" t="s">
        <v>1</v>
      </c>
      <c r="D1" s="98"/>
      <c r="E1" s="98"/>
      <c r="F1" s="99"/>
    </row>
    <row r="2" spans="1:6" ht="15.75" customHeight="1">
      <c r="A2" s="94"/>
      <c r="B2" s="95"/>
      <c r="C2" s="92" t="s">
        <v>2</v>
      </c>
      <c r="D2" s="100"/>
      <c r="E2" s="100"/>
      <c r="F2" s="101"/>
    </row>
    <row r="3" spans="1:6" ht="15.75" customHeight="1">
      <c r="A3" s="96"/>
      <c r="B3" s="97"/>
      <c r="C3" s="144" t="s">
        <v>3</v>
      </c>
      <c r="D3" s="145"/>
      <c r="E3" s="34" t="s">
        <v>4</v>
      </c>
      <c r="F3" s="47" t="s">
        <v>5</v>
      </c>
    </row>
    <row r="4" spans="1:6">
      <c r="A4" s="32" t="s">
        <v>6</v>
      </c>
      <c r="C4" s="22"/>
      <c r="D4" s="23"/>
      <c r="E4" s="39" t="s">
        <v>7</v>
      </c>
      <c r="F4" s="35"/>
    </row>
    <row r="5" spans="1:6">
      <c r="A5" s="102" t="s">
        <v>8</v>
      </c>
      <c r="B5" s="103"/>
      <c r="C5" s="106" t="s">
        <v>9</v>
      </c>
      <c r="D5" s="107"/>
      <c r="E5" s="108" t="s">
        <v>10</v>
      </c>
      <c r="F5" s="21" t="s">
        <v>11</v>
      </c>
    </row>
    <row r="6" spans="1:6" ht="15.75" customHeight="1">
      <c r="A6" s="104"/>
      <c r="B6" s="105"/>
      <c r="C6" s="1" t="s">
        <v>12</v>
      </c>
      <c r="D6" s="20" t="s">
        <v>13</v>
      </c>
      <c r="E6" s="109"/>
      <c r="F6" s="21"/>
    </row>
    <row r="7" spans="1:6" ht="15" customHeight="1">
      <c r="A7" s="72" t="s">
        <v>14</v>
      </c>
      <c r="B7" s="7" t="s">
        <v>15</v>
      </c>
      <c r="C7" s="2">
        <v>1</v>
      </c>
      <c r="D7" s="2" t="s">
        <v>0</v>
      </c>
      <c r="E7" s="5" t="s">
        <v>0</v>
      </c>
      <c r="F7" s="3" t="s">
        <v>0</v>
      </c>
    </row>
    <row r="8" spans="1:6">
      <c r="A8" s="72"/>
      <c r="B8" s="4" t="s">
        <v>16</v>
      </c>
      <c r="C8" s="5" t="s">
        <v>0</v>
      </c>
      <c r="D8" s="5">
        <v>1</v>
      </c>
      <c r="E8" s="5" t="s">
        <v>0</v>
      </c>
      <c r="F8" s="6" t="s">
        <v>0</v>
      </c>
    </row>
    <row r="9" spans="1:6">
      <c r="A9" s="72"/>
      <c r="B9" s="7" t="s">
        <v>17</v>
      </c>
      <c r="C9" s="5">
        <v>1</v>
      </c>
      <c r="D9" s="5" t="s">
        <v>0</v>
      </c>
      <c r="E9" s="5" t="s">
        <v>0</v>
      </c>
      <c r="F9" s="6" t="s">
        <v>0</v>
      </c>
    </row>
    <row r="10" spans="1:6">
      <c r="A10" s="72"/>
      <c r="B10" s="7" t="s">
        <v>18</v>
      </c>
      <c r="C10" s="5">
        <v>1</v>
      </c>
      <c r="D10" s="5" t="s">
        <v>0</v>
      </c>
      <c r="E10" s="5" t="s">
        <v>0</v>
      </c>
      <c r="F10" s="6" t="s">
        <v>0</v>
      </c>
    </row>
    <row r="11" spans="1:6">
      <c r="A11" s="72"/>
      <c r="B11" s="7" t="s">
        <v>19</v>
      </c>
      <c r="C11" s="5" t="s">
        <v>0</v>
      </c>
      <c r="D11" s="5">
        <v>1</v>
      </c>
      <c r="E11" s="5" t="s">
        <v>0</v>
      </c>
      <c r="F11" s="6" t="s">
        <v>76</v>
      </c>
    </row>
    <row r="12" spans="1:6">
      <c r="A12" s="72"/>
      <c r="B12" s="7" t="s">
        <v>20</v>
      </c>
      <c r="C12" s="5">
        <v>1</v>
      </c>
      <c r="D12" s="5" t="s">
        <v>0</v>
      </c>
      <c r="E12" s="5" t="s">
        <v>0</v>
      </c>
      <c r="F12" s="6" t="s">
        <v>0</v>
      </c>
    </row>
    <row r="13" spans="1:6">
      <c r="A13" s="72"/>
      <c r="B13" s="7" t="s">
        <v>21</v>
      </c>
      <c r="C13" s="5">
        <v>1</v>
      </c>
      <c r="D13" s="5" t="s">
        <v>0</v>
      </c>
      <c r="E13" s="5" t="s">
        <v>0</v>
      </c>
      <c r="F13" s="6" t="s">
        <v>0</v>
      </c>
    </row>
    <row r="14" spans="1:6">
      <c r="A14" s="72"/>
      <c r="B14" s="7" t="s">
        <v>22</v>
      </c>
      <c r="C14" s="5">
        <v>1</v>
      </c>
      <c r="D14" s="5" t="s">
        <v>0</v>
      </c>
      <c r="E14" s="5" t="s">
        <v>0</v>
      </c>
      <c r="F14" s="6" t="s">
        <v>0</v>
      </c>
    </row>
    <row r="15" spans="1:6">
      <c r="A15" s="72"/>
      <c r="B15" s="7" t="s">
        <v>23</v>
      </c>
      <c r="C15" s="5">
        <v>1</v>
      </c>
      <c r="D15" s="5" t="s">
        <v>0</v>
      </c>
      <c r="E15" s="5" t="s">
        <v>0</v>
      </c>
      <c r="F15" s="6" t="s">
        <v>0</v>
      </c>
    </row>
    <row r="16" spans="1:6">
      <c r="A16" s="72"/>
      <c r="B16" s="7" t="s">
        <v>24</v>
      </c>
      <c r="C16" s="5">
        <v>1</v>
      </c>
      <c r="D16" s="5" t="s">
        <v>0</v>
      </c>
      <c r="E16" s="5" t="s">
        <v>0</v>
      </c>
      <c r="F16" s="6" t="s">
        <v>0</v>
      </c>
    </row>
    <row r="17" spans="1:6">
      <c r="A17" s="72"/>
      <c r="B17" s="7" t="s">
        <v>25</v>
      </c>
      <c r="C17" s="5" t="s">
        <v>0</v>
      </c>
      <c r="D17" s="5">
        <v>1</v>
      </c>
      <c r="E17" s="5" t="s">
        <v>0</v>
      </c>
      <c r="F17" s="6" t="s">
        <v>77</v>
      </c>
    </row>
    <row r="18" spans="1:6">
      <c r="A18" s="72"/>
      <c r="B18" s="7" t="s">
        <v>26</v>
      </c>
      <c r="C18" s="5" t="s">
        <v>0</v>
      </c>
      <c r="D18" s="5">
        <v>1</v>
      </c>
      <c r="E18" s="5" t="s">
        <v>0</v>
      </c>
      <c r="F18" s="6" t="s">
        <v>78</v>
      </c>
    </row>
    <row r="19" spans="1:6">
      <c r="A19" s="72"/>
      <c r="B19" s="7" t="s">
        <v>27</v>
      </c>
      <c r="C19" s="5">
        <v>1</v>
      </c>
      <c r="D19" s="5" t="s">
        <v>0</v>
      </c>
      <c r="E19" s="5" t="s">
        <v>0</v>
      </c>
      <c r="F19" s="6" t="s">
        <v>0</v>
      </c>
    </row>
    <row r="20" spans="1:6" ht="25.5" customHeight="1">
      <c r="A20" s="72"/>
      <c r="B20" s="7" t="s">
        <v>28</v>
      </c>
      <c r="C20" s="5">
        <v>1</v>
      </c>
      <c r="D20" s="5" t="s">
        <v>0</v>
      </c>
      <c r="E20" s="5" t="s">
        <v>0</v>
      </c>
      <c r="F20" s="6" t="s">
        <v>0</v>
      </c>
    </row>
    <row r="21" spans="1:6" ht="25.5" customHeight="1">
      <c r="A21" s="72"/>
      <c r="B21" s="8" t="s">
        <v>29</v>
      </c>
      <c r="C21" s="9">
        <v>1</v>
      </c>
      <c r="D21" s="9" t="s">
        <v>0</v>
      </c>
      <c r="E21" s="9" t="s">
        <v>0</v>
      </c>
      <c r="F21" s="10" t="s">
        <v>0</v>
      </c>
    </row>
    <row r="22" spans="1:6" ht="26.25" customHeight="1">
      <c r="A22" s="72"/>
      <c r="B22" s="11" t="s">
        <v>30</v>
      </c>
      <c r="C22" s="12">
        <v>1</v>
      </c>
      <c r="D22" s="12" t="s">
        <v>0</v>
      </c>
      <c r="E22" s="12" t="s">
        <v>0</v>
      </c>
      <c r="F22" s="13" t="s">
        <v>0</v>
      </c>
    </row>
    <row r="23" spans="1:6" ht="15" customHeight="1">
      <c r="A23" s="73" t="s">
        <v>31</v>
      </c>
      <c r="B23" s="36" t="s">
        <v>32</v>
      </c>
      <c r="C23" s="2">
        <v>1</v>
      </c>
      <c r="D23" s="2" t="s">
        <v>0</v>
      </c>
      <c r="E23" s="2" t="s">
        <v>0</v>
      </c>
      <c r="F23" s="3" t="s">
        <v>0</v>
      </c>
    </row>
    <row r="24" spans="1:6">
      <c r="A24" s="74"/>
      <c r="B24" s="37" t="s">
        <v>33</v>
      </c>
      <c r="C24" s="5">
        <v>1</v>
      </c>
      <c r="D24" s="5" t="s">
        <v>0</v>
      </c>
      <c r="E24" s="5" t="s">
        <v>0</v>
      </c>
      <c r="F24" s="6" t="s">
        <v>0</v>
      </c>
    </row>
    <row r="25" spans="1:6">
      <c r="A25" s="74"/>
      <c r="B25" s="37" t="s">
        <v>34</v>
      </c>
      <c r="C25" s="5">
        <v>1</v>
      </c>
      <c r="D25" s="5" t="s">
        <v>0</v>
      </c>
      <c r="E25" s="5" t="s">
        <v>0</v>
      </c>
      <c r="F25" s="6" t="s">
        <v>0</v>
      </c>
    </row>
    <row r="26" spans="1:6">
      <c r="A26" s="74"/>
      <c r="B26" s="37" t="s">
        <v>35</v>
      </c>
      <c r="C26" s="5">
        <v>1</v>
      </c>
      <c r="D26" s="5" t="s">
        <v>0</v>
      </c>
      <c r="E26" s="5" t="s">
        <v>0</v>
      </c>
      <c r="F26" s="6" t="s">
        <v>0</v>
      </c>
    </row>
    <row r="27" spans="1:6">
      <c r="A27" s="74"/>
      <c r="B27" s="37" t="s">
        <v>36</v>
      </c>
      <c r="C27" s="5">
        <v>1</v>
      </c>
      <c r="D27" s="5" t="s">
        <v>0</v>
      </c>
      <c r="E27" s="5" t="s">
        <v>0</v>
      </c>
      <c r="F27" s="6" t="s">
        <v>0</v>
      </c>
    </row>
    <row r="28" spans="1:6">
      <c r="A28" s="74"/>
      <c r="B28" s="37" t="s">
        <v>37</v>
      </c>
      <c r="C28" s="5">
        <v>1</v>
      </c>
      <c r="D28" s="5" t="s">
        <v>0</v>
      </c>
      <c r="E28" s="5" t="s">
        <v>0</v>
      </c>
      <c r="F28" s="6" t="s">
        <v>0</v>
      </c>
    </row>
    <row r="29" spans="1:6" ht="24">
      <c r="A29" s="74"/>
      <c r="B29" s="37" t="s">
        <v>38</v>
      </c>
      <c r="C29" s="5">
        <v>1</v>
      </c>
      <c r="D29" s="5" t="s">
        <v>0</v>
      </c>
      <c r="E29" s="5" t="s">
        <v>0</v>
      </c>
      <c r="F29" s="6" t="s">
        <v>0</v>
      </c>
    </row>
    <row r="30" spans="1:6" ht="25.5" customHeight="1">
      <c r="A30" s="74"/>
      <c r="B30" s="37" t="s">
        <v>39</v>
      </c>
      <c r="C30" s="5">
        <v>1</v>
      </c>
      <c r="D30" s="5" t="s">
        <v>0</v>
      </c>
      <c r="E30" s="5" t="s">
        <v>0</v>
      </c>
      <c r="F30" s="6" t="s">
        <v>0</v>
      </c>
    </row>
    <row r="31" spans="1:6" ht="24">
      <c r="A31" s="74"/>
      <c r="B31" s="37" t="s">
        <v>40</v>
      </c>
      <c r="C31" s="5">
        <v>1</v>
      </c>
      <c r="D31" s="5" t="s">
        <v>0</v>
      </c>
      <c r="E31" s="5" t="s">
        <v>0</v>
      </c>
      <c r="F31" s="6" t="s">
        <v>0</v>
      </c>
    </row>
    <row r="32" spans="1:6" ht="25.5" customHeight="1">
      <c r="A32" s="74"/>
      <c r="B32" s="37" t="s">
        <v>41</v>
      </c>
      <c r="C32" s="5">
        <v>1</v>
      </c>
      <c r="D32" s="5" t="s">
        <v>0</v>
      </c>
      <c r="E32" s="5" t="s">
        <v>0</v>
      </c>
      <c r="F32" s="6" t="s">
        <v>0</v>
      </c>
    </row>
    <row r="33" spans="1:6">
      <c r="A33" s="75"/>
      <c r="B33" s="38" t="s">
        <v>42</v>
      </c>
      <c r="C33" s="9">
        <v>1</v>
      </c>
      <c r="D33" s="9" t="s">
        <v>0</v>
      </c>
      <c r="E33" s="9" t="s">
        <v>0</v>
      </c>
      <c r="F33" s="10" t="s">
        <v>0</v>
      </c>
    </row>
    <row r="34" spans="1:6">
      <c r="A34" s="76"/>
      <c r="B34" s="77"/>
      <c r="C34" s="77"/>
      <c r="D34" s="77"/>
      <c r="E34" s="77"/>
      <c r="F34" s="78"/>
    </row>
    <row r="35" spans="1:6" ht="15.75" customHeight="1">
      <c r="A35" s="76"/>
      <c r="B35" s="79"/>
      <c r="C35" s="79"/>
      <c r="D35" s="79"/>
      <c r="E35" s="79"/>
      <c r="F35" s="80"/>
    </row>
    <row r="36" spans="1:6" ht="14.45" customHeight="1">
      <c r="A36" s="76"/>
      <c r="B36" s="79"/>
      <c r="C36" s="79"/>
      <c r="D36" s="79"/>
      <c r="E36" s="79"/>
      <c r="F36" s="80"/>
    </row>
    <row r="37" spans="1:6">
      <c r="A37" s="76"/>
      <c r="B37" s="79"/>
      <c r="C37" s="79"/>
      <c r="D37" s="79"/>
      <c r="E37" s="79"/>
      <c r="F37" s="80"/>
    </row>
    <row r="38" spans="1:6">
      <c r="A38" s="76"/>
      <c r="B38" s="79"/>
      <c r="C38" s="79"/>
      <c r="D38" s="79"/>
      <c r="E38" s="79"/>
      <c r="F38" s="80"/>
    </row>
    <row r="39" spans="1:6">
      <c r="A39" s="81"/>
      <c r="B39" s="82"/>
      <c r="C39" s="82"/>
      <c r="D39" s="82"/>
      <c r="E39" s="82"/>
      <c r="F39" s="83"/>
    </row>
    <row r="40" spans="1:6">
      <c r="A40" s="84" t="s">
        <v>44</v>
      </c>
      <c r="B40" s="85"/>
      <c r="C40" s="86"/>
      <c r="D40" s="86"/>
      <c r="E40" s="85"/>
      <c r="F40" s="87"/>
    </row>
    <row r="41" spans="1:6" ht="15.75" customHeight="1">
      <c r="A41" s="88" t="s">
        <v>45</v>
      </c>
      <c r="B41" s="89"/>
      <c r="C41" s="90">
        <f>SUM(C7:D33)</f>
        <v>27</v>
      </c>
      <c r="D41" s="91"/>
      <c r="E41" s="14">
        <v>1</v>
      </c>
      <c r="F41" s="15" t="s">
        <v>46</v>
      </c>
    </row>
    <row r="42" spans="1:6" ht="15.75" customHeight="1">
      <c r="A42" s="48" t="s">
        <v>47</v>
      </c>
      <c r="B42" s="49"/>
      <c r="C42" s="52">
        <f>COUNTIF(C5:C31,1)</f>
        <v>21</v>
      </c>
      <c r="D42" s="53"/>
      <c r="E42" s="70">
        <f>C42/$C$41</f>
        <v>0.77777777777777779</v>
      </c>
      <c r="F42" s="16" t="s">
        <v>48</v>
      </c>
    </row>
    <row r="43" spans="1:6" ht="15.75" customHeight="1">
      <c r="A43" s="66"/>
      <c r="B43" s="67"/>
      <c r="C43" s="68"/>
      <c r="D43" s="69"/>
      <c r="E43" s="71"/>
      <c r="F43" s="17" t="s">
        <v>49</v>
      </c>
    </row>
    <row r="44" spans="1:6" ht="15.75" customHeight="1">
      <c r="A44" s="48" t="s">
        <v>50</v>
      </c>
      <c r="B44" s="49"/>
      <c r="C44" s="52">
        <f>COUNTIF(D7:D33,1)</f>
        <v>4</v>
      </c>
      <c r="D44" s="53"/>
      <c r="E44" s="70">
        <f>C44/$C$41</f>
        <v>0.14814814814814814</v>
      </c>
      <c r="F44" s="18" t="s">
        <v>0</v>
      </c>
    </row>
    <row r="45" spans="1:6" ht="15.75" customHeight="1">
      <c r="A45" s="66"/>
      <c r="B45" s="67"/>
      <c r="C45" s="68"/>
      <c r="D45" s="69"/>
      <c r="E45" s="71"/>
      <c r="F45" s="18" t="s">
        <v>0</v>
      </c>
    </row>
    <row r="46" spans="1:6" ht="15.75" customHeight="1">
      <c r="A46" s="48" t="s">
        <v>51</v>
      </c>
      <c r="B46" s="49"/>
      <c r="C46" s="52">
        <f>COUNTIF(E7:E33,1)</f>
        <v>0</v>
      </c>
      <c r="D46" s="53"/>
      <c r="E46" s="56" t="s">
        <v>0</v>
      </c>
      <c r="F46" s="18" t="s">
        <v>0</v>
      </c>
    </row>
    <row r="47" spans="1:6" ht="15.75" customHeight="1">
      <c r="A47" s="50"/>
      <c r="B47" s="51"/>
      <c r="C47" s="54"/>
      <c r="D47" s="55"/>
      <c r="E47" s="57"/>
      <c r="F47" s="19" t="s">
        <v>0</v>
      </c>
    </row>
    <row r="48" spans="1:6" ht="15.75" customHeight="1">
      <c r="A48" s="24" t="s">
        <v>52</v>
      </c>
      <c r="B48" s="25"/>
      <c r="C48" s="25"/>
      <c r="D48" s="26"/>
      <c r="E48" s="20" t="s">
        <v>53</v>
      </c>
      <c r="F48" s="21" t="s">
        <v>0</v>
      </c>
    </row>
    <row r="49" spans="1:6" ht="15.75" customHeight="1">
      <c r="A49" s="27" t="s">
        <v>54</v>
      </c>
      <c r="B49" s="28"/>
      <c r="C49" s="28"/>
      <c r="D49" s="29"/>
      <c r="E49" s="30" t="s">
        <v>55</v>
      </c>
      <c r="F49" s="31"/>
    </row>
    <row r="50" spans="1:6">
      <c r="A50" s="58" t="s">
        <v>54</v>
      </c>
      <c r="B50" s="59"/>
      <c r="C50" s="59"/>
      <c r="D50" s="60"/>
      <c r="E50" s="61" t="s">
        <v>55</v>
      </c>
      <c r="F50" s="62"/>
    </row>
    <row r="51" spans="1:6" ht="33" customHeight="1">
      <c r="A51" s="63" t="s">
        <v>56</v>
      </c>
      <c r="B51" s="64"/>
      <c r="C51" s="64"/>
      <c r="D51" s="64"/>
      <c r="E51" s="64"/>
      <c r="F51" s="65"/>
    </row>
  </sheetData>
  <mergeCells count="25">
    <mergeCell ref="A1:B3"/>
    <mergeCell ref="C1:F1"/>
    <mergeCell ref="C2:F2"/>
    <mergeCell ref="C3:D3"/>
    <mergeCell ref="A5:B6"/>
    <mergeCell ref="C5:D5"/>
    <mergeCell ref="E5:E6"/>
    <mergeCell ref="A7:A22"/>
    <mergeCell ref="A23:A33"/>
    <mergeCell ref="A34:F39"/>
    <mergeCell ref="A40:F40"/>
    <mergeCell ref="A41:B41"/>
    <mergeCell ref="C41:D41"/>
    <mergeCell ref="A51:F51"/>
    <mergeCell ref="A42:B43"/>
    <mergeCell ref="C42:D43"/>
    <mergeCell ref="E42:E43"/>
    <mergeCell ref="A44:B45"/>
    <mergeCell ref="C44:D45"/>
    <mergeCell ref="E44:E45"/>
    <mergeCell ref="A46:B47"/>
    <mergeCell ref="C46:D47"/>
    <mergeCell ref="E46:E47"/>
    <mergeCell ref="A50:D50"/>
    <mergeCell ref="E50:F50"/>
  </mergeCells>
  <printOptions horizontalCentered="1" verticalCentered="1"/>
  <pageMargins left="0" right="0" top="0" bottom="0" header="0" footer="0"/>
  <pageSetup paperSize="281"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5A65F-C496-4A9D-983E-655A2BB1A828}">
  <sheetPr>
    <pageSetUpPr fitToPage="1"/>
  </sheetPr>
  <dimension ref="A1:F51"/>
  <sheetViews>
    <sheetView topLeftCell="A33" workbookViewId="0">
      <selection activeCell="C32" sqref="C32"/>
    </sheetView>
  </sheetViews>
  <sheetFormatPr defaultColWidth="11.42578125" defaultRowHeight="15"/>
  <cols>
    <col min="2" max="2" width="21.28515625" customWidth="1"/>
    <col min="3" max="3" width="10.140625" customWidth="1"/>
    <col min="4" max="4" width="10.28515625" customWidth="1"/>
    <col min="5" max="5" width="15.85546875" customWidth="1"/>
    <col min="6" max="6" width="27.7109375" customWidth="1"/>
  </cols>
  <sheetData>
    <row r="1" spans="1:6" ht="15.75" customHeight="1">
      <c r="A1" s="92">
        <f>-D1</f>
        <v>0</v>
      </c>
      <c r="B1" s="93"/>
      <c r="C1" s="98" t="s">
        <v>1</v>
      </c>
      <c r="D1" s="98"/>
      <c r="E1" s="98"/>
      <c r="F1" s="99"/>
    </row>
    <row r="2" spans="1:6" ht="15.75" customHeight="1">
      <c r="A2" s="94"/>
      <c r="B2" s="95"/>
      <c r="C2" s="92" t="s">
        <v>2</v>
      </c>
      <c r="D2" s="100"/>
      <c r="E2" s="100"/>
      <c r="F2" s="101"/>
    </row>
    <row r="3" spans="1:6" ht="15.75" customHeight="1">
      <c r="A3" s="96"/>
      <c r="B3" s="97"/>
      <c r="C3" s="144" t="s">
        <v>3</v>
      </c>
      <c r="D3" s="145"/>
      <c r="E3" s="34" t="s">
        <v>4</v>
      </c>
      <c r="F3" s="47" t="s">
        <v>5</v>
      </c>
    </row>
    <row r="4" spans="1:6">
      <c r="A4" s="32" t="s">
        <v>6</v>
      </c>
      <c r="C4" s="22"/>
      <c r="D4" s="23"/>
      <c r="E4" s="39" t="s">
        <v>7</v>
      </c>
      <c r="F4" s="35"/>
    </row>
    <row r="5" spans="1:6">
      <c r="A5" s="102" t="s">
        <v>8</v>
      </c>
      <c r="B5" s="103"/>
      <c r="C5" s="106" t="s">
        <v>9</v>
      </c>
      <c r="D5" s="107"/>
      <c r="E5" s="108" t="s">
        <v>10</v>
      </c>
      <c r="F5" s="21" t="s">
        <v>11</v>
      </c>
    </row>
    <row r="6" spans="1:6" ht="15.75" customHeight="1">
      <c r="A6" s="104"/>
      <c r="B6" s="105"/>
      <c r="C6" s="1" t="s">
        <v>12</v>
      </c>
      <c r="D6" s="20" t="s">
        <v>13</v>
      </c>
      <c r="E6" s="109"/>
      <c r="F6" s="21"/>
    </row>
    <row r="7" spans="1:6" ht="15" customHeight="1">
      <c r="A7" s="72" t="s">
        <v>14</v>
      </c>
      <c r="B7" s="7" t="s">
        <v>15</v>
      </c>
      <c r="C7" s="2">
        <v>1</v>
      </c>
      <c r="D7" s="2" t="s">
        <v>0</v>
      </c>
      <c r="E7" s="5" t="s">
        <v>0</v>
      </c>
      <c r="F7" s="3" t="s">
        <v>0</v>
      </c>
    </row>
    <row r="8" spans="1:6">
      <c r="A8" s="72"/>
      <c r="B8" s="4" t="s">
        <v>16</v>
      </c>
      <c r="C8" s="5" t="s">
        <v>0</v>
      </c>
      <c r="D8" s="5">
        <v>1</v>
      </c>
      <c r="E8" s="5" t="s">
        <v>0</v>
      </c>
      <c r="F8" s="6" t="s">
        <v>0</v>
      </c>
    </row>
    <row r="9" spans="1:6">
      <c r="A9" s="72"/>
      <c r="B9" s="7" t="s">
        <v>17</v>
      </c>
      <c r="C9" s="5">
        <v>1</v>
      </c>
      <c r="D9" s="5" t="s">
        <v>0</v>
      </c>
      <c r="E9" s="5" t="s">
        <v>0</v>
      </c>
      <c r="F9" s="6" t="s">
        <v>0</v>
      </c>
    </row>
    <row r="10" spans="1:6">
      <c r="A10" s="72"/>
      <c r="B10" s="7" t="s">
        <v>18</v>
      </c>
      <c r="C10" s="5">
        <v>1</v>
      </c>
      <c r="D10" s="5" t="s">
        <v>0</v>
      </c>
      <c r="E10" s="5" t="s">
        <v>0</v>
      </c>
      <c r="F10" s="6" t="s">
        <v>0</v>
      </c>
    </row>
    <row r="11" spans="1:6">
      <c r="A11" s="72"/>
      <c r="B11" s="7" t="s">
        <v>19</v>
      </c>
      <c r="C11" s="5">
        <v>1</v>
      </c>
      <c r="D11" s="5"/>
      <c r="E11" s="5" t="s">
        <v>0</v>
      </c>
      <c r="F11" s="6"/>
    </row>
    <row r="12" spans="1:6">
      <c r="A12" s="72"/>
      <c r="B12" s="7" t="s">
        <v>20</v>
      </c>
      <c r="C12" s="5">
        <v>1</v>
      </c>
      <c r="D12" s="5" t="s">
        <v>0</v>
      </c>
      <c r="E12" s="5" t="s">
        <v>0</v>
      </c>
      <c r="F12" s="6" t="s">
        <v>0</v>
      </c>
    </row>
    <row r="13" spans="1:6">
      <c r="A13" s="72"/>
      <c r="B13" s="7" t="s">
        <v>21</v>
      </c>
      <c r="C13" s="5">
        <v>1</v>
      </c>
      <c r="D13" s="5" t="s">
        <v>0</v>
      </c>
      <c r="E13" s="5" t="s">
        <v>0</v>
      </c>
      <c r="F13" s="6" t="s">
        <v>0</v>
      </c>
    </row>
    <row r="14" spans="1:6">
      <c r="A14" s="72"/>
      <c r="B14" s="7" t="s">
        <v>22</v>
      </c>
      <c r="C14" s="5">
        <v>1</v>
      </c>
      <c r="D14" s="5" t="s">
        <v>0</v>
      </c>
      <c r="E14" s="5" t="s">
        <v>0</v>
      </c>
      <c r="F14" s="6" t="s">
        <v>0</v>
      </c>
    </row>
    <row r="15" spans="1:6">
      <c r="A15" s="72"/>
      <c r="B15" s="7" t="s">
        <v>23</v>
      </c>
      <c r="C15" s="5">
        <v>1</v>
      </c>
      <c r="D15" s="5" t="s">
        <v>0</v>
      </c>
      <c r="E15" s="5" t="s">
        <v>0</v>
      </c>
      <c r="F15" s="6" t="s">
        <v>0</v>
      </c>
    </row>
    <row r="16" spans="1:6">
      <c r="A16" s="72"/>
      <c r="B16" s="7" t="s">
        <v>24</v>
      </c>
      <c r="C16" s="5">
        <v>1</v>
      </c>
      <c r="D16" s="5" t="s">
        <v>0</v>
      </c>
      <c r="E16" s="5" t="s">
        <v>0</v>
      </c>
      <c r="F16" s="6" t="s">
        <v>0</v>
      </c>
    </row>
    <row r="17" spans="1:6">
      <c r="A17" s="72"/>
      <c r="B17" s="7" t="s">
        <v>25</v>
      </c>
      <c r="C17" s="5" t="s">
        <v>0</v>
      </c>
      <c r="D17" s="5">
        <v>1</v>
      </c>
      <c r="E17" s="5" t="s">
        <v>0</v>
      </c>
      <c r="F17" s="6" t="s">
        <v>79</v>
      </c>
    </row>
    <row r="18" spans="1:6">
      <c r="A18" s="72"/>
      <c r="B18" s="7" t="s">
        <v>26</v>
      </c>
      <c r="C18" s="5" t="s">
        <v>0</v>
      </c>
      <c r="D18" s="5">
        <v>1</v>
      </c>
      <c r="E18" s="5" t="s">
        <v>0</v>
      </c>
      <c r="F18" s="6" t="s">
        <v>78</v>
      </c>
    </row>
    <row r="19" spans="1:6">
      <c r="A19" s="72"/>
      <c r="B19" s="7" t="s">
        <v>27</v>
      </c>
      <c r="C19" s="5">
        <v>1</v>
      </c>
      <c r="D19" s="5" t="s">
        <v>0</v>
      </c>
      <c r="E19" s="5" t="s">
        <v>0</v>
      </c>
      <c r="F19" s="6" t="s">
        <v>0</v>
      </c>
    </row>
    <row r="20" spans="1:6" ht="25.5" customHeight="1">
      <c r="A20" s="72"/>
      <c r="B20" s="7" t="s">
        <v>28</v>
      </c>
      <c r="C20" s="5">
        <v>1</v>
      </c>
      <c r="D20" s="5" t="s">
        <v>0</v>
      </c>
      <c r="E20" s="5" t="s">
        <v>0</v>
      </c>
      <c r="F20" s="6" t="s">
        <v>0</v>
      </c>
    </row>
    <row r="21" spans="1:6" ht="25.5" customHeight="1">
      <c r="A21" s="72"/>
      <c r="B21" s="8" t="s">
        <v>29</v>
      </c>
      <c r="C21" s="9">
        <v>1</v>
      </c>
      <c r="D21" s="9" t="s">
        <v>0</v>
      </c>
      <c r="E21" s="9" t="s">
        <v>0</v>
      </c>
      <c r="F21" s="10" t="s">
        <v>0</v>
      </c>
    </row>
    <row r="22" spans="1:6" ht="26.25" customHeight="1">
      <c r="A22" s="72"/>
      <c r="B22" s="11" t="s">
        <v>30</v>
      </c>
      <c r="C22" s="12">
        <v>1</v>
      </c>
      <c r="D22" s="12" t="s">
        <v>0</v>
      </c>
      <c r="E22" s="12" t="s">
        <v>0</v>
      </c>
      <c r="F22" s="13" t="s">
        <v>0</v>
      </c>
    </row>
    <row r="23" spans="1:6" ht="15" customHeight="1">
      <c r="A23" s="73" t="s">
        <v>31</v>
      </c>
      <c r="B23" s="36" t="s">
        <v>32</v>
      </c>
      <c r="C23" s="2"/>
      <c r="D23" s="2">
        <v>1</v>
      </c>
      <c r="E23" s="2" t="s">
        <v>0</v>
      </c>
      <c r="F23" s="3" t="s">
        <v>79</v>
      </c>
    </row>
    <row r="24" spans="1:6">
      <c r="A24" s="74"/>
      <c r="B24" s="37" t="s">
        <v>33</v>
      </c>
      <c r="C24" s="5">
        <v>1</v>
      </c>
      <c r="D24" s="5" t="s">
        <v>0</v>
      </c>
      <c r="E24" s="5" t="s">
        <v>0</v>
      </c>
      <c r="F24" s="6" t="s">
        <v>0</v>
      </c>
    </row>
    <row r="25" spans="1:6">
      <c r="A25" s="74"/>
      <c r="B25" s="37" t="s">
        <v>34</v>
      </c>
      <c r="C25" s="5">
        <v>1</v>
      </c>
      <c r="D25" s="5" t="s">
        <v>0</v>
      </c>
      <c r="E25" s="5" t="s">
        <v>0</v>
      </c>
      <c r="F25" s="6" t="s">
        <v>0</v>
      </c>
    </row>
    <row r="26" spans="1:6">
      <c r="A26" s="74"/>
      <c r="B26" s="37" t="s">
        <v>35</v>
      </c>
      <c r="C26" s="5"/>
      <c r="D26" s="5" t="s">
        <v>0</v>
      </c>
      <c r="E26" s="5">
        <v>1</v>
      </c>
      <c r="F26" s="6" t="s">
        <v>0</v>
      </c>
    </row>
    <row r="27" spans="1:6">
      <c r="A27" s="74"/>
      <c r="B27" s="37" t="s">
        <v>36</v>
      </c>
      <c r="C27" s="5">
        <v>1</v>
      </c>
      <c r="D27" s="5" t="s">
        <v>0</v>
      </c>
      <c r="E27" s="5" t="s">
        <v>0</v>
      </c>
      <c r="F27" s="6" t="s">
        <v>0</v>
      </c>
    </row>
    <row r="28" spans="1:6">
      <c r="A28" s="74"/>
      <c r="B28" s="37" t="s">
        <v>37</v>
      </c>
      <c r="C28" s="5">
        <v>1</v>
      </c>
      <c r="D28" s="5" t="s">
        <v>0</v>
      </c>
      <c r="E28" s="5" t="s">
        <v>0</v>
      </c>
      <c r="F28" s="6" t="s">
        <v>0</v>
      </c>
    </row>
    <row r="29" spans="1:6" ht="24">
      <c r="A29" s="74"/>
      <c r="B29" s="37" t="s">
        <v>38</v>
      </c>
      <c r="C29" s="5">
        <v>1</v>
      </c>
      <c r="D29" s="5" t="s">
        <v>0</v>
      </c>
      <c r="E29" s="5" t="s">
        <v>0</v>
      </c>
      <c r="F29" s="6" t="s">
        <v>0</v>
      </c>
    </row>
    <row r="30" spans="1:6" ht="25.5" customHeight="1">
      <c r="A30" s="74"/>
      <c r="B30" s="37" t="s">
        <v>39</v>
      </c>
      <c r="C30" s="5">
        <v>1</v>
      </c>
      <c r="D30" s="5" t="s">
        <v>0</v>
      </c>
      <c r="E30" s="5" t="s">
        <v>0</v>
      </c>
      <c r="F30" s="6" t="s">
        <v>0</v>
      </c>
    </row>
    <row r="31" spans="1:6" ht="24">
      <c r="A31" s="74"/>
      <c r="B31" s="37" t="s">
        <v>40</v>
      </c>
      <c r="C31" s="5">
        <v>1</v>
      </c>
      <c r="D31" s="5" t="s">
        <v>0</v>
      </c>
      <c r="E31" s="5" t="s">
        <v>0</v>
      </c>
      <c r="F31" s="6" t="s">
        <v>0</v>
      </c>
    </row>
    <row r="32" spans="1:6" ht="25.5" customHeight="1">
      <c r="A32" s="74"/>
      <c r="B32" s="37" t="s">
        <v>41</v>
      </c>
      <c r="C32" s="5">
        <v>1</v>
      </c>
      <c r="D32" s="5" t="s">
        <v>0</v>
      </c>
      <c r="E32" s="5" t="s">
        <v>0</v>
      </c>
      <c r="F32" s="6" t="s">
        <v>0</v>
      </c>
    </row>
    <row r="33" spans="1:6">
      <c r="A33" s="75"/>
      <c r="B33" s="38" t="s">
        <v>42</v>
      </c>
      <c r="C33" s="9">
        <v>1</v>
      </c>
      <c r="D33" s="9" t="s">
        <v>0</v>
      </c>
      <c r="E33" s="9" t="s">
        <v>0</v>
      </c>
      <c r="F33" s="10" t="s">
        <v>0</v>
      </c>
    </row>
    <row r="34" spans="1:6">
      <c r="A34" s="76"/>
      <c r="B34" s="77"/>
      <c r="C34" s="77"/>
      <c r="D34" s="77"/>
      <c r="E34" s="77"/>
      <c r="F34" s="78"/>
    </row>
    <row r="35" spans="1:6" ht="15.75" customHeight="1">
      <c r="A35" s="76"/>
      <c r="B35" s="79"/>
      <c r="C35" s="79"/>
      <c r="D35" s="79"/>
      <c r="E35" s="79"/>
      <c r="F35" s="80"/>
    </row>
    <row r="36" spans="1:6" ht="14.45" customHeight="1">
      <c r="A36" s="76"/>
      <c r="B36" s="79"/>
      <c r="C36" s="79"/>
      <c r="D36" s="79"/>
      <c r="E36" s="79"/>
      <c r="F36" s="80"/>
    </row>
    <row r="37" spans="1:6">
      <c r="A37" s="76"/>
      <c r="B37" s="79"/>
      <c r="C37" s="79"/>
      <c r="D37" s="79"/>
      <c r="E37" s="79"/>
      <c r="F37" s="80"/>
    </row>
    <row r="38" spans="1:6">
      <c r="A38" s="76"/>
      <c r="B38" s="79"/>
      <c r="C38" s="79"/>
      <c r="D38" s="79"/>
      <c r="E38" s="79"/>
      <c r="F38" s="80"/>
    </row>
    <row r="39" spans="1:6">
      <c r="A39" s="81"/>
      <c r="B39" s="82"/>
      <c r="C39" s="82"/>
      <c r="D39" s="82"/>
      <c r="E39" s="82"/>
      <c r="F39" s="83"/>
    </row>
    <row r="40" spans="1:6">
      <c r="A40" s="84" t="s">
        <v>44</v>
      </c>
      <c r="B40" s="85"/>
      <c r="C40" s="86"/>
      <c r="D40" s="86"/>
      <c r="E40" s="85"/>
      <c r="F40" s="87"/>
    </row>
    <row r="41" spans="1:6" ht="15.75" customHeight="1">
      <c r="A41" s="88" t="s">
        <v>45</v>
      </c>
      <c r="B41" s="89"/>
      <c r="C41" s="90">
        <f>SUM(C7:D33)</f>
        <v>26</v>
      </c>
      <c r="D41" s="91"/>
      <c r="E41" s="14">
        <v>1</v>
      </c>
      <c r="F41" s="15" t="s">
        <v>46</v>
      </c>
    </row>
    <row r="42" spans="1:6" ht="15.75" customHeight="1">
      <c r="A42" s="48" t="s">
        <v>47</v>
      </c>
      <c r="B42" s="49"/>
      <c r="C42" s="52">
        <f>COUNTIF(C5:C31,1)</f>
        <v>20</v>
      </c>
      <c r="D42" s="53"/>
      <c r="E42" s="70">
        <f>C42/$C$41</f>
        <v>0.76923076923076927</v>
      </c>
      <c r="F42" s="16" t="s">
        <v>48</v>
      </c>
    </row>
    <row r="43" spans="1:6" ht="15.75" customHeight="1">
      <c r="A43" s="66"/>
      <c r="B43" s="67"/>
      <c r="C43" s="68"/>
      <c r="D43" s="69"/>
      <c r="E43" s="71"/>
      <c r="F43" s="17" t="s">
        <v>49</v>
      </c>
    </row>
    <row r="44" spans="1:6" ht="15.75" customHeight="1">
      <c r="A44" s="48" t="s">
        <v>50</v>
      </c>
      <c r="B44" s="49"/>
      <c r="C44" s="52">
        <f>COUNTIF(D7:D33,1)</f>
        <v>4</v>
      </c>
      <c r="D44" s="53"/>
      <c r="E44" s="70">
        <f>C44/$C$41</f>
        <v>0.15384615384615385</v>
      </c>
      <c r="F44" s="18" t="s">
        <v>0</v>
      </c>
    </row>
    <row r="45" spans="1:6" ht="15.75" customHeight="1">
      <c r="A45" s="66"/>
      <c r="B45" s="67"/>
      <c r="C45" s="68"/>
      <c r="D45" s="69"/>
      <c r="E45" s="71"/>
      <c r="F45" s="18" t="s">
        <v>0</v>
      </c>
    </row>
    <row r="46" spans="1:6" ht="15.75" customHeight="1">
      <c r="A46" s="48" t="s">
        <v>51</v>
      </c>
      <c r="B46" s="49"/>
      <c r="C46" s="52">
        <f>COUNTIF(E7:E33,1)</f>
        <v>1</v>
      </c>
      <c r="D46" s="53"/>
      <c r="E46" s="56" t="s">
        <v>0</v>
      </c>
      <c r="F46" s="18" t="s">
        <v>0</v>
      </c>
    </row>
    <row r="47" spans="1:6" ht="15.75" customHeight="1">
      <c r="A47" s="50"/>
      <c r="B47" s="51"/>
      <c r="C47" s="54"/>
      <c r="D47" s="55"/>
      <c r="E47" s="57"/>
      <c r="F47" s="19" t="s">
        <v>0</v>
      </c>
    </row>
    <row r="48" spans="1:6" ht="15.75" customHeight="1">
      <c r="A48" s="24" t="s">
        <v>52</v>
      </c>
      <c r="B48" s="25"/>
      <c r="C48" s="25"/>
      <c r="D48" s="26"/>
      <c r="E48" s="20" t="s">
        <v>53</v>
      </c>
      <c r="F48" s="21" t="s">
        <v>0</v>
      </c>
    </row>
    <row r="49" spans="1:6" ht="15.75" customHeight="1">
      <c r="A49" s="27" t="s">
        <v>54</v>
      </c>
      <c r="B49" s="28"/>
      <c r="C49" s="28"/>
      <c r="D49" s="29"/>
      <c r="E49" s="30" t="s">
        <v>55</v>
      </c>
      <c r="F49" s="31"/>
    </row>
    <row r="50" spans="1:6">
      <c r="A50" s="58" t="s">
        <v>54</v>
      </c>
      <c r="B50" s="59"/>
      <c r="C50" s="59"/>
      <c r="D50" s="60"/>
      <c r="E50" s="61" t="s">
        <v>55</v>
      </c>
      <c r="F50" s="62"/>
    </row>
    <row r="51" spans="1:6" ht="33" customHeight="1">
      <c r="A51" s="63" t="s">
        <v>56</v>
      </c>
      <c r="B51" s="64"/>
      <c r="C51" s="64"/>
      <c r="D51" s="64"/>
      <c r="E51" s="64"/>
      <c r="F51" s="65"/>
    </row>
  </sheetData>
  <mergeCells count="25">
    <mergeCell ref="A46:B47"/>
    <mergeCell ref="C46:D47"/>
    <mergeCell ref="E46:E47"/>
    <mergeCell ref="A50:D50"/>
    <mergeCell ref="E50:F50"/>
    <mergeCell ref="A51:F51"/>
    <mergeCell ref="A42:B43"/>
    <mergeCell ref="C42:D43"/>
    <mergeCell ref="E42:E43"/>
    <mergeCell ref="A44:B45"/>
    <mergeCell ref="C44:D45"/>
    <mergeCell ref="E44:E45"/>
    <mergeCell ref="A7:A22"/>
    <mergeCell ref="A23:A33"/>
    <mergeCell ref="A34:F39"/>
    <mergeCell ref="A40:F40"/>
    <mergeCell ref="A41:B41"/>
    <mergeCell ref="C41:D41"/>
    <mergeCell ref="A1:B3"/>
    <mergeCell ref="C1:F1"/>
    <mergeCell ref="C2:F2"/>
    <mergeCell ref="C3:D3"/>
    <mergeCell ref="A5:B6"/>
    <mergeCell ref="C5:D5"/>
    <mergeCell ref="E5:E6"/>
  </mergeCells>
  <printOptions horizontalCentered="1" verticalCentered="1"/>
  <pageMargins left="0" right="0" top="0" bottom="0" header="0" footer="0"/>
  <pageSetup paperSize="281"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AAED-48C1-47B8-A7B0-4388A0E62A6B}">
  <sheetPr>
    <pageSetUpPr fitToPage="1"/>
  </sheetPr>
  <dimension ref="A1:F51"/>
  <sheetViews>
    <sheetView tabSelected="1" topLeftCell="A31" workbookViewId="0">
      <selection activeCell="D26" sqref="D26"/>
    </sheetView>
  </sheetViews>
  <sheetFormatPr defaultColWidth="11.42578125" defaultRowHeight="15"/>
  <cols>
    <col min="2" max="2" width="21.28515625" customWidth="1"/>
    <col min="3" max="3" width="10.140625" customWidth="1"/>
    <col min="4" max="4" width="10.28515625" customWidth="1"/>
    <col min="5" max="5" width="15.85546875" customWidth="1"/>
    <col min="6" max="6" width="27.7109375" customWidth="1"/>
  </cols>
  <sheetData>
    <row r="1" spans="1:6" ht="15.75" customHeight="1">
      <c r="A1" s="92" t="s">
        <v>0</v>
      </c>
      <c r="B1" s="93"/>
      <c r="C1" s="98" t="s">
        <v>1</v>
      </c>
      <c r="D1" s="98"/>
      <c r="E1" s="98"/>
      <c r="F1" s="99"/>
    </row>
    <row r="2" spans="1:6" ht="15.75" customHeight="1">
      <c r="A2" s="94"/>
      <c r="B2" s="95"/>
      <c r="C2" s="92" t="s">
        <v>2</v>
      </c>
      <c r="D2" s="100"/>
      <c r="E2" s="100"/>
      <c r="F2" s="101"/>
    </row>
    <row r="3" spans="1:6" ht="15.75" customHeight="1">
      <c r="A3" s="96"/>
      <c r="B3" s="97"/>
      <c r="C3" s="144" t="s">
        <v>3</v>
      </c>
      <c r="D3" s="145"/>
      <c r="E3" s="34" t="s">
        <v>4</v>
      </c>
      <c r="F3" s="47" t="s">
        <v>5</v>
      </c>
    </row>
    <row r="4" spans="1:6">
      <c r="A4" s="32" t="s">
        <v>6</v>
      </c>
      <c r="C4" s="22"/>
      <c r="D4" s="23"/>
      <c r="E4" s="39" t="s">
        <v>7</v>
      </c>
      <c r="F4" s="35"/>
    </row>
    <row r="5" spans="1:6">
      <c r="A5" s="102" t="s">
        <v>8</v>
      </c>
      <c r="B5" s="103"/>
      <c r="C5" s="106" t="s">
        <v>9</v>
      </c>
      <c r="D5" s="107"/>
      <c r="E5" s="108" t="s">
        <v>10</v>
      </c>
      <c r="F5" s="21" t="s">
        <v>11</v>
      </c>
    </row>
    <row r="6" spans="1:6" ht="15.75" customHeight="1">
      <c r="A6" s="104"/>
      <c r="B6" s="105"/>
      <c r="C6" s="1" t="s">
        <v>12</v>
      </c>
      <c r="D6" s="20" t="s">
        <v>13</v>
      </c>
      <c r="E6" s="109"/>
      <c r="F6" s="21"/>
    </row>
    <row r="7" spans="1:6" ht="15" customHeight="1">
      <c r="A7" s="72" t="s">
        <v>14</v>
      </c>
      <c r="B7" s="7" t="s">
        <v>15</v>
      </c>
      <c r="C7" s="2">
        <v>1</v>
      </c>
      <c r="D7" s="2" t="s">
        <v>0</v>
      </c>
      <c r="E7" s="5" t="s">
        <v>0</v>
      </c>
      <c r="F7" s="3" t="s">
        <v>0</v>
      </c>
    </row>
    <row r="8" spans="1:6">
      <c r="A8" s="72"/>
      <c r="B8" s="4" t="s">
        <v>16</v>
      </c>
      <c r="C8" s="5" t="s">
        <v>0</v>
      </c>
      <c r="D8" s="5">
        <v>1</v>
      </c>
      <c r="E8" s="5" t="s">
        <v>0</v>
      </c>
      <c r="F8" s="6" t="s">
        <v>0</v>
      </c>
    </row>
    <row r="9" spans="1:6">
      <c r="A9" s="72"/>
      <c r="B9" s="7" t="s">
        <v>17</v>
      </c>
      <c r="C9" s="5">
        <v>1</v>
      </c>
      <c r="D9" s="5" t="s">
        <v>0</v>
      </c>
      <c r="E9" s="5" t="s">
        <v>0</v>
      </c>
      <c r="F9" s="6" t="s">
        <v>0</v>
      </c>
    </row>
    <row r="10" spans="1:6">
      <c r="A10" s="72"/>
      <c r="B10" s="7" t="s">
        <v>18</v>
      </c>
      <c r="C10" s="5">
        <v>1</v>
      </c>
      <c r="D10" s="5" t="s">
        <v>0</v>
      </c>
      <c r="E10" s="5" t="s">
        <v>0</v>
      </c>
      <c r="F10" s="6" t="s">
        <v>0</v>
      </c>
    </row>
    <row r="11" spans="1:6">
      <c r="A11" s="72"/>
      <c r="B11" s="7" t="s">
        <v>19</v>
      </c>
      <c r="C11" s="5">
        <v>1</v>
      </c>
      <c r="D11" s="5"/>
      <c r="E11" s="5" t="s">
        <v>0</v>
      </c>
      <c r="F11" s="6"/>
    </row>
    <row r="12" spans="1:6">
      <c r="A12" s="72"/>
      <c r="B12" s="7" t="s">
        <v>20</v>
      </c>
      <c r="C12" s="5">
        <v>1</v>
      </c>
      <c r="D12" s="5" t="s">
        <v>0</v>
      </c>
      <c r="E12" s="5" t="s">
        <v>0</v>
      </c>
      <c r="F12" s="6" t="s">
        <v>0</v>
      </c>
    </row>
    <row r="13" spans="1:6">
      <c r="A13" s="72"/>
      <c r="B13" s="7" t="s">
        <v>21</v>
      </c>
      <c r="C13" s="5">
        <v>1</v>
      </c>
      <c r="D13" s="5" t="s">
        <v>0</v>
      </c>
      <c r="E13" s="5" t="s">
        <v>0</v>
      </c>
      <c r="F13" s="6" t="s">
        <v>0</v>
      </c>
    </row>
    <row r="14" spans="1:6">
      <c r="A14" s="72"/>
      <c r="B14" s="7" t="s">
        <v>22</v>
      </c>
      <c r="C14" s="5">
        <v>1</v>
      </c>
      <c r="D14" s="5" t="s">
        <v>0</v>
      </c>
      <c r="E14" s="5" t="s">
        <v>0</v>
      </c>
      <c r="F14" s="6" t="s">
        <v>0</v>
      </c>
    </row>
    <row r="15" spans="1:6">
      <c r="A15" s="72"/>
      <c r="B15" s="7" t="s">
        <v>23</v>
      </c>
      <c r="C15" s="5">
        <v>1</v>
      </c>
      <c r="D15" s="5" t="s">
        <v>0</v>
      </c>
      <c r="E15" s="5" t="s">
        <v>0</v>
      </c>
      <c r="F15" s="6" t="s">
        <v>0</v>
      </c>
    </row>
    <row r="16" spans="1:6">
      <c r="A16" s="72"/>
      <c r="B16" s="7" t="s">
        <v>24</v>
      </c>
      <c r="C16" s="5">
        <v>1</v>
      </c>
      <c r="D16" s="5" t="s">
        <v>0</v>
      </c>
      <c r="E16" s="5" t="s">
        <v>0</v>
      </c>
      <c r="F16" s="6" t="s">
        <v>0</v>
      </c>
    </row>
    <row r="17" spans="1:6">
      <c r="A17" s="72"/>
      <c r="B17" s="7" t="s">
        <v>25</v>
      </c>
      <c r="C17" s="5">
        <v>1</v>
      </c>
      <c r="D17" s="5"/>
      <c r="E17" s="5" t="s">
        <v>0</v>
      </c>
      <c r="F17" s="6"/>
    </row>
    <row r="18" spans="1:6">
      <c r="A18" s="72"/>
      <c r="B18" s="7" t="s">
        <v>26</v>
      </c>
      <c r="C18" s="5" t="s">
        <v>0</v>
      </c>
      <c r="D18" s="5">
        <v>1</v>
      </c>
      <c r="E18" s="5" t="s">
        <v>0</v>
      </c>
      <c r="F18" s="6" t="s">
        <v>78</v>
      </c>
    </row>
    <row r="19" spans="1:6">
      <c r="A19" s="72"/>
      <c r="B19" s="7" t="s">
        <v>27</v>
      </c>
      <c r="C19" s="5">
        <v>1</v>
      </c>
      <c r="D19" s="5" t="s">
        <v>0</v>
      </c>
      <c r="E19" s="5" t="s">
        <v>0</v>
      </c>
      <c r="F19" s="6" t="s">
        <v>0</v>
      </c>
    </row>
    <row r="20" spans="1:6" ht="25.5" customHeight="1">
      <c r="A20" s="72"/>
      <c r="B20" s="7" t="s">
        <v>28</v>
      </c>
      <c r="C20" s="5">
        <v>1</v>
      </c>
      <c r="D20" s="5" t="s">
        <v>0</v>
      </c>
      <c r="E20" s="5" t="s">
        <v>0</v>
      </c>
      <c r="F20" s="6" t="s">
        <v>0</v>
      </c>
    </row>
    <row r="21" spans="1:6" ht="25.5" customHeight="1">
      <c r="A21" s="72"/>
      <c r="B21" s="8" t="s">
        <v>29</v>
      </c>
      <c r="C21" s="9">
        <v>1</v>
      </c>
      <c r="D21" s="9" t="s">
        <v>0</v>
      </c>
      <c r="E21" s="9" t="s">
        <v>0</v>
      </c>
      <c r="F21" s="10" t="s">
        <v>0</v>
      </c>
    </row>
    <row r="22" spans="1:6" ht="26.25" customHeight="1">
      <c r="A22" s="72"/>
      <c r="B22" s="11" t="s">
        <v>30</v>
      </c>
      <c r="C22" s="12">
        <v>1</v>
      </c>
      <c r="D22" s="12" t="s">
        <v>0</v>
      </c>
      <c r="E22" s="12" t="s">
        <v>0</v>
      </c>
      <c r="F22" s="13" t="s">
        <v>0</v>
      </c>
    </row>
    <row r="23" spans="1:6" ht="15" customHeight="1">
      <c r="A23" s="73" t="s">
        <v>31</v>
      </c>
      <c r="B23" s="36" t="s">
        <v>32</v>
      </c>
      <c r="C23" s="2">
        <v>1</v>
      </c>
      <c r="D23" s="2" t="s">
        <v>0</v>
      </c>
      <c r="E23" s="2" t="s">
        <v>0</v>
      </c>
      <c r="F23" s="3" t="s">
        <v>0</v>
      </c>
    </row>
    <row r="24" spans="1:6">
      <c r="A24" s="74"/>
      <c r="B24" s="37" t="s">
        <v>33</v>
      </c>
      <c r="C24" s="5">
        <v>1</v>
      </c>
      <c r="D24" s="5" t="s">
        <v>0</v>
      </c>
      <c r="E24" s="5" t="s">
        <v>0</v>
      </c>
      <c r="F24" s="6" t="s">
        <v>0</v>
      </c>
    </row>
    <row r="25" spans="1:6">
      <c r="A25" s="74"/>
      <c r="B25" s="37" t="s">
        <v>34</v>
      </c>
      <c r="C25" s="5">
        <v>1</v>
      </c>
      <c r="D25" s="5" t="s">
        <v>0</v>
      </c>
      <c r="E25" s="5" t="s">
        <v>0</v>
      </c>
      <c r="F25" s="6" t="s">
        <v>0</v>
      </c>
    </row>
    <row r="26" spans="1:6">
      <c r="A26" s="74"/>
      <c r="B26" s="37" t="s">
        <v>35</v>
      </c>
      <c r="C26" s="5"/>
      <c r="D26" s="5" t="s">
        <v>0</v>
      </c>
      <c r="E26" s="5">
        <v>1</v>
      </c>
      <c r="F26" s="6" t="s">
        <v>0</v>
      </c>
    </row>
    <row r="27" spans="1:6">
      <c r="A27" s="74"/>
      <c r="B27" s="37" t="s">
        <v>36</v>
      </c>
      <c r="C27" s="5">
        <v>1</v>
      </c>
      <c r="D27" s="5" t="s">
        <v>0</v>
      </c>
      <c r="E27" s="5" t="s">
        <v>0</v>
      </c>
      <c r="F27" s="6" t="s">
        <v>0</v>
      </c>
    </row>
    <row r="28" spans="1:6">
      <c r="A28" s="74"/>
      <c r="B28" s="37" t="s">
        <v>37</v>
      </c>
      <c r="C28" s="5">
        <v>1</v>
      </c>
      <c r="D28" s="5" t="s">
        <v>0</v>
      </c>
      <c r="E28" s="5" t="s">
        <v>0</v>
      </c>
      <c r="F28" s="6" t="s">
        <v>0</v>
      </c>
    </row>
    <row r="29" spans="1:6" ht="24">
      <c r="A29" s="74"/>
      <c r="B29" s="37" t="s">
        <v>38</v>
      </c>
      <c r="C29" s="5">
        <v>1</v>
      </c>
      <c r="D29" s="5" t="s">
        <v>0</v>
      </c>
      <c r="E29" s="5" t="s">
        <v>0</v>
      </c>
      <c r="F29" s="6" t="s">
        <v>0</v>
      </c>
    </row>
    <row r="30" spans="1:6" ht="25.5" customHeight="1">
      <c r="A30" s="74"/>
      <c r="B30" s="37" t="s">
        <v>39</v>
      </c>
      <c r="C30" s="5">
        <v>1</v>
      </c>
      <c r="D30" s="5" t="s">
        <v>0</v>
      </c>
      <c r="E30" s="5" t="s">
        <v>0</v>
      </c>
      <c r="F30" s="6" t="s">
        <v>0</v>
      </c>
    </row>
    <row r="31" spans="1:6" ht="24">
      <c r="A31" s="74"/>
      <c r="B31" s="37" t="s">
        <v>40</v>
      </c>
      <c r="C31" s="5">
        <v>1</v>
      </c>
      <c r="D31" s="5" t="s">
        <v>0</v>
      </c>
      <c r="E31" s="5" t="s">
        <v>0</v>
      </c>
      <c r="F31" s="6" t="s">
        <v>0</v>
      </c>
    </row>
    <row r="32" spans="1:6" ht="25.5" customHeight="1">
      <c r="A32" s="74"/>
      <c r="B32" s="37" t="s">
        <v>41</v>
      </c>
      <c r="C32" s="5">
        <v>1</v>
      </c>
      <c r="D32" s="5" t="s">
        <v>0</v>
      </c>
      <c r="E32" s="5" t="s">
        <v>0</v>
      </c>
      <c r="F32" s="6" t="s">
        <v>0</v>
      </c>
    </row>
    <row r="33" spans="1:6">
      <c r="A33" s="75"/>
      <c r="B33" s="38" t="s">
        <v>42</v>
      </c>
      <c r="C33" s="9">
        <v>1</v>
      </c>
      <c r="D33" s="9" t="s">
        <v>0</v>
      </c>
      <c r="E33" s="9" t="s">
        <v>0</v>
      </c>
      <c r="F33" s="10" t="s">
        <v>0</v>
      </c>
    </row>
    <row r="34" spans="1:6">
      <c r="A34" s="76"/>
      <c r="B34" s="77"/>
      <c r="C34" s="77"/>
      <c r="D34" s="77"/>
      <c r="E34" s="77"/>
      <c r="F34" s="78"/>
    </row>
    <row r="35" spans="1:6" ht="15.75" customHeight="1">
      <c r="A35" s="76"/>
      <c r="B35" s="79"/>
      <c r="C35" s="79"/>
      <c r="D35" s="79"/>
      <c r="E35" s="79"/>
      <c r="F35" s="80"/>
    </row>
    <row r="36" spans="1:6" ht="14.45" customHeight="1">
      <c r="A36" s="76"/>
      <c r="B36" s="79"/>
      <c r="C36" s="79"/>
      <c r="D36" s="79"/>
      <c r="E36" s="79"/>
      <c r="F36" s="80"/>
    </row>
    <row r="37" spans="1:6">
      <c r="A37" s="76"/>
      <c r="B37" s="79"/>
      <c r="C37" s="79"/>
      <c r="D37" s="79"/>
      <c r="E37" s="79"/>
      <c r="F37" s="80"/>
    </row>
    <row r="38" spans="1:6">
      <c r="A38" s="76"/>
      <c r="B38" s="79"/>
      <c r="C38" s="79"/>
      <c r="D38" s="79"/>
      <c r="E38" s="79"/>
      <c r="F38" s="80"/>
    </row>
    <row r="39" spans="1:6">
      <c r="A39" s="81"/>
      <c r="B39" s="82"/>
      <c r="C39" s="82"/>
      <c r="D39" s="82"/>
      <c r="E39" s="82"/>
      <c r="F39" s="83"/>
    </row>
    <row r="40" spans="1:6">
      <c r="A40" s="84" t="s">
        <v>44</v>
      </c>
      <c r="B40" s="85"/>
      <c r="C40" s="86"/>
      <c r="D40" s="86"/>
      <c r="E40" s="85"/>
      <c r="F40" s="87"/>
    </row>
    <row r="41" spans="1:6" ht="15.75" customHeight="1">
      <c r="A41" s="88" t="s">
        <v>45</v>
      </c>
      <c r="B41" s="89"/>
      <c r="C41" s="90">
        <f>SUM(C7:D33)</f>
        <v>26</v>
      </c>
      <c r="D41" s="91"/>
      <c r="E41" s="14">
        <v>1</v>
      </c>
      <c r="F41" s="15" t="s">
        <v>46</v>
      </c>
    </row>
    <row r="42" spans="1:6" ht="15.75" customHeight="1">
      <c r="A42" s="48" t="s">
        <v>47</v>
      </c>
      <c r="B42" s="49"/>
      <c r="C42" s="52">
        <f>COUNTIF(C5:C31,1)</f>
        <v>22</v>
      </c>
      <c r="D42" s="53"/>
      <c r="E42" s="70">
        <f>C42/$C$41</f>
        <v>0.84615384615384615</v>
      </c>
      <c r="F42" s="16" t="s">
        <v>48</v>
      </c>
    </row>
    <row r="43" spans="1:6" ht="15.75" customHeight="1">
      <c r="A43" s="66"/>
      <c r="B43" s="67"/>
      <c r="C43" s="68"/>
      <c r="D43" s="69"/>
      <c r="E43" s="71"/>
      <c r="F43" s="17" t="s">
        <v>49</v>
      </c>
    </row>
    <row r="44" spans="1:6" ht="15.75" customHeight="1">
      <c r="A44" s="48" t="s">
        <v>50</v>
      </c>
      <c r="B44" s="49"/>
      <c r="C44" s="52">
        <f>COUNTIF(D7:D33,1)</f>
        <v>2</v>
      </c>
      <c r="D44" s="53"/>
      <c r="E44" s="70">
        <f>C44/$C$41</f>
        <v>7.6923076923076927E-2</v>
      </c>
      <c r="F44" s="18" t="s">
        <v>0</v>
      </c>
    </row>
    <row r="45" spans="1:6" ht="15.75" customHeight="1">
      <c r="A45" s="66"/>
      <c r="B45" s="67"/>
      <c r="C45" s="68"/>
      <c r="D45" s="69"/>
      <c r="E45" s="71"/>
      <c r="F45" s="18" t="s">
        <v>0</v>
      </c>
    </row>
    <row r="46" spans="1:6" ht="15.75" customHeight="1">
      <c r="A46" s="48" t="s">
        <v>51</v>
      </c>
      <c r="B46" s="49"/>
      <c r="C46" s="52">
        <f>COUNTIF(E7:E33,1)</f>
        <v>1</v>
      </c>
      <c r="D46" s="53"/>
      <c r="E46" s="56" t="s">
        <v>0</v>
      </c>
      <c r="F46" s="18" t="s">
        <v>0</v>
      </c>
    </row>
    <row r="47" spans="1:6" ht="15.75" customHeight="1">
      <c r="A47" s="50"/>
      <c r="B47" s="51"/>
      <c r="C47" s="54"/>
      <c r="D47" s="55"/>
      <c r="E47" s="57"/>
      <c r="F47" s="19" t="s">
        <v>0</v>
      </c>
    </row>
    <row r="48" spans="1:6" ht="15.75" customHeight="1">
      <c r="A48" s="24" t="s">
        <v>52</v>
      </c>
      <c r="B48" s="25"/>
      <c r="C48" s="25"/>
      <c r="D48" s="26"/>
      <c r="E48" s="20" t="s">
        <v>53</v>
      </c>
      <c r="F48" s="21" t="s">
        <v>0</v>
      </c>
    </row>
    <row r="49" spans="1:6" ht="15.75" customHeight="1">
      <c r="A49" s="27" t="s">
        <v>54</v>
      </c>
      <c r="B49" s="28"/>
      <c r="C49" s="28"/>
      <c r="D49" s="29"/>
      <c r="E49" s="30" t="s">
        <v>55</v>
      </c>
      <c r="F49" s="31"/>
    </row>
    <row r="50" spans="1:6">
      <c r="A50" s="58" t="s">
        <v>54</v>
      </c>
      <c r="B50" s="59"/>
      <c r="C50" s="59"/>
      <c r="D50" s="60"/>
      <c r="E50" s="61" t="s">
        <v>55</v>
      </c>
      <c r="F50" s="62"/>
    </row>
    <row r="51" spans="1:6" ht="33" customHeight="1">
      <c r="A51" s="63" t="s">
        <v>56</v>
      </c>
      <c r="B51" s="64"/>
      <c r="C51" s="64"/>
      <c r="D51" s="64"/>
      <c r="E51" s="64"/>
      <c r="F51" s="65"/>
    </row>
  </sheetData>
  <mergeCells count="25">
    <mergeCell ref="A46:B47"/>
    <mergeCell ref="C46:D47"/>
    <mergeCell ref="E46:E47"/>
    <mergeCell ref="A50:D50"/>
    <mergeCell ref="E50:F50"/>
    <mergeCell ref="A51:F51"/>
    <mergeCell ref="A42:B43"/>
    <mergeCell ref="C42:D43"/>
    <mergeCell ref="E42:E43"/>
    <mergeCell ref="A44:B45"/>
    <mergeCell ref="C44:D45"/>
    <mergeCell ref="E44:E45"/>
    <mergeCell ref="A7:A22"/>
    <mergeCell ref="A23:A33"/>
    <mergeCell ref="A34:F39"/>
    <mergeCell ref="A40:F40"/>
    <mergeCell ref="A41:B41"/>
    <mergeCell ref="C41:D41"/>
    <mergeCell ref="A1:B3"/>
    <mergeCell ref="C1:F1"/>
    <mergeCell ref="C2:F2"/>
    <mergeCell ref="C3:D3"/>
    <mergeCell ref="A5:B6"/>
    <mergeCell ref="C5:D5"/>
    <mergeCell ref="E5:E6"/>
  </mergeCells>
  <printOptions horizontalCentered="1" verticalCentered="1"/>
  <pageMargins left="0" right="0" top="0" bottom="0" header="0" footer="0"/>
  <pageSetup paperSize="281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 1</dc:creator>
  <cp:keywords/>
  <dc:description/>
  <cp:lastModifiedBy>Claudia Marcela Caballero Escorcia</cp:lastModifiedBy>
  <cp:revision/>
  <dcterms:created xsi:type="dcterms:W3CDTF">2015-01-27T17:14:42Z</dcterms:created>
  <dcterms:modified xsi:type="dcterms:W3CDTF">2026-08-26T01:51:16Z</dcterms:modified>
  <cp:category/>
  <cp:contentStatus/>
</cp:coreProperties>
</file>