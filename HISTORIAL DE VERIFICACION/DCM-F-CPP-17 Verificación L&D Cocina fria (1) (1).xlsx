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repesywaffles-my.sharepoint.com/personal/hillary_gutierrez_crepesywaffles_com/Documents/Documentos/PDV/ASEOS ESPECIALES/FORMATOS PLANTA DPR/FORMATOS L&amp;D PLANTA/"/>
    </mc:Choice>
  </mc:AlternateContent>
  <xr:revisionPtr revIDLastSave="674" documentId="13_ncr:1_{0D6E12AE-9CC0-4C42-B3E7-8DEC40152DE1}" xr6:coauthVersionLast="47" xr6:coauthVersionMax="47" xr10:uidLastSave="{963CFC9B-890E-4161-B19E-9AE8868B57FA}"/>
  <bookViews>
    <workbookView xWindow="-120" yWindow="-120" windowWidth="20730" windowHeight="11160" firstSheet="3" activeTab="6" xr2:uid="{00000000-000D-0000-FFFF-FFFF00000000}"/>
  </bookViews>
  <sheets>
    <sheet name="V2" sheetId="24" r:id="rId1"/>
    <sheet name="ENERO" sheetId="22" r:id="rId2"/>
    <sheet name="FEBRERO" sheetId="25" r:id="rId3"/>
    <sheet name="MARZO" sheetId="26" r:id="rId4"/>
    <sheet name="ABRIL" sheetId="27" r:id="rId5"/>
    <sheet name="MAYO" sheetId="28" r:id="rId6"/>
    <sheet name="JUNIO" sheetId="29" r:id="rId7"/>
    <sheet name="CONTROL DE CAMBIOS" sheetId="23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6" i="28" l="1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C56" i="29" s="1"/>
  <c r="Q48" i="28"/>
  <c r="P48" i="28"/>
  <c r="O48" i="28"/>
  <c r="N48" i="28"/>
  <c r="M48" i="28"/>
  <c r="L48" i="28"/>
  <c r="K48" i="28"/>
  <c r="J48" i="28"/>
  <c r="I48" i="28"/>
  <c r="H48" i="28"/>
  <c r="G48" i="28"/>
  <c r="F48" i="28"/>
  <c r="E48" i="28"/>
  <c r="D48" i="28"/>
  <c r="C48" i="28"/>
  <c r="C56" i="28" s="1"/>
  <c r="Q48" i="27"/>
  <c r="P48" i="27"/>
  <c r="O48" i="27"/>
  <c r="N48" i="27"/>
  <c r="M48" i="27"/>
  <c r="L48" i="27"/>
  <c r="K48" i="27"/>
  <c r="J48" i="27"/>
  <c r="I48" i="27"/>
  <c r="H48" i="27"/>
  <c r="G48" i="27"/>
  <c r="F48" i="27"/>
  <c r="E48" i="27"/>
  <c r="D48" i="27"/>
  <c r="C48" i="27"/>
  <c r="C56" i="27" s="1"/>
  <c r="Q48" i="26"/>
  <c r="P48" i="26"/>
  <c r="O48" i="26"/>
  <c r="N48" i="26"/>
  <c r="M48" i="26"/>
  <c r="L48" i="26"/>
  <c r="K48" i="26"/>
  <c r="J48" i="26"/>
  <c r="I48" i="26"/>
  <c r="H48" i="26"/>
  <c r="G48" i="26"/>
  <c r="F48" i="26"/>
  <c r="E48" i="26"/>
  <c r="D48" i="26"/>
  <c r="C48" i="26"/>
  <c r="C56" i="26" s="1"/>
  <c r="Q48" i="25"/>
  <c r="P48" i="25"/>
  <c r="O48" i="25"/>
  <c r="N48" i="25"/>
  <c r="M48" i="25"/>
  <c r="L48" i="25"/>
  <c r="K48" i="25"/>
  <c r="J48" i="25"/>
  <c r="I48" i="25"/>
  <c r="H48" i="25"/>
  <c r="G48" i="25"/>
  <c r="F48" i="25"/>
  <c r="E48" i="25"/>
  <c r="D48" i="25"/>
  <c r="C48" i="25"/>
  <c r="C56" i="25" s="1"/>
  <c r="Q48" i="24"/>
  <c r="P48" i="24"/>
  <c r="O48" i="24"/>
  <c r="N48" i="24"/>
  <c r="M48" i="24"/>
  <c r="L48" i="24"/>
  <c r="K48" i="24"/>
  <c r="J48" i="24"/>
  <c r="I48" i="24"/>
  <c r="H48" i="24"/>
  <c r="G48" i="24"/>
  <c r="F48" i="24"/>
  <c r="E48" i="24"/>
  <c r="D48" i="24"/>
  <c r="C48" i="24"/>
  <c r="C56" i="24" s="1"/>
  <c r="M56" i="22"/>
  <c r="C56" i="22"/>
  <c r="A58" i="22"/>
  <c r="M58" i="22"/>
  <c r="C61" i="22"/>
  <c r="C59" i="22"/>
  <c r="D48" i="22"/>
  <c r="E48" i="22"/>
  <c r="F48" i="22"/>
  <c r="G48" i="22"/>
  <c r="H48" i="22"/>
  <c r="I48" i="22"/>
  <c r="J48" i="22"/>
  <c r="K48" i="22"/>
  <c r="L48" i="22"/>
  <c r="M48" i="22"/>
  <c r="N48" i="22"/>
  <c r="O48" i="22"/>
  <c r="P48" i="22"/>
  <c r="Q48" i="22"/>
  <c r="C48" i="22"/>
  <c r="A58" i="29" l="1"/>
  <c r="M56" i="29" s="1"/>
  <c r="C59" i="29"/>
  <c r="C61" i="29"/>
  <c r="M58" i="29" s="1"/>
  <c r="A58" i="28"/>
  <c r="C59" i="28"/>
  <c r="C61" i="28"/>
  <c r="M58" i="28" s="1"/>
  <c r="A58" i="27"/>
  <c r="C59" i="27"/>
  <c r="C61" i="27"/>
  <c r="M58" i="27" s="1"/>
  <c r="M56" i="27" s="1"/>
  <c r="A58" i="26"/>
  <c r="C59" i="26"/>
  <c r="C61" i="26"/>
  <c r="M58" i="26" s="1"/>
  <c r="M56" i="26" s="1"/>
  <c r="A58" i="25"/>
  <c r="C59" i="25"/>
  <c r="C61" i="25"/>
  <c r="M58" i="25" s="1"/>
  <c r="M56" i="25" s="1"/>
  <c r="A58" i="24"/>
  <c r="C59" i="24"/>
  <c r="C61" i="24"/>
  <c r="M58" i="24" s="1"/>
  <c r="M56" i="24" s="1"/>
</calcChain>
</file>

<file path=xl/sharedStrings.xml><?xml version="1.0" encoding="utf-8"?>
<sst xmlns="http://schemas.openxmlformats.org/spreadsheetml/2006/main" count="671" uniqueCount="105">
  <si>
    <t>CALIDAD Y MEDIO AMBIENTE</t>
  </si>
  <si>
    <t xml:space="preserve">Verificación De Limpieza Y Desinfección Cocina Fría                    </t>
  </si>
  <si>
    <r>
      <rPr>
        <b/>
        <sz val="11"/>
        <color rgb="FF000000"/>
        <rFont val="Calibri"/>
        <scheme val="minor"/>
      </rPr>
      <t xml:space="preserve">Código: </t>
    </r>
    <r>
      <rPr>
        <sz val="11"/>
        <color rgb="FF000000"/>
        <rFont val="Calibri"/>
        <scheme val="minor"/>
      </rPr>
      <t>DCM-F-CPP-17</t>
    </r>
  </si>
  <si>
    <r>
      <rPr>
        <b/>
        <sz val="11"/>
        <color rgb="FF000000"/>
        <rFont val="Calibri"/>
        <scheme val="minor"/>
      </rPr>
      <t>Fecha:</t>
    </r>
    <r>
      <rPr>
        <sz val="11"/>
        <color rgb="FF000000"/>
        <rFont val="Calibri"/>
        <scheme val="minor"/>
      </rPr>
      <t xml:space="preserve"> 02-Feb-26</t>
    </r>
  </si>
  <si>
    <r>
      <rPr>
        <b/>
        <sz val="11"/>
        <color rgb="FF000000"/>
        <rFont val="Calibri"/>
        <scheme val="minor"/>
      </rPr>
      <t>Versión:</t>
    </r>
    <r>
      <rPr>
        <sz val="11"/>
        <color rgb="FF000000"/>
        <rFont val="Calibri"/>
        <scheme val="minor"/>
      </rPr>
      <t xml:space="preserve"> 02</t>
    </r>
  </si>
  <si>
    <t>VERIFICACIÓN REALIZADA POR :___________________________________</t>
  </si>
  <si>
    <t>FECHA Y HORA : ___________________</t>
  </si>
  <si>
    <t>ASPECTO</t>
  </si>
  <si>
    <t xml:space="preserve">CONOS </t>
  </si>
  <si>
    <t>REPOSTERÍA</t>
  </si>
  <si>
    <t>FRUVER</t>
  </si>
  <si>
    <t>CARNES</t>
  </si>
  <si>
    <t>FORMULACIONES</t>
  </si>
  <si>
    <t>SATISFACTORIO</t>
  </si>
  <si>
    <t>NA</t>
  </si>
  <si>
    <t>SI</t>
  </si>
  <si>
    <t>NO</t>
  </si>
  <si>
    <t>ASPECTOS GENERALES</t>
  </si>
  <si>
    <t>Acceso / Puertas de acceso</t>
  </si>
  <si>
    <t>Paredes / Paredes polipanel</t>
  </si>
  <si>
    <t>Lamparas</t>
  </si>
  <si>
    <t>Techos (partes altas)</t>
  </si>
  <si>
    <t>Ventanas</t>
  </si>
  <si>
    <t>Mesones/mesón nevera</t>
  </si>
  <si>
    <t>Entrepaño mesones</t>
  </si>
  <si>
    <t>Procesador hobart</t>
  </si>
  <si>
    <t xml:space="preserve">Porta Carpetas </t>
  </si>
  <si>
    <t>Tablas de corte</t>
  </si>
  <si>
    <t>Estibas plásticas</t>
  </si>
  <si>
    <t>Canastilas</t>
  </si>
  <si>
    <t xml:space="preserve">Repisa </t>
  </si>
  <si>
    <t>Estantería</t>
  </si>
  <si>
    <t>Poceta de desinfección</t>
  </si>
  <si>
    <t>Porta termometro</t>
  </si>
  <si>
    <t>Dispensador de papel</t>
  </si>
  <si>
    <t>Porta cuchilo</t>
  </si>
  <si>
    <t>Jaboneras</t>
  </si>
  <si>
    <t>Tapas grises</t>
  </si>
  <si>
    <t>Utensilios y recipientes plásticos</t>
  </si>
  <si>
    <t>Utensilios de L &amp; D</t>
  </si>
  <si>
    <t>Pisos</t>
  </si>
  <si>
    <t>Punto de higiene</t>
  </si>
  <si>
    <t>Sifón (es)y/o canalina</t>
  </si>
  <si>
    <t>Tapas de enchufes e interruptores</t>
  </si>
  <si>
    <t>Tuberiasde servicios</t>
  </si>
  <si>
    <t>Canecas de residuos</t>
  </si>
  <si>
    <t>Orden en el area</t>
  </si>
  <si>
    <t>EQUIPOS Y UTENSILIOS</t>
  </si>
  <si>
    <t xml:space="preserve">Estufas </t>
  </si>
  <si>
    <t>Coneras</t>
  </si>
  <si>
    <t>Moldes coneras</t>
  </si>
  <si>
    <t>Campana extractora</t>
  </si>
  <si>
    <t>Licuadora Pequeña</t>
  </si>
  <si>
    <t>Licuadora Industrial</t>
  </si>
  <si>
    <t>Batidora</t>
  </si>
  <si>
    <t>Evaporadores</t>
  </si>
  <si>
    <t>Ventilador</t>
  </si>
  <si>
    <t>Extractor</t>
  </si>
  <si>
    <t>Balanzas</t>
  </si>
  <si>
    <t>TOTAL</t>
  </si>
  <si>
    <t>% POR AREA</t>
  </si>
  <si>
    <t xml:space="preserve">COMENTARIOS: </t>
  </si>
  <si>
    <t>NOVEDADES BPM Y CONTAMINACIÓN CRUZADA:</t>
  </si>
  <si>
    <t>NOVEDADES MANTENIMIENTO:</t>
  </si>
  <si>
    <t>PARA DILIGENCIAMIENTO DE LA DIRECCIÓN DE CALIDAD</t>
  </si>
  <si>
    <t xml:space="preserve">TOTAL ASPECTOS CALIFICADOS: </t>
  </si>
  <si>
    <t xml:space="preserve">CALIFICACIÓN=   </t>
  </si>
  <si>
    <t xml:space="preserve">SATISFACTORIO: </t>
  </si>
  <si>
    <t>(Total - No aplica)</t>
  </si>
  <si>
    <t xml:space="preserve">NO SATISFATORIO:   </t>
  </si>
  <si>
    <t xml:space="preserve">NO APLICA:   </t>
  </si>
  <si>
    <t xml:space="preserve">Responsable Diligenciamiento: </t>
  </si>
  <si>
    <t>Verificado por:</t>
  </si>
  <si>
    <t>Cargo:</t>
  </si>
  <si>
    <t>Dirección de Calidad</t>
  </si>
  <si>
    <r>
      <rPr>
        <b/>
        <sz val="12"/>
        <color rgb="FF000000"/>
        <rFont val="Calibri"/>
        <scheme val="minor"/>
      </rPr>
      <t xml:space="preserve">CÓDIGO: </t>
    </r>
    <r>
      <rPr>
        <sz val="12"/>
        <color rgb="FF000000"/>
        <rFont val="Calibri"/>
        <scheme val="minor"/>
      </rPr>
      <t>DCM-F-CPP-17</t>
    </r>
    <r>
      <rPr>
        <b/>
        <sz val="12"/>
        <color rgb="FF000000"/>
        <rFont val="Calibri"/>
        <scheme val="minor"/>
      </rPr>
      <t xml:space="preserve"> / PREPARADO POR: </t>
    </r>
    <r>
      <rPr>
        <sz val="12"/>
        <color rgb="FF000000"/>
        <rFont val="Calibri"/>
        <scheme val="minor"/>
      </rPr>
      <t>Auxiliar de calidad</t>
    </r>
    <r>
      <rPr>
        <b/>
        <sz val="12"/>
        <color rgb="FF000000"/>
        <rFont val="Calibri"/>
        <scheme val="minor"/>
      </rPr>
      <t xml:space="preserve"> / REVISADO POR: </t>
    </r>
    <r>
      <rPr>
        <sz val="12"/>
        <color rgb="FF000000"/>
        <rFont val="Calibri"/>
        <scheme val="minor"/>
      </rPr>
      <t>Coordinación de calidad</t>
    </r>
    <r>
      <rPr>
        <b/>
        <sz val="12"/>
        <color rgb="FF000000"/>
        <rFont val="Calibri"/>
        <scheme val="minor"/>
      </rPr>
      <t xml:space="preserve"> / APROBADO POR: </t>
    </r>
    <r>
      <rPr>
        <sz val="12"/>
        <color rgb="FF000000"/>
        <rFont val="Calibri"/>
        <scheme val="minor"/>
      </rPr>
      <t>Dirección de Calidad y Medio Ambiente</t>
    </r>
    <r>
      <rPr>
        <b/>
        <sz val="12"/>
        <color rgb="FF000000"/>
        <rFont val="Calibri"/>
        <scheme val="minor"/>
      </rPr>
      <t xml:space="preserve"> / FECHA: </t>
    </r>
    <r>
      <rPr>
        <sz val="12"/>
        <color rgb="FF000000"/>
        <rFont val="Calibri"/>
        <scheme val="minor"/>
      </rPr>
      <t>02-FEB-26</t>
    </r>
    <r>
      <rPr>
        <b/>
        <sz val="12"/>
        <color rgb="FF000000"/>
        <rFont val="Calibri"/>
        <scheme val="minor"/>
      </rPr>
      <t xml:space="preserve"> / VERSIÓN: </t>
    </r>
    <r>
      <rPr>
        <sz val="12"/>
        <color rgb="FF000000"/>
        <rFont val="Calibri"/>
        <scheme val="minor"/>
      </rPr>
      <t xml:space="preserve">02
</t>
    </r>
    <r>
      <rPr>
        <b/>
        <sz val="12"/>
        <color rgb="FF000000"/>
        <rFont val="Calibri"/>
        <scheme val="minor"/>
      </rPr>
      <t>DOCUMENTO CONTROLADO</t>
    </r>
  </si>
  <si>
    <t>ÁREA DIRECCIÓN DE CALIDAD</t>
  </si>
  <si>
    <r>
      <rPr>
        <b/>
        <sz val="11"/>
        <color theme="1"/>
        <rFont val="Calibri"/>
        <family val="2"/>
        <scheme val="minor"/>
      </rPr>
      <t xml:space="preserve">Código: </t>
    </r>
    <r>
      <rPr>
        <sz val="11"/>
        <color theme="1"/>
        <rFont val="Calibri"/>
        <family val="2"/>
        <scheme val="minor"/>
      </rPr>
      <t>DCM-F-DPR-17</t>
    </r>
  </si>
  <si>
    <r>
      <rPr>
        <b/>
        <sz val="11"/>
        <color theme="1"/>
        <rFont val="Calibri"/>
        <family val="2"/>
        <scheme val="minor"/>
      </rPr>
      <t>Fecha:</t>
    </r>
    <r>
      <rPr>
        <sz val="11"/>
        <color theme="1"/>
        <rFont val="Calibri"/>
        <family val="2"/>
        <scheme val="minor"/>
      </rPr>
      <t xml:space="preserve"> 28-Abr-25</t>
    </r>
  </si>
  <si>
    <r>
      <rPr>
        <b/>
        <sz val="11"/>
        <color theme="1"/>
        <rFont val="Calibri"/>
        <family val="2"/>
        <scheme val="minor"/>
      </rPr>
      <t>Versión:</t>
    </r>
    <r>
      <rPr>
        <sz val="11"/>
        <color theme="1"/>
        <rFont val="Calibri"/>
        <family val="2"/>
        <scheme val="minor"/>
      </rPr>
      <t xml:space="preserve"> 01</t>
    </r>
  </si>
  <si>
    <r>
      <rPr>
        <b/>
        <sz val="12"/>
        <color rgb="FF000000"/>
        <rFont val="Calibri"/>
        <scheme val="minor"/>
      </rPr>
      <t xml:space="preserve">CÓDIGO: </t>
    </r>
    <r>
      <rPr>
        <sz val="12"/>
        <color rgb="FF000000"/>
        <rFont val="Calibri"/>
        <scheme val="minor"/>
      </rPr>
      <t>DCM-F-DPR-17</t>
    </r>
    <r>
      <rPr>
        <b/>
        <sz val="12"/>
        <color rgb="FF000000"/>
        <rFont val="Calibri"/>
        <scheme val="minor"/>
      </rPr>
      <t xml:space="preserve"> / PREPARADO POR: </t>
    </r>
    <r>
      <rPr>
        <sz val="12"/>
        <color rgb="FF000000"/>
        <rFont val="Calibri"/>
        <scheme val="minor"/>
      </rPr>
      <t>Auxiliar de calidad</t>
    </r>
    <r>
      <rPr>
        <b/>
        <sz val="12"/>
        <color rgb="FF000000"/>
        <rFont val="Calibri"/>
        <scheme val="minor"/>
      </rPr>
      <t xml:space="preserve"> / REVISADO POR: </t>
    </r>
    <r>
      <rPr>
        <sz val="12"/>
        <color rgb="FF000000"/>
        <rFont val="Calibri"/>
        <scheme val="minor"/>
      </rPr>
      <t>Coordinador de calidad</t>
    </r>
    <r>
      <rPr>
        <b/>
        <sz val="12"/>
        <color rgb="FF000000"/>
        <rFont val="Calibri"/>
        <scheme val="minor"/>
      </rPr>
      <t xml:space="preserve"> / APROBADO POR: </t>
    </r>
    <r>
      <rPr>
        <sz val="12"/>
        <color rgb="FF000000"/>
        <rFont val="Calibri"/>
        <scheme val="minor"/>
      </rPr>
      <t>Directora de Calidad y Medio Ambiente</t>
    </r>
    <r>
      <rPr>
        <b/>
        <sz val="12"/>
        <color rgb="FF000000"/>
        <rFont val="Calibri"/>
        <scheme val="minor"/>
      </rPr>
      <t xml:space="preserve"> / FECHA: </t>
    </r>
    <r>
      <rPr>
        <sz val="12"/>
        <color rgb="FF000000"/>
        <rFont val="Calibri"/>
        <scheme val="minor"/>
      </rPr>
      <t>28-Abr-25</t>
    </r>
    <r>
      <rPr>
        <b/>
        <sz val="12"/>
        <color rgb="FF000000"/>
        <rFont val="Calibri"/>
        <scheme val="minor"/>
      </rPr>
      <t xml:space="preserve"> / VERSIÓN: </t>
    </r>
    <r>
      <rPr>
        <sz val="12"/>
        <color rgb="FF000000"/>
        <rFont val="Calibri"/>
        <scheme val="minor"/>
      </rPr>
      <t xml:space="preserve">01
</t>
    </r>
    <r>
      <rPr>
        <b/>
        <sz val="12"/>
        <color rgb="FF000000"/>
        <rFont val="Calibri"/>
        <scheme val="minor"/>
      </rPr>
      <t>DOCUMENTO CONTROLADO</t>
    </r>
  </si>
  <si>
    <r>
      <rPr>
        <b/>
        <sz val="11"/>
        <color rgb="FF000000"/>
        <rFont val="Calibri"/>
        <scheme val="minor"/>
      </rPr>
      <t xml:space="preserve">NOVEDADES BPM Y CONTAMINACIÓN CRUZADA: </t>
    </r>
    <r>
      <rPr>
        <sz val="11"/>
        <color rgb="FF000000"/>
        <rFont val="Calibri"/>
        <scheme val="minor"/>
      </rPr>
      <t>Paredes de conos sucias y presentan humedad, se evidencian canecas en área de</t>
    </r>
  </si>
  <si>
    <t xml:space="preserve"> cono con presencia de mohosidad, chocolatería paredes sucias, utensilios plásticos con etiquetas viejas en área de formulación, balanzas sucias </t>
  </si>
  <si>
    <r>
      <rPr>
        <b/>
        <sz val="11"/>
        <color rgb="FF000000"/>
        <rFont val="Calibri"/>
        <scheme val="minor"/>
      </rPr>
      <t xml:space="preserve">NOVEDADES MANTENIMIENTO:  </t>
    </r>
    <r>
      <rPr>
        <sz val="11"/>
        <color rgb="FF000000"/>
        <rFont val="Calibri"/>
        <scheme val="minor"/>
      </rPr>
      <t>Resanar pisos, pared rota en área de formulación, lámparas sucias en fruver, carnes. No hay tapas de enchufes</t>
    </r>
    <r>
      <rPr>
        <b/>
        <sz val="11"/>
        <color rgb="FF000000"/>
        <rFont val="Calibri"/>
        <scheme val="minor"/>
      </rPr>
      <t>.</t>
    </r>
  </si>
  <si>
    <t>Responsable Diligenciamiento: Hillary Gutierrez</t>
  </si>
  <si>
    <t>Cargo: Auxiliar de calidad</t>
  </si>
  <si>
    <r>
      <rPr>
        <b/>
        <sz val="12"/>
        <color rgb="FF000000"/>
        <rFont val="Calibri"/>
        <scheme val="minor"/>
      </rPr>
      <t xml:space="preserve">CÓDIGO: </t>
    </r>
    <r>
      <rPr>
        <sz val="12"/>
        <color rgb="FF000000"/>
        <rFont val="Calibri"/>
        <scheme val="minor"/>
      </rPr>
      <t>DCM-F-CPP-17</t>
    </r>
    <r>
      <rPr>
        <b/>
        <sz val="12"/>
        <color rgb="FF000000"/>
        <rFont val="Calibri"/>
        <scheme val="minor"/>
      </rPr>
      <t xml:space="preserve"> / PREPARADO POR: </t>
    </r>
    <r>
      <rPr>
        <sz val="12"/>
        <color rgb="FF000000"/>
        <rFont val="Calibri"/>
        <scheme val="minor"/>
      </rPr>
      <t>Auxiliar de calidad</t>
    </r>
    <r>
      <rPr>
        <b/>
        <sz val="12"/>
        <color rgb="FF000000"/>
        <rFont val="Calibri"/>
        <scheme val="minor"/>
      </rPr>
      <t xml:space="preserve"> / REVISADO POR: </t>
    </r>
    <r>
      <rPr>
        <sz val="12"/>
        <color rgb="FF000000"/>
        <rFont val="Calibri"/>
        <scheme val="minor"/>
      </rPr>
      <t>Coordinador de calidad</t>
    </r>
    <r>
      <rPr>
        <b/>
        <sz val="12"/>
        <color rgb="FF000000"/>
        <rFont val="Calibri"/>
        <scheme val="minor"/>
      </rPr>
      <t xml:space="preserve"> / APROBADO POR: </t>
    </r>
    <r>
      <rPr>
        <sz val="12"/>
        <color rgb="FF000000"/>
        <rFont val="Calibri"/>
        <scheme val="minor"/>
      </rPr>
      <t>Directora de Calidad y Medio Ambiente</t>
    </r>
    <r>
      <rPr>
        <b/>
        <sz val="12"/>
        <color rgb="FF000000"/>
        <rFont val="Calibri"/>
        <scheme val="minor"/>
      </rPr>
      <t xml:space="preserve"> / FECHA: 02-Feb-26/ VERSIÓN: </t>
    </r>
    <r>
      <rPr>
        <sz val="12"/>
        <color rgb="FF000000"/>
        <rFont val="Calibri"/>
        <scheme val="minor"/>
      </rPr>
      <t xml:space="preserve">02
</t>
    </r>
    <r>
      <rPr>
        <b/>
        <sz val="12"/>
        <color rgb="FF000000"/>
        <rFont val="Calibri"/>
        <scheme val="minor"/>
      </rPr>
      <t>DOCUMENTO CONTROLADO</t>
    </r>
  </si>
  <si>
    <t>VERIFICACIÓN REALIZADA POR :_Hillary Gutierrez__________________________________</t>
  </si>
  <si>
    <r>
      <rPr>
        <b/>
        <sz val="8"/>
        <color rgb="FF000000"/>
        <rFont val="Arial"/>
      </rPr>
      <t>FECHA Y HORA : _</t>
    </r>
    <r>
      <rPr>
        <b/>
        <u/>
        <sz val="8"/>
        <color rgb="FF000000"/>
        <rFont val="Arial"/>
      </rPr>
      <t>01-04-2026</t>
    </r>
  </si>
  <si>
    <t>En área de fromulación se evidencian recipientes plásticos con residuos de pegantes.</t>
  </si>
  <si>
    <t>Se evidencia lavado de utensilios en puntos de higiene en conos y repostería.</t>
  </si>
  <si>
    <t xml:space="preserve">Reforzar sellamiento de ventana repostería, ausencia de soporte para utensilios de L &amp; D </t>
  </si>
  <si>
    <t>en fruver.</t>
  </si>
  <si>
    <r>
      <t xml:space="preserve">CÓDIGO: </t>
    </r>
    <r>
      <rPr>
        <sz val="12"/>
        <color theme="1"/>
        <rFont val="Calibri"/>
        <family val="2"/>
        <scheme val="minor"/>
      </rPr>
      <t>DCM-F-DPR-17</t>
    </r>
    <r>
      <rPr>
        <b/>
        <sz val="12"/>
        <color theme="1"/>
        <rFont val="Calibri"/>
        <family val="2"/>
        <scheme val="minor"/>
      </rPr>
      <t xml:space="preserve"> / PREPARADO POR: </t>
    </r>
    <r>
      <rPr>
        <sz val="12"/>
        <color theme="1"/>
        <rFont val="Calibri"/>
        <family val="2"/>
        <scheme val="minor"/>
      </rPr>
      <t>Auxiliar de calidad</t>
    </r>
    <r>
      <rPr>
        <b/>
        <sz val="12"/>
        <color theme="1"/>
        <rFont val="Calibri"/>
        <family val="2"/>
        <scheme val="minor"/>
      </rPr>
      <t xml:space="preserve"> / REVISADO POR: </t>
    </r>
    <r>
      <rPr>
        <sz val="12"/>
        <color theme="1"/>
        <rFont val="Calibri"/>
        <family val="2"/>
        <scheme val="minor"/>
      </rPr>
      <t>Coordinador de calidad</t>
    </r>
    <r>
      <rPr>
        <b/>
        <sz val="12"/>
        <color theme="1"/>
        <rFont val="Calibri"/>
        <family val="2"/>
        <scheme val="minor"/>
      </rPr>
      <t xml:space="preserve"> / APROBADO POR: </t>
    </r>
    <r>
      <rPr>
        <sz val="12"/>
        <color theme="1"/>
        <rFont val="Calibri"/>
        <family val="2"/>
        <scheme val="minor"/>
      </rPr>
      <t>Directora de Calidad y Medio Ambiente</t>
    </r>
    <r>
      <rPr>
        <b/>
        <sz val="12"/>
        <color theme="1"/>
        <rFont val="Calibri"/>
        <family val="2"/>
        <scheme val="minor"/>
      </rPr>
      <t xml:space="preserve"> / FECHA: </t>
    </r>
    <r>
      <rPr>
        <sz val="12"/>
        <color theme="1"/>
        <rFont val="Calibri"/>
        <family val="2"/>
        <scheme val="minor"/>
      </rPr>
      <t>28-Abr-25</t>
    </r>
    <r>
      <rPr>
        <b/>
        <sz val="12"/>
        <color theme="1"/>
        <rFont val="Calibri"/>
        <family val="2"/>
        <scheme val="minor"/>
      </rPr>
      <t xml:space="preserve"> / VERSIÓN: </t>
    </r>
    <r>
      <rPr>
        <sz val="12"/>
        <color theme="1"/>
        <rFont val="Calibri"/>
        <family val="2"/>
        <scheme val="minor"/>
      </rPr>
      <t>01</t>
    </r>
    <r>
      <rPr>
        <b/>
        <sz val="12"/>
        <color theme="1"/>
        <rFont val="Calibri"/>
        <family val="2"/>
        <scheme val="minor"/>
      </rPr>
      <t xml:space="preserve">
DOCUMENTO CONTROLADO</t>
    </r>
  </si>
  <si>
    <r>
      <rPr>
        <b/>
        <sz val="8"/>
        <color rgb="FF000000"/>
        <rFont val="Arial"/>
      </rPr>
      <t>FECHA Y HORA : _28-05</t>
    </r>
    <r>
      <rPr>
        <b/>
        <u/>
        <sz val="8"/>
        <color rgb="FF000000"/>
        <rFont val="Arial"/>
      </rPr>
      <t>-2026</t>
    </r>
  </si>
  <si>
    <t>Se evidencia acumulación de humedad en paredes del área de conos.</t>
  </si>
  <si>
    <t>Pared del área de formulación de helados presenta humedad.</t>
  </si>
  <si>
    <t>FECHA Y HORA : _</t>
  </si>
  <si>
    <t>En área de conos y formulación de helados se evidencia humedad en paredes.</t>
  </si>
  <si>
    <t>Tabla de corte roja del área de carnes presenta rayaduras.</t>
  </si>
  <si>
    <t>CONTROL DE CAMBIOS</t>
  </si>
  <si>
    <t>VERSIÓN</t>
  </si>
  <si>
    <t>FECHA</t>
  </si>
  <si>
    <t>DESCRIPCIÓN DE CAMBIOS</t>
  </si>
  <si>
    <t>APROBADO 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</si>
</sst>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7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5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b/>
      <sz val="8"/>
      <color rgb="FF000000"/>
      <name val="Arial"/>
    </font>
    <font>
      <b/>
      <u/>
      <sz val="8"/>
      <color rgb="FF000000"/>
      <name val="Arial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31"/>
      </patternFill>
    </fill>
  </fills>
  <borders count="6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28">
    <xf numFmtId="0" fontId="0" fillId="0" borderId="0" xfId="0"/>
    <xf numFmtId="0" fontId="3" fillId="2" borderId="2" xfId="1" applyFont="1" applyFill="1" applyBorder="1" applyAlignment="1">
      <alignment vertical="center"/>
    </xf>
    <xf numFmtId="0" fontId="3" fillId="2" borderId="3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4" fillId="2" borderId="31" xfId="1" applyFont="1" applyFill="1" applyBorder="1" applyAlignment="1">
      <alignment horizontal="center" vertical="center" wrapText="1"/>
    </xf>
    <xf numFmtId="0" fontId="6" fillId="2" borderId="32" xfId="1" applyFont="1" applyFill="1" applyBorder="1" applyAlignment="1">
      <alignment horizontal="center" vertical="center"/>
    </xf>
    <xf numFmtId="0" fontId="6" fillId="2" borderId="33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3" fillId="2" borderId="18" xfId="1" applyFont="1" applyFill="1" applyBorder="1" applyAlignment="1">
      <alignment vertical="center"/>
    </xf>
    <xf numFmtId="0" fontId="3" fillId="2" borderId="19" xfId="1" applyFont="1" applyFill="1" applyBorder="1" applyAlignment="1">
      <alignment vertical="center"/>
    </xf>
    <xf numFmtId="0" fontId="3" fillId="2" borderId="17" xfId="1" applyFont="1" applyFill="1" applyBorder="1" applyAlignment="1">
      <alignment vertical="center"/>
    </xf>
    <xf numFmtId="0" fontId="4" fillId="2" borderId="37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/>
    </xf>
    <xf numFmtId="0" fontId="5" fillId="3" borderId="40" xfId="1" applyFont="1" applyFill="1" applyBorder="1" applyAlignment="1">
      <alignment horizontal="center" vertical="center"/>
    </xf>
    <xf numFmtId="0" fontId="5" fillId="3" borderId="41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3" borderId="11" xfId="1" applyFont="1" applyFill="1" applyBorder="1" applyAlignment="1">
      <alignment horizontal="center" vertical="center"/>
    </xf>
    <xf numFmtId="0" fontId="5" fillId="3" borderId="12" xfId="1" applyFont="1" applyFill="1" applyBorder="1" applyAlignment="1">
      <alignment horizontal="center" vertical="center"/>
    </xf>
    <xf numFmtId="0" fontId="5" fillId="2" borderId="43" xfId="1" applyFont="1" applyFill="1" applyBorder="1" applyAlignment="1">
      <alignment horizontal="center" vertical="center"/>
    </xf>
    <xf numFmtId="0" fontId="5" fillId="2" borderId="44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4" fillId="2" borderId="46" xfId="1" applyFont="1" applyFill="1" applyBorder="1" applyAlignment="1">
      <alignment horizontal="center" vertical="center" wrapText="1"/>
    </xf>
    <xf numFmtId="0" fontId="6" fillId="2" borderId="28" xfId="1" applyFont="1" applyFill="1" applyBorder="1" applyAlignment="1">
      <alignment horizontal="center" vertical="center"/>
    </xf>
    <xf numFmtId="0" fontId="6" fillId="2" borderId="30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 wrapText="1"/>
    </xf>
    <xf numFmtId="0" fontId="6" fillId="2" borderId="26" xfId="1" applyFont="1" applyFill="1" applyBorder="1" applyAlignment="1">
      <alignment horizontal="center" vertical="center" wrapText="1"/>
    </xf>
    <xf numFmtId="0" fontId="4" fillId="2" borderId="26" xfId="1" applyFont="1" applyFill="1" applyBorder="1" applyAlignment="1">
      <alignment horizontal="center" vertical="center" wrapText="1"/>
    </xf>
    <xf numFmtId="0" fontId="5" fillId="3" borderId="33" xfId="1" applyFont="1" applyFill="1" applyBorder="1" applyAlignment="1">
      <alignment horizontal="center" vertical="center"/>
    </xf>
    <xf numFmtId="0" fontId="5" fillId="3" borderId="32" xfId="1" applyFont="1" applyFill="1" applyBorder="1" applyAlignment="1">
      <alignment horizontal="center" vertical="center"/>
    </xf>
    <xf numFmtId="0" fontId="5" fillId="2" borderId="50" xfId="1" applyFont="1" applyFill="1" applyBorder="1" applyAlignment="1">
      <alignment horizontal="left" vertical="center" wrapText="1"/>
    </xf>
    <xf numFmtId="0" fontId="5" fillId="2" borderId="51" xfId="1" applyFont="1" applyFill="1" applyBorder="1" applyAlignment="1">
      <alignment horizontal="left" vertical="center" wrapText="1"/>
    </xf>
    <xf numFmtId="0" fontId="5" fillId="2" borderId="52" xfId="1" applyFont="1" applyFill="1" applyBorder="1" applyAlignment="1">
      <alignment horizontal="left" vertical="center" wrapText="1"/>
    </xf>
    <xf numFmtId="0" fontId="5" fillId="2" borderId="51" xfId="1" applyFont="1" applyFill="1" applyBorder="1" applyAlignment="1">
      <alignment horizontal="left"/>
    </xf>
    <xf numFmtId="0" fontId="8" fillId="2" borderId="19" xfId="1" applyFont="1" applyFill="1" applyBorder="1"/>
    <xf numFmtId="0" fontId="10" fillId="2" borderId="4" xfId="0" applyFont="1" applyFill="1" applyBorder="1"/>
    <xf numFmtId="0" fontId="0" fillId="0" borderId="4" xfId="0" applyBorder="1"/>
    <xf numFmtId="0" fontId="0" fillId="0" borderId="3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1" fillId="0" borderId="0" xfId="0" applyFont="1"/>
    <xf numFmtId="0" fontId="1" fillId="0" borderId="6" xfId="0" applyFont="1" applyBorder="1"/>
    <xf numFmtId="0" fontId="4" fillId="2" borderId="28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29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0" fontId="7" fillId="2" borderId="11" xfId="1" applyFont="1" applyFill="1" applyBorder="1" applyAlignment="1">
      <alignment horizontal="center" vertical="center" wrapText="1"/>
    </xf>
    <xf numFmtId="0" fontId="7" fillId="2" borderId="37" xfId="1" applyFont="1" applyFill="1" applyBorder="1" applyAlignment="1">
      <alignment horizontal="center" vertical="center" wrapText="1"/>
    </xf>
    <xf numFmtId="0" fontId="7" fillId="2" borderId="43" xfId="1" applyFont="1" applyFill="1" applyBorder="1" applyAlignment="1">
      <alignment horizontal="center" vertical="center" wrapText="1"/>
    </xf>
    <xf numFmtId="0" fontId="4" fillId="2" borderId="44" xfId="1" applyFont="1" applyFill="1" applyBorder="1" applyAlignment="1">
      <alignment horizontal="center" vertical="center" wrapText="1"/>
    </xf>
    <xf numFmtId="0" fontId="4" fillId="3" borderId="27" xfId="1" applyFont="1" applyFill="1" applyBorder="1" applyAlignment="1">
      <alignment horizontal="center"/>
    </xf>
    <xf numFmtId="0" fontId="4" fillId="2" borderId="37" xfId="1" applyFont="1" applyFill="1" applyBorder="1" applyAlignment="1">
      <alignment horizontal="center"/>
    </xf>
    <xf numFmtId="0" fontId="5" fillId="3" borderId="37" xfId="1" applyFont="1" applyFill="1" applyBorder="1" applyAlignment="1">
      <alignment horizontal="center" vertical="center" wrapText="1"/>
    </xf>
    <xf numFmtId="0" fontId="5" fillId="2" borderId="37" xfId="1" applyFont="1" applyFill="1" applyBorder="1" applyAlignment="1">
      <alignment horizontal="center" vertical="center" wrapText="1"/>
    </xf>
    <xf numFmtId="0" fontId="5" fillId="2" borderId="42" xfId="1" applyFont="1" applyFill="1" applyBorder="1" applyAlignment="1">
      <alignment horizontal="center" vertical="center" wrapText="1"/>
    </xf>
    <xf numFmtId="0" fontId="4" fillId="3" borderId="27" xfId="1" applyFont="1" applyFill="1" applyBorder="1" applyAlignment="1">
      <alignment horizontal="center" vertical="center"/>
    </xf>
    <xf numFmtId="0" fontId="4" fillId="3" borderId="48" xfId="1" applyFont="1" applyFill="1" applyBorder="1" applyAlignment="1">
      <alignment horizontal="center" vertical="center"/>
    </xf>
    <xf numFmtId="0" fontId="4" fillId="2" borderId="41" xfId="1" applyFont="1" applyFill="1" applyBorder="1" applyAlignment="1">
      <alignment horizontal="center" vertical="center"/>
    </xf>
    <xf numFmtId="0" fontId="4" fillId="2" borderId="40" xfId="1" applyFont="1" applyFill="1" applyBorder="1" applyAlignment="1">
      <alignment horizontal="center" vertical="center"/>
    </xf>
    <xf numFmtId="0" fontId="4" fillId="2" borderId="37" xfId="1" applyFont="1" applyFill="1" applyBorder="1" applyAlignment="1">
      <alignment horizontal="center" vertical="center"/>
    </xf>
    <xf numFmtId="0" fontId="4" fillId="3" borderId="12" xfId="1" applyFont="1" applyFill="1" applyBorder="1" applyAlignment="1">
      <alignment horizontal="center"/>
    </xf>
    <xf numFmtId="0" fontId="4" fillId="3" borderId="11" xfId="1" applyFont="1" applyFill="1" applyBorder="1" applyAlignment="1">
      <alignment horizontal="center"/>
    </xf>
    <xf numFmtId="0" fontId="4" fillId="2" borderId="12" xfId="1" applyFont="1" applyFill="1" applyBorder="1" applyAlignment="1">
      <alignment horizontal="center"/>
    </xf>
    <xf numFmtId="0" fontId="4" fillId="2" borderId="11" xfId="1" applyFont="1" applyFill="1" applyBorder="1" applyAlignment="1">
      <alignment horizontal="center"/>
    </xf>
    <xf numFmtId="0" fontId="5" fillId="2" borderId="36" xfId="1" applyFont="1" applyFill="1" applyBorder="1" applyAlignment="1">
      <alignment horizontal="center" vertical="center" wrapText="1"/>
    </xf>
    <xf numFmtId="0" fontId="5" fillId="2" borderId="45" xfId="1" applyFont="1" applyFill="1" applyBorder="1" applyAlignment="1">
      <alignment horizontal="center" vertical="center" wrapText="1"/>
    </xf>
    <xf numFmtId="0" fontId="5" fillId="2" borderId="43" xfId="1" applyFont="1" applyFill="1" applyBorder="1" applyAlignment="1">
      <alignment horizontal="center" vertical="center" wrapText="1"/>
    </xf>
    <xf numFmtId="0" fontId="5" fillId="2" borderId="27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3" fillId="2" borderId="23" xfId="1" applyFont="1" applyFill="1" applyBorder="1" applyAlignment="1">
      <alignment horizontal="center" vertical="center"/>
    </xf>
    <xf numFmtId="0" fontId="6" fillId="2" borderId="39" xfId="1" applyFont="1" applyFill="1" applyBorder="1" applyAlignment="1">
      <alignment horizontal="center" vertical="center"/>
    </xf>
    <xf numFmtId="0" fontId="6" fillId="2" borderId="29" xfId="1" applyFont="1" applyFill="1" applyBorder="1" applyAlignment="1">
      <alignment horizontal="center" vertical="center"/>
    </xf>
    <xf numFmtId="0" fontId="5" fillId="2" borderId="27" xfId="1" applyFont="1" applyFill="1" applyBorder="1" applyAlignment="1">
      <alignment horizontal="center" vertical="center"/>
    </xf>
    <xf numFmtId="0" fontId="15" fillId="5" borderId="20" xfId="0" applyFont="1" applyFill="1" applyBorder="1" applyAlignment="1">
      <alignment horizontal="center"/>
    </xf>
    <xf numFmtId="0" fontId="15" fillId="5" borderId="2" xfId="0" applyFont="1" applyFill="1" applyBorder="1" applyAlignment="1">
      <alignment horizontal="center"/>
    </xf>
    <xf numFmtId="0" fontId="0" fillId="2" borderId="20" xfId="0" applyFill="1" applyBorder="1" applyAlignment="1">
      <alignment horizontal="center" vertical="center"/>
    </xf>
    <xf numFmtId="15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wrapText="1"/>
    </xf>
    <xf numFmtId="0" fontId="16" fillId="2" borderId="5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8" fillId="2" borderId="0" xfId="1" applyFont="1" applyFill="1"/>
    <xf numFmtId="0" fontId="4" fillId="6" borderId="44" xfId="1" applyFont="1" applyFill="1" applyBorder="1" applyAlignment="1">
      <alignment horizontal="center" vertical="center" wrapText="1"/>
    </xf>
    <xf numFmtId="0" fontId="4" fillId="6" borderId="43" xfId="1" applyFont="1" applyFill="1" applyBorder="1" applyAlignment="1">
      <alignment horizontal="center" vertical="center" wrapText="1"/>
    </xf>
    <xf numFmtId="0" fontId="4" fillId="6" borderId="47" xfId="1" applyFont="1" applyFill="1" applyBorder="1" applyAlignment="1">
      <alignment horizontal="center" vertical="center" wrapText="1"/>
    </xf>
    <xf numFmtId="0" fontId="4" fillId="6" borderId="12" xfId="1" applyFont="1" applyFill="1" applyBorder="1" applyAlignment="1">
      <alignment horizontal="center"/>
    </xf>
    <xf numFmtId="0" fontId="4" fillId="6" borderId="11" xfId="1" applyFont="1" applyFill="1" applyBorder="1" applyAlignment="1">
      <alignment horizontal="center"/>
    </xf>
    <xf numFmtId="0" fontId="4" fillId="6" borderId="37" xfId="1" applyFont="1" applyFill="1" applyBorder="1" applyAlignment="1">
      <alignment horizontal="center"/>
    </xf>
    <xf numFmtId="0" fontId="4" fillId="7" borderId="27" xfId="1" applyFont="1" applyFill="1" applyBorder="1" applyAlignment="1">
      <alignment horizontal="center"/>
    </xf>
    <xf numFmtId="0" fontId="4" fillId="7" borderId="11" xfId="1" applyFont="1" applyFill="1" applyBorder="1" applyAlignment="1">
      <alignment horizontal="center"/>
    </xf>
    <xf numFmtId="0" fontId="6" fillId="6" borderId="26" xfId="1" applyFont="1" applyFill="1" applyBorder="1" applyAlignment="1">
      <alignment horizontal="center" vertical="center" wrapText="1"/>
    </xf>
    <xf numFmtId="0" fontId="4" fillId="6" borderId="12" xfId="1" applyFont="1" applyFill="1" applyBorder="1" applyAlignment="1">
      <alignment horizontal="center" vertical="center" wrapText="1"/>
    </xf>
    <xf numFmtId="0" fontId="4" fillId="6" borderId="11" xfId="1" applyFont="1" applyFill="1" applyBorder="1" applyAlignment="1">
      <alignment horizontal="center" vertical="center" wrapText="1"/>
    </xf>
    <xf numFmtId="0" fontId="4" fillId="6" borderId="26" xfId="1" applyFont="1" applyFill="1" applyBorder="1" applyAlignment="1">
      <alignment horizontal="center" vertical="center" wrapText="1"/>
    </xf>
    <xf numFmtId="0" fontId="5" fillId="6" borderId="10" xfId="1" applyFont="1" applyFill="1" applyBorder="1" applyAlignment="1">
      <alignment horizontal="center" vertical="center"/>
    </xf>
    <xf numFmtId="0" fontId="5" fillId="6" borderId="9" xfId="1" applyFont="1" applyFill="1" applyBorder="1" applyAlignment="1">
      <alignment horizontal="center" vertical="center"/>
    </xf>
    <xf numFmtId="0" fontId="5" fillId="6" borderId="37" xfId="1" applyFont="1" applyFill="1" applyBorder="1" applyAlignment="1">
      <alignment horizontal="center" vertical="center" wrapText="1"/>
    </xf>
    <xf numFmtId="0" fontId="5" fillId="6" borderId="12" xfId="1" applyFont="1" applyFill="1" applyBorder="1" applyAlignment="1">
      <alignment horizontal="center" vertical="center"/>
    </xf>
    <xf numFmtId="0" fontId="5" fillId="6" borderId="11" xfId="1" applyFont="1" applyFill="1" applyBorder="1" applyAlignment="1">
      <alignment horizontal="center" vertical="center"/>
    </xf>
    <xf numFmtId="0" fontId="5" fillId="3" borderId="58" xfId="1" applyFont="1" applyFill="1" applyBorder="1" applyAlignment="1">
      <alignment vertical="center" wrapText="1"/>
    </xf>
    <xf numFmtId="0" fontId="5" fillId="2" borderId="60" xfId="1" applyFont="1" applyFill="1" applyBorder="1" applyAlignment="1">
      <alignment horizontal="center" vertical="center" wrapText="1"/>
    </xf>
    <xf numFmtId="0" fontId="5" fillId="3" borderId="11" xfId="1" applyFont="1" applyFill="1" applyBorder="1" applyAlignment="1">
      <alignment vertical="center" wrapText="1"/>
    </xf>
    <xf numFmtId="0" fontId="4" fillId="3" borderId="58" xfId="1" applyFont="1" applyFill="1" applyBorder="1"/>
    <xf numFmtId="0" fontId="4" fillId="3" borderId="11" xfId="1" applyFont="1" applyFill="1" applyBorder="1"/>
    <xf numFmtId="0" fontId="4" fillId="6" borderId="37" xfId="1" applyFont="1" applyFill="1" applyBorder="1" applyAlignment="1">
      <alignment horizontal="center" vertical="center" wrapText="1"/>
    </xf>
    <xf numFmtId="0" fontId="4" fillId="6" borderId="33" xfId="1" applyFont="1" applyFill="1" applyBorder="1" applyAlignment="1">
      <alignment horizontal="center" vertical="center" wrapText="1"/>
    </xf>
    <xf numFmtId="0" fontId="4" fillId="6" borderId="32" xfId="1" applyFont="1" applyFill="1" applyBorder="1" applyAlignment="1">
      <alignment horizontal="center" vertical="center" wrapText="1"/>
    </xf>
    <xf numFmtId="0" fontId="4" fillId="6" borderId="31" xfId="1" applyFont="1" applyFill="1" applyBorder="1" applyAlignment="1">
      <alignment horizontal="center" vertical="center" wrapText="1"/>
    </xf>
    <xf numFmtId="0" fontId="5" fillId="7" borderId="15" xfId="1" applyFont="1" applyFill="1" applyBorder="1" applyAlignment="1">
      <alignment horizontal="center" vertical="center"/>
    </xf>
    <xf numFmtId="0" fontId="5" fillId="7" borderId="14" xfId="1" applyFont="1" applyFill="1" applyBorder="1" applyAlignment="1">
      <alignment horizontal="center" vertical="center"/>
    </xf>
    <xf numFmtId="0" fontId="5" fillId="7" borderId="33" xfId="1" applyFont="1" applyFill="1" applyBorder="1" applyAlignment="1">
      <alignment horizontal="center" vertical="center"/>
    </xf>
    <xf numFmtId="0" fontId="5" fillId="7" borderId="32" xfId="1" applyFont="1" applyFill="1" applyBorder="1" applyAlignment="1">
      <alignment horizontal="center" vertical="center"/>
    </xf>
    <xf numFmtId="0" fontId="5" fillId="7" borderId="31" xfId="1" applyFont="1" applyFill="1" applyBorder="1" applyAlignment="1">
      <alignment horizontal="center" vertical="center" wrapText="1"/>
    </xf>
    <xf numFmtId="0" fontId="5" fillId="7" borderId="34" xfId="1" applyFont="1" applyFill="1" applyBorder="1" applyAlignment="1">
      <alignment horizontal="center" vertical="center" wrapText="1"/>
    </xf>
    <xf numFmtId="0" fontId="5" fillId="7" borderId="32" xfId="1" applyFont="1" applyFill="1" applyBorder="1" applyAlignment="1">
      <alignment horizontal="center" vertical="center" wrapText="1"/>
    </xf>
    <xf numFmtId="0" fontId="6" fillId="6" borderId="31" xfId="1" applyFont="1" applyFill="1" applyBorder="1" applyAlignment="1">
      <alignment horizontal="center" vertical="center" wrapText="1"/>
    </xf>
    <xf numFmtId="0" fontId="5" fillId="7" borderId="12" xfId="1" applyFont="1" applyFill="1" applyBorder="1" applyAlignment="1">
      <alignment horizontal="center" vertical="center"/>
    </xf>
    <xf numFmtId="0" fontId="5" fillId="7" borderId="11" xfId="1" applyFont="1" applyFill="1" applyBorder="1" applyAlignment="1">
      <alignment horizontal="center" vertical="center"/>
    </xf>
    <xf numFmtId="0" fontId="5" fillId="7" borderId="41" xfId="1" applyFont="1" applyFill="1" applyBorder="1" applyAlignment="1">
      <alignment horizontal="center" vertical="center"/>
    </xf>
    <xf numFmtId="0" fontId="5" fillId="7" borderId="40" xfId="1" applyFont="1" applyFill="1" applyBorder="1" applyAlignment="1">
      <alignment horizontal="center" vertical="center"/>
    </xf>
    <xf numFmtId="0" fontId="5" fillId="7" borderId="27" xfId="1" applyFont="1" applyFill="1" applyBorder="1" applyAlignment="1">
      <alignment horizontal="center" vertical="center" wrapText="1"/>
    </xf>
    <xf numFmtId="0" fontId="5" fillId="7" borderId="11" xfId="1" applyFont="1" applyFill="1" applyBorder="1" applyAlignment="1">
      <alignment horizontal="center" vertical="center" wrapText="1"/>
    </xf>
    <xf numFmtId="0" fontId="5" fillId="6" borderId="27" xfId="1" applyFont="1" applyFill="1" applyBorder="1" applyAlignment="1">
      <alignment horizontal="center" vertical="center"/>
    </xf>
    <xf numFmtId="0" fontId="5" fillId="6" borderId="27" xfId="1" applyFont="1" applyFill="1" applyBorder="1" applyAlignment="1">
      <alignment horizontal="center" vertical="center" wrapText="1"/>
    </xf>
    <xf numFmtId="0" fontId="5" fillId="6" borderId="11" xfId="1" applyFont="1" applyFill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4" fillId="0" borderId="37" xfId="1" applyFont="1" applyBorder="1" applyAlignment="1">
      <alignment horizontal="center" vertical="center" wrapText="1"/>
    </xf>
    <xf numFmtId="0" fontId="5" fillId="0" borderId="41" xfId="1" applyFont="1" applyBorder="1" applyAlignment="1">
      <alignment horizontal="center" vertical="center"/>
    </xf>
    <xf numFmtId="0" fontId="5" fillId="0" borderId="40" xfId="1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6" fillId="0" borderId="26" xfId="1" applyFont="1" applyBorder="1" applyAlignment="1">
      <alignment horizontal="center" vertical="center" wrapText="1"/>
    </xf>
    <xf numFmtId="0" fontId="8" fillId="2" borderId="11" xfId="1" applyFont="1" applyFill="1" applyBorder="1"/>
    <xf numFmtId="0" fontId="5" fillId="3" borderId="11" xfId="1" applyFont="1" applyFill="1" applyBorder="1" applyAlignment="1">
      <alignment horizontal="center" vertical="center" wrapText="1"/>
    </xf>
    <xf numFmtId="0" fontId="17" fillId="0" borderId="6" xfId="0" applyFont="1" applyBorder="1"/>
    <xf numFmtId="0" fontId="1" fillId="0" borderId="0" xfId="0" applyFont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2" fillId="0" borderId="19" xfId="0" applyFont="1" applyBorder="1" applyAlignment="1">
      <alignment horizontal="center" wrapText="1"/>
    </xf>
    <xf numFmtId="0" fontId="12" fillId="0" borderId="18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9" fontId="0" fillId="0" borderId="48" xfId="0" applyNumberFormat="1" applyBorder="1" applyAlignment="1">
      <alignment horizontal="center"/>
    </xf>
    <xf numFmtId="9" fontId="0" fillId="0" borderId="58" xfId="0" applyNumberFormat="1" applyBorder="1" applyAlignment="1">
      <alignment horizontal="center"/>
    </xf>
    <xf numFmtId="0" fontId="18" fillId="0" borderId="54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6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23" fillId="0" borderId="6" xfId="0" applyFont="1" applyBorder="1" applyAlignment="1">
      <alignment horizontal="left"/>
    </xf>
    <xf numFmtId="0" fontId="23" fillId="0" borderId="0" xfId="0" applyFont="1" applyAlignment="1">
      <alignment horizontal="left"/>
    </xf>
    <xf numFmtId="0" fontId="23" fillId="0" borderId="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57" xfId="0" applyBorder="1" applyAlignment="1">
      <alignment horizontal="center"/>
    </xf>
    <xf numFmtId="0" fontId="0" fillId="0" borderId="56" xfId="0" applyBorder="1" applyAlignment="1">
      <alignment horizontal="center"/>
    </xf>
    <xf numFmtId="9" fontId="3" fillId="2" borderId="19" xfId="1" applyNumberFormat="1" applyFont="1" applyFill="1" applyBorder="1" applyAlignment="1">
      <alignment horizontal="center" vertical="center"/>
    </xf>
    <xf numFmtId="9" fontId="3" fillId="2" borderId="18" xfId="1" applyNumberFormat="1" applyFont="1" applyFill="1" applyBorder="1" applyAlignment="1">
      <alignment horizontal="center" vertical="center"/>
    </xf>
    <xf numFmtId="9" fontId="3" fillId="2" borderId="17" xfId="1" applyNumberFormat="1" applyFont="1" applyFill="1" applyBorder="1" applyAlignment="1">
      <alignment horizontal="center" vertical="center"/>
    </xf>
    <xf numFmtId="0" fontId="6" fillId="2" borderId="28" xfId="1" applyFont="1" applyFill="1" applyBorder="1" applyAlignment="1">
      <alignment horizontal="left" vertical="center" shrinkToFit="1"/>
    </xf>
    <xf numFmtId="0" fontId="6" fillId="2" borderId="28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39" xfId="1" applyFont="1" applyFill="1" applyBorder="1" applyAlignment="1">
      <alignment horizontal="center" vertical="center" wrapText="1"/>
    </xf>
    <xf numFmtId="0" fontId="6" fillId="2" borderId="49" xfId="1" applyFont="1" applyFill="1" applyBorder="1" applyAlignment="1">
      <alignment horizontal="center" vertical="center" wrapText="1"/>
    </xf>
    <xf numFmtId="0" fontId="6" fillId="2" borderId="29" xfId="1" applyFont="1" applyFill="1" applyBorder="1" applyAlignment="1">
      <alignment horizontal="left" vertical="center" shrinkToFit="1"/>
    </xf>
    <xf numFmtId="0" fontId="6" fillId="2" borderId="26" xfId="1" applyFont="1" applyFill="1" applyBorder="1" applyAlignment="1">
      <alignment horizontal="center" vertical="center" wrapText="1"/>
    </xf>
    <xf numFmtId="0" fontId="6" fillId="2" borderId="36" xfId="1" applyFont="1" applyFill="1" applyBorder="1" applyAlignment="1">
      <alignment horizontal="center" vertical="center" wrapText="1"/>
    </xf>
    <xf numFmtId="0" fontId="9" fillId="2" borderId="35" xfId="1" applyFont="1" applyFill="1" applyBorder="1" applyAlignment="1">
      <alignment horizontal="center" vertical="center" textRotation="90" wrapText="1"/>
    </xf>
    <xf numFmtId="0" fontId="9" fillId="2" borderId="25" xfId="1" applyFont="1" applyFill="1" applyBorder="1" applyAlignment="1">
      <alignment horizontal="center" vertical="center" textRotation="90" wrapText="1"/>
    </xf>
    <xf numFmtId="0" fontId="9" fillId="2" borderId="20" xfId="1" applyFont="1" applyFill="1" applyBorder="1" applyAlignment="1">
      <alignment horizontal="center" vertical="center" textRotation="90" wrapText="1"/>
    </xf>
    <xf numFmtId="0" fontId="11" fillId="2" borderId="35" xfId="1" applyFont="1" applyFill="1" applyBorder="1" applyAlignment="1">
      <alignment horizontal="center" vertical="center" textRotation="90" wrapText="1"/>
    </xf>
    <xf numFmtId="0" fontId="11" fillId="2" borderId="20" xfId="1" applyFont="1" applyFill="1" applyBorder="1" applyAlignment="1">
      <alignment horizontal="center" vertical="center" textRotation="90" wrapText="1"/>
    </xf>
    <xf numFmtId="0" fontId="7" fillId="2" borderId="18" xfId="1" applyFont="1" applyFill="1" applyBorder="1" applyAlignment="1">
      <alignment horizontal="center"/>
    </xf>
    <xf numFmtId="0" fontId="21" fillId="2" borderId="19" xfId="1" applyFont="1" applyFill="1" applyBorder="1" applyAlignment="1">
      <alignment horizontal="center" wrapText="1"/>
    </xf>
    <xf numFmtId="0" fontId="8" fillId="2" borderId="18" xfId="1" applyFont="1" applyFill="1" applyBorder="1" applyAlignment="1">
      <alignment horizontal="center" wrapText="1"/>
    </xf>
    <xf numFmtId="0" fontId="8" fillId="2" borderId="17" xfId="1" applyFont="1" applyFill="1" applyBorder="1" applyAlignment="1">
      <alignment horizont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8" fillId="2" borderId="23" xfId="1" applyFont="1" applyFill="1" applyBorder="1" applyAlignment="1">
      <alignment horizontal="center" vertical="center" wrapText="1"/>
    </xf>
    <xf numFmtId="0" fontId="8" fillId="2" borderId="22" xfId="1" applyFont="1" applyFill="1" applyBorder="1" applyAlignment="1">
      <alignment horizontal="center" vertical="center" wrapText="1"/>
    </xf>
    <xf numFmtId="0" fontId="8" fillId="2" borderId="38" xfId="1" applyFont="1" applyFill="1" applyBorder="1" applyAlignment="1">
      <alignment horizontal="center" vertical="center" wrapText="1"/>
    </xf>
    <xf numFmtId="0" fontId="8" fillId="2" borderId="19" xfId="1" applyFont="1" applyFill="1" applyBorder="1" applyAlignment="1">
      <alignment horizontal="center" vertical="center" wrapText="1"/>
    </xf>
    <xf numFmtId="0" fontId="8" fillId="2" borderId="18" xfId="1" applyFont="1" applyFill="1" applyBorder="1" applyAlignment="1">
      <alignment horizontal="center" vertical="center" wrapText="1"/>
    </xf>
    <xf numFmtId="0" fontId="8" fillId="2" borderId="17" xfId="1" applyFont="1" applyFill="1" applyBorder="1" applyAlignment="1">
      <alignment horizontal="center" vertical="center" wrapText="1"/>
    </xf>
    <xf numFmtId="0" fontId="4" fillId="2" borderId="28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2" borderId="16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13" xfId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1" xfId="0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8" fillId="2" borderId="19" xfId="1" applyFont="1" applyFill="1" applyBorder="1" applyAlignment="1">
      <alignment horizontal="center" wrapText="1"/>
    </xf>
    <xf numFmtId="0" fontId="19" fillId="0" borderId="19" xfId="0" applyFont="1" applyBorder="1" applyAlignment="1">
      <alignment horizontal="center" wrapText="1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17" fillId="0" borderId="6" xfId="0" applyFont="1" applyBorder="1" applyAlignment="1">
      <alignment horizontal="left"/>
    </xf>
    <xf numFmtId="0" fontId="14" fillId="4" borderId="6" xfId="0" applyFont="1" applyFill="1" applyBorder="1" applyAlignment="1">
      <alignment horizontal="center"/>
    </xf>
    <xf numFmtId="0" fontId="14" fillId="4" borderId="0" xfId="0" applyFont="1" applyFill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632926</xdr:colOff>
      <xdr:row>0</xdr:row>
      <xdr:rowOff>57539</xdr:rowOff>
    </xdr:from>
    <xdr:to>
      <xdr:col>1</xdr:col>
      <xdr:colOff>432901</xdr:colOff>
      <xdr:row>2</xdr:row>
      <xdr:rowOff>171839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28D43BB4-F6F2-4F4D-A459-290FE644C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926" y="57539"/>
          <a:ext cx="5619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632926</xdr:colOff>
      <xdr:row>0</xdr:row>
      <xdr:rowOff>57539</xdr:rowOff>
    </xdr:from>
    <xdr:to>
      <xdr:col>1</xdr:col>
      <xdr:colOff>432901</xdr:colOff>
      <xdr:row>2</xdr:row>
      <xdr:rowOff>171839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0B7D220E-25DA-4CA6-BDEC-EEFC38953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926" y="57539"/>
          <a:ext cx="558087" cy="5225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632926</xdr:colOff>
      <xdr:row>0</xdr:row>
      <xdr:rowOff>57539</xdr:rowOff>
    </xdr:from>
    <xdr:to>
      <xdr:col>1</xdr:col>
      <xdr:colOff>432901</xdr:colOff>
      <xdr:row>2</xdr:row>
      <xdr:rowOff>171839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9FD5F769-19E4-4604-BB11-7F0D29274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926" y="57539"/>
          <a:ext cx="5619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632926</xdr:colOff>
      <xdr:row>0</xdr:row>
      <xdr:rowOff>57539</xdr:rowOff>
    </xdr:from>
    <xdr:to>
      <xdr:col>1</xdr:col>
      <xdr:colOff>432901</xdr:colOff>
      <xdr:row>2</xdr:row>
      <xdr:rowOff>171839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53489B22-23F9-4565-8A75-0ADB1C54A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926" y="57539"/>
          <a:ext cx="5619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632926</xdr:colOff>
      <xdr:row>0</xdr:row>
      <xdr:rowOff>57539</xdr:rowOff>
    </xdr:from>
    <xdr:to>
      <xdr:col>1</xdr:col>
      <xdr:colOff>432901</xdr:colOff>
      <xdr:row>2</xdr:row>
      <xdr:rowOff>171839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05D544B0-D607-40D2-984F-361239185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926" y="57539"/>
          <a:ext cx="5619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632926</xdr:colOff>
      <xdr:row>0</xdr:row>
      <xdr:rowOff>57539</xdr:rowOff>
    </xdr:from>
    <xdr:to>
      <xdr:col>1</xdr:col>
      <xdr:colOff>432901</xdr:colOff>
      <xdr:row>2</xdr:row>
      <xdr:rowOff>171839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F821187B-6261-499A-8193-94A9AB17B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926" y="57539"/>
          <a:ext cx="5619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632926</xdr:colOff>
      <xdr:row>0</xdr:row>
      <xdr:rowOff>57539</xdr:rowOff>
    </xdr:from>
    <xdr:to>
      <xdr:col>1</xdr:col>
      <xdr:colOff>432901</xdr:colOff>
      <xdr:row>2</xdr:row>
      <xdr:rowOff>171839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1A9069CE-D94F-4C05-89FA-189CB49AC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926" y="57539"/>
          <a:ext cx="5619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EB2EC-B176-4D7E-8C86-E96E6C290B9F}">
  <sheetPr>
    <pageSetUpPr fitToPage="1"/>
  </sheetPr>
  <dimension ref="A1:S66"/>
  <sheetViews>
    <sheetView topLeftCell="A61" zoomScale="98" zoomScaleNormal="98" workbookViewId="0">
      <selection activeCell="U69" sqref="U69"/>
    </sheetView>
  </sheetViews>
  <sheetFormatPr defaultColWidth="11.42578125" defaultRowHeight="15"/>
  <cols>
    <col min="2" max="2" width="18.85546875" customWidth="1"/>
    <col min="3" max="3" width="4.7109375" customWidth="1"/>
    <col min="4" max="4" width="5.42578125" customWidth="1"/>
    <col min="5" max="5" width="4.85546875" customWidth="1"/>
    <col min="6" max="6" width="5.42578125" customWidth="1"/>
    <col min="7" max="7" width="5.85546875" customWidth="1"/>
    <col min="8" max="8" width="5.42578125" customWidth="1"/>
    <col min="9" max="9" width="5.7109375" customWidth="1"/>
    <col min="10" max="10" width="5.5703125" customWidth="1"/>
    <col min="11" max="12" width="5.7109375" customWidth="1"/>
    <col min="13" max="13" width="5.5703125" customWidth="1"/>
    <col min="14" max="16" width="5.7109375" customWidth="1"/>
    <col min="17" max="17" width="5.42578125" customWidth="1"/>
  </cols>
  <sheetData>
    <row r="1" spans="1:19">
      <c r="A1" s="205"/>
      <c r="B1" s="206"/>
      <c r="C1" s="211" t="s">
        <v>0</v>
      </c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3"/>
    </row>
    <row r="2" spans="1:19">
      <c r="A2" s="207"/>
      <c r="B2" s="208"/>
      <c r="C2" s="214" t="s">
        <v>1</v>
      </c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6"/>
    </row>
    <row r="3" spans="1:19">
      <c r="A3" s="209"/>
      <c r="B3" s="210"/>
      <c r="C3" s="217" t="s">
        <v>2</v>
      </c>
      <c r="D3" s="218"/>
      <c r="E3" s="218"/>
      <c r="F3" s="218"/>
      <c r="G3" s="218"/>
      <c r="H3" s="218"/>
      <c r="I3" s="219"/>
      <c r="J3" s="217" t="s">
        <v>3</v>
      </c>
      <c r="K3" s="218"/>
      <c r="L3" s="218"/>
      <c r="M3" s="218"/>
      <c r="N3" s="218"/>
      <c r="O3" s="219"/>
      <c r="P3" s="220" t="s">
        <v>4</v>
      </c>
      <c r="Q3" s="219"/>
    </row>
    <row r="4" spans="1:19">
      <c r="A4" s="187" t="s">
        <v>5</v>
      </c>
      <c r="B4" s="187"/>
      <c r="C4" s="187"/>
      <c r="D4" s="187"/>
      <c r="E4" s="187"/>
      <c r="F4" s="187"/>
      <c r="G4" s="187"/>
      <c r="H4" s="187"/>
      <c r="I4" s="187"/>
      <c r="J4" s="187"/>
      <c r="K4" s="221" t="s">
        <v>6</v>
      </c>
      <c r="L4" s="189"/>
      <c r="M4" s="189"/>
      <c r="N4" s="189"/>
      <c r="O4" s="189"/>
      <c r="P4" s="189"/>
      <c r="Q4" s="190"/>
      <c r="R4" s="88"/>
      <c r="S4" s="141"/>
    </row>
    <row r="5" spans="1:19">
      <c r="A5" s="191" t="s">
        <v>7</v>
      </c>
      <c r="B5" s="192"/>
      <c r="C5" s="197" t="s">
        <v>8</v>
      </c>
      <c r="D5" s="198"/>
      <c r="E5" s="198"/>
      <c r="F5" s="198" t="s">
        <v>9</v>
      </c>
      <c r="G5" s="198"/>
      <c r="H5" s="198"/>
      <c r="I5" s="198" t="s">
        <v>10</v>
      </c>
      <c r="J5" s="198"/>
      <c r="K5" s="198"/>
      <c r="L5" s="198" t="s">
        <v>11</v>
      </c>
      <c r="M5" s="198"/>
      <c r="N5" s="199"/>
      <c r="O5" s="200" t="s">
        <v>12</v>
      </c>
      <c r="P5" s="201"/>
      <c r="Q5" s="202"/>
    </row>
    <row r="6" spans="1:19">
      <c r="A6" s="193"/>
      <c r="B6" s="194"/>
      <c r="C6" s="179" t="s">
        <v>13</v>
      </c>
      <c r="D6" s="174"/>
      <c r="E6" s="203" t="s">
        <v>14</v>
      </c>
      <c r="F6" s="174" t="s">
        <v>13</v>
      </c>
      <c r="G6" s="174"/>
      <c r="H6" s="175" t="s">
        <v>14</v>
      </c>
      <c r="I6" s="174" t="s">
        <v>13</v>
      </c>
      <c r="J6" s="174"/>
      <c r="K6" s="175" t="s">
        <v>14</v>
      </c>
      <c r="L6" s="174" t="s">
        <v>13</v>
      </c>
      <c r="M6" s="174"/>
      <c r="N6" s="177" t="s">
        <v>14</v>
      </c>
      <c r="O6" s="179" t="s">
        <v>13</v>
      </c>
      <c r="P6" s="174"/>
      <c r="Q6" s="180" t="s">
        <v>14</v>
      </c>
    </row>
    <row r="7" spans="1:19">
      <c r="A7" s="195"/>
      <c r="B7" s="196"/>
      <c r="C7" s="8" t="s">
        <v>15</v>
      </c>
      <c r="D7" s="7" t="s">
        <v>16</v>
      </c>
      <c r="E7" s="204"/>
      <c r="F7" s="7" t="s">
        <v>15</v>
      </c>
      <c r="G7" s="7" t="s">
        <v>16</v>
      </c>
      <c r="H7" s="176"/>
      <c r="I7" s="7" t="s">
        <v>15</v>
      </c>
      <c r="J7" s="7" t="s">
        <v>16</v>
      </c>
      <c r="K7" s="176"/>
      <c r="L7" s="7" t="s">
        <v>15</v>
      </c>
      <c r="M7" s="7" t="s">
        <v>16</v>
      </c>
      <c r="N7" s="178"/>
      <c r="O7" s="8" t="s">
        <v>15</v>
      </c>
      <c r="P7" s="7" t="s">
        <v>16</v>
      </c>
      <c r="Q7" s="181"/>
    </row>
    <row r="8" spans="1:19" ht="22.5">
      <c r="A8" s="182" t="s">
        <v>17</v>
      </c>
      <c r="B8" s="33" t="s">
        <v>18</v>
      </c>
      <c r="C8" s="6"/>
      <c r="D8" s="5"/>
      <c r="E8" s="4"/>
      <c r="F8" s="6"/>
      <c r="G8" s="5"/>
      <c r="H8" s="4"/>
      <c r="I8" s="27"/>
      <c r="J8" s="76"/>
      <c r="K8" s="30"/>
      <c r="L8" s="77"/>
      <c r="M8" s="26"/>
      <c r="N8" s="30"/>
      <c r="O8" s="27"/>
      <c r="P8" s="26"/>
      <c r="Q8" s="29"/>
    </row>
    <row r="9" spans="1:19" ht="22.5">
      <c r="A9" s="183"/>
      <c r="B9" s="34" t="s">
        <v>19</v>
      </c>
      <c r="C9" s="47"/>
      <c r="D9" s="48"/>
      <c r="E9" s="30"/>
      <c r="F9" s="66"/>
      <c r="G9" s="67"/>
      <c r="H9" s="12"/>
      <c r="I9" s="61"/>
      <c r="J9" s="62"/>
      <c r="K9" s="12"/>
      <c r="L9" s="66"/>
      <c r="M9" s="67"/>
      <c r="N9" s="12"/>
      <c r="O9" s="56"/>
      <c r="P9" s="67"/>
      <c r="Q9" s="29"/>
    </row>
    <row r="10" spans="1:19">
      <c r="A10" s="183"/>
      <c r="B10" s="34" t="s">
        <v>20</v>
      </c>
      <c r="C10" s="49"/>
      <c r="D10" s="46"/>
      <c r="E10" s="30"/>
      <c r="F10" s="66"/>
      <c r="G10" s="67"/>
      <c r="H10" s="12"/>
      <c r="I10" s="61"/>
      <c r="J10" s="62"/>
      <c r="K10" s="12"/>
      <c r="L10" s="66"/>
      <c r="M10" s="67"/>
      <c r="N10" s="12"/>
      <c r="O10" s="56"/>
      <c r="P10" s="67"/>
      <c r="Q10" s="29"/>
    </row>
    <row r="11" spans="1:19">
      <c r="A11" s="183"/>
      <c r="B11" s="34" t="s">
        <v>21</v>
      </c>
      <c r="C11" s="49"/>
      <c r="D11" s="46"/>
      <c r="E11" s="30"/>
      <c r="F11" s="68"/>
      <c r="G11" s="69"/>
      <c r="H11" s="57"/>
      <c r="I11" s="61"/>
      <c r="J11" s="62"/>
      <c r="K11" s="12"/>
      <c r="L11" s="68"/>
      <c r="M11" s="69"/>
      <c r="N11" s="12"/>
      <c r="O11" s="56"/>
      <c r="P11" s="67"/>
      <c r="Q11" s="29"/>
    </row>
    <row r="12" spans="1:19">
      <c r="A12" s="183"/>
      <c r="B12" s="34" t="s">
        <v>22</v>
      </c>
      <c r="C12" s="50"/>
      <c r="D12" s="51"/>
      <c r="E12" s="30"/>
      <c r="F12" s="18"/>
      <c r="G12" s="17"/>
      <c r="H12" s="12"/>
      <c r="I12" s="18"/>
      <c r="J12" s="17"/>
      <c r="K12" s="12"/>
      <c r="L12" s="18"/>
      <c r="M12" s="17"/>
      <c r="N12" s="12"/>
      <c r="O12" s="18"/>
      <c r="P12" s="17"/>
      <c r="Q12" s="12"/>
    </row>
    <row r="13" spans="1:19" ht="22.5">
      <c r="A13" s="183"/>
      <c r="B13" s="34" t="s">
        <v>23</v>
      </c>
      <c r="C13" s="47"/>
      <c r="D13" s="48"/>
      <c r="E13" s="30"/>
      <c r="F13" s="18"/>
      <c r="G13" s="17"/>
      <c r="H13" s="12"/>
      <c r="I13" s="15"/>
      <c r="J13" s="14"/>
      <c r="K13" s="12"/>
      <c r="L13" s="18"/>
      <c r="M13" s="17"/>
      <c r="N13" s="12"/>
      <c r="O13" s="56"/>
      <c r="P13" s="67"/>
      <c r="Q13" s="29"/>
    </row>
    <row r="14" spans="1:19">
      <c r="A14" s="183"/>
      <c r="B14" s="34" t="s">
        <v>24</v>
      </c>
      <c r="C14" s="47"/>
      <c r="D14" s="48"/>
      <c r="E14" s="28"/>
      <c r="F14" s="18"/>
      <c r="G14" s="17"/>
      <c r="H14" s="12"/>
      <c r="I14" s="15"/>
      <c r="J14" s="14"/>
      <c r="K14" s="12"/>
      <c r="L14" s="18"/>
      <c r="M14" s="17"/>
      <c r="N14" s="12"/>
      <c r="O14" s="56"/>
      <c r="P14" s="67"/>
      <c r="Q14" s="29"/>
    </row>
    <row r="15" spans="1:19">
      <c r="A15" s="183"/>
      <c r="B15" s="34" t="s">
        <v>25</v>
      </c>
      <c r="C15" s="89"/>
      <c r="D15" s="90"/>
      <c r="E15" s="91"/>
      <c r="F15" s="92"/>
      <c r="G15" s="93"/>
      <c r="H15" s="94"/>
      <c r="I15" s="63"/>
      <c r="J15" s="64"/>
      <c r="K15" s="65"/>
      <c r="L15" s="92"/>
      <c r="M15" s="93"/>
      <c r="N15" s="94"/>
      <c r="O15" s="95"/>
      <c r="P15" s="96"/>
      <c r="Q15" s="97"/>
    </row>
    <row r="16" spans="1:19">
      <c r="A16" s="183"/>
      <c r="B16" s="34" t="s">
        <v>26</v>
      </c>
      <c r="C16" s="47"/>
      <c r="D16" s="48"/>
      <c r="E16" s="12"/>
      <c r="F16" s="16"/>
      <c r="G16" s="13"/>
      <c r="H16" s="12"/>
      <c r="I16" s="22"/>
      <c r="J16" s="21"/>
      <c r="K16" s="12"/>
      <c r="L16" s="16"/>
      <c r="M16" s="13"/>
      <c r="N16" s="12"/>
      <c r="O16" s="95"/>
      <c r="P16" s="96"/>
      <c r="Q16" s="97"/>
    </row>
    <row r="17" spans="1:17">
      <c r="A17" s="183"/>
      <c r="B17" s="34" t="s">
        <v>27</v>
      </c>
      <c r="C17" s="98"/>
      <c r="D17" s="99"/>
      <c r="E17" s="100"/>
      <c r="F17" s="16"/>
      <c r="G17" s="13"/>
      <c r="H17" s="12"/>
      <c r="I17" s="15"/>
      <c r="J17" s="14"/>
      <c r="K17" s="58"/>
      <c r="L17" s="18"/>
      <c r="M17" s="17"/>
      <c r="N17" s="12"/>
      <c r="O17" s="95"/>
      <c r="P17" s="96"/>
      <c r="Q17" s="97"/>
    </row>
    <row r="18" spans="1:17">
      <c r="A18" s="183"/>
      <c r="B18" s="34" t="s">
        <v>28</v>
      </c>
      <c r="C18" s="47"/>
      <c r="D18" s="48"/>
      <c r="E18" s="30"/>
      <c r="F18" s="16"/>
      <c r="G18" s="13"/>
      <c r="H18" s="12"/>
      <c r="I18" s="22"/>
      <c r="J18" s="21"/>
      <c r="K18" s="107"/>
      <c r="L18" s="142"/>
      <c r="M18" s="108"/>
      <c r="N18" s="106"/>
      <c r="O18" s="56"/>
      <c r="P18" s="67"/>
      <c r="Q18" s="29"/>
    </row>
    <row r="19" spans="1:17">
      <c r="A19" s="183"/>
      <c r="B19" s="34" t="s">
        <v>29</v>
      </c>
      <c r="C19" s="47"/>
      <c r="D19" s="48"/>
      <c r="E19" s="30"/>
      <c r="F19" s="16"/>
      <c r="G19" s="13"/>
      <c r="H19" s="12"/>
      <c r="I19" s="22"/>
      <c r="J19" s="21"/>
      <c r="K19" s="59"/>
      <c r="L19" s="18"/>
      <c r="M19" s="17"/>
      <c r="N19" s="12"/>
      <c r="O19" s="56"/>
      <c r="P19" s="67"/>
      <c r="Q19" s="29"/>
    </row>
    <row r="20" spans="1:17">
      <c r="A20" s="183"/>
      <c r="B20" s="34" t="s">
        <v>30</v>
      </c>
      <c r="C20" s="47"/>
      <c r="D20" s="48"/>
      <c r="E20" s="12"/>
      <c r="F20" s="16"/>
      <c r="G20" s="13"/>
      <c r="H20" s="12"/>
      <c r="I20" s="101"/>
      <c r="J20" s="102"/>
      <c r="K20" s="103"/>
      <c r="L20" s="104"/>
      <c r="M20" s="105"/>
      <c r="N20" s="103"/>
      <c r="O20" s="56"/>
      <c r="P20" s="67"/>
      <c r="Q20" s="29"/>
    </row>
    <row r="21" spans="1:17">
      <c r="A21" s="183"/>
      <c r="B21" s="34" t="s">
        <v>31</v>
      </c>
      <c r="C21" s="47"/>
      <c r="D21" s="48"/>
      <c r="E21" s="30"/>
      <c r="F21" s="16"/>
      <c r="G21" s="13"/>
      <c r="H21" s="12"/>
      <c r="I21" s="101"/>
      <c r="J21" s="102"/>
      <c r="K21" s="103"/>
      <c r="L21" s="104"/>
      <c r="M21" s="105"/>
      <c r="N21" s="103"/>
      <c r="O21" s="56"/>
      <c r="P21" s="67"/>
      <c r="Q21" s="29"/>
    </row>
    <row r="22" spans="1:17">
      <c r="A22" s="183"/>
      <c r="B22" s="34" t="s">
        <v>32</v>
      </c>
      <c r="C22" s="98"/>
      <c r="D22" s="99"/>
      <c r="E22" s="100"/>
      <c r="F22" s="104"/>
      <c r="G22" s="105"/>
      <c r="H22" s="111"/>
      <c r="I22" s="22"/>
      <c r="J22" s="21"/>
      <c r="K22" s="59"/>
      <c r="L22" s="16"/>
      <c r="M22" s="13"/>
      <c r="N22" s="107"/>
      <c r="O22" s="110"/>
      <c r="P22" s="110"/>
      <c r="Q22" s="109"/>
    </row>
    <row r="23" spans="1:17">
      <c r="A23" s="183"/>
      <c r="B23" s="34" t="s">
        <v>33</v>
      </c>
      <c r="C23" s="47"/>
      <c r="D23" s="48"/>
      <c r="E23" s="30"/>
      <c r="F23" s="16"/>
      <c r="G23" s="13"/>
      <c r="H23" s="59"/>
      <c r="I23" s="22"/>
      <c r="J23" s="21"/>
      <c r="K23" s="59"/>
      <c r="L23" s="16"/>
      <c r="M23" s="13"/>
      <c r="N23" s="12"/>
      <c r="O23" s="56"/>
      <c r="P23" s="67"/>
      <c r="Q23" s="29"/>
    </row>
    <row r="24" spans="1:17">
      <c r="A24" s="183"/>
      <c r="B24" s="34" t="s">
        <v>34</v>
      </c>
      <c r="C24" s="47"/>
      <c r="D24" s="48"/>
      <c r="E24" s="30"/>
      <c r="F24" s="16"/>
      <c r="G24" s="13"/>
      <c r="H24" s="59"/>
      <c r="I24" s="101"/>
      <c r="J24" s="102"/>
      <c r="K24" s="103"/>
      <c r="L24" s="104"/>
      <c r="M24" s="105"/>
      <c r="N24" s="111"/>
      <c r="O24" s="56"/>
      <c r="P24" s="67"/>
      <c r="Q24" s="29"/>
    </row>
    <row r="25" spans="1:17">
      <c r="A25" s="183"/>
      <c r="B25" s="34" t="s">
        <v>35</v>
      </c>
      <c r="C25" s="98"/>
      <c r="D25" s="99"/>
      <c r="E25" s="100"/>
      <c r="F25" s="104"/>
      <c r="G25" s="105"/>
      <c r="H25" s="103"/>
      <c r="I25" s="101"/>
      <c r="J25" s="102"/>
      <c r="K25" s="103"/>
      <c r="L25" s="16"/>
      <c r="M25" s="13"/>
      <c r="N25" s="12"/>
      <c r="O25" s="95"/>
      <c r="P25" s="96"/>
      <c r="Q25" s="97"/>
    </row>
    <row r="26" spans="1:17">
      <c r="A26" s="183"/>
      <c r="B26" s="34" t="s">
        <v>36</v>
      </c>
      <c r="C26" s="47"/>
      <c r="D26" s="48"/>
      <c r="E26" s="30"/>
      <c r="F26" s="16"/>
      <c r="G26" s="13"/>
      <c r="H26" s="59"/>
      <c r="I26" s="22"/>
      <c r="J26" s="21"/>
      <c r="K26" s="59"/>
      <c r="L26" s="16"/>
      <c r="M26" s="13"/>
      <c r="N26" s="12"/>
      <c r="O26" s="56"/>
      <c r="P26" s="67"/>
      <c r="Q26" s="29"/>
    </row>
    <row r="27" spans="1:17">
      <c r="A27" s="183"/>
      <c r="B27" s="34" t="s">
        <v>37</v>
      </c>
      <c r="C27" s="47"/>
      <c r="D27" s="48"/>
      <c r="E27" s="30"/>
      <c r="F27" s="16"/>
      <c r="G27" s="13"/>
      <c r="H27" s="59"/>
      <c r="I27" s="22"/>
      <c r="J27" s="21"/>
      <c r="K27" s="59"/>
      <c r="L27" s="16"/>
      <c r="M27" s="13"/>
      <c r="N27" s="12"/>
      <c r="O27" s="56"/>
      <c r="P27" s="67"/>
      <c r="Q27" s="29"/>
    </row>
    <row r="28" spans="1:17" ht="22.5">
      <c r="A28" s="183"/>
      <c r="B28" s="34" t="s">
        <v>38</v>
      </c>
      <c r="C28" s="47"/>
      <c r="D28" s="48"/>
      <c r="E28" s="12"/>
      <c r="F28" s="16"/>
      <c r="G28" s="13"/>
      <c r="H28" s="59"/>
      <c r="I28" s="22"/>
      <c r="J28" s="21"/>
      <c r="K28" s="59"/>
      <c r="L28" s="16"/>
      <c r="M28" s="13"/>
      <c r="N28" s="12"/>
      <c r="O28" s="56"/>
      <c r="P28" s="67"/>
      <c r="Q28" s="29"/>
    </row>
    <row r="29" spans="1:17">
      <c r="A29" s="183"/>
      <c r="B29" s="34" t="s">
        <v>39</v>
      </c>
      <c r="C29" s="47"/>
      <c r="D29" s="48"/>
      <c r="E29" s="12"/>
      <c r="F29" s="16"/>
      <c r="G29" s="13"/>
      <c r="H29" s="59"/>
      <c r="I29" s="22"/>
      <c r="J29" s="21"/>
      <c r="K29" s="59"/>
      <c r="L29" s="16"/>
      <c r="M29" s="13"/>
      <c r="N29" s="12"/>
      <c r="O29" s="56"/>
      <c r="P29" s="67"/>
      <c r="Q29" s="29"/>
    </row>
    <row r="30" spans="1:17">
      <c r="A30" s="183"/>
      <c r="B30" s="34" t="s">
        <v>40</v>
      </c>
      <c r="C30" s="47"/>
      <c r="D30" s="48"/>
      <c r="E30" s="12"/>
      <c r="F30" s="16"/>
      <c r="G30" s="13"/>
      <c r="H30" s="59"/>
      <c r="I30" s="22"/>
      <c r="J30" s="21"/>
      <c r="K30" s="59"/>
      <c r="L30" s="16"/>
      <c r="M30" s="13"/>
      <c r="N30" s="59"/>
      <c r="O30" s="56"/>
      <c r="P30" s="67"/>
      <c r="Q30" s="29"/>
    </row>
    <row r="31" spans="1:17">
      <c r="A31" s="183"/>
      <c r="B31" s="34" t="s">
        <v>41</v>
      </c>
      <c r="C31" s="47"/>
      <c r="D31" s="48"/>
      <c r="E31" s="12"/>
      <c r="F31" s="16"/>
      <c r="G31" s="13"/>
      <c r="H31" s="59"/>
      <c r="I31" s="22"/>
      <c r="J31" s="21"/>
      <c r="K31" s="59"/>
      <c r="L31" s="16"/>
      <c r="M31" s="13"/>
      <c r="N31" s="59"/>
      <c r="O31" s="56"/>
      <c r="P31" s="67"/>
      <c r="Q31" s="29"/>
    </row>
    <row r="32" spans="1:17">
      <c r="A32" s="183"/>
      <c r="B32" s="34" t="s">
        <v>42</v>
      </c>
      <c r="C32" s="47"/>
      <c r="D32" s="48"/>
      <c r="E32" s="12"/>
      <c r="F32" s="16"/>
      <c r="G32" s="13"/>
      <c r="H32" s="59"/>
      <c r="I32" s="22"/>
      <c r="J32" s="21"/>
      <c r="K32" s="59"/>
      <c r="L32" s="16"/>
      <c r="M32" s="13"/>
      <c r="N32" s="59"/>
      <c r="O32" s="56"/>
      <c r="P32" s="67"/>
      <c r="Q32" s="29"/>
    </row>
    <row r="33" spans="1:17" ht="22.5">
      <c r="A33" s="183"/>
      <c r="B33" s="34" t="s">
        <v>43</v>
      </c>
      <c r="C33" s="47"/>
      <c r="D33" s="48"/>
      <c r="E33" s="12"/>
      <c r="F33" s="16"/>
      <c r="G33" s="13"/>
      <c r="H33" s="12"/>
      <c r="I33" s="22"/>
      <c r="J33" s="21"/>
      <c r="K33" s="12"/>
      <c r="L33" s="16"/>
      <c r="M33" s="13"/>
      <c r="N33" s="12"/>
      <c r="O33" s="56"/>
      <c r="P33" s="67"/>
      <c r="Q33" s="29"/>
    </row>
    <row r="34" spans="1:17">
      <c r="A34" s="183"/>
      <c r="B34" s="34" t="s">
        <v>44</v>
      </c>
      <c r="C34" s="47"/>
      <c r="D34" s="52"/>
      <c r="E34" s="53"/>
      <c r="F34" s="16"/>
      <c r="G34" s="13"/>
      <c r="H34" s="59"/>
      <c r="I34" s="22"/>
      <c r="J34" s="21"/>
      <c r="K34" s="59"/>
      <c r="L34" s="16"/>
      <c r="M34" s="13"/>
      <c r="N34" s="59"/>
      <c r="O34" s="56"/>
      <c r="P34" s="67"/>
      <c r="Q34" s="29"/>
    </row>
    <row r="35" spans="1:17">
      <c r="A35" s="183"/>
      <c r="B35" s="34" t="s">
        <v>45</v>
      </c>
      <c r="C35" s="47"/>
      <c r="D35" s="52"/>
      <c r="E35" s="53"/>
      <c r="F35" s="20"/>
      <c r="G35" s="19"/>
      <c r="H35" s="60"/>
      <c r="I35" s="22"/>
      <c r="J35" s="21"/>
      <c r="K35" s="60"/>
      <c r="L35" s="20"/>
      <c r="M35" s="19"/>
      <c r="N35" s="60"/>
      <c r="O35" s="56"/>
      <c r="P35" s="67"/>
      <c r="Q35" s="29"/>
    </row>
    <row r="36" spans="1:17">
      <c r="A36" s="184"/>
      <c r="B36" s="35" t="s">
        <v>46</v>
      </c>
      <c r="C36" s="55"/>
      <c r="D36" s="54"/>
      <c r="E36" s="25"/>
      <c r="F36" s="24"/>
      <c r="G36" s="23"/>
      <c r="H36" s="70"/>
      <c r="I36" s="22"/>
      <c r="J36" s="21"/>
      <c r="K36" s="60"/>
      <c r="L36" s="20"/>
      <c r="M36" s="19"/>
      <c r="N36" s="60"/>
      <c r="O36" s="71"/>
      <c r="P36" s="72"/>
      <c r="Q36" s="60"/>
    </row>
    <row r="37" spans="1:17">
      <c r="A37" s="182" t="s">
        <v>47</v>
      </c>
      <c r="B37" s="33" t="s">
        <v>48</v>
      </c>
      <c r="C37" s="112"/>
      <c r="D37" s="113"/>
      <c r="E37" s="114"/>
      <c r="F37" s="31"/>
      <c r="G37" s="32"/>
      <c r="H37" s="4"/>
      <c r="I37" s="115"/>
      <c r="J37" s="116"/>
      <c r="K37" s="114"/>
      <c r="L37" s="117"/>
      <c r="M37" s="118"/>
      <c r="N37" s="119"/>
      <c r="O37" s="120"/>
      <c r="P37" s="121"/>
      <c r="Q37" s="122"/>
    </row>
    <row r="38" spans="1:17">
      <c r="A38" s="183"/>
      <c r="B38" s="36" t="s">
        <v>49</v>
      </c>
      <c r="C38" s="47"/>
      <c r="D38" s="48"/>
      <c r="E38" s="30"/>
      <c r="F38" s="123"/>
      <c r="G38" s="124"/>
      <c r="H38" s="111"/>
      <c r="I38" s="125"/>
      <c r="J38" s="126"/>
      <c r="K38" s="111"/>
      <c r="L38" s="123"/>
      <c r="M38" s="124"/>
      <c r="N38" s="111"/>
      <c r="O38" s="123"/>
      <c r="P38" s="124"/>
      <c r="Q38" s="111"/>
    </row>
    <row r="39" spans="1:17">
      <c r="A39" s="183"/>
      <c r="B39" s="34" t="s">
        <v>50</v>
      </c>
      <c r="C39" s="47"/>
      <c r="D39" s="48"/>
      <c r="E39" s="30"/>
      <c r="F39" s="123"/>
      <c r="G39" s="124"/>
      <c r="H39" s="111"/>
      <c r="I39" s="125"/>
      <c r="J39" s="126"/>
      <c r="K39" s="111"/>
      <c r="L39" s="104"/>
      <c r="M39" s="105"/>
      <c r="N39" s="103"/>
      <c r="O39" s="123"/>
      <c r="P39" s="124"/>
      <c r="Q39" s="111"/>
    </row>
    <row r="40" spans="1:17">
      <c r="A40" s="183"/>
      <c r="B40" s="34" t="s">
        <v>51</v>
      </c>
      <c r="C40" s="47"/>
      <c r="D40" s="48"/>
      <c r="E40" s="30"/>
      <c r="F40" s="123"/>
      <c r="G40" s="124"/>
      <c r="H40" s="111"/>
      <c r="I40" s="125"/>
      <c r="J40" s="126"/>
      <c r="K40" s="111"/>
      <c r="L40" s="92"/>
      <c r="M40" s="93"/>
      <c r="N40" s="94"/>
      <c r="O40" s="123"/>
      <c r="P40" s="124"/>
      <c r="Q40" s="111"/>
    </row>
    <row r="41" spans="1:17">
      <c r="A41" s="183"/>
      <c r="B41" s="34" t="s">
        <v>52</v>
      </c>
      <c r="C41" s="98"/>
      <c r="D41" s="99"/>
      <c r="E41" s="100"/>
      <c r="F41" s="18"/>
      <c r="G41" s="17"/>
      <c r="H41" s="12"/>
      <c r="I41" s="125"/>
      <c r="J41" s="126"/>
      <c r="K41" s="111"/>
      <c r="L41" s="104"/>
      <c r="M41" s="105"/>
      <c r="N41" s="103"/>
      <c r="O41" s="127"/>
      <c r="P41" s="128"/>
      <c r="Q41" s="97"/>
    </row>
    <row r="42" spans="1:17">
      <c r="A42" s="183"/>
      <c r="B42" s="34" t="s">
        <v>53</v>
      </c>
      <c r="C42" s="98"/>
      <c r="D42" s="99"/>
      <c r="E42" s="100"/>
      <c r="F42" s="123"/>
      <c r="G42" s="124"/>
      <c r="H42" s="111"/>
      <c r="I42" s="125"/>
      <c r="J42" s="126"/>
      <c r="K42" s="111"/>
      <c r="L42" s="104"/>
      <c r="M42" s="105"/>
      <c r="N42" s="103"/>
      <c r="O42" s="127"/>
      <c r="P42" s="128"/>
      <c r="Q42" s="97"/>
    </row>
    <row r="43" spans="1:17">
      <c r="A43" s="183"/>
      <c r="B43" s="34" t="s">
        <v>54</v>
      </c>
      <c r="C43" s="47"/>
      <c r="D43" s="48"/>
      <c r="E43" s="30"/>
      <c r="F43" s="123"/>
      <c r="G43" s="124"/>
      <c r="H43" s="111"/>
      <c r="I43" s="125"/>
      <c r="J43" s="126"/>
      <c r="K43" s="111"/>
      <c r="L43" s="104"/>
      <c r="M43" s="105"/>
      <c r="N43" s="103"/>
      <c r="O43" s="127"/>
      <c r="P43" s="128"/>
      <c r="Q43" s="97"/>
    </row>
    <row r="44" spans="1:17">
      <c r="A44" s="183"/>
      <c r="B44" s="34" t="s">
        <v>55</v>
      </c>
      <c r="C44" s="47"/>
      <c r="D44" s="48"/>
      <c r="E44" s="30"/>
      <c r="F44" s="18"/>
      <c r="G44" s="17"/>
      <c r="H44" s="12"/>
      <c r="I44" s="15"/>
      <c r="J44" s="14"/>
      <c r="K44" s="12"/>
      <c r="L44" s="16"/>
      <c r="M44" s="13"/>
      <c r="N44" s="12"/>
      <c r="O44" s="73"/>
      <c r="P44" s="74"/>
      <c r="Q44" s="29"/>
    </row>
    <row r="45" spans="1:17">
      <c r="A45" s="183"/>
      <c r="B45" s="34" t="s">
        <v>56</v>
      </c>
      <c r="C45" s="47"/>
      <c r="D45" s="48"/>
      <c r="E45" s="30"/>
      <c r="F45" s="123"/>
      <c r="G45" s="124"/>
      <c r="H45" s="111"/>
      <c r="I45" s="125"/>
      <c r="J45" s="126"/>
      <c r="K45" s="111"/>
      <c r="L45" s="129"/>
      <c r="M45" s="105"/>
      <c r="N45" s="111"/>
      <c r="O45" s="130"/>
      <c r="P45" s="131"/>
      <c r="Q45" s="97"/>
    </row>
    <row r="46" spans="1:17">
      <c r="A46" s="183"/>
      <c r="B46" s="34" t="s">
        <v>57</v>
      </c>
      <c r="C46" s="47"/>
      <c r="D46" s="48"/>
      <c r="E46" s="30"/>
      <c r="F46" s="132"/>
      <c r="G46" s="133"/>
      <c r="H46" s="134"/>
      <c r="I46" s="135"/>
      <c r="J46" s="136"/>
      <c r="K46" s="134"/>
      <c r="L46" s="137"/>
      <c r="M46" s="133"/>
      <c r="N46" s="134"/>
      <c r="O46" s="138"/>
      <c r="P46" s="139"/>
      <c r="Q46" s="140"/>
    </row>
    <row r="47" spans="1:17">
      <c r="A47" s="183"/>
      <c r="B47" s="34" t="s">
        <v>58</v>
      </c>
      <c r="C47" s="47"/>
      <c r="D47" s="48"/>
      <c r="E47" s="30"/>
      <c r="F47" s="18"/>
      <c r="G47" s="17"/>
      <c r="H47" s="12"/>
      <c r="I47" s="15"/>
      <c r="J47" s="14"/>
      <c r="K47" s="12"/>
      <c r="L47" s="78"/>
      <c r="M47" s="13"/>
      <c r="N47" s="12"/>
      <c r="O47" s="73"/>
      <c r="P47" s="74"/>
      <c r="Q47" s="29"/>
    </row>
    <row r="48" spans="1:17">
      <c r="A48" s="185" t="s">
        <v>59</v>
      </c>
      <c r="B48" s="37" t="s">
        <v>59</v>
      </c>
      <c r="C48" s="75">
        <f>SUM(C8:C47)</f>
        <v>0</v>
      </c>
      <c r="D48" s="75">
        <f t="shared" ref="D48:Q48" si="0">SUM(D8:D47)</f>
        <v>0</v>
      </c>
      <c r="E48" s="75">
        <f t="shared" si="0"/>
        <v>0</v>
      </c>
      <c r="F48" s="75">
        <f t="shared" si="0"/>
        <v>0</v>
      </c>
      <c r="G48" s="75">
        <f t="shared" si="0"/>
        <v>0</v>
      </c>
      <c r="H48" s="75">
        <f t="shared" si="0"/>
        <v>0</v>
      </c>
      <c r="I48" s="75">
        <f t="shared" si="0"/>
        <v>0</v>
      </c>
      <c r="J48" s="75">
        <f t="shared" si="0"/>
        <v>0</v>
      </c>
      <c r="K48" s="75">
        <f t="shared" si="0"/>
        <v>0</v>
      </c>
      <c r="L48" s="75">
        <f t="shared" si="0"/>
        <v>0</v>
      </c>
      <c r="M48" s="75">
        <f t="shared" si="0"/>
        <v>0</v>
      </c>
      <c r="N48" s="75">
        <f t="shared" si="0"/>
        <v>0</v>
      </c>
      <c r="O48" s="75">
        <f t="shared" si="0"/>
        <v>0</v>
      </c>
      <c r="P48" s="75">
        <f t="shared" si="0"/>
        <v>0</v>
      </c>
      <c r="Q48" s="75">
        <f t="shared" si="0"/>
        <v>0</v>
      </c>
    </row>
    <row r="49" spans="1:17">
      <c r="A49" s="186"/>
      <c r="B49" s="38" t="s">
        <v>60</v>
      </c>
      <c r="C49" s="3"/>
      <c r="D49" s="2"/>
      <c r="E49" s="1"/>
      <c r="F49" s="10"/>
      <c r="G49" s="9"/>
      <c r="H49" s="11"/>
      <c r="I49" s="10"/>
      <c r="J49" s="9"/>
      <c r="K49" s="11"/>
      <c r="L49" s="10"/>
      <c r="M49" s="9"/>
      <c r="N49" s="11"/>
      <c r="O49" s="10"/>
      <c r="P49" s="9"/>
      <c r="Q49" s="11"/>
    </row>
    <row r="50" spans="1:17">
      <c r="A50" s="167" t="s">
        <v>61</v>
      </c>
      <c r="B50" s="168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70"/>
    </row>
    <row r="51" spans="1:17">
      <c r="A51" s="45" t="s">
        <v>62</v>
      </c>
      <c r="B51" s="44"/>
      <c r="C51" s="44"/>
      <c r="D51" s="44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1"/>
    </row>
    <row r="52" spans="1:17">
      <c r="A52" s="145"/>
      <c r="B52" s="146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7"/>
    </row>
    <row r="53" spans="1:17">
      <c r="A53" s="148" t="s">
        <v>63</v>
      </c>
      <c r="B53" s="149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7"/>
    </row>
    <row r="54" spans="1:17">
      <c r="A54" s="43"/>
      <c r="Q54" s="42"/>
    </row>
    <row r="55" spans="1:17">
      <c r="A55" s="148" t="s">
        <v>64</v>
      </c>
      <c r="B55" s="149"/>
      <c r="C55" s="149"/>
      <c r="D55" s="149"/>
      <c r="E55" s="149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7"/>
    </row>
    <row r="56" spans="1:17">
      <c r="A56" s="148" t="s">
        <v>65</v>
      </c>
      <c r="B56" s="149"/>
      <c r="C56" s="146">
        <f>SUM(C48:Q48)</f>
        <v>0</v>
      </c>
      <c r="D56" s="146"/>
      <c r="E56" s="146"/>
      <c r="F56" s="146"/>
      <c r="G56" s="146"/>
      <c r="H56" s="146"/>
      <c r="I56" s="146"/>
      <c r="J56" s="44" t="s">
        <v>66</v>
      </c>
      <c r="M56" s="157" t="e">
        <f>M58/C56</f>
        <v>#DIV/0!</v>
      </c>
      <c r="N56" s="157"/>
      <c r="O56" s="157"/>
      <c r="P56" s="157"/>
      <c r="Q56" s="158"/>
    </row>
    <row r="57" spans="1:17">
      <c r="A57" s="148" t="s">
        <v>67</v>
      </c>
      <c r="B57" s="149"/>
      <c r="E57" s="146"/>
      <c r="F57" s="146"/>
      <c r="G57" s="146"/>
      <c r="H57" s="146"/>
      <c r="I57" s="146"/>
      <c r="J57" s="146"/>
      <c r="K57" s="146"/>
      <c r="M57" s="157"/>
      <c r="N57" s="157"/>
      <c r="O57" s="157"/>
      <c r="P57" s="157"/>
      <c r="Q57" s="158"/>
    </row>
    <row r="58" spans="1:17">
      <c r="A58" s="145">
        <f>SUM(O48+L48+I48+F48+C48)</f>
        <v>0</v>
      </c>
      <c r="B58" s="146"/>
      <c r="C58" s="146"/>
      <c r="D58" s="146"/>
      <c r="E58" s="146"/>
      <c r="F58" s="146"/>
      <c r="G58" s="146"/>
      <c r="H58" s="146"/>
      <c r="I58" s="146"/>
      <c r="J58" t="s">
        <v>68</v>
      </c>
      <c r="M58" s="146">
        <f>C56-C61</f>
        <v>0</v>
      </c>
      <c r="N58" s="146"/>
      <c r="O58" s="146"/>
      <c r="P58" s="146"/>
      <c r="Q58" s="147"/>
    </row>
    <row r="59" spans="1:17">
      <c r="A59" s="148" t="s">
        <v>69</v>
      </c>
      <c r="B59" s="149"/>
      <c r="C59" s="146">
        <f>SUM(P48+M48+J48+G48+D48)</f>
        <v>0</v>
      </c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7"/>
    </row>
    <row r="60" spans="1:17">
      <c r="A60" s="43"/>
      <c r="Q60" s="42"/>
    </row>
    <row r="61" spans="1:17">
      <c r="A61" s="148" t="s">
        <v>70</v>
      </c>
      <c r="B61" s="149"/>
      <c r="C61" s="146">
        <f>SUM(Q48+N48+K48+H48+E48)</f>
        <v>0</v>
      </c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7"/>
    </row>
    <row r="62" spans="1:17">
      <c r="A62" s="39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1"/>
    </row>
    <row r="63" spans="1:17">
      <c r="A63" s="148" t="s">
        <v>71</v>
      </c>
      <c r="B63" s="149"/>
      <c r="H63" s="42"/>
      <c r="I63" s="148" t="s">
        <v>72</v>
      </c>
      <c r="J63" s="149"/>
      <c r="K63" s="149"/>
      <c r="L63" s="149"/>
      <c r="M63" s="149"/>
      <c r="N63" s="149"/>
      <c r="O63" s="149"/>
      <c r="P63" s="149"/>
      <c r="Q63" s="150"/>
    </row>
    <row r="64" spans="1:17">
      <c r="A64" s="151" t="s">
        <v>73</v>
      </c>
      <c r="B64" s="152"/>
      <c r="C64" s="40"/>
      <c r="D64" s="40"/>
      <c r="E64" s="40"/>
      <c r="F64" s="40"/>
      <c r="G64" s="40"/>
      <c r="H64" s="41"/>
      <c r="I64" s="151" t="s">
        <v>74</v>
      </c>
      <c r="J64" s="152"/>
      <c r="K64" s="152"/>
      <c r="L64" s="152"/>
      <c r="M64" s="152"/>
      <c r="N64" s="152"/>
      <c r="O64" s="152"/>
      <c r="P64" s="152"/>
      <c r="Q64" s="153"/>
    </row>
    <row r="65" spans="1:17" ht="51.6" customHeight="1">
      <c r="A65" s="222" t="s">
        <v>75</v>
      </c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6"/>
    </row>
    <row r="66" spans="1:17"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</row>
  </sheetData>
  <mergeCells count="53">
    <mergeCell ref="B66:Q66"/>
    <mergeCell ref="A58:I58"/>
    <mergeCell ref="M58:Q58"/>
    <mergeCell ref="A59:B59"/>
    <mergeCell ref="C59:Q59"/>
    <mergeCell ref="A61:B61"/>
    <mergeCell ref="C61:Q61"/>
    <mergeCell ref="A63:B63"/>
    <mergeCell ref="I63:Q63"/>
    <mergeCell ref="A64:B64"/>
    <mergeCell ref="I64:Q64"/>
    <mergeCell ref="A65:Q65"/>
    <mergeCell ref="A56:B56"/>
    <mergeCell ref="C56:I56"/>
    <mergeCell ref="M56:Q56"/>
    <mergeCell ref="A57:B57"/>
    <mergeCell ref="E57:K57"/>
    <mergeCell ref="M57:Q57"/>
    <mergeCell ref="E51:Q51"/>
    <mergeCell ref="A52:Q52"/>
    <mergeCell ref="A53:B53"/>
    <mergeCell ref="C53:Q53"/>
    <mergeCell ref="A55:E55"/>
    <mergeCell ref="F55:Q55"/>
    <mergeCell ref="A50:B50"/>
    <mergeCell ref="C50:Q50"/>
    <mergeCell ref="F6:G6"/>
    <mergeCell ref="H6:H7"/>
    <mergeCell ref="I6:J6"/>
    <mergeCell ref="K6:K7"/>
    <mergeCell ref="L6:M6"/>
    <mergeCell ref="N6:N7"/>
    <mergeCell ref="O6:P6"/>
    <mergeCell ref="Q6:Q7"/>
    <mergeCell ref="A8:A36"/>
    <mergeCell ref="A37:A47"/>
    <mergeCell ref="A48:A49"/>
    <mergeCell ref="A4:J4"/>
    <mergeCell ref="K4:Q4"/>
    <mergeCell ref="A5:B7"/>
    <mergeCell ref="C5:E5"/>
    <mergeCell ref="F5:H5"/>
    <mergeCell ref="I5:K5"/>
    <mergeCell ref="L5:N5"/>
    <mergeCell ref="O5:Q5"/>
    <mergeCell ref="C6:D6"/>
    <mergeCell ref="E6:E7"/>
    <mergeCell ref="A1:B3"/>
    <mergeCell ref="C1:Q1"/>
    <mergeCell ref="C2:Q2"/>
    <mergeCell ref="C3:I3"/>
    <mergeCell ref="J3:O3"/>
    <mergeCell ref="P3:Q3"/>
  </mergeCells>
  <printOptions horizontalCentered="1" verticalCentered="1"/>
  <pageMargins left="0" right="0" top="0.15748031496062992" bottom="0.15748031496062992" header="0.31496062992125984" footer="0.31496062992125984"/>
  <pageSetup scale="72" fitToWidth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08595-E042-4E68-B14A-1957F6EE1BD6}">
  <sheetPr>
    <pageSetUpPr fitToPage="1"/>
  </sheetPr>
  <dimension ref="A1:S66"/>
  <sheetViews>
    <sheetView zoomScale="98" zoomScaleNormal="98" workbookViewId="0">
      <selection activeCell="E49" sqref="E49"/>
    </sheetView>
  </sheetViews>
  <sheetFormatPr defaultColWidth="11.42578125" defaultRowHeight="15"/>
  <cols>
    <col min="2" max="2" width="18.85546875" customWidth="1"/>
    <col min="3" max="3" width="4.7109375" customWidth="1"/>
    <col min="4" max="4" width="5.42578125" customWidth="1"/>
    <col min="5" max="5" width="4.85546875" customWidth="1"/>
    <col min="6" max="6" width="5.42578125" customWidth="1"/>
    <col min="7" max="7" width="5.85546875" customWidth="1"/>
    <col min="8" max="8" width="5.42578125" customWidth="1"/>
    <col min="9" max="9" width="5.7109375" customWidth="1"/>
    <col min="10" max="10" width="5.5703125" customWidth="1"/>
    <col min="11" max="12" width="5.7109375" customWidth="1"/>
    <col min="13" max="13" width="5.5703125" customWidth="1"/>
    <col min="14" max="16" width="5.7109375" customWidth="1"/>
    <col min="17" max="17" width="5.42578125" customWidth="1"/>
  </cols>
  <sheetData>
    <row r="1" spans="1:19" ht="15.75" thickBot="1">
      <c r="A1" s="205"/>
      <c r="B1" s="206"/>
      <c r="C1" s="211" t="s">
        <v>76</v>
      </c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3"/>
    </row>
    <row r="2" spans="1:19" ht="15.75" thickBot="1">
      <c r="A2" s="207"/>
      <c r="B2" s="208"/>
      <c r="C2" s="214" t="s">
        <v>1</v>
      </c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6"/>
    </row>
    <row r="3" spans="1:19" ht="15.75" thickBot="1">
      <c r="A3" s="209"/>
      <c r="B3" s="210"/>
      <c r="C3" s="223" t="s">
        <v>77</v>
      </c>
      <c r="D3" s="218"/>
      <c r="E3" s="218"/>
      <c r="F3" s="218"/>
      <c r="G3" s="218"/>
      <c r="H3" s="218"/>
      <c r="I3" s="219"/>
      <c r="J3" s="223" t="s">
        <v>78</v>
      </c>
      <c r="K3" s="218"/>
      <c r="L3" s="218"/>
      <c r="M3" s="218"/>
      <c r="N3" s="218"/>
      <c r="O3" s="219"/>
      <c r="P3" s="224" t="s">
        <v>79</v>
      </c>
      <c r="Q3" s="219"/>
    </row>
    <row r="4" spans="1:19" ht="15.75" thickBot="1">
      <c r="A4" s="187" t="s">
        <v>5</v>
      </c>
      <c r="B4" s="187"/>
      <c r="C4" s="187"/>
      <c r="D4" s="187"/>
      <c r="E4" s="187"/>
      <c r="F4" s="187"/>
      <c r="G4" s="187"/>
      <c r="H4" s="187"/>
      <c r="I4" s="187"/>
      <c r="J4" s="187"/>
      <c r="K4" s="221" t="s">
        <v>6</v>
      </c>
      <c r="L4" s="189"/>
      <c r="M4" s="189"/>
      <c r="N4" s="189"/>
      <c r="O4" s="189"/>
      <c r="P4" s="189"/>
      <c r="Q4" s="190"/>
      <c r="R4" s="88"/>
      <c r="S4" s="141"/>
    </row>
    <row r="5" spans="1:19" ht="15.75" thickBot="1">
      <c r="A5" s="191" t="s">
        <v>7</v>
      </c>
      <c r="B5" s="192"/>
      <c r="C5" s="197" t="s">
        <v>8</v>
      </c>
      <c r="D5" s="198"/>
      <c r="E5" s="198"/>
      <c r="F5" s="198" t="s">
        <v>9</v>
      </c>
      <c r="G5" s="198"/>
      <c r="H5" s="198"/>
      <c r="I5" s="198" t="s">
        <v>10</v>
      </c>
      <c r="J5" s="198"/>
      <c r="K5" s="198"/>
      <c r="L5" s="198" t="s">
        <v>11</v>
      </c>
      <c r="M5" s="198"/>
      <c r="N5" s="199"/>
      <c r="O5" s="200" t="s">
        <v>12</v>
      </c>
      <c r="P5" s="201"/>
      <c r="Q5" s="202"/>
    </row>
    <row r="6" spans="1:19">
      <c r="A6" s="193"/>
      <c r="B6" s="194"/>
      <c r="C6" s="179" t="s">
        <v>13</v>
      </c>
      <c r="D6" s="174"/>
      <c r="E6" s="203" t="s">
        <v>14</v>
      </c>
      <c r="F6" s="174" t="s">
        <v>13</v>
      </c>
      <c r="G6" s="174"/>
      <c r="H6" s="175" t="s">
        <v>14</v>
      </c>
      <c r="I6" s="174" t="s">
        <v>13</v>
      </c>
      <c r="J6" s="174"/>
      <c r="K6" s="175" t="s">
        <v>14</v>
      </c>
      <c r="L6" s="174" t="s">
        <v>13</v>
      </c>
      <c r="M6" s="174"/>
      <c r="N6" s="177" t="s">
        <v>14</v>
      </c>
      <c r="O6" s="179" t="s">
        <v>13</v>
      </c>
      <c r="P6" s="174"/>
      <c r="Q6" s="180" t="s">
        <v>14</v>
      </c>
    </row>
    <row r="7" spans="1:19" ht="15.75" thickBot="1">
      <c r="A7" s="195"/>
      <c r="B7" s="196"/>
      <c r="C7" s="8" t="s">
        <v>15</v>
      </c>
      <c r="D7" s="7" t="s">
        <v>16</v>
      </c>
      <c r="E7" s="204"/>
      <c r="F7" s="7" t="s">
        <v>15</v>
      </c>
      <c r="G7" s="7" t="s">
        <v>16</v>
      </c>
      <c r="H7" s="176"/>
      <c r="I7" s="7" t="s">
        <v>15</v>
      </c>
      <c r="J7" s="7" t="s">
        <v>16</v>
      </c>
      <c r="K7" s="176"/>
      <c r="L7" s="7" t="s">
        <v>15</v>
      </c>
      <c r="M7" s="7" t="s">
        <v>16</v>
      </c>
      <c r="N7" s="178"/>
      <c r="O7" s="8" t="s">
        <v>15</v>
      </c>
      <c r="P7" s="7" t="s">
        <v>16</v>
      </c>
      <c r="Q7" s="181"/>
    </row>
    <row r="8" spans="1:19" ht="24">
      <c r="A8" s="182" t="s">
        <v>17</v>
      </c>
      <c r="B8" s="33" t="s">
        <v>18</v>
      </c>
      <c r="C8" s="6">
        <v>1</v>
      </c>
      <c r="D8" s="5"/>
      <c r="E8" s="4"/>
      <c r="F8" s="6">
        <v>1</v>
      </c>
      <c r="G8" s="5"/>
      <c r="H8" s="4"/>
      <c r="I8" s="27">
        <v>1</v>
      </c>
      <c r="J8" s="76"/>
      <c r="K8" s="30"/>
      <c r="L8" s="77">
        <v>1</v>
      </c>
      <c r="M8" s="26"/>
      <c r="N8" s="30"/>
      <c r="O8" s="27"/>
      <c r="P8" s="26">
        <v>1</v>
      </c>
      <c r="Q8" s="29"/>
    </row>
    <row r="9" spans="1:19" ht="22.5">
      <c r="A9" s="183"/>
      <c r="B9" s="34" t="s">
        <v>19</v>
      </c>
      <c r="C9" s="47">
        <v>1</v>
      </c>
      <c r="D9" s="48"/>
      <c r="E9" s="30"/>
      <c r="F9" s="66">
        <v>1</v>
      </c>
      <c r="G9" s="67"/>
      <c r="H9" s="12"/>
      <c r="I9" s="61">
        <v>1</v>
      </c>
      <c r="J9" s="62"/>
      <c r="K9" s="12"/>
      <c r="L9" s="66">
        <v>1</v>
      </c>
      <c r="M9" s="67"/>
      <c r="N9" s="12"/>
      <c r="O9" s="56"/>
      <c r="P9" s="67">
        <v>1</v>
      </c>
      <c r="Q9" s="29"/>
    </row>
    <row r="10" spans="1:19">
      <c r="A10" s="183"/>
      <c r="B10" s="34" t="s">
        <v>20</v>
      </c>
      <c r="C10" s="49">
        <v>1</v>
      </c>
      <c r="D10" s="46"/>
      <c r="E10" s="30"/>
      <c r="F10" s="66">
        <v>1</v>
      </c>
      <c r="G10" s="67"/>
      <c r="H10" s="12"/>
      <c r="I10" s="61">
        <v>1</v>
      </c>
      <c r="J10" s="62"/>
      <c r="K10" s="12"/>
      <c r="L10" s="66">
        <v>1</v>
      </c>
      <c r="M10" s="67"/>
      <c r="N10" s="12"/>
      <c r="O10" s="56">
        <v>1</v>
      </c>
      <c r="P10" s="67"/>
      <c r="Q10" s="29"/>
    </row>
    <row r="11" spans="1:19">
      <c r="A11" s="183"/>
      <c r="B11" s="34" t="s">
        <v>21</v>
      </c>
      <c r="C11" s="49">
        <v>1</v>
      </c>
      <c r="D11" s="46"/>
      <c r="E11" s="30"/>
      <c r="F11" s="68">
        <v>1</v>
      </c>
      <c r="G11" s="69"/>
      <c r="H11" s="57"/>
      <c r="I11" s="61">
        <v>1</v>
      </c>
      <c r="J11" s="62"/>
      <c r="K11" s="12"/>
      <c r="L11" s="68">
        <v>1</v>
      </c>
      <c r="M11" s="69"/>
      <c r="N11" s="12"/>
      <c r="O11" s="56"/>
      <c r="P11" s="67">
        <v>1</v>
      </c>
      <c r="Q11" s="29"/>
    </row>
    <row r="12" spans="1:19">
      <c r="A12" s="183"/>
      <c r="B12" s="34" t="s">
        <v>22</v>
      </c>
      <c r="C12" s="50">
        <v>1</v>
      </c>
      <c r="D12" s="51"/>
      <c r="E12" s="30"/>
      <c r="F12" s="18">
        <v>1</v>
      </c>
      <c r="G12" s="17"/>
      <c r="H12" s="12"/>
      <c r="I12" s="18">
        <v>1</v>
      </c>
      <c r="J12" s="17"/>
      <c r="K12" s="12"/>
      <c r="L12" s="18">
        <v>1</v>
      </c>
      <c r="M12" s="17"/>
      <c r="N12" s="12"/>
      <c r="O12" s="18"/>
      <c r="P12" s="17"/>
      <c r="Q12" s="12">
        <v>1</v>
      </c>
    </row>
    <row r="13" spans="1:19" ht="22.5">
      <c r="A13" s="183"/>
      <c r="B13" s="34" t="s">
        <v>23</v>
      </c>
      <c r="C13" s="47">
        <v>1</v>
      </c>
      <c r="D13" s="48"/>
      <c r="E13" s="30"/>
      <c r="F13" s="18">
        <v>1</v>
      </c>
      <c r="G13" s="17"/>
      <c r="H13" s="12"/>
      <c r="I13" s="15">
        <v>1</v>
      </c>
      <c r="J13" s="14"/>
      <c r="K13" s="12"/>
      <c r="L13" s="18">
        <v>1</v>
      </c>
      <c r="M13" s="17"/>
      <c r="N13" s="12"/>
      <c r="O13" s="56">
        <v>1</v>
      </c>
      <c r="P13" s="67"/>
      <c r="Q13" s="29"/>
    </row>
    <row r="14" spans="1:19">
      <c r="A14" s="183"/>
      <c r="B14" s="34" t="s">
        <v>24</v>
      </c>
      <c r="C14" s="47">
        <v>1</v>
      </c>
      <c r="D14" s="48"/>
      <c r="E14" s="28"/>
      <c r="F14" s="18">
        <v>1</v>
      </c>
      <c r="G14" s="17"/>
      <c r="H14" s="12"/>
      <c r="I14" s="15">
        <v>1</v>
      </c>
      <c r="J14" s="14"/>
      <c r="K14" s="12"/>
      <c r="L14" s="18">
        <v>1</v>
      </c>
      <c r="M14" s="17"/>
      <c r="N14" s="12"/>
      <c r="O14" s="56">
        <v>1</v>
      </c>
      <c r="P14" s="67"/>
      <c r="Q14" s="29"/>
    </row>
    <row r="15" spans="1:19">
      <c r="A15" s="183"/>
      <c r="B15" s="34" t="s">
        <v>25</v>
      </c>
      <c r="C15" s="89"/>
      <c r="D15" s="90"/>
      <c r="E15" s="91"/>
      <c r="F15" s="92"/>
      <c r="G15" s="93"/>
      <c r="H15" s="94"/>
      <c r="I15" s="63">
        <v>1</v>
      </c>
      <c r="J15" s="64"/>
      <c r="K15" s="65"/>
      <c r="L15" s="92"/>
      <c r="M15" s="93"/>
      <c r="N15" s="94"/>
      <c r="O15" s="95"/>
      <c r="P15" s="96"/>
      <c r="Q15" s="97"/>
    </row>
    <row r="16" spans="1:19">
      <c r="A16" s="183"/>
      <c r="B16" s="34" t="s">
        <v>26</v>
      </c>
      <c r="C16" s="47"/>
      <c r="D16" s="48"/>
      <c r="E16" s="12">
        <v>1</v>
      </c>
      <c r="F16" s="16">
        <v>1</v>
      </c>
      <c r="G16" s="13"/>
      <c r="H16" s="12"/>
      <c r="I16" s="22"/>
      <c r="J16" s="21">
        <v>1</v>
      </c>
      <c r="K16" s="12"/>
      <c r="L16" s="16">
        <v>1</v>
      </c>
      <c r="M16" s="13"/>
      <c r="N16" s="12"/>
      <c r="O16" s="95"/>
      <c r="P16" s="96"/>
      <c r="Q16" s="97"/>
    </row>
    <row r="17" spans="1:17">
      <c r="A17" s="183"/>
      <c r="B17" s="34" t="s">
        <v>27</v>
      </c>
      <c r="C17" s="98"/>
      <c r="D17" s="99"/>
      <c r="E17" s="100"/>
      <c r="F17" s="16"/>
      <c r="G17" s="13"/>
      <c r="H17" s="12">
        <v>1</v>
      </c>
      <c r="I17" s="15">
        <v>1</v>
      </c>
      <c r="J17" s="14"/>
      <c r="K17" s="58"/>
      <c r="L17" s="18">
        <v>1</v>
      </c>
      <c r="M17" s="17"/>
      <c r="N17" s="12"/>
      <c r="O17" s="95"/>
      <c r="P17" s="96"/>
      <c r="Q17" s="97"/>
    </row>
    <row r="18" spans="1:17">
      <c r="A18" s="183"/>
      <c r="B18" s="34" t="s">
        <v>28</v>
      </c>
      <c r="C18" s="47">
        <v>1</v>
      </c>
      <c r="D18" s="48"/>
      <c r="E18" s="30"/>
      <c r="F18" s="16"/>
      <c r="G18" s="13"/>
      <c r="H18" s="12">
        <v>1</v>
      </c>
      <c r="I18" s="22"/>
      <c r="J18" s="21"/>
      <c r="K18" s="107">
        <v>1</v>
      </c>
      <c r="L18" s="142">
        <v>1</v>
      </c>
      <c r="M18" s="108"/>
      <c r="N18" s="106"/>
      <c r="O18" s="56">
        <v>1</v>
      </c>
      <c r="P18" s="67"/>
      <c r="Q18" s="29"/>
    </row>
    <row r="19" spans="1:17">
      <c r="A19" s="183"/>
      <c r="B19" s="34" t="s">
        <v>29</v>
      </c>
      <c r="C19" s="47">
        <v>1</v>
      </c>
      <c r="D19" s="48"/>
      <c r="E19" s="30"/>
      <c r="F19" s="16"/>
      <c r="G19" s="13">
        <v>1</v>
      </c>
      <c r="H19" s="12"/>
      <c r="I19" s="22"/>
      <c r="J19" s="21"/>
      <c r="K19" s="59">
        <v>1</v>
      </c>
      <c r="L19" s="18">
        <v>1</v>
      </c>
      <c r="M19" s="17"/>
      <c r="N19" s="12"/>
      <c r="O19" s="56">
        <v>1</v>
      </c>
      <c r="P19" s="67"/>
      <c r="Q19" s="29"/>
    </row>
    <row r="20" spans="1:17">
      <c r="A20" s="183"/>
      <c r="B20" s="34" t="s">
        <v>30</v>
      </c>
      <c r="C20" s="47"/>
      <c r="D20" s="48"/>
      <c r="E20" s="12">
        <v>1</v>
      </c>
      <c r="F20" s="16">
        <v>1</v>
      </c>
      <c r="G20" s="13"/>
      <c r="H20" s="12"/>
      <c r="I20" s="101"/>
      <c r="J20" s="102"/>
      <c r="K20" s="103"/>
      <c r="L20" s="104"/>
      <c r="M20" s="105"/>
      <c r="N20" s="103"/>
      <c r="O20" s="56">
        <v>1</v>
      </c>
      <c r="P20" s="67"/>
      <c r="Q20" s="29"/>
    </row>
    <row r="21" spans="1:17">
      <c r="A21" s="183"/>
      <c r="B21" s="34" t="s">
        <v>31</v>
      </c>
      <c r="C21" s="47"/>
      <c r="D21" s="48"/>
      <c r="E21" s="30">
        <v>1</v>
      </c>
      <c r="F21" s="16">
        <v>1</v>
      </c>
      <c r="G21" s="13"/>
      <c r="H21" s="12"/>
      <c r="I21" s="101"/>
      <c r="J21" s="102"/>
      <c r="K21" s="103"/>
      <c r="L21" s="104"/>
      <c r="M21" s="105"/>
      <c r="N21" s="103"/>
      <c r="O21" s="56">
        <v>1</v>
      </c>
      <c r="P21" s="67"/>
      <c r="Q21" s="29"/>
    </row>
    <row r="22" spans="1:17" ht="24">
      <c r="A22" s="183"/>
      <c r="B22" s="34" t="s">
        <v>32</v>
      </c>
      <c r="C22" s="98"/>
      <c r="D22" s="99"/>
      <c r="E22" s="100"/>
      <c r="F22" s="104"/>
      <c r="G22" s="105"/>
      <c r="H22" s="111"/>
      <c r="I22" s="22">
        <v>1</v>
      </c>
      <c r="J22" s="21"/>
      <c r="K22" s="59"/>
      <c r="L22" s="16">
        <v>1</v>
      </c>
      <c r="M22" s="13"/>
      <c r="N22" s="107"/>
      <c r="O22" s="110">
        <v>1</v>
      </c>
      <c r="P22" s="110"/>
      <c r="Q22" s="109"/>
    </row>
    <row r="23" spans="1:17">
      <c r="A23" s="183"/>
      <c r="B23" s="34" t="s">
        <v>33</v>
      </c>
      <c r="C23" s="47">
        <v>1</v>
      </c>
      <c r="D23" s="48"/>
      <c r="E23" s="30"/>
      <c r="F23" s="16">
        <v>1</v>
      </c>
      <c r="G23" s="13"/>
      <c r="H23" s="59"/>
      <c r="I23" s="22"/>
      <c r="J23" s="21"/>
      <c r="K23" s="59">
        <v>1</v>
      </c>
      <c r="L23" s="16"/>
      <c r="M23" s="13"/>
      <c r="N23" s="12">
        <v>1</v>
      </c>
      <c r="O23" s="56"/>
      <c r="P23" s="67"/>
      <c r="Q23" s="29">
        <v>1</v>
      </c>
    </row>
    <row r="24" spans="1:17">
      <c r="A24" s="183"/>
      <c r="B24" s="34" t="s">
        <v>34</v>
      </c>
      <c r="C24" s="47">
        <v>1</v>
      </c>
      <c r="D24" s="48"/>
      <c r="E24" s="30"/>
      <c r="F24" s="16"/>
      <c r="G24" s="13">
        <v>1</v>
      </c>
      <c r="H24" s="59"/>
      <c r="I24" s="101"/>
      <c r="J24" s="102"/>
      <c r="K24" s="103"/>
      <c r="L24" s="104"/>
      <c r="M24" s="105"/>
      <c r="N24" s="111"/>
      <c r="O24" s="56"/>
      <c r="P24" s="67">
        <v>1</v>
      </c>
      <c r="Q24" s="29"/>
    </row>
    <row r="25" spans="1:17">
      <c r="A25" s="183"/>
      <c r="B25" s="34" t="s">
        <v>35</v>
      </c>
      <c r="C25" s="98"/>
      <c r="D25" s="99"/>
      <c r="E25" s="100"/>
      <c r="F25" s="104"/>
      <c r="G25" s="105"/>
      <c r="H25" s="103"/>
      <c r="I25" s="101"/>
      <c r="J25" s="102"/>
      <c r="K25" s="103"/>
      <c r="L25" s="16">
        <v>1</v>
      </c>
      <c r="M25" s="13"/>
      <c r="N25" s="12"/>
      <c r="O25" s="95"/>
      <c r="P25" s="96"/>
      <c r="Q25" s="97"/>
    </row>
    <row r="26" spans="1:17">
      <c r="A26" s="183"/>
      <c r="B26" s="34" t="s">
        <v>36</v>
      </c>
      <c r="C26" s="47">
        <v>1</v>
      </c>
      <c r="D26" s="48"/>
      <c r="E26" s="30"/>
      <c r="F26" s="16">
        <v>1</v>
      </c>
      <c r="G26" s="13"/>
      <c r="H26" s="59"/>
      <c r="I26" s="22"/>
      <c r="J26" s="21"/>
      <c r="K26" s="59">
        <v>1</v>
      </c>
      <c r="L26" s="16"/>
      <c r="M26" s="13"/>
      <c r="N26" s="12">
        <v>1</v>
      </c>
      <c r="O26" s="56">
        <v>1</v>
      </c>
      <c r="P26" s="67"/>
      <c r="Q26" s="29"/>
    </row>
    <row r="27" spans="1:17">
      <c r="A27" s="183"/>
      <c r="B27" s="34" t="s">
        <v>37</v>
      </c>
      <c r="C27" s="47"/>
      <c r="D27" s="48"/>
      <c r="E27" s="30">
        <v>1</v>
      </c>
      <c r="F27" s="16"/>
      <c r="G27" s="13"/>
      <c r="H27" s="59">
        <v>1</v>
      </c>
      <c r="I27" s="22"/>
      <c r="J27" s="21"/>
      <c r="K27" s="59">
        <v>1</v>
      </c>
      <c r="L27" s="16">
        <v>1</v>
      </c>
      <c r="M27" s="13"/>
      <c r="N27" s="12"/>
      <c r="O27" s="56"/>
      <c r="P27" s="67"/>
      <c r="Q27" s="29">
        <v>1</v>
      </c>
    </row>
    <row r="28" spans="1:17" ht="22.5">
      <c r="A28" s="183"/>
      <c r="B28" s="34" t="s">
        <v>38</v>
      </c>
      <c r="C28" s="47">
        <v>1</v>
      </c>
      <c r="D28" s="48"/>
      <c r="E28" s="12"/>
      <c r="F28" s="16">
        <v>1</v>
      </c>
      <c r="G28" s="13"/>
      <c r="H28" s="59"/>
      <c r="I28" s="22">
        <v>1</v>
      </c>
      <c r="J28" s="21"/>
      <c r="K28" s="59"/>
      <c r="L28" s="16">
        <v>1</v>
      </c>
      <c r="M28" s="13"/>
      <c r="N28" s="12"/>
      <c r="O28" s="56">
        <v>1</v>
      </c>
      <c r="P28" s="67"/>
      <c r="Q28" s="29"/>
    </row>
    <row r="29" spans="1:17">
      <c r="A29" s="183"/>
      <c r="B29" s="34" t="s">
        <v>39</v>
      </c>
      <c r="C29" s="47">
        <v>1</v>
      </c>
      <c r="D29" s="48"/>
      <c r="E29" s="12"/>
      <c r="F29" s="16">
        <v>1</v>
      </c>
      <c r="G29" s="13"/>
      <c r="H29" s="59"/>
      <c r="I29" s="22">
        <v>1</v>
      </c>
      <c r="J29" s="21"/>
      <c r="K29" s="59"/>
      <c r="L29" s="16">
        <v>1</v>
      </c>
      <c r="M29" s="13"/>
      <c r="N29" s="12"/>
      <c r="O29" s="56">
        <v>1</v>
      </c>
      <c r="P29" s="67"/>
      <c r="Q29" s="29"/>
    </row>
    <row r="30" spans="1:17">
      <c r="A30" s="183"/>
      <c r="B30" s="34" t="s">
        <v>40</v>
      </c>
      <c r="C30" s="47"/>
      <c r="D30" s="48">
        <v>1</v>
      </c>
      <c r="E30" s="12"/>
      <c r="F30" s="16"/>
      <c r="G30" s="13">
        <v>1</v>
      </c>
      <c r="H30" s="59"/>
      <c r="I30" s="22">
        <v>1</v>
      </c>
      <c r="J30" s="21"/>
      <c r="K30" s="59"/>
      <c r="L30" s="16"/>
      <c r="M30" s="13">
        <v>1</v>
      </c>
      <c r="N30" s="59"/>
      <c r="O30" s="56"/>
      <c r="P30" s="67">
        <v>1</v>
      </c>
      <c r="Q30" s="29"/>
    </row>
    <row r="31" spans="1:17">
      <c r="A31" s="183"/>
      <c r="B31" s="34" t="s">
        <v>41</v>
      </c>
      <c r="C31" s="47">
        <v>1</v>
      </c>
      <c r="D31" s="48"/>
      <c r="E31" s="12"/>
      <c r="F31" s="16">
        <v>1</v>
      </c>
      <c r="G31" s="13"/>
      <c r="H31" s="59"/>
      <c r="I31" s="22"/>
      <c r="J31" s="21"/>
      <c r="K31" s="59">
        <v>1</v>
      </c>
      <c r="L31" s="16"/>
      <c r="M31" s="13"/>
      <c r="N31" s="59">
        <v>1</v>
      </c>
      <c r="O31" s="56">
        <v>1</v>
      </c>
      <c r="P31" s="67"/>
      <c r="Q31" s="29"/>
    </row>
    <row r="32" spans="1:17">
      <c r="A32" s="183"/>
      <c r="B32" s="34" t="s">
        <v>42</v>
      </c>
      <c r="C32" s="47">
        <v>1</v>
      </c>
      <c r="D32" s="48"/>
      <c r="E32" s="12"/>
      <c r="F32" s="16"/>
      <c r="G32" s="13"/>
      <c r="H32" s="59">
        <v>1</v>
      </c>
      <c r="I32" s="22">
        <v>1</v>
      </c>
      <c r="J32" s="21"/>
      <c r="K32" s="59"/>
      <c r="L32" s="16">
        <v>1</v>
      </c>
      <c r="M32" s="13"/>
      <c r="N32" s="59"/>
      <c r="O32" s="56">
        <v>1</v>
      </c>
      <c r="P32" s="67"/>
      <c r="Q32" s="29"/>
    </row>
    <row r="33" spans="1:17" ht="22.5">
      <c r="A33" s="183"/>
      <c r="B33" s="34" t="s">
        <v>43</v>
      </c>
      <c r="C33" s="47">
        <v>1</v>
      </c>
      <c r="D33" s="48"/>
      <c r="E33" s="12"/>
      <c r="F33" s="16">
        <v>1</v>
      </c>
      <c r="G33" s="13"/>
      <c r="H33" s="12"/>
      <c r="I33" s="22">
        <v>1</v>
      </c>
      <c r="J33" s="21"/>
      <c r="K33" s="12"/>
      <c r="L33" s="16">
        <v>1</v>
      </c>
      <c r="M33" s="13"/>
      <c r="N33" s="12"/>
      <c r="O33" s="56">
        <v>1</v>
      </c>
      <c r="P33" s="67"/>
      <c r="Q33" s="29"/>
    </row>
    <row r="34" spans="1:17">
      <c r="A34" s="183"/>
      <c r="B34" s="34" t="s">
        <v>44</v>
      </c>
      <c r="C34" s="47"/>
      <c r="D34" s="52">
        <v>1</v>
      </c>
      <c r="E34" s="53"/>
      <c r="F34" s="16">
        <v>1</v>
      </c>
      <c r="G34" s="13"/>
      <c r="H34" s="59"/>
      <c r="I34" s="22"/>
      <c r="J34" s="21">
        <v>1</v>
      </c>
      <c r="K34" s="59"/>
      <c r="L34" s="16"/>
      <c r="M34" s="13">
        <v>1</v>
      </c>
      <c r="N34" s="59"/>
      <c r="O34" s="56"/>
      <c r="P34" s="67">
        <v>1</v>
      </c>
      <c r="Q34" s="29"/>
    </row>
    <row r="35" spans="1:17">
      <c r="A35" s="183"/>
      <c r="B35" s="34" t="s">
        <v>45</v>
      </c>
      <c r="C35" s="47">
        <v>1</v>
      </c>
      <c r="D35" s="52"/>
      <c r="E35" s="53"/>
      <c r="F35" s="20">
        <v>1</v>
      </c>
      <c r="G35" s="19"/>
      <c r="H35" s="60"/>
      <c r="I35" s="22">
        <v>1</v>
      </c>
      <c r="J35" s="21"/>
      <c r="K35" s="60"/>
      <c r="L35" s="20">
        <v>1</v>
      </c>
      <c r="M35" s="19"/>
      <c r="N35" s="60"/>
      <c r="O35" s="56">
        <v>1</v>
      </c>
      <c r="P35" s="67"/>
      <c r="Q35" s="29"/>
    </row>
    <row r="36" spans="1:17">
      <c r="A36" s="184"/>
      <c r="B36" s="35" t="s">
        <v>46</v>
      </c>
      <c r="C36" s="55">
        <v>1</v>
      </c>
      <c r="D36" s="54"/>
      <c r="E36" s="25"/>
      <c r="F36" s="24">
        <v>1</v>
      </c>
      <c r="G36" s="23"/>
      <c r="H36" s="70"/>
      <c r="I36" s="22">
        <v>1</v>
      </c>
      <c r="J36" s="21"/>
      <c r="K36" s="60"/>
      <c r="L36" s="20">
        <v>1</v>
      </c>
      <c r="M36" s="19"/>
      <c r="N36" s="60"/>
      <c r="O36" s="71">
        <v>1</v>
      </c>
      <c r="P36" s="72"/>
      <c r="Q36" s="60"/>
    </row>
    <row r="37" spans="1:17">
      <c r="A37" s="182" t="s">
        <v>47</v>
      </c>
      <c r="B37" s="33" t="s">
        <v>48</v>
      </c>
      <c r="C37" s="112"/>
      <c r="D37" s="113"/>
      <c r="E37" s="114"/>
      <c r="F37" s="31">
        <v>1</v>
      </c>
      <c r="G37" s="32"/>
      <c r="H37" s="4"/>
      <c r="I37" s="115"/>
      <c r="J37" s="116"/>
      <c r="K37" s="114"/>
      <c r="L37" s="117"/>
      <c r="M37" s="118"/>
      <c r="N37" s="119"/>
      <c r="O37" s="120"/>
      <c r="P37" s="121"/>
      <c r="Q37" s="122"/>
    </row>
    <row r="38" spans="1:17">
      <c r="A38" s="183"/>
      <c r="B38" s="36" t="s">
        <v>49</v>
      </c>
      <c r="C38" s="47">
        <v>1</v>
      </c>
      <c r="D38" s="48"/>
      <c r="E38" s="30"/>
      <c r="F38" s="123"/>
      <c r="G38" s="124"/>
      <c r="H38" s="111"/>
      <c r="I38" s="125"/>
      <c r="J38" s="126"/>
      <c r="K38" s="111"/>
      <c r="L38" s="123"/>
      <c r="M38" s="124"/>
      <c r="N38" s="111"/>
      <c r="O38" s="123"/>
      <c r="P38" s="124"/>
      <c r="Q38" s="111"/>
    </row>
    <row r="39" spans="1:17">
      <c r="A39" s="183"/>
      <c r="B39" s="34" t="s">
        <v>50</v>
      </c>
      <c r="C39" s="47">
        <v>1</v>
      </c>
      <c r="D39" s="48"/>
      <c r="E39" s="30"/>
      <c r="F39" s="123"/>
      <c r="G39" s="124"/>
      <c r="H39" s="111"/>
      <c r="I39" s="125"/>
      <c r="J39" s="126"/>
      <c r="K39" s="111"/>
      <c r="L39" s="104"/>
      <c r="M39" s="105"/>
      <c r="N39" s="103"/>
      <c r="O39" s="123"/>
      <c r="P39" s="124"/>
      <c r="Q39" s="111"/>
    </row>
    <row r="40" spans="1:17">
      <c r="A40" s="183"/>
      <c r="B40" s="34" t="s">
        <v>51</v>
      </c>
      <c r="C40" s="47"/>
      <c r="D40" s="48">
        <v>1</v>
      </c>
      <c r="E40" s="30"/>
      <c r="F40" s="123"/>
      <c r="G40" s="124"/>
      <c r="H40" s="111"/>
      <c r="I40" s="125"/>
      <c r="J40" s="126"/>
      <c r="K40" s="111"/>
      <c r="L40" s="92"/>
      <c r="M40" s="93"/>
      <c r="N40" s="94"/>
      <c r="O40" s="123"/>
      <c r="P40" s="124"/>
      <c r="Q40" s="111"/>
    </row>
    <row r="41" spans="1:17">
      <c r="A41" s="183"/>
      <c r="B41" s="34" t="s">
        <v>52</v>
      </c>
      <c r="C41" s="98"/>
      <c r="D41" s="99"/>
      <c r="E41" s="100"/>
      <c r="F41" s="18"/>
      <c r="G41" s="17"/>
      <c r="H41" s="12">
        <v>1</v>
      </c>
      <c r="I41" s="125"/>
      <c r="J41" s="126"/>
      <c r="K41" s="111"/>
      <c r="L41" s="104"/>
      <c r="M41" s="105"/>
      <c r="N41" s="103"/>
      <c r="O41" s="127"/>
      <c r="P41" s="128"/>
      <c r="Q41" s="97"/>
    </row>
    <row r="42" spans="1:17">
      <c r="A42" s="183"/>
      <c r="B42" s="34" t="s">
        <v>53</v>
      </c>
      <c r="C42" s="98"/>
      <c r="D42" s="99"/>
      <c r="E42" s="100"/>
      <c r="F42" s="123"/>
      <c r="G42" s="124"/>
      <c r="H42" s="111"/>
      <c r="I42" s="125"/>
      <c r="J42" s="126"/>
      <c r="K42" s="111"/>
      <c r="L42" s="104"/>
      <c r="M42" s="105"/>
      <c r="N42" s="103"/>
      <c r="O42" s="127"/>
      <c r="P42" s="128"/>
      <c r="Q42" s="97"/>
    </row>
    <row r="43" spans="1:17">
      <c r="A43" s="183"/>
      <c r="B43" s="34" t="s">
        <v>54</v>
      </c>
      <c r="C43" s="47"/>
      <c r="D43" s="48">
        <v>1</v>
      </c>
      <c r="E43" s="30"/>
      <c r="F43" s="123"/>
      <c r="G43" s="124"/>
      <c r="H43" s="111"/>
      <c r="I43" s="125"/>
      <c r="J43" s="126"/>
      <c r="K43" s="111"/>
      <c r="L43" s="104"/>
      <c r="M43" s="105"/>
      <c r="N43" s="103"/>
      <c r="O43" s="127"/>
      <c r="P43" s="128"/>
      <c r="Q43" s="97"/>
    </row>
    <row r="44" spans="1:17">
      <c r="A44" s="183"/>
      <c r="B44" s="34" t="s">
        <v>55</v>
      </c>
      <c r="C44" s="47"/>
      <c r="D44" s="48"/>
      <c r="E44" s="30">
        <v>1</v>
      </c>
      <c r="F44" s="18"/>
      <c r="G44" s="17"/>
      <c r="H44" s="12">
        <v>1</v>
      </c>
      <c r="I44" s="15">
        <v>1</v>
      </c>
      <c r="J44" s="14"/>
      <c r="K44" s="12"/>
      <c r="L44" s="16">
        <v>1</v>
      </c>
      <c r="M44" s="13"/>
      <c r="N44" s="12"/>
      <c r="O44" s="73">
        <v>1</v>
      </c>
      <c r="P44" s="74"/>
      <c r="Q44" s="29"/>
    </row>
    <row r="45" spans="1:17">
      <c r="A45" s="183"/>
      <c r="B45" s="34" t="s">
        <v>56</v>
      </c>
      <c r="C45" s="47"/>
      <c r="D45" s="48">
        <v>1</v>
      </c>
      <c r="E45" s="30"/>
      <c r="F45" s="123"/>
      <c r="G45" s="124"/>
      <c r="H45" s="111"/>
      <c r="I45" s="125"/>
      <c r="J45" s="126"/>
      <c r="K45" s="111"/>
      <c r="L45" s="129"/>
      <c r="M45" s="105"/>
      <c r="N45" s="111"/>
      <c r="O45" s="130"/>
      <c r="P45" s="131"/>
      <c r="Q45" s="97"/>
    </row>
    <row r="46" spans="1:17">
      <c r="A46" s="183"/>
      <c r="B46" s="34" t="s">
        <v>57</v>
      </c>
      <c r="C46" s="47"/>
      <c r="D46" s="48"/>
      <c r="E46" s="30">
        <v>1</v>
      </c>
      <c r="F46" s="132"/>
      <c r="G46" s="133"/>
      <c r="H46" s="134">
        <v>1</v>
      </c>
      <c r="I46" s="135"/>
      <c r="J46" s="136"/>
      <c r="K46" s="134">
        <v>1</v>
      </c>
      <c r="L46" s="137"/>
      <c r="M46" s="133"/>
      <c r="N46" s="134">
        <v>1</v>
      </c>
      <c r="O46" s="138">
        <v>1</v>
      </c>
      <c r="P46" s="139"/>
      <c r="Q46" s="140"/>
    </row>
    <row r="47" spans="1:17">
      <c r="A47" s="183"/>
      <c r="B47" s="34" t="s">
        <v>58</v>
      </c>
      <c r="C47" s="47"/>
      <c r="D47" s="48"/>
      <c r="E47" s="30">
        <v>1</v>
      </c>
      <c r="F47" s="18"/>
      <c r="G47" s="17">
        <v>1</v>
      </c>
      <c r="H47" s="12"/>
      <c r="I47" s="15"/>
      <c r="J47" s="14">
        <v>1</v>
      </c>
      <c r="K47" s="12"/>
      <c r="L47" s="78">
        <v>1</v>
      </c>
      <c r="M47" s="13"/>
      <c r="N47" s="12"/>
      <c r="O47" s="73">
        <v>1</v>
      </c>
      <c r="P47" s="74"/>
      <c r="Q47" s="29"/>
    </row>
    <row r="48" spans="1:17" ht="15.75" thickBot="1">
      <c r="A48" s="185" t="s">
        <v>59</v>
      </c>
      <c r="B48" s="37" t="s">
        <v>59</v>
      </c>
      <c r="C48" s="75">
        <f>SUM(C8:C47)</f>
        <v>21</v>
      </c>
      <c r="D48" s="75">
        <f t="shared" ref="D48:Q48" si="0">SUM(D8:D47)</f>
        <v>5</v>
      </c>
      <c r="E48" s="75">
        <f t="shared" si="0"/>
        <v>7</v>
      </c>
      <c r="F48" s="75">
        <f t="shared" si="0"/>
        <v>20</v>
      </c>
      <c r="G48" s="75">
        <f t="shared" si="0"/>
        <v>4</v>
      </c>
      <c r="H48" s="75">
        <f t="shared" si="0"/>
        <v>7</v>
      </c>
      <c r="I48" s="75">
        <f t="shared" si="0"/>
        <v>18</v>
      </c>
      <c r="J48" s="75">
        <f t="shared" si="0"/>
        <v>3</v>
      </c>
      <c r="K48" s="75">
        <f t="shared" si="0"/>
        <v>7</v>
      </c>
      <c r="L48" s="75">
        <f t="shared" si="0"/>
        <v>22</v>
      </c>
      <c r="M48" s="75">
        <f t="shared" si="0"/>
        <v>2</v>
      </c>
      <c r="N48" s="75">
        <f t="shared" si="0"/>
        <v>4</v>
      </c>
      <c r="O48" s="75">
        <f t="shared" si="0"/>
        <v>19</v>
      </c>
      <c r="P48" s="75">
        <f t="shared" si="0"/>
        <v>6</v>
      </c>
      <c r="Q48" s="75">
        <f t="shared" si="0"/>
        <v>3</v>
      </c>
    </row>
    <row r="49" spans="1:17" ht="15.75" thickBot="1">
      <c r="A49" s="186"/>
      <c r="B49" s="38" t="s">
        <v>60</v>
      </c>
      <c r="C49" s="3"/>
      <c r="D49" s="2"/>
      <c r="E49" s="1"/>
      <c r="F49" s="10"/>
      <c r="G49" s="9"/>
      <c r="H49" s="11"/>
      <c r="I49" s="10"/>
      <c r="J49" s="9"/>
      <c r="K49" s="11"/>
      <c r="L49" s="10"/>
      <c r="M49" s="9"/>
      <c r="N49" s="11"/>
      <c r="O49" s="10"/>
      <c r="P49" s="9"/>
      <c r="Q49" s="11"/>
    </row>
    <row r="50" spans="1:17">
      <c r="A50" s="167" t="s">
        <v>61</v>
      </c>
      <c r="B50" s="168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70"/>
    </row>
    <row r="51" spans="1:17">
      <c r="A51" s="45" t="s">
        <v>62</v>
      </c>
      <c r="B51" s="44"/>
      <c r="C51" s="44"/>
      <c r="D51" s="44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1"/>
    </row>
    <row r="52" spans="1:17">
      <c r="A52" s="145"/>
      <c r="B52" s="146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7"/>
    </row>
    <row r="53" spans="1:17">
      <c r="A53" s="148" t="s">
        <v>63</v>
      </c>
      <c r="B53" s="149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7"/>
    </row>
    <row r="54" spans="1:17">
      <c r="A54" s="43"/>
      <c r="Q54" s="42"/>
    </row>
    <row r="55" spans="1:17">
      <c r="A55" s="148" t="s">
        <v>64</v>
      </c>
      <c r="B55" s="149"/>
      <c r="C55" s="149"/>
      <c r="D55" s="149"/>
      <c r="E55" s="149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7"/>
    </row>
    <row r="56" spans="1:17">
      <c r="A56" s="148" t="s">
        <v>65</v>
      </c>
      <c r="B56" s="149"/>
      <c r="C56" s="146">
        <f>SUM(C48:Q48)</f>
        <v>148</v>
      </c>
      <c r="D56" s="146"/>
      <c r="E56" s="146"/>
      <c r="F56" s="146"/>
      <c r="G56" s="146"/>
      <c r="H56" s="146"/>
      <c r="I56" s="146"/>
      <c r="J56" s="44" t="s">
        <v>66</v>
      </c>
      <c r="M56" s="157">
        <f>M58/C56</f>
        <v>0.81081081081081086</v>
      </c>
      <c r="N56" s="157"/>
      <c r="O56" s="157"/>
      <c r="P56" s="157"/>
      <c r="Q56" s="158"/>
    </row>
    <row r="57" spans="1:17">
      <c r="A57" s="148" t="s">
        <v>67</v>
      </c>
      <c r="B57" s="149"/>
      <c r="E57" s="146"/>
      <c r="F57" s="146"/>
      <c r="G57" s="146"/>
      <c r="H57" s="146"/>
      <c r="I57" s="146"/>
      <c r="J57" s="146"/>
      <c r="K57" s="146"/>
      <c r="M57" s="157"/>
      <c r="N57" s="157"/>
      <c r="O57" s="157"/>
      <c r="P57" s="157"/>
      <c r="Q57" s="158"/>
    </row>
    <row r="58" spans="1:17">
      <c r="A58" s="145">
        <f>SUM(O48+L48+I48+F48+C48)</f>
        <v>100</v>
      </c>
      <c r="B58" s="146"/>
      <c r="C58" s="146"/>
      <c r="D58" s="146"/>
      <c r="E58" s="146"/>
      <c r="F58" s="146"/>
      <c r="G58" s="146"/>
      <c r="H58" s="146"/>
      <c r="I58" s="146"/>
      <c r="J58" t="s">
        <v>68</v>
      </c>
      <c r="M58" s="146">
        <f>C56-C61</f>
        <v>120</v>
      </c>
      <c r="N58" s="146"/>
      <c r="O58" s="146"/>
      <c r="P58" s="146"/>
      <c r="Q58" s="147"/>
    </row>
    <row r="59" spans="1:17">
      <c r="A59" s="148" t="s">
        <v>69</v>
      </c>
      <c r="B59" s="149"/>
      <c r="C59" s="146">
        <f>SUM(P48+M48+J48+G48+D48)</f>
        <v>20</v>
      </c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7"/>
    </row>
    <row r="60" spans="1:17">
      <c r="A60" s="43"/>
      <c r="Q60" s="42"/>
    </row>
    <row r="61" spans="1:17">
      <c r="A61" s="148" t="s">
        <v>70</v>
      </c>
      <c r="B61" s="149"/>
      <c r="C61" s="146">
        <f>SUM(Q48+N48+K48+H48+E48)</f>
        <v>28</v>
      </c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7"/>
    </row>
    <row r="62" spans="1:17" ht="15.75" thickBot="1">
      <c r="A62" s="39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1"/>
    </row>
    <row r="63" spans="1:17">
      <c r="A63" s="148" t="s">
        <v>71</v>
      </c>
      <c r="B63" s="149"/>
      <c r="H63" s="42"/>
      <c r="I63" s="148" t="s">
        <v>72</v>
      </c>
      <c r="J63" s="149"/>
      <c r="K63" s="149"/>
      <c r="L63" s="149"/>
      <c r="M63" s="149"/>
      <c r="N63" s="149"/>
      <c r="O63" s="149"/>
      <c r="P63" s="149"/>
      <c r="Q63" s="150"/>
    </row>
    <row r="64" spans="1:17" ht="15.75" thickBot="1">
      <c r="A64" s="151" t="s">
        <v>73</v>
      </c>
      <c r="B64" s="152"/>
      <c r="C64" s="40"/>
      <c r="D64" s="40"/>
      <c r="E64" s="40"/>
      <c r="F64" s="40"/>
      <c r="G64" s="40"/>
      <c r="H64" s="41"/>
      <c r="I64" s="151" t="s">
        <v>74</v>
      </c>
      <c r="J64" s="152"/>
      <c r="K64" s="152"/>
      <c r="L64" s="152"/>
      <c r="M64" s="152"/>
      <c r="N64" s="152"/>
      <c r="O64" s="152"/>
      <c r="P64" s="152"/>
      <c r="Q64" s="153"/>
    </row>
    <row r="65" spans="1:17" ht="51.6" customHeight="1" thickBot="1">
      <c r="A65" s="222" t="s">
        <v>80</v>
      </c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6"/>
    </row>
    <row r="66" spans="1:17"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</row>
  </sheetData>
  <mergeCells count="53">
    <mergeCell ref="A4:J4"/>
    <mergeCell ref="K4:Q4"/>
    <mergeCell ref="A1:B3"/>
    <mergeCell ref="C1:Q1"/>
    <mergeCell ref="C2:Q2"/>
    <mergeCell ref="C3:I3"/>
    <mergeCell ref="J3:O3"/>
    <mergeCell ref="P3:Q3"/>
    <mergeCell ref="Q6:Q7"/>
    <mergeCell ref="A5:B7"/>
    <mergeCell ref="C5:E5"/>
    <mergeCell ref="F5:H5"/>
    <mergeCell ref="I5:K5"/>
    <mergeCell ref="L5:N5"/>
    <mergeCell ref="O5:Q5"/>
    <mergeCell ref="C6:D6"/>
    <mergeCell ref="E6:E7"/>
    <mergeCell ref="F6:G6"/>
    <mergeCell ref="H6:H7"/>
    <mergeCell ref="I6:J6"/>
    <mergeCell ref="K6:K7"/>
    <mergeCell ref="L6:M6"/>
    <mergeCell ref="N6:N7"/>
    <mergeCell ref="O6:P6"/>
    <mergeCell ref="A8:A36"/>
    <mergeCell ref="A37:A47"/>
    <mergeCell ref="A48:A49"/>
    <mergeCell ref="A50:B50"/>
    <mergeCell ref="C50:Q50"/>
    <mergeCell ref="A58:I58"/>
    <mergeCell ref="M58:Q58"/>
    <mergeCell ref="E51:Q51"/>
    <mergeCell ref="A52:Q52"/>
    <mergeCell ref="A53:B53"/>
    <mergeCell ref="C53:Q53"/>
    <mergeCell ref="A55:E55"/>
    <mergeCell ref="F55:Q55"/>
    <mergeCell ref="A56:B56"/>
    <mergeCell ref="C56:I56"/>
    <mergeCell ref="M56:Q56"/>
    <mergeCell ref="A57:B57"/>
    <mergeCell ref="M57:Q57"/>
    <mergeCell ref="E57:K57"/>
    <mergeCell ref="A64:B64"/>
    <mergeCell ref="I64:Q64"/>
    <mergeCell ref="A65:Q65"/>
    <mergeCell ref="B66:Q66"/>
    <mergeCell ref="A59:B59"/>
    <mergeCell ref="C59:Q59"/>
    <mergeCell ref="A61:B61"/>
    <mergeCell ref="C61:Q61"/>
    <mergeCell ref="A63:B63"/>
    <mergeCell ref="I63:Q63"/>
  </mergeCells>
  <printOptions horizontalCentered="1" verticalCentered="1"/>
  <pageMargins left="0" right="0" top="0.15748031496062992" bottom="0.15748031496062992" header="0.31496062992125984" footer="0.31496062992125984"/>
  <pageSetup scale="72" fitToWidth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6FCD2-DF74-49B5-9825-307C79C2DCAD}">
  <sheetPr>
    <pageSetUpPr fitToPage="1"/>
  </sheetPr>
  <dimension ref="A1:S66"/>
  <sheetViews>
    <sheetView zoomScale="98" zoomScaleNormal="98" workbookViewId="0">
      <selection activeCell="E9" sqref="E9"/>
    </sheetView>
  </sheetViews>
  <sheetFormatPr defaultColWidth="11.42578125" defaultRowHeight="15"/>
  <cols>
    <col min="2" max="2" width="31.7109375" customWidth="1"/>
    <col min="3" max="3" width="4.7109375" customWidth="1"/>
    <col min="4" max="4" width="5.42578125" customWidth="1"/>
    <col min="5" max="5" width="4.85546875" customWidth="1"/>
    <col min="6" max="6" width="5.42578125" customWidth="1"/>
    <col min="7" max="7" width="5.85546875" customWidth="1"/>
    <col min="8" max="8" width="5.42578125" customWidth="1"/>
    <col min="9" max="9" width="5.7109375" customWidth="1"/>
    <col min="10" max="10" width="5.5703125" customWidth="1"/>
    <col min="11" max="12" width="5.7109375" customWidth="1"/>
    <col min="13" max="13" width="5.5703125" customWidth="1"/>
    <col min="14" max="16" width="5.7109375" customWidth="1"/>
    <col min="17" max="17" width="5.42578125" customWidth="1"/>
  </cols>
  <sheetData>
    <row r="1" spans="1:19">
      <c r="A1" s="205"/>
      <c r="B1" s="206"/>
      <c r="C1" s="211" t="s">
        <v>76</v>
      </c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3"/>
    </row>
    <row r="2" spans="1:19">
      <c r="A2" s="207"/>
      <c r="B2" s="208"/>
      <c r="C2" s="214" t="s">
        <v>1</v>
      </c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6"/>
    </row>
    <row r="3" spans="1:19">
      <c r="A3" s="209"/>
      <c r="B3" s="210"/>
      <c r="C3" s="217" t="s">
        <v>2</v>
      </c>
      <c r="D3" s="218"/>
      <c r="E3" s="218"/>
      <c r="F3" s="218"/>
      <c r="G3" s="218"/>
      <c r="H3" s="218"/>
      <c r="I3" s="219"/>
      <c r="J3" s="217" t="s">
        <v>3</v>
      </c>
      <c r="K3" s="218"/>
      <c r="L3" s="218"/>
      <c r="M3" s="218"/>
      <c r="N3" s="218"/>
      <c r="O3" s="219"/>
      <c r="P3" s="220" t="s">
        <v>4</v>
      </c>
      <c r="Q3" s="219"/>
    </row>
    <row r="4" spans="1:19">
      <c r="A4" s="187" t="s">
        <v>5</v>
      </c>
      <c r="B4" s="187"/>
      <c r="C4" s="187"/>
      <c r="D4" s="187"/>
      <c r="E4" s="187"/>
      <c r="F4" s="187"/>
      <c r="G4" s="187"/>
      <c r="H4" s="187"/>
      <c r="I4" s="187"/>
      <c r="J4" s="187"/>
      <c r="K4" s="221" t="s">
        <v>6</v>
      </c>
      <c r="L4" s="189"/>
      <c r="M4" s="189"/>
      <c r="N4" s="189"/>
      <c r="O4" s="189"/>
      <c r="P4" s="189"/>
      <c r="Q4" s="190"/>
      <c r="R4" s="88"/>
      <c r="S4" s="141"/>
    </row>
    <row r="5" spans="1:19">
      <c r="A5" s="191" t="s">
        <v>7</v>
      </c>
      <c r="B5" s="192"/>
      <c r="C5" s="197" t="s">
        <v>8</v>
      </c>
      <c r="D5" s="198"/>
      <c r="E5" s="198"/>
      <c r="F5" s="198" t="s">
        <v>9</v>
      </c>
      <c r="G5" s="198"/>
      <c r="H5" s="198"/>
      <c r="I5" s="198" t="s">
        <v>10</v>
      </c>
      <c r="J5" s="198"/>
      <c r="K5" s="198"/>
      <c r="L5" s="198" t="s">
        <v>11</v>
      </c>
      <c r="M5" s="198"/>
      <c r="N5" s="199"/>
      <c r="O5" s="200" t="s">
        <v>12</v>
      </c>
      <c r="P5" s="201"/>
      <c r="Q5" s="202"/>
    </row>
    <row r="6" spans="1:19">
      <c r="A6" s="193"/>
      <c r="B6" s="194"/>
      <c r="C6" s="179" t="s">
        <v>13</v>
      </c>
      <c r="D6" s="174"/>
      <c r="E6" s="203" t="s">
        <v>14</v>
      </c>
      <c r="F6" s="174" t="s">
        <v>13</v>
      </c>
      <c r="G6" s="174"/>
      <c r="H6" s="175" t="s">
        <v>14</v>
      </c>
      <c r="I6" s="174" t="s">
        <v>13</v>
      </c>
      <c r="J6" s="174"/>
      <c r="K6" s="175" t="s">
        <v>14</v>
      </c>
      <c r="L6" s="174" t="s">
        <v>13</v>
      </c>
      <c r="M6" s="174"/>
      <c r="N6" s="177" t="s">
        <v>14</v>
      </c>
      <c r="O6" s="179" t="s">
        <v>13</v>
      </c>
      <c r="P6" s="174"/>
      <c r="Q6" s="180" t="s">
        <v>14</v>
      </c>
    </row>
    <row r="7" spans="1:19">
      <c r="A7" s="195"/>
      <c r="B7" s="196"/>
      <c r="C7" s="8" t="s">
        <v>15</v>
      </c>
      <c r="D7" s="7" t="s">
        <v>16</v>
      </c>
      <c r="E7" s="204"/>
      <c r="F7" s="7" t="s">
        <v>15</v>
      </c>
      <c r="G7" s="7" t="s">
        <v>16</v>
      </c>
      <c r="H7" s="176"/>
      <c r="I7" s="7" t="s">
        <v>15</v>
      </c>
      <c r="J7" s="7" t="s">
        <v>16</v>
      </c>
      <c r="K7" s="176"/>
      <c r="L7" s="7" t="s">
        <v>15</v>
      </c>
      <c r="M7" s="7" t="s">
        <v>16</v>
      </c>
      <c r="N7" s="178"/>
      <c r="O7" s="8" t="s">
        <v>15</v>
      </c>
      <c r="P7" s="7" t="s">
        <v>16</v>
      </c>
      <c r="Q7" s="181"/>
    </row>
    <row r="8" spans="1:19" ht="22.5">
      <c r="A8" s="182" t="s">
        <v>17</v>
      </c>
      <c r="B8" s="33" t="s">
        <v>18</v>
      </c>
      <c r="C8" s="6">
        <v>1</v>
      </c>
      <c r="D8" s="5"/>
      <c r="E8" s="4"/>
      <c r="F8" s="6">
        <v>1</v>
      </c>
      <c r="G8" s="5"/>
      <c r="H8" s="4"/>
      <c r="I8" s="27">
        <v>1</v>
      </c>
      <c r="J8" s="76"/>
      <c r="K8" s="30"/>
      <c r="L8" s="77">
        <v>1</v>
      </c>
      <c r="M8" s="26"/>
      <c r="N8" s="30"/>
      <c r="O8" s="27"/>
      <c r="P8" s="26">
        <v>1</v>
      </c>
      <c r="Q8" s="29"/>
    </row>
    <row r="9" spans="1:19" ht="22.5">
      <c r="A9" s="183"/>
      <c r="B9" s="34" t="s">
        <v>19</v>
      </c>
      <c r="C9" s="47"/>
      <c r="D9" s="48">
        <v>1</v>
      </c>
      <c r="E9" s="30"/>
      <c r="F9" s="66"/>
      <c r="G9" s="67">
        <v>1</v>
      </c>
      <c r="H9" s="12"/>
      <c r="I9" s="61">
        <v>1</v>
      </c>
      <c r="J9" s="62"/>
      <c r="K9" s="12"/>
      <c r="L9" s="66">
        <v>1</v>
      </c>
      <c r="M9" s="67"/>
      <c r="N9" s="12"/>
      <c r="O9" s="56"/>
      <c r="P9" s="67">
        <v>1</v>
      </c>
      <c r="Q9" s="29"/>
    </row>
    <row r="10" spans="1:19">
      <c r="A10" s="183"/>
      <c r="B10" s="34" t="s">
        <v>20</v>
      </c>
      <c r="C10" s="49">
        <v>1</v>
      </c>
      <c r="D10" s="46"/>
      <c r="E10" s="30"/>
      <c r="F10" s="66">
        <v>1</v>
      </c>
      <c r="G10" s="67"/>
      <c r="H10" s="12"/>
      <c r="I10" s="61"/>
      <c r="J10" s="62">
        <v>1</v>
      </c>
      <c r="K10" s="12"/>
      <c r="L10" s="66"/>
      <c r="M10" s="67">
        <v>1</v>
      </c>
      <c r="N10" s="12"/>
      <c r="O10" s="56">
        <v>1</v>
      </c>
      <c r="P10" s="67"/>
      <c r="Q10" s="29"/>
    </row>
    <row r="11" spans="1:19">
      <c r="A11" s="183"/>
      <c r="B11" s="34" t="s">
        <v>21</v>
      </c>
      <c r="C11" s="49">
        <v>1</v>
      </c>
      <c r="D11" s="46"/>
      <c r="E11" s="30"/>
      <c r="F11" s="68"/>
      <c r="G11" s="69">
        <v>1</v>
      </c>
      <c r="H11" s="57"/>
      <c r="I11" s="61"/>
      <c r="J11" s="62">
        <v>1</v>
      </c>
      <c r="K11" s="12"/>
      <c r="L11" s="68">
        <v>1</v>
      </c>
      <c r="M11" s="69"/>
      <c r="N11" s="12"/>
      <c r="O11" s="56"/>
      <c r="P11" s="67">
        <v>1</v>
      </c>
      <c r="Q11" s="29"/>
    </row>
    <row r="12" spans="1:19">
      <c r="A12" s="183"/>
      <c r="B12" s="34" t="s">
        <v>22</v>
      </c>
      <c r="C12" s="50">
        <v>1</v>
      </c>
      <c r="D12" s="51"/>
      <c r="E12" s="30"/>
      <c r="F12" s="18">
        <v>1</v>
      </c>
      <c r="G12" s="17"/>
      <c r="H12" s="12"/>
      <c r="I12" s="18">
        <v>1</v>
      </c>
      <c r="J12" s="17"/>
      <c r="K12" s="12"/>
      <c r="L12" s="18">
        <v>1</v>
      </c>
      <c r="M12" s="17"/>
      <c r="N12" s="12"/>
      <c r="O12" s="18"/>
      <c r="P12" s="17">
        <v>1</v>
      </c>
      <c r="Q12" s="12"/>
    </row>
    <row r="13" spans="1:19" ht="22.5">
      <c r="A13" s="183"/>
      <c r="B13" s="34" t="s">
        <v>23</v>
      </c>
      <c r="C13" s="47">
        <v>1</v>
      </c>
      <c r="D13" s="48"/>
      <c r="E13" s="30"/>
      <c r="F13" s="18">
        <v>1</v>
      </c>
      <c r="G13" s="17"/>
      <c r="H13" s="12"/>
      <c r="I13" s="15">
        <v>1</v>
      </c>
      <c r="J13" s="14"/>
      <c r="K13" s="12"/>
      <c r="L13" s="18">
        <v>1</v>
      </c>
      <c r="M13" s="17"/>
      <c r="N13" s="12"/>
      <c r="O13" s="56">
        <v>1</v>
      </c>
      <c r="P13" s="67"/>
      <c r="Q13" s="29"/>
    </row>
    <row r="14" spans="1:19">
      <c r="A14" s="183"/>
      <c r="B14" s="34" t="s">
        <v>24</v>
      </c>
      <c r="C14" s="47">
        <v>1</v>
      </c>
      <c r="D14" s="48"/>
      <c r="E14" s="28"/>
      <c r="F14" s="18">
        <v>1</v>
      </c>
      <c r="G14" s="17"/>
      <c r="H14" s="12"/>
      <c r="I14" s="15">
        <v>1</v>
      </c>
      <c r="J14" s="14"/>
      <c r="K14" s="12"/>
      <c r="L14" s="18">
        <v>1</v>
      </c>
      <c r="M14" s="17"/>
      <c r="N14" s="12"/>
      <c r="O14" s="56">
        <v>1</v>
      </c>
      <c r="P14" s="67"/>
      <c r="Q14" s="29"/>
    </row>
    <row r="15" spans="1:19">
      <c r="A15" s="183"/>
      <c r="B15" s="34" t="s">
        <v>25</v>
      </c>
      <c r="C15" s="89"/>
      <c r="D15" s="90"/>
      <c r="E15" s="91"/>
      <c r="F15" s="92"/>
      <c r="G15" s="93"/>
      <c r="H15" s="94"/>
      <c r="I15" s="63">
        <v>1</v>
      </c>
      <c r="J15" s="64"/>
      <c r="K15" s="65"/>
      <c r="L15" s="92"/>
      <c r="M15" s="93"/>
      <c r="N15" s="94"/>
      <c r="O15" s="95"/>
      <c r="P15" s="96"/>
      <c r="Q15" s="97"/>
    </row>
    <row r="16" spans="1:19">
      <c r="A16" s="183"/>
      <c r="B16" s="34" t="s">
        <v>26</v>
      </c>
      <c r="C16" s="47"/>
      <c r="D16" s="48"/>
      <c r="E16" s="12">
        <v>1</v>
      </c>
      <c r="F16" s="16">
        <v>1</v>
      </c>
      <c r="G16" s="13"/>
      <c r="H16" s="12"/>
      <c r="I16" s="22"/>
      <c r="J16" s="21">
        <v>1</v>
      </c>
      <c r="K16" s="12"/>
      <c r="L16" s="16">
        <v>1</v>
      </c>
      <c r="M16" s="13"/>
      <c r="N16" s="12"/>
      <c r="O16" s="95"/>
      <c r="P16" s="96"/>
      <c r="Q16" s="97"/>
    </row>
    <row r="17" spans="1:17">
      <c r="A17" s="183"/>
      <c r="B17" s="34" t="s">
        <v>27</v>
      </c>
      <c r="C17" s="98"/>
      <c r="D17" s="99"/>
      <c r="E17" s="100"/>
      <c r="F17" s="16"/>
      <c r="G17" s="13"/>
      <c r="H17" s="12">
        <v>1</v>
      </c>
      <c r="I17" s="15">
        <v>1</v>
      </c>
      <c r="J17" s="14"/>
      <c r="K17" s="58"/>
      <c r="L17" s="18">
        <v>1</v>
      </c>
      <c r="M17" s="17"/>
      <c r="N17" s="12"/>
      <c r="O17" s="95"/>
      <c r="P17" s="96"/>
      <c r="Q17" s="97"/>
    </row>
    <row r="18" spans="1:17">
      <c r="A18" s="183"/>
      <c r="B18" s="34" t="s">
        <v>28</v>
      </c>
      <c r="C18" s="47">
        <v>1</v>
      </c>
      <c r="D18" s="48"/>
      <c r="E18" s="30"/>
      <c r="F18" s="16"/>
      <c r="G18" s="13"/>
      <c r="H18" s="12">
        <v>1</v>
      </c>
      <c r="I18" s="22">
        <v>1</v>
      </c>
      <c r="J18" s="21"/>
      <c r="K18" s="107"/>
      <c r="L18" s="142">
        <v>1</v>
      </c>
      <c r="M18" s="108"/>
      <c r="N18" s="106"/>
      <c r="O18" s="56">
        <v>1</v>
      </c>
      <c r="P18" s="67"/>
      <c r="Q18" s="29"/>
    </row>
    <row r="19" spans="1:17">
      <c r="A19" s="183"/>
      <c r="B19" s="34" t="s">
        <v>29</v>
      </c>
      <c r="C19" s="47">
        <v>1</v>
      </c>
      <c r="D19" s="48"/>
      <c r="E19" s="30"/>
      <c r="F19" s="16">
        <v>1</v>
      </c>
      <c r="G19" s="13"/>
      <c r="H19" s="12"/>
      <c r="I19" s="22"/>
      <c r="J19" s="21">
        <v>1</v>
      </c>
      <c r="K19" s="59"/>
      <c r="L19" s="18">
        <v>1</v>
      </c>
      <c r="M19" s="17"/>
      <c r="N19" s="12"/>
      <c r="O19" s="56">
        <v>1</v>
      </c>
      <c r="P19" s="67"/>
      <c r="Q19" s="29"/>
    </row>
    <row r="20" spans="1:17">
      <c r="A20" s="183"/>
      <c r="B20" s="34" t="s">
        <v>30</v>
      </c>
      <c r="C20" s="47"/>
      <c r="D20" s="48"/>
      <c r="E20" s="12">
        <v>1</v>
      </c>
      <c r="F20" s="16">
        <v>1</v>
      </c>
      <c r="G20" s="13"/>
      <c r="H20" s="12"/>
      <c r="I20" s="101"/>
      <c r="J20" s="102"/>
      <c r="K20" s="103"/>
      <c r="L20" s="104"/>
      <c r="M20" s="105"/>
      <c r="N20" s="103"/>
      <c r="O20" s="56">
        <v>1</v>
      </c>
      <c r="P20" s="67"/>
      <c r="Q20" s="29"/>
    </row>
    <row r="21" spans="1:17">
      <c r="A21" s="183"/>
      <c r="B21" s="34" t="s">
        <v>31</v>
      </c>
      <c r="C21" s="47">
        <v>1</v>
      </c>
      <c r="D21" s="48"/>
      <c r="E21" s="30"/>
      <c r="F21" s="16">
        <v>1</v>
      </c>
      <c r="G21" s="13"/>
      <c r="H21" s="12"/>
      <c r="I21" s="101"/>
      <c r="J21" s="102"/>
      <c r="K21" s="103"/>
      <c r="L21" s="104"/>
      <c r="M21" s="105"/>
      <c r="N21" s="103"/>
      <c r="O21" s="56">
        <v>1</v>
      </c>
      <c r="P21" s="67"/>
      <c r="Q21" s="29"/>
    </row>
    <row r="22" spans="1:17">
      <c r="A22" s="183"/>
      <c r="B22" s="34" t="s">
        <v>32</v>
      </c>
      <c r="C22" s="98"/>
      <c r="D22" s="99"/>
      <c r="E22" s="100"/>
      <c r="F22" s="104"/>
      <c r="G22" s="105"/>
      <c r="H22" s="111"/>
      <c r="I22" s="22">
        <v>1</v>
      </c>
      <c r="J22" s="21"/>
      <c r="K22" s="59"/>
      <c r="L22" s="16">
        <v>1</v>
      </c>
      <c r="M22" s="13"/>
      <c r="N22" s="107"/>
      <c r="O22" s="110">
        <v>1</v>
      </c>
      <c r="P22" s="110"/>
      <c r="Q22" s="109"/>
    </row>
    <row r="23" spans="1:17">
      <c r="A23" s="183"/>
      <c r="B23" s="34" t="s">
        <v>33</v>
      </c>
      <c r="C23" s="47">
        <v>1</v>
      </c>
      <c r="D23" s="48"/>
      <c r="E23" s="30"/>
      <c r="F23" s="16">
        <v>1</v>
      </c>
      <c r="G23" s="13"/>
      <c r="H23" s="59"/>
      <c r="I23" s="22"/>
      <c r="J23" s="21"/>
      <c r="K23" s="59">
        <v>1</v>
      </c>
      <c r="L23" s="16"/>
      <c r="M23" s="13"/>
      <c r="N23" s="12">
        <v>1</v>
      </c>
      <c r="O23" s="56"/>
      <c r="P23" s="67"/>
      <c r="Q23" s="29">
        <v>1</v>
      </c>
    </row>
    <row r="24" spans="1:17">
      <c r="A24" s="183"/>
      <c r="B24" s="34" t="s">
        <v>34</v>
      </c>
      <c r="C24" s="47">
        <v>1</v>
      </c>
      <c r="D24" s="48"/>
      <c r="E24" s="30"/>
      <c r="F24" s="16"/>
      <c r="G24" s="13">
        <v>1</v>
      </c>
      <c r="H24" s="59"/>
      <c r="I24" s="101"/>
      <c r="J24" s="102"/>
      <c r="K24" s="103"/>
      <c r="L24" s="104"/>
      <c r="M24" s="105"/>
      <c r="N24" s="111"/>
      <c r="O24" s="56">
        <v>1</v>
      </c>
      <c r="P24" s="67"/>
      <c r="Q24" s="29"/>
    </row>
    <row r="25" spans="1:17">
      <c r="A25" s="183"/>
      <c r="B25" s="34" t="s">
        <v>35</v>
      </c>
      <c r="C25" s="98"/>
      <c r="D25" s="99"/>
      <c r="E25" s="100"/>
      <c r="F25" s="104"/>
      <c r="G25" s="105"/>
      <c r="H25" s="103"/>
      <c r="I25" s="101"/>
      <c r="J25" s="102"/>
      <c r="K25" s="103"/>
      <c r="L25" s="16">
        <v>1</v>
      </c>
      <c r="M25" s="13"/>
      <c r="N25" s="12"/>
      <c r="O25" s="95"/>
      <c r="P25" s="96"/>
      <c r="Q25" s="97"/>
    </row>
    <row r="26" spans="1:17">
      <c r="A26" s="183"/>
      <c r="B26" s="34" t="s">
        <v>36</v>
      </c>
      <c r="C26" s="47">
        <v>1</v>
      </c>
      <c r="D26" s="48"/>
      <c r="E26" s="30"/>
      <c r="F26" s="16">
        <v>1</v>
      </c>
      <c r="G26" s="13"/>
      <c r="H26" s="59"/>
      <c r="I26" s="22"/>
      <c r="J26" s="21"/>
      <c r="K26" s="59">
        <v>1</v>
      </c>
      <c r="L26" s="16"/>
      <c r="M26" s="13"/>
      <c r="N26" s="12">
        <v>1</v>
      </c>
      <c r="O26" s="56">
        <v>1</v>
      </c>
      <c r="P26" s="67"/>
      <c r="Q26" s="29"/>
    </row>
    <row r="27" spans="1:17">
      <c r="A27" s="183"/>
      <c r="B27" s="34" t="s">
        <v>37</v>
      </c>
      <c r="C27" s="47"/>
      <c r="D27" s="48"/>
      <c r="E27" s="30">
        <v>1</v>
      </c>
      <c r="F27" s="16"/>
      <c r="G27" s="13"/>
      <c r="H27" s="59">
        <v>1</v>
      </c>
      <c r="I27" s="22"/>
      <c r="J27" s="21"/>
      <c r="K27" s="59">
        <v>1</v>
      </c>
      <c r="L27" s="16">
        <v>1</v>
      </c>
      <c r="M27" s="13"/>
      <c r="N27" s="12"/>
      <c r="O27" s="56">
        <v>1</v>
      </c>
      <c r="P27" s="67"/>
      <c r="Q27" s="29"/>
    </row>
    <row r="28" spans="1:17" ht="22.5">
      <c r="A28" s="183"/>
      <c r="B28" s="34" t="s">
        <v>38</v>
      </c>
      <c r="C28" s="47">
        <v>1</v>
      </c>
      <c r="D28" s="48"/>
      <c r="E28" s="12"/>
      <c r="F28" s="16"/>
      <c r="G28" s="13">
        <v>1</v>
      </c>
      <c r="H28" s="59"/>
      <c r="I28" s="22">
        <v>1</v>
      </c>
      <c r="J28" s="21"/>
      <c r="K28" s="59"/>
      <c r="L28" s="16">
        <v>1</v>
      </c>
      <c r="M28" s="13"/>
      <c r="N28" s="12"/>
      <c r="O28" s="56"/>
      <c r="P28" s="67">
        <v>1</v>
      </c>
      <c r="Q28" s="29"/>
    </row>
    <row r="29" spans="1:17">
      <c r="A29" s="183"/>
      <c r="B29" s="34" t="s">
        <v>39</v>
      </c>
      <c r="C29" s="47">
        <v>1</v>
      </c>
      <c r="D29" s="48"/>
      <c r="E29" s="12"/>
      <c r="F29" s="16">
        <v>1</v>
      </c>
      <c r="G29" s="13"/>
      <c r="H29" s="59"/>
      <c r="I29" s="22">
        <v>1</v>
      </c>
      <c r="J29" s="21"/>
      <c r="K29" s="59"/>
      <c r="L29" s="16">
        <v>1</v>
      </c>
      <c r="M29" s="13"/>
      <c r="N29" s="12"/>
      <c r="O29" s="56">
        <v>1</v>
      </c>
      <c r="P29" s="67"/>
      <c r="Q29" s="29"/>
    </row>
    <row r="30" spans="1:17">
      <c r="A30" s="183"/>
      <c r="B30" s="34" t="s">
        <v>40</v>
      </c>
      <c r="C30" s="47"/>
      <c r="D30" s="48">
        <v>1</v>
      </c>
      <c r="E30" s="12"/>
      <c r="F30" s="16"/>
      <c r="G30" s="13">
        <v>1</v>
      </c>
      <c r="H30" s="59"/>
      <c r="I30" s="22"/>
      <c r="J30" s="21">
        <v>1</v>
      </c>
      <c r="K30" s="59"/>
      <c r="L30" s="16"/>
      <c r="M30" s="13">
        <v>1</v>
      </c>
      <c r="N30" s="59"/>
      <c r="O30" s="56">
        <v>1</v>
      </c>
      <c r="P30" s="67"/>
      <c r="Q30" s="29"/>
    </row>
    <row r="31" spans="1:17">
      <c r="A31" s="183"/>
      <c r="B31" s="34" t="s">
        <v>41</v>
      </c>
      <c r="C31" s="47"/>
      <c r="D31" s="48">
        <v>1</v>
      </c>
      <c r="E31" s="12"/>
      <c r="F31" s="16">
        <v>1</v>
      </c>
      <c r="G31" s="13"/>
      <c r="H31" s="59"/>
      <c r="I31" s="22"/>
      <c r="J31" s="21"/>
      <c r="K31" s="59">
        <v>1</v>
      </c>
      <c r="L31" s="16"/>
      <c r="M31" s="13"/>
      <c r="N31" s="59">
        <v>1</v>
      </c>
      <c r="O31" s="56">
        <v>1</v>
      </c>
      <c r="P31" s="67"/>
      <c r="Q31" s="29"/>
    </row>
    <row r="32" spans="1:17">
      <c r="A32" s="183"/>
      <c r="B32" s="34" t="s">
        <v>42</v>
      </c>
      <c r="C32" s="47">
        <v>1</v>
      </c>
      <c r="D32" s="48"/>
      <c r="E32" s="12"/>
      <c r="F32" s="16"/>
      <c r="G32" s="13"/>
      <c r="H32" s="59">
        <v>1</v>
      </c>
      <c r="I32" s="22">
        <v>1</v>
      </c>
      <c r="J32" s="21"/>
      <c r="K32" s="59"/>
      <c r="L32" s="16">
        <v>1</v>
      </c>
      <c r="M32" s="13"/>
      <c r="N32" s="59"/>
      <c r="O32" s="56">
        <v>1</v>
      </c>
      <c r="P32" s="67"/>
      <c r="Q32" s="29"/>
    </row>
    <row r="33" spans="1:17" ht="22.5">
      <c r="A33" s="183"/>
      <c r="B33" s="34" t="s">
        <v>43</v>
      </c>
      <c r="C33" s="47"/>
      <c r="D33" s="48">
        <v>1</v>
      </c>
      <c r="E33" s="12"/>
      <c r="F33" s="16">
        <v>1</v>
      </c>
      <c r="G33" s="13"/>
      <c r="H33" s="12"/>
      <c r="I33" s="22"/>
      <c r="J33" s="21">
        <v>1</v>
      </c>
      <c r="K33" s="12"/>
      <c r="L33" s="16"/>
      <c r="M33" s="13">
        <v>1</v>
      </c>
      <c r="N33" s="12"/>
      <c r="O33" s="56"/>
      <c r="P33" s="67">
        <v>1</v>
      </c>
      <c r="Q33" s="29"/>
    </row>
    <row r="34" spans="1:17">
      <c r="A34" s="183"/>
      <c r="B34" s="34" t="s">
        <v>44</v>
      </c>
      <c r="C34" s="47">
        <v>1</v>
      </c>
      <c r="D34" s="52"/>
      <c r="E34" s="53"/>
      <c r="F34" s="16">
        <v>1</v>
      </c>
      <c r="G34" s="13"/>
      <c r="H34" s="59"/>
      <c r="I34" s="22">
        <v>1</v>
      </c>
      <c r="J34" s="21"/>
      <c r="K34" s="59"/>
      <c r="L34" s="16">
        <v>1</v>
      </c>
      <c r="M34" s="13"/>
      <c r="N34" s="59"/>
      <c r="O34" s="56">
        <v>1</v>
      </c>
      <c r="P34" s="67"/>
      <c r="Q34" s="29"/>
    </row>
    <row r="35" spans="1:17">
      <c r="A35" s="183"/>
      <c r="B35" s="34" t="s">
        <v>45</v>
      </c>
      <c r="C35" s="47"/>
      <c r="D35" s="52">
        <v>1</v>
      </c>
      <c r="E35" s="53"/>
      <c r="F35" s="20">
        <v>1</v>
      </c>
      <c r="G35" s="19"/>
      <c r="H35" s="60"/>
      <c r="I35" s="22">
        <v>1</v>
      </c>
      <c r="J35" s="21"/>
      <c r="K35" s="60"/>
      <c r="L35" s="20">
        <v>1</v>
      </c>
      <c r="M35" s="19"/>
      <c r="N35" s="60"/>
      <c r="O35" s="56">
        <v>1</v>
      </c>
      <c r="P35" s="67"/>
      <c r="Q35" s="29"/>
    </row>
    <row r="36" spans="1:17">
      <c r="A36" s="184"/>
      <c r="B36" s="35" t="s">
        <v>46</v>
      </c>
      <c r="C36" s="55">
        <v>1</v>
      </c>
      <c r="D36" s="54"/>
      <c r="E36" s="25"/>
      <c r="F36" s="24">
        <v>1</v>
      </c>
      <c r="G36" s="23"/>
      <c r="H36" s="70"/>
      <c r="I36" s="22">
        <v>1</v>
      </c>
      <c r="J36" s="21"/>
      <c r="K36" s="60"/>
      <c r="L36" s="20">
        <v>1</v>
      </c>
      <c r="M36" s="19"/>
      <c r="N36" s="60"/>
      <c r="O36" s="71">
        <v>1</v>
      </c>
      <c r="P36" s="72"/>
      <c r="Q36" s="60"/>
    </row>
    <row r="37" spans="1:17">
      <c r="A37" s="182" t="s">
        <v>47</v>
      </c>
      <c r="B37" s="33" t="s">
        <v>48</v>
      </c>
      <c r="C37" s="112"/>
      <c r="D37" s="113"/>
      <c r="E37" s="114"/>
      <c r="F37" s="31"/>
      <c r="G37" s="32">
        <v>1</v>
      </c>
      <c r="H37" s="4"/>
      <c r="I37" s="115"/>
      <c r="J37" s="116"/>
      <c r="K37" s="114"/>
      <c r="L37" s="117"/>
      <c r="M37" s="118"/>
      <c r="N37" s="119"/>
      <c r="O37" s="120"/>
      <c r="P37" s="121"/>
      <c r="Q37" s="122"/>
    </row>
    <row r="38" spans="1:17">
      <c r="A38" s="183"/>
      <c r="B38" s="36" t="s">
        <v>49</v>
      </c>
      <c r="C38" s="47"/>
      <c r="D38" s="48">
        <v>1</v>
      </c>
      <c r="E38" s="30"/>
      <c r="F38" s="123"/>
      <c r="G38" s="124"/>
      <c r="H38" s="111"/>
      <c r="I38" s="125"/>
      <c r="J38" s="126"/>
      <c r="K38" s="111"/>
      <c r="L38" s="123"/>
      <c r="M38" s="124"/>
      <c r="N38" s="111"/>
      <c r="O38" s="123"/>
      <c r="P38" s="124"/>
      <c r="Q38" s="111"/>
    </row>
    <row r="39" spans="1:17">
      <c r="A39" s="183"/>
      <c r="B39" s="34" t="s">
        <v>50</v>
      </c>
      <c r="C39" s="47">
        <v>1</v>
      </c>
      <c r="D39" s="48"/>
      <c r="E39" s="30"/>
      <c r="F39" s="123"/>
      <c r="G39" s="124"/>
      <c r="H39" s="111"/>
      <c r="I39" s="125"/>
      <c r="J39" s="126"/>
      <c r="K39" s="111"/>
      <c r="L39" s="104"/>
      <c r="M39" s="105"/>
      <c r="N39" s="103"/>
      <c r="O39" s="123"/>
      <c r="P39" s="124"/>
      <c r="Q39" s="111"/>
    </row>
    <row r="40" spans="1:17">
      <c r="A40" s="183"/>
      <c r="B40" s="34" t="s">
        <v>51</v>
      </c>
      <c r="C40" s="47">
        <v>1</v>
      </c>
      <c r="D40" s="48"/>
      <c r="E40" s="30"/>
      <c r="F40" s="123"/>
      <c r="G40" s="124"/>
      <c r="H40" s="111"/>
      <c r="I40" s="125"/>
      <c r="J40" s="126"/>
      <c r="K40" s="111"/>
      <c r="L40" s="92"/>
      <c r="M40" s="93"/>
      <c r="N40" s="94"/>
      <c r="O40" s="123"/>
      <c r="P40" s="124"/>
      <c r="Q40" s="111"/>
    </row>
    <row r="41" spans="1:17">
      <c r="A41" s="183"/>
      <c r="B41" s="34" t="s">
        <v>52</v>
      </c>
      <c r="C41" s="98"/>
      <c r="D41" s="99"/>
      <c r="E41" s="100"/>
      <c r="F41" s="18"/>
      <c r="G41" s="17"/>
      <c r="H41" s="12">
        <v>1</v>
      </c>
      <c r="I41" s="125"/>
      <c r="J41" s="126"/>
      <c r="K41" s="111"/>
      <c r="L41" s="104"/>
      <c r="M41" s="105"/>
      <c r="N41" s="103"/>
      <c r="O41" s="127"/>
      <c r="P41" s="128"/>
      <c r="Q41" s="97"/>
    </row>
    <row r="42" spans="1:17">
      <c r="A42" s="183"/>
      <c r="B42" s="34" t="s">
        <v>53</v>
      </c>
      <c r="C42" s="98"/>
      <c r="D42" s="99"/>
      <c r="E42" s="100"/>
      <c r="F42" s="123"/>
      <c r="G42" s="124">
        <v>1</v>
      </c>
      <c r="H42" s="111"/>
      <c r="I42" s="125"/>
      <c r="J42" s="126"/>
      <c r="K42" s="111"/>
      <c r="L42" s="104"/>
      <c r="M42" s="105"/>
      <c r="N42" s="103"/>
      <c r="O42" s="127"/>
      <c r="P42" s="128"/>
      <c r="Q42" s="97"/>
    </row>
    <row r="43" spans="1:17">
      <c r="A43" s="183"/>
      <c r="B43" s="34" t="s">
        <v>54</v>
      </c>
      <c r="C43" s="47"/>
      <c r="D43" s="48">
        <v>1</v>
      </c>
      <c r="E43" s="30"/>
      <c r="F43" s="123"/>
      <c r="G43" s="124"/>
      <c r="H43" s="111"/>
      <c r="I43" s="125"/>
      <c r="J43" s="126"/>
      <c r="K43" s="111"/>
      <c r="L43" s="104"/>
      <c r="M43" s="105"/>
      <c r="N43" s="103"/>
      <c r="O43" s="127"/>
      <c r="P43" s="128"/>
      <c r="Q43" s="97"/>
    </row>
    <row r="44" spans="1:17">
      <c r="A44" s="183"/>
      <c r="B44" s="34" t="s">
        <v>55</v>
      </c>
      <c r="C44" s="47"/>
      <c r="D44" s="48"/>
      <c r="E44" s="30">
        <v>1</v>
      </c>
      <c r="F44" s="18"/>
      <c r="G44" s="17"/>
      <c r="H44" s="12">
        <v>1</v>
      </c>
      <c r="I44" s="15">
        <v>1</v>
      </c>
      <c r="J44" s="14"/>
      <c r="K44" s="12"/>
      <c r="L44" s="16">
        <v>1</v>
      </c>
      <c r="M44" s="13"/>
      <c r="N44" s="12"/>
      <c r="O44" s="73"/>
      <c r="P44" s="74"/>
      <c r="Q44" s="29">
        <v>1</v>
      </c>
    </row>
    <row r="45" spans="1:17">
      <c r="A45" s="183"/>
      <c r="B45" s="34" t="s">
        <v>56</v>
      </c>
      <c r="C45" s="47">
        <v>1</v>
      </c>
      <c r="D45" s="48"/>
      <c r="E45" s="30"/>
      <c r="F45" s="123"/>
      <c r="G45" s="124"/>
      <c r="H45" s="111"/>
      <c r="I45" s="125"/>
      <c r="J45" s="126"/>
      <c r="K45" s="111"/>
      <c r="L45" s="129"/>
      <c r="M45" s="105"/>
      <c r="N45" s="111"/>
      <c r="O45" s="130"/>
      <c r="P45" s="131"/>
      <c r="Q45" s="97"/>
    </row>
    <row r="46" spans="1:17">
      <c r="A46" s="183"/>
      <c r="B46" s="34" t="s">
        <v>57</v>
      </c>
      <c r="C46" s="47"/>
      <c r="D46" s="48"/>
      <c r="E46" s="30">
        <v>1</v>
      </c>
      <c r="F46" s="132"/>
      <c r="G46" s="133"/>
      <c r="H46" s="134">
        <v>1</v>
      </c>
      <c r="I46" s="135"/>
      <c r="J46" s="136"/>
      <c r="K46" s="134">
        <v>1</v>
      </c>
      <c r="L46" s="137"/>
      <c r="M46" s="133"/>
      <c r="N46" s="134">
        <v>1</v>
      </c>
      <c r="O46" s="138"/>
      <c r="P46" s="139"/>
      <c r="Q46" s="140">
        <v>1</v>
      </c>
    </row>
    <row r="47" spans="1:17">
      <c r="A47" s="183"/>
      <c r="B47" s="34" t="s">
        <v>58</v>
      </c>
      <c r="C47" s="47"/>
      <c r="D47" s="48"/>
      <c r="E47" s="30">
        <v>1</v>
      </c>
      <c r="F47" s="18"/>
      <c r="G47" s="17">
        <v>1</v>
      </c>
      <c r="H47" s="12"/>
      <c r="I47" s="15"/>
      <c r="J47" s="14">
        <v>1</v>
      </c>
      <c r="K47" s="12"/>
      <c r="L47" s="78">
        <v>1</v>
      </c>
      <c r="M47" s="13"/>
      <c r="N47" s="12"/>
      <c r="O47" s="73"/>
      <c r="P47" s="74">
        <v>1</v>
      </c>
      <c r="Q47" s="29"/>
    </row>
    <row r="48" spans="1:17">
      <c r="A48" s="185" t="s">
        <v>59</v>
      </c>
      <c r="B48" s="37" t="s">
        <v>59</v>
      </c>
      <c r="C48" s="75">
        <f>SUM(C8:C47)</f>
        <v>20</v>
      </c>
      <c r="D48" s="75">
        <f t="shared" ref="D48:Q48" si="0">SUM(D8:D47)</f>
        <v>7</v>
      </c>
      <c r="E48" s="75">
        <f t="shared" si="0"/>
        <v>6</v>
      </c>
      <c r="F48" s="75">
        <f t="shared" si="0"/>
        <v>17</v>
      </c>
      <c r="G48" s="75">
        <f t="shared" si="0"/>
        <v>8</v>
      </c>
      <c r="H48" s="75">
        <f t="shared" si="0"/>
        <v>7</v>
      </c>
      <c r="I48" s="75">
        <f t="shared" si="0"/>
        <v>16</v>
      </c>
      <c r="J48" s="75">
        <f t="shared" si="0"/>
        <v>7</v>
      </c>
      <c r="K48" s="75">
        <f t="shared" si="0"/>
        <v>5</v>
      </c>
      <c r="L48" s="75">
        <f t="shared" si="0"/>
        <v>21</v>
      </c>
      <c r="M48" s="75">
        <f t="shared" si="0"/>
        <v>3</v>
      </c>
      <c r="N48" s="75">
        <f t="shared" si="0"/>
        <v>4</v>
      </c>
      <c r="O48" s="75">
        <f t="shared" si="0"/>
        <v>18</v>
      </c>
      <c r="P48" s="75">
        <f t="shared" si="0"/>
        <v>7</v>
      </c>
      <c r="Q48" s="75">
        <f t="shared" si="0"/>
        <v>3</v>
      </c>
    </row>
    <row r="49" spans="1:17">
      <c r="A49" s="186"/>
      <c r="B49" s="38" t="s">
        <v>60</v>
      </c>
      <c r="C49" s="3"/>
      <c r="D49" s="2"/>
      <c r="E49" s="1"/>
      <c r="F49" s="10"/>
      <c r="G49" s="9"/>
      <c r="H49" s="11"/>
      <c r="I49" s="10"/>
      <c r="J49" s="9"/>
      <c r="K49" s="11"/>
      <c r="L49" s="10"/>
      <c r="M49" s="9"/>
      <c r="N49" s="11"/>
      <c r="O49" s="10"/>
      <c r="P49" s="9"/>
      <c r="Q49" s="11"/>
    </row>
    <row r="50" spans="1:17">
      <c r="A50" s="167" t="s">
        <v>61</v>
      </c>
      <c r="B50" s="168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70"/>
    </row>
    <row r="51" spans="1:17">
      <c r="A51" s="143" t="s">
        <v>81</v>
      </c>
      <c r="B51" s="44"/>
      <c r="C51" s="44"/>
      <c r="D51" s="44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1"/>
    </row>
    <row r="52" spans="1:17">
      <c r="A52" s="145" t="s">
        <v>82</v>
      </c>
      <c r="B52" s="146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7"/>
    </row>
    <row r="53" spans="1:17">
      <c r="A53" s="225" t="s">
        <v>83</v>
      </c>
      <c r="B53" s="149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7"/>
    </row>
    <row r="54" spans="1:17">
      <c r="A54" s="43"/>
      <c r="Q54" s="42"/>
    </row>
    <row r="55" spans="1:17">
      <c r="A55" s="148" t="s">
        <v>64</v>
      </c>
      <c r="B55" s="149"/>
      <c r="C55" s="149"/>
      <c r="D55" s="149"/>
      <c r="E55" s="149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7"/>
    </row>
    <row r="56" spans="1:17">
      <c r="A56" s="148" t="s">
        <v>65</v>
      </c>
      <c r="B56" s="149"/>
      <c r="C56" s="146">
        <f>SUM(C48:Q48)</f>
        <v>149</v>
      </c>
      <c r="D56" s="146"/>
      <c r="E56" s="146"/>
      <c r="F56" s="146"/>
      <c r="G56" s="146"/>
      <c r="H56" s="146"/>
      <c r="I56" s="146"/>
      <c r="J56" s="44" t="s">
        <v>66</v>
      </c>
      <c r="M56" s="157">
        <f>M58/C56</f>
        <v>0.83221476510067116</v>
      </c>
      <c r="N56" s="157"/>
      <c r="O56" s="157"/>
      <c r="P56" s="157"/>
      <c r="Q56" s="158"/>
    </row>
    <row r="57" spans="1:17">
      <c r="A57" s="148" t="s">
        <v>67</v>
      </c>
      <c r="B57" s="149"/>
      <c r="E57" s="146"/>
      <c r="F57" s="146"/>
      <c r="G57" s="146"/>
      <c r="H57" s="146"/>
      <c r="I57" s="146"/>
      <c r="J57" s="146"/>
      <c r="K57" s="146"/>
      <c r="M57" s="157"/>
      <c r="N57" s="157"/>
      <c r="O57" s="157"/>
      <c r="P57" s="157"/>
      <c r="Q57" s="158"/>
    </row>
    <row r="58" spans="1:17">
      <c r="A58" s="145">
        <f>SUM(O48+L48+I48+F48+C48)</f>
        <v>92</v>
      </c>
      <c r="B58" s="146"/>
      <c r="C58" s="146"/>
      <c r="D58" s="146"/>
      <c r="E58" s="146"/>
      <c r="F58" s="146"/>
      <c r="G58" s="146"/>
      <c r="H58" s="146"/>
      <c r="I58" s="146"/>
      <c r="J58" t="s">
        <v>68</v>
      </c>
      <c r="M58" s="146">
        <f>C56-C61</f>
        <v>124</v>
      </c>
      <c r="N58" s="146"/>
      <c r="O58" s="146"/>
      <c r="P58" s="146"/>
      <c r="Q58" s="147"/>
    </row>
    <row r="59" spans="1:17">
      <c r="A59" s="148" t="s">
        <v>69</v>
      </c>
      <c r="B59" s="149"/>
      <c r="C59" s="146">
        <f>SUM(P48+M48+J48+G48+D48)</f>
        <v>32</v>
      </c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7"/>
    </row>
    <row r="60" spans="1:17">
      <c r="A60" s="43"/>
      <c r="Q60" s="42"/>
    </row>
    <row r="61" spans="1:17">
      <c r="A61" s="148" t="s">
        <v>70</v>
      </c>
      <c r="B61" s="149"/>
      <c r="C61" s="146">
        <f>SUM(Q48+N48+K48+H48+E48)</f>
        <v>25</v>
      </c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7"/>
    </row>
    <row r="62" spans="1:17">
      <c r="A62" s="39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1"/>
    </row>
    <row r="63" spans="1:17">
      <c r="A63" s="148" t="s">
        <v>84</v>
      </c>
      <c r="B63" s="149"/>
      <c r="H63" s="42"/>
      <c r="I63" s="148" t="s">
        <v>72</v>
      </c>
      <c r="J63" s="149"/>
      <c r="K63" s="149"/>
      <c r="L63" s="149"/>
      <c r="M63" s="149"/>
      <c r="N63" s="149"/>
      <c r="O63" s="149"/>
      <c r="P63" s="149"/>
      <c r="Q63" s="150"/>
    </row>
    <row r="64" spans="1:17">
      <c r="A64" s="151" t="s">
        <v>85</v>
      </c>
      <c r="B64" s="152"/>
      <c r="C64" s="40"/>
      <c r="D64" s="40"/>
      <c r="E64" s="40"/>
      <c r="F64" s="40"/>
      <c r="G64" s="40"/>
      <c r="H64" s="41"/>
      <c r="I64" s="151" t="s">
        <v>74</v>
      </c>
      <c r="J64" s="152"/>
      <c r="K64" s="152"/>
      <c r="L64" s="152"/>
      <c r="M64" s="152"/>
      <c r="N64" s="152"/>
      <c r="O64" s="152"/>
      <c r="P64" s="152"/>
      <c r="Q64" s="153"/>
    </row>
    <row r="65" spans="1:17" ht="51.6" customHeight="1">
      <c r="A65" s="222" t="s">
        <v>86</v>
      </c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6"/>
    </row>
    <row r="66" spans="1:17"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</row>
  </sheetData>
  <mergeCells count="53">
    <mergeCell ref="A1:B3"/>
    <mergeCell ref="C1:Q1"/>
    <mergeCell ref="C2:Q2"/>
    <mergeCell ref="C3:I3"/>
    <mergeCell ref="J3:O3"/>
    <mergeCell ref="P3:Q3"/>
    <mergeCell ref="A4:J4"/>
    <mergeCell ref="K4:Q4"/>
    <mergeCell ref="A5:B7"/>
    <mergeCell ref="C5:E5"/>
    <mergeCell ref="F5:H5"/>
    <mergeCell ref="I5:K5"/>
    <mergeCell ref="L5:N5"/>
    <mergeCell ref="O5:Q5"/>
    <mergeCell ref="C6:D6"/>
    <mergeCell ref="E6:E7"/>
    <mergeCell ref="A50:B50"/>
    <mergeCell ref="C50:Q50"/>
    <mergeCell ref="F6:G6"/>
    <mergeCell ref="H6:H7"/>
    <mergeCell ref="I6:J6"/>
    <mergeCell ref="K6:K7"/>
    <mergeCell ref="L6:M6"/>
    <mergeCell ref="N6:N7"/>
    <mergeCell ref="O6:P6"/>
    <mergeCell ref="Q6:Q7"/>
    <mergeCell ref="A8:A36"/>
    <mergeCell ref="A37:A47"/>
    <mergeCell ref="A48:A49"/>
    <mergeCell ref="E51:Q51"/>
    <mergeCell ref="A52:Q52"/>
    <mergeCell ref="A53:B53"/>
    <mergeCell ref="C53:Q53"/>
    <mergeCell ref="A55:E55"/>
    <mergeCell ref="F55:Q55"/>
    <mergeCell ref="A56:B56"/>
    <mergeCell ref="C56:I56"/>
    <mergeCell ref="M56:Q56"/>
    <mergeCell ref="A57:B57"/>
    <mergeCell ref="E57:K57"/>
    <mergeCell ref="M57:Q57"/>
    <mergeCell ref="B66:Q66"/>
    <mergeCell ref="A58:I58"/>
    <mergeCell ref="M58:Q58"/>
    <mergeCell ref="A59:B59"/>
    <mergeCell ref="C59:Q59"/>
    <mergeCell ref="A61:B61"/>
    <mergeCell ref="C61:Q61"/>
    <mergeCell ref="A63:B63"/>
    <mergeCell ref="I63:Q63"/>
    <mergeCell ref="A64:B64"/>
    <mergeCell ref="I64:Q64"/>
    <mergeCell ref="A65:Q65"/>
  </mergeCells>
  <printOptions horizontalCentered="1" verticalCentered="1"/>
  <pageMargins left="0" right="0" top="0.15748031496062992" bottom="0.15748031496062992" header="0.31496062992125984" footer="0.31496062992125984"/>
  <pageSetup scale="72" fitToWidth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49E5-3AE1-45FC-B707-FB4E03C17BDE}">
  <sheetPr>
    <pageSetUpPr fitToPage="1"/>
  </sheetPr>
  <dimension ref="A1:S66"/>
  <sheetViews>
    <sheetView zoomScale="98" zoomScaleNormal="98" workbookViewId="0">
      <selection activeCell="S58" sqref="S58"/>
    </sheetView>
  </sheetViews>
  <sheetFormatPr defaultColWidth="11.42578125" defaultRowHeight="15"/>
  <cols>
    <col min="2" max="2" width="18.85546875" customWidth="1"/>
    <col min="3" max="3" width="4.7109375" customWidth="1"/>
    <col min="4" max="4" width="5.42578125" customWidth="1"/>
    <col min="5" max="5" width="4.85546875" customWidth="1"/>
    <col min="6" max="6" width="5.42578125" customWidth="1"/>
    <col min="7" max="7" width="5.85546875" customWidth="1"/>
    <col min="8" max="8" width="5.42578125" customWidth="1"/>
    <col min="9" max="9" width="5.7109375" customWidth="1"/>
    <col min="10" max="10" width="5.5703125" customWidth="1"/>
    <col min="11" max="12" width="5.7109375" customWidth="1"/>
    <col min="13" max="13" width="5.5703125" customWidth="1"/>
    <col min="14" max="16" width="5.7109375" customWidth="1"/>
    <col min="17" max="17" width="5.42578125" customWidth="1"/>
  </cols>
  <sheetData>
    <row r="1" spans="1:19">
      <c r="A1" s="205"/>
      <c r="B1" s="206"/>
      <c r="C1" s="211" t="s">
        <v>76</v>
      </c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3"/>
    </row>
    <row r="2" spans="1:19">
      <c r="A2" s="207"/>
      <c r="B2" s="208"/>
      <c r="C2" s="214" t="s">
        <v>1</v>
      </c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6"/>
    </row>
    <row r="3" spans="1:19">
      <c r="A3" s="209"/>
      <c r="B3" s="210"/>
      <c r="C3" s="217" t="s">
        <v>2</v>
      </c>
      <c r="D3" s="218"/>
      <c r="E3" s="218"/>
      <c r="F3" s="218"/>
      <c r="G3" s="218"/>
      <c r="H3" s="218"/>
      <c r="I3" s="219"/>
      <c r="J3" s="217" t="s">
        <v>3</v>
      </c>
      <c r="K3" s="218"/>
      <c r="L3" s="218"/>
      <c r="M3" s="218"/>
      <c r="N3" s="218"/>
      <c r="O3" s="219"/>
      <c r="P3" s="220" t="s">
        <v>4</v>
      </c>
      <c r="Q3" s="219"/>
    </row>
    <row r="4" spans="1:19">
      <c r="A4" s="187" t="s">
        <v>87</v>
      </c>
      <c r="B4" s="187"/>
      <c r="C4" s="187"/>
      <c r="D4" s="187"/>
      <c r="E4" s="187"/>
      <c r="F4" s="187"/>
      <c r="G4" s="187"/>
      <c r="H4" s="187"/>
      <c r="I4" s="187"/>
      <c r="J4" s="187"/>
      <c r="K4" s="188" t="s">
        <v>88</v>
      </c>
      <c r="L4" s="189"/>
      <c r="M4" s="189"/>
      <c r="N4" s="189"/>
      <c r="O4" s="189"/>
      <c r="P4" s="189"/>
      <c r="Q4" s="190"/>
      <c r="R4" s="88"/>
      <c r="S4" s="141"/>
    </row>
    <row r="5" spans="1:19">
      <c r="A5" s="191" t="s">
        <v>7</v>
      </c>
      <c r="B5" s="192"/>
      <c r="C5" s="197" t="s">
        <v>8</v>
      </c>
      <c r="D5" s="198"/>
      <c r="E5" s="198"/>
      <c r="F5" s="198" t="s">
        <v>9</v>
      </c>
      <c r="G5" s="198"/>
      <c r="H5" s="198"/>
      <c r="I5" s="198" t="s">
        <v>10</v>
      </c>
      <c r="J5" s="198"/>
      <c r="K5" s="198"/>
      <c r="L5" s="198" t="s">
        <v>11</v>
      </c>
      <c r="M5" s="198"/>
      <c r="N5" s="199"/>
      <c r="O5" s="200" t="s">
        <v>12</v>
      </c>
      <c r="P5" s="201"/>
      <c r="Q5" s="202"/>
    </row>
    <row r="6" spans="1:19">
      <c r="A6" s="193"/>
      <c r="B6" s="194"/>
      <c r="C6" s="179" t="s">
        <v>13</v>
      </c>
      <c r="D6" s="174"/>
      <c r="E6" s="203" t="s">
        <v>14</v>
      </c>
      <c r="F6" s="174" t="s">
        <v>13</v>
      </c>
      <c r="G6" s="174"/>
      <c r="H6" s="175" t="s">
        <v>14</v>
      </c>
      <c r="I6" s="174" t="s">
        <v>13</v>
      </c>
      <c r="J6" s="174"/>
      <c r="K6" s="175" t="s">
        <v>14</v>
      </c>
      <c r="L6" s="174" t="s">
        <v>13</v>
      </c>
      <c r="M6" s="174"/>
      <c r="N6" s="177" t="s">
        <v>14</v>
      </c>
      <c r="O6" s="179" t="s">
        <v>13</v>
      </c>
      <c r="P6" s="174"/>
      <c r="Q6" s="180" t="s">
        <v>14</v>
      </c>
    </row>
    <row r="7" spans="1:19">
      <c r="A7" s="195"/>
      <c r="B7" s="196"/>
      <c r="C7" s="8" t="s">
        <v>15</v>
      </c>
      <c r="D7" s="7" t="s">
        <v>16</v>
      </c>
      <c r="E7" s="204"/>
      <c r="F7" s="7" t="s">
        <v>15</v>
      </c>
      <c r="G7" s="7" t="s">
        <v>16</v>
      </c>
      <c r="H7" s="176"/>
      <c r="I7" s="7" t="s">
        <v>15</v>
      </c>
      <c r="J7" s="7" t="s">
        <v>16</v>
      </c>
      <c r="K7" s="176"/>
      <c r="L7" s="7" t="s">
        <v>15</v>
      </c>
      <c r="M7" s="7" t="s">
        <v>16</v>
      </c>
      <c r="N7" s="178"/>
      <c r="O7" s="8" t="s">
        <v>15</v>
      </c>
      <c r="P7" s="7" t="s">
        <v>16</v>
      </c>
      <c r="Q7" s="181"/>
    </row>
    <row r="8" spans="1:19" ht="22.5">
      <c r="A8" s="182" t="s">
        <v>17</v>
      </c>
      <c r="B8" s="33" t="s">
        <v>18</v>
      </c>
      <c r="C8" s="6">
        <v>1</v>
      </c>
      <c r="D8" s="5"/>
      <c r="E8" s="4"/>
      <c r="F8" s="6">
        <v>1</v>
      </c>
      <c r="G8" s="5"/>
      <c r="H8" s="4"/>
      <c r="I8" s="27">
        <v>1</v>
      </c>
      <c r="J8" s="76"/>
      <c r="K8" s="30"/>
      <c r="L8" s="77">
        <v>1</v>
      </c>
      <c r="M8" s="26"/>
      <c r="N8" s="30"/>
      <c r="O8" s="27">
        <v>1</v>
      </c>
      <c r="P8" s="26"/>
      <c r="Q8" s="29"/>
    </row>
    <row r="9" spans="1:19" ht="22.5">
      <c r="A9" s="183"/>
      <c r="B9" s="34" t="s">
        <v>19</v>
      </c>
      <c r="C9" s="47">
        <v>1</v>
      </c>
      <c r="D9" s="48"/>
      <c r="E9" s="30"/>
      <c r="F9" s="66">
        <v>1</v>
      </c>
      <c r="G9" s="67"/>
      <c r="H9" s="12"/>
      <c r="I9" s="61">
        <v>1</v>
      </c>
      <c r="J9" s="62"/>
      <c r="K9" s="12"/>
      <c r="L9" s="66">
        <v>1</v>
      </c>
      <c r="M9" s="67"/>
      <c r="N9" s="12"/>
      <c r="O9" s="56"/>
      <c r="P9" s="67">
        <v>1</v>
      </c>
      <c r="Q9" s="29"/>
    </row>
    <row r="10" spans="1:19">
      <c r="A10" s="183"/>
      <c r="B10" s="34" t="s">
        <v>20</v>
      </c>
      <c r="C10" s="49">
        <v>1</v>
      </c>
      <c r="D10" s="46"/>
      <c r="E10" s="30"/>
      <c r="F10" s="66">
        <v>1</v>
      </c>
      <c r="G10" s="67"/>
      <c r="H10" s="12"/>
      <c r="I10" s="61">
        <v>1</v>
      </c>
      <c r="J10" s="62"/>
      <c r="K10" s="12"/>
      <c r="L10" s="66">
        <v>1</v>
      </c>
      <c r="M10" s="67"/>
      <c r="N10" s="12"/>
      <c r="O10" s="56">
        <v>1</v>
      </c>
      <c r="P10" s="67"/>
      <c r="Q10" s="29"/>
    </row>
    <row r="11" spans="1:19">
      <c r="A11" s="183"/>
      <c r="B11" s="34" t="s">
        <v>21</v>
      </c>
      <c r="C11" s="49">
        <v>1</v>
      </c>
      <c r="D11" s="46"/>
      <c r="E11" s="30"/>
      <c r="F11" s="68">
        <v>1</v>
      </c>
      <c r="G11" s="69"/>
      <c r="H11" s="57"/>
      <c r="I11" s="61">
        <v>1</v>
      </c>
      <c r="J11" s="62"/>
      <c r="K11" s="12"/>
      <c r="L11" s="68">
        <v>1</v>
      </c>
      <c r="M11" s="69"/>
      <c r="N11" s="12"/>
      <c r="O11" s="56">
        <v>1</v>
      </c>
      <c r="P11" s="67"/>
      <c r="Q11" s="29"/>
    </row>
    <row r="12" spans="1:19">
      <c r="A12" s="183"/>
      <c r="B12" s="34" t="s">
        <v>22</v>
      </c>
      <c r="C12" s="50">
        <v>1</v>
      </c>
      <c r="D12" s="51"/>
      <c r="E12" s="30"/>
      <c r="F12" s="18">
        <v>1</v>
      </c>
      <c r="G12" s="17"/>
      <c r="H12" s="12"/>
      <c r="I12" s="18">
        <v>1</v>
      </c>
      <c r="J12" s="17"/>
      <c r="K12" s="12"/>
      <c r="L12" s="18">
        <v>1</v>
      </c>
      <c r="M12" s="17"/>
      <c r="N12" s="12"/>
      <c r="O12" s="18">
        <v>1</v>
      </c>
      <c r="P12" s="17"/>
      <c r="Q12" s="12"/>
    </row>
    <row r="13" spans="1:19" ht="22.5">
      <c r="A13" s="183"/>
      <c r="B13" s="34" t="s">
        <v>23</v>
      </c>
      <c r="C13" s="47">
        <v>1</v>
      </c>
      <c r="D13" s="48"/>
      <c r="E13" s="30"/>
      <c r="F13" s="18">
        <v>1</v>
      </c>
      <c r="G13" s="17"/>
      <c r="H13" s="12"/>
      <c r="I13" s="15">
        <v>1</v>
      </c>
      <c r="J13" s="14"/>
      <c r="K13" s="12"/>
      <c r="L13" s="18">
        <v>1</v>
      </c>
      <c r="M13" s="17"/>
      <c r="N13" s="12"/>
      <c r="O13" s="56">
        <v>1</v>
      </c>
      <c r="P13" s="67"/>
      <c r="Q13" s="29"/>
    </row>
    <row r="14" spans="1:19">
      <c r="A14" s="183"/>
      <c r="B14" s="34" t="s">
        <v>24</v>
      </c>
      <c r="C14" s="47">
        <v>1</v>
      </c>
      <c r="D14" s="48"/>
      <c r="E14" s="28"/>
      <c r="F14" s="18">
        <v>1</v>
      </c>
      <c r="G14" s="17"/>
      <c r="H14" s="12"/>
      <c r="I14" s="15">
        <v>1</v>
      </c>
      <c r="J14" s="14"/>
      <c r="K14" s="12"/>
      <c r="L14" s="18">
        <v>1</v>
      </c>
      <c r="M14" s="17"/>
      <c r="N14" s="12"/>
      <c r="O14" s="56">
        <v>1</v>
      </c>
      <c r="P14" s="67"/>
      <c r="Q14" s="29"/>
    </row>
    <row r="15" spans="1:19">
      <c r="A15" s="183"/>
      <c r="B15" s="34" t="s">
        <v>25</v>
      </c>
      <c r="C15" s="89"/>
      <c r="D15" s="90"/>
      <c r="E15" s="91"/>
      <c r="F15" s="92"/>
      <c r="G15" s="93"/>
      <c r="H15" s="94"/>
      <c r="I15" s="63">
        <v>1</v>
      </c>
      <c r="J15" s="64"/>
      <c r="K15" s="65"/>
      <c r="L15" s="92"/>
      <c r="M15" s="93"/>
      <c r="N15" s="94"/>
      <c r="O15" s="95"/>
      <c r="P15" s="96"/>
      <c r="Q15" s="97"/>
    </row>
    <row r="16" spans="1:19">
      <c r="A16" s="183"/>
      <c r="B16" s="34" t="s">
        <v>26</v>
      </c>
      <c r="C16" s="47"/>
      <c r="D16" s="48"/>
      <c r="E16" s="12">
        <v>1</v>
      </c>
      <c r="F16" s="16">
        <v>1</v>
      </c>
      <c r="G16" s="13"/>
      <c r="H16" s="12"/>
      <c r="I16" s="22"/>
      <c r="J16" s="21">
        <v>1</v>
      </c>
      <c r="K16" s="12"/>
      <c r="L16" s="16">
        <v>1</v>
      </c>
      <c r="M16" s="13"/>
      <c r="N16" s="12"/>
      <c r="O16" s="95"/>
      <c r="P16" s="96"/>
      <c r="Q16" s="97"/>
    </row>
    <row r="17" spans="1:17">
      <c r="A17" s="183"/>
      <c r="B17" s="34" t="s">
        <v>27</v>
      </c>
      <c r="C17" s="98"/>
      <c r="D17" s="99"/>
      <c r="E17" s="100"/>
      <c r="F17" s="16"/>
      <c r="G17" s="13"/>
      <c r="H17" s="12">
        <v>1</v>
      </c>
      <c r="I17" s="15"/>
      <c r="J17" s="14">
        <v>1</v>
      </c>
      <c r="K17" s="58"/>
      <c r="L17" s="18"/>
      <c r="M17" s="17">
        <v>1</v>
      </c>
      <c r="N17" s="12"/>
      <c r="O17" s="95"/>
      <c r="P17" s="96"/>
      <c r="Q17" s="97"/>
    </row>
    <row r="18" spans="1:17">
      <c r="A18" s="183"/>
      <c r="B18" s="34" t="s">
        <v>28</v>
      </c>
      <c r="C18" s="47">
        <v>1</v>
      </c>
      <c r="D18" s="48"/>
      <c r="E18" s="30"/>
      <c r="F18" s="16"/>
      <c r="G18" s="13"/>
      <c r="H18" s="12">
        <v>1</v>
      </c>
      <c r="I18" s="22"/>
      <c r="J18" s="21"/>
      <c r="K18" s="107">
        <v>1</v>
      </c>
      <c r="L18" s="142">
        <v>1</v>
      </c>
      <c r="M18" s="108"/>
      <c r="N18" s="106"/>
      <c r="O18" s="56">
        <v>1</v>
      </c>
      <c r="P18" s="67"/>
      <c r="Q18" s="29"/>
    </row>
    <row r="19" spans="1:17">
      <c r="A19" s="183"/>
      <c r="B19" s="34" t="s">
        <v>29</v>
      </c>
      <c r="C19" s="47">
        <v>1</v>
      </c>
      <c r="D19" s="48"/>
      <c r="E19" s="30"/>
      <c r="F19" s="16">
        <v>1</v>
      </c>
      <c r="G19" s="13"/>
      <c r="H19" s="12"/>
      <c r="I19" s="22">
        <v>1</v>
      </c>
      <c r="J19" s="21"/>
      <c r="K19" s="59"/>
      <c r="L19" s="18">
        <v>1</v>
      </c>
      <c r="M19" s="17"/>
      <c r="N19" s="12"/>
      <c r="O19" s="56">
        <v>1</v>
      </c>
      <c r="P19" s="67"/>
      <c r="Q19" s="29"/>
    </row>
    <row r="20" spans="1:17">
      <c r="A20" s="183"/>
      <c r="B20" s="34" t="s">
        <v>30</v>
      </c>
      <c r="C20" s="47"/>
      <c r="D20" s="48"/>
      <c r="E20" s="12">
        <v>1</v>
      </c>
      <c r="F20" s="16">
        <v>1</v>
      </c>
      <c r="G20" s="13"/>
      <c r="H20" s="12"/>
      <c r="I20" s="101"/>
      <c r="J20" s="102"/>
      <c r="K20" s="103"/>
      <c r="L20" s="104"/>
      <c r="M20" s="105"/>
      <c r="N20" s="103"/>
      <c r="O20" s="56">
        <v>1</v>
      </c>
      <c r="P20" s="67"/>
      <c r="Q20" s="29"/>
    </row>
    <row r="21" spans="1:17">
      <c r="A21" s="183"/>
      <c r="B21" s="34" t="s">
        <v>31</v>
      </c>
      <c r="C21" s="47">
        <v>1</v>
      </c>
      <c r="D21" s="48"/>
      <c r="E21" s="30"/>
      <c r="F21" s="16">
        <v>1</v>
      </c>
      <c r="G21" s="13"/>
      <c r="H21" s="12"/>
      <c r="I21" s="101"/>
      <c r="J21" s="102"/>
      <c r="K21" s="103"/>
      <c r="L21" s="104"/>
      <c r="M21" s="105"/>
      <c r="N21" s="103"/>
      <c r="O21" s="56">
        <v>1</v>
      </c>
      <c r="P21" s="67"/>
      <c r="Q21" s="29"/>
    </row>
    <row r="22" spans="1:17">
      <c r="A22" s="183"/>
      <c r="B22" s="34" t="s">
        <v>32</v>
      </c>
      <c r="C22" s="98"/>
      <c r="D22" s="99"/>
      <c r="E22" s="100"/>
      <c r="F22" s="104"/>
      <c r="G22" s="105"/>
      <c r="H22" s="111"/>
      <c r="I22" s="22">
        <v>1</v>
      </c>
      <c r="J22" s="21"/>
      <c r="K22" s="59"/>
      <c r="L22" s="16"/>
      <c r="M22" s="13"/>
      <c r="N22" s="107">
        <v>1</v>
      </c>
      <c r="O22" s="110"/>
      <c r="P22" s="110"/>
      <c r="Q22" s="109">
        <v>1</v>
      </c>
    </row>
    <row r="23" spans="1:17">
      <c r="A23" s="183"/>
      <c r="B23" s="34" t="s">
        <v>33</v>
      </c>
      <c r="C23" s="47">
        <v>1</v>
      </c>
      <c r="D23" s="48"/>
      <c r="E23" s="30"/>
      <c r="F23" s="16">
        <v>1</v>
      </c>
      <c r="G23" s="13"/>
      <c r="H23" s="59"/>
      <c r="I23" s="22"/>
      <c r="J23" s="21"/>
      <c r="K23" s="59">
        <v>1</v>
      </c>
      <c r="L23" s="16"/>
      <c r="M23" s="13"/>
      <c r="N23" s="12">
        <v>1</v>
      </c>
      <c r="O23" s="56"/>
      <c r="P23" s="67"/>
      <c r="Q23" s="29">
        <v>1</v>
      </c>
    </row>
    <row r="24" spans="1:17">
      <c r="A24" s="183"/>
      <c r="B24" s="34" t="s">
        <v>34</v>
      </c>
      <c r="C24" s="47">
        <v>1</v>
      </c>
      <c r="D24" s="48"/>
      <c r="E24" s="30"/>
      <c r="F24" s="16"/>
      <c r="G24" s="13">
        <v>1</v>
      </c>
      <c r="H24" s="59"/>
      <c r="I24" s="101"/>
      <c r="J24" s="102"/>
      <c r="K24" s="103"/>
      <c r="L24" s="104"/>
      <c r="M24" s="105"/>
      <c r="N24" s="111"/>
      <c r="O24" s="56">
        <v>1</v>
      </c>
      <c r="P24" s="67"/>
      <c r="Q24" s="29"/>
    </row>
    <row r="25" spans="1:17">
      <c r="A25" s="183"/>
      <c r="B25" s="34" t="s">
        <v>35</v>
      </c>
      <c r="C25" s="98"/>
      <c r="D25" s="99"/>
      <c r="E25" s="100"/>
      <c r="F25" s="104"/>
      <c r="G25" s="105"/>
      <c r="H25" s="103"/>
      <c r="I25" s="101"/>
      <c r="J25" s="102"/>
      <c r="K25" s="103"/>
      <c r="L25" s="16">
        <v>1</v>
      </c>
      <c r="M25" s="13"/>
      <c r="N25" s="12"/>
      <c r="O25" s="95"/>
      <c r="P25" s="96"/>
      <c r="Q25" s="97"/>
    </row>
    <row r="26" spans="1:17">
      <c r="A26" s="183"/>
      <c r="B26" s="34" t="s">
        <v>36</v>
      </c>
      <c r="C26" s="47">
        <v>1</v>
      </c>
      <c r="D26" s="48"/>
      <c r="E26" s="30"/>
      <c r="F26" s="16">
        <v>1</v>
      </c>
      <c r="G26" s="13"/>
      <c r="H26" s="59"/>
      <c r="I26" s="22"/>
      <c r="J26" s="21"/>
      <c r="K26" s="59">
        <v>1</v>
      </c>
      <c r="L26" s="16"/>
      <c r="M26" s="13"/>
      <c r="N26" s="12">
        <v>1</v>
      </c>
      <c r="O26" s="56">
        <v>1</v>
      </c>
      <c r="P26" s="67"/>
      <c r="Q26" s="29"/>
    </row>
    <row r="27" spans="1:17">
      <c r="A27" s="183"/>
      <c r="B27" s="34" t="s">
        <v>37</v>
      </c>
      <c r="C27" s="47"/>
      <c r="D27" s="48">
        <v>1</v>
      </c>
      <c r="E27" s="30"/>
      <c r="F27" s="16"/>
      <c r="G27" s="13">
        <v>1</v>
      </c>
      <c r="H27" s="59"/>
      <c r="I27" s="22"/>
      <c r="J27" s="21"/>
      <c r="K27" s="59">
        <v>1</v>
      </c>
      <c r="L27" s="16"/>
      <c r="M27" s="13"/>
      <c r="N27" s="12">
        <v>1</v>
      </c>
      <c r="O27" s="56"/>
      <c r="P27" s="67"/>
      <c r="Q27" s="29">
        <v>1</v>
      </c>
    </row>
    <row r="28" spans="1:17" ht="22.5">
      <c r="A28" s="183"/>
      <c r="B28" s="34" t="s">
        <v>38</v>
      </c>
      <c r="C28" s="47">
        <v>1</v>
      </c>
      <c r="D28" s="48"/>
      <c r="E28" s="12"/>
      <c r="F28" s="16">
        <v>1</v>
      </c>
      <c r="G28" s="13"/>
      <c r="H28" s="59"/>
      <c r="I28" s="22">
        <v>1</v>
      </c>
      <c r="J28" s="21"/>
      <c r="K28" s="59"/>
      <c r="L28" s="16">
        <v>1</v>
      </c>
      <c r="M28" s="13"/>
      <c r="N28" s="12"/>
      <c r="O28" s="56"/>
      <c r="P28" s="67">
        <v>1</v>
      </c>
      <c r="Q28" s="29"/>
    </row>
    <row r="29" spans="1:17">
      <c r="A29" s="183"/>
      <c r="B29" s="34" t="s">
        <v>39</v>
      </c>
      <c r="C29" s="47">
        <v>1</v>
      </c>
      <c r="D29" s="48"/>
      <c r="E29" s="12"/>
      <c r="F29" s="16">
        <v>1</v>
      </c>
      <c r="G29" s="13"/>
      <c r="H29" s="59"/>
      <c r="I29" s="22">
        <v>1</v>
      </c>
      <c r="J29" s="21"/>
      <c r="K29" s="59"/>
      <c r="L29" s="16">
        <v>1</v>
      </c>
      <c r="M29" s="13"/>
      <c r="N29" s="12"/>
      <c r="O29" s="56">
        <v>1</v>
      </c>
      <c r="P29" s="67"/>
      <c r="Q29" s="29"/>
    </row>
    <row r="30" spans="1:17">
      <c r="A30" s="183"/>
      <c r="B30" s="34" t="s">
        <v>40</v>
      </c>
      <c r="C30" s="47">
        <v>1</v>
      </c>
      <c r="D30" s="48"/>
      <c r="E30" s="12"/>
      <c r="F30" s="16">
        <v>1</v>
      </c>
      <c r="G30" s="13"/>
      <c r="H30" s="59"/>
      <c r="I30" s="22"/>
      <c r="J30" s="21">
        <v>1</v>
      </c>
      <c r="K30" s="59"/>
      <c r="L30" s="16"/>
      <c r="M30" s="13">
        <v>1</v>
      </c>
      <c r="N30" s="59"/>
      <c r="O30" s="56"/>
      <c r="P30" s="67">
        <v>1</v>
      </c>
      <c r="Q30" s="29"/>
    </row>
    <row r="31" spans="1:17">
      <c r="A31" s="183"/>
      <c r="B31" s="34" t="s">
        <v>41</v>
      </c>
      <c r="C31" s="47"/>
      <c r="D31" s="48">
        <v>1</v>
      </c>
      <c r="E31" s="12"/>
      <c r="F31" s="16"/>
      <c r="G31" s="13">
        <v>1</v>
      </c>
      <c r="H31" s="59"/>
      <c r="I31" s="22"/>
      <c r="J31" s="21"/>
      <c r="K31" s="59">
        <v>1</v>
      </c>
      <c r="L31" s="16"/>
      <c r="M31" s="13"/>
      <c r="N31" s="59">
        <v>1</v>
      </c>
      <c r="O31" s="56">
        <v>1</v>
      </c>
      <c r="P31" s="67"/>
      <c r="Q31" s="29"/>
    </row>
    <row r="32" spans="1:17">
      <c r="A32" s="183"/>
      <c r="B32" s="34" t="s">
        <v>42</v>
      </c>
      <c r="C32" s="47"/>
      <c r="D32" s="48">
        <v>1</v>
      </c>
      <c r="E32" s="12"/>
      <c r="F32" s="16"/>
      <c r="G32" s="13"/>
      <c r="H32" s="59">
        <v>1</v>
      </c>
      <c r="I32" s="22">
        <v>1</v>
      </c>
      <c r="J32" s="21"/>
      <c r="K32" s="59"/>
      <c r="L32" s="16">
        <v>1</v>
      </c>
      <c r="M32" s="13"/>
      <c r="N32" s="59"/>
      <c r="O32" s="56">
        <v>1</v>
      </c>
      <c r="P32" s="67"/>
      <c r="Q32" s="29"/>
    </row>
    <row r="33" spans="1:17" ht="22.5">
      <c r="A33" s="183"/>
      <c r="B33" s="34" t="s">
        <v>43</v>
      </c>
      <c r="C33" s="47">
        <v>1</v>
      </c>
      <c r="D33" s="48"/>
      <c r="E33" s="12"/>
      <c r="F33" s="16">
        <v>1</v>
      </c>
      <c r="G33" s="13"/>
      <c r="H33" s="12"/>
      <c r="I33" s="22"/>
      <c r="J33" s="21">
        <v>1</v>
      </c>
      <c r="K33" s="12"/>
      <c r="L33" s="16"/>
      <c r="M33" s="13">
        <v>1</v>
      </c>
      <c r="N33" s="12"/>
      <c r="O33" s="56"/>
      <c r="P33" s="67">
        <v>1</v>
      </c>
      <c r="Q33" s="29"/>
    </row>
    <row r="34" spans="1:17">
      <c r="A34" s="183"/>
      <c r="B34" s="34" t="s">
        <v>44</v>
      </c>
      <c r="C34" s="47">
        <v>1</v>
      </c>
      <c r="D34" s="52"/>
      <c r="E34" s="53"/>
      <c r="F34" s="16">
        <v>1</v>
      </c>
      <c r="G34" s="13"/>
      <c r="H34" s="59"/>
      <c r="I34" s="22">
        <v>1</v>
      </c>
      <c r="J34" s="21"/>
      <c r="K34" s="59"/>
      <c r="L34" s="16">
        <v>1</v>
      </c>
      <c r="M34" s="13"/>
      <c r="N34" s="59"/>
      <c r="O34" s="56">
        <v>1</v>
      </c>
      <c r="P34" s="67"/>
      <c r="Q34" s="29"/>
    </row>
    <row r="35" spans="1:17">
      <c r="A35" s="183"/>
      <c r="B35" s="34" t="s">
        <v>45</v>
      </c>
      <c r="C35" s="47">
        <v>1</v>
      </c>
      <c r="D35" s="52"/>
      <c r="E35" s="53"/>
      <c r="F35" s="20">
        <v>1</v>
      </c>
      <c r="G35" s="19"/>
      <c r="H35" s="60"/>
      <c r="I35" s="22">
        <v>1</v>
      </c>
      <c r="J35" s="21"/>
      <c r="K35" s="60"/>
      <c r="L35" s="20">
        <v>1</v>
      </c>
      <c r="M35" s="19"/>
      <c r="N35" s="60"/>
      <c r="O35" s="56">
        <v>1</v>
      </c>
      <c r="P35" s="67"/>
      <c r="Q35" s="29"/>
    </row>
    <row r="36" spans="1:17">
      <c r="A36" s="184"/>
      <c r="B36" s="35" t="s">
        <v>46</v>
      </c>
      <c r="C36" s="55">
        <v>1</v>
      </c>
      <c r="D36" s="54"/>
      <c r="E36" s="25"/>
      <c r="F36" s="24">
        <v>1</v>
      </c>
      <c r="G36" s="23"/>
      <c r="H36" s="70"/>
      <c r="I36" s="22">
        <v>1</v>
      </c>
      <c r="J36" s="21"/>
      <c r="K36" s="60"/>
      <c r="L36" s="20">
        <v>1</v>
      </c>
      <c r="M36" s="19"/>
      <c r="N36" s="60"/>
      <c r="O36" s="71">
        <v>1</v>
      </c>
      <c r="P36" s="72"/>
      <c r="Q36" s="60"/>
    </row>
    <row r="37" spans="1:17">
      <c r="A37" s="182" t="s">
        <v>47</v>
      </c>
      <c r="B37" s="33" t="s">
        <v>48</v>
      </c>
      <c r="C37" s="112"/>
      <c r="D37" s="113"/>
      <c r="E37" s="114"/>
      <c r="F37" s="31">
        <v>1</v>
      </c>
      <c r="G37" s="32"/>
      <c r="H37" s="4"/>
      <c r="I37" s="115"/>
      <c r="J37" s="116"/>
      <c r="K37" s="114"/>
      <c r="L37" s="117"/>
      <c r="M37" s="118"/>
      <c r="N37" s="119"/>
      <c r="O37" s="120"/>
      <c r="P37" s="121"/>
      <c r="Q37" s="122"/>
    </row>
    <row r="38" spans="1:17">
      <c r="A38" s="183"/>
      <c r="B38" s="36" t="s">
        <v>49</v>
      </c>
      <c r="C38" s="47">
        <v>1</v>
      </c>
      <c r="D38" s="48"/>
      <c r="E38" s="30"/>
      <c r="F38" s="123"/>
      <c r="G38" s="124"/>
      <c r="H38" s="111"/>
      <c r="I38" s="125"/>
      <c r="J38" s="126"/>
      <c r="K38" s="111"/>
      <c r="L38" s="123"/>
      <c r="M38" s="124"/>
      <c r="N38" s="111"/>
      <c r="O38" s="123"/>
      <c r="P38" s="124"/>
      <c r="Q38" s="111"/>
    </row>
    <row r="39" spans="1:17">
      <c r="A39" s="183"/>
      <c r="B39" s="34" t="s">
        <v>50</v>
      </c>
      <c r="C39" s="47">
        <v>1</v>
      </c>
      <c r="D39" s="48"/>
      <c r="E39" s="30"/>
      <c r="F39" s="123"/>
      <c r="G39" s="124"/>
      <c r="H39" s="111"/>
      <c r="I39" s="125"/>
      <c r="J39" s="126"/>
      <c r="K39" s="111"/>
      <c r="L39" s="104"/>
      <c r="M39" s="105"/>
      <c r="N39" s="103"/>
      <c r="O39" s="123"/>
      <c r="P39" s="124"/>
      <c r="Q39" s="111"/>
    </row>
    <row r="40" spans="1:17">
      <c r="A40" s="183"/>
      <c r="B40" s="34" t="s">
        <v>51</v>
      </c>
      <c r="C40" s="47">
        <v>1</v>
      </c>
      <c r="D40" s="48"/>
      <c r="E40" s="30"/>
      <c r="F40" s="123"/>
      <c r="G40" s="124"/>
      <c r="H40" s="111"/>
      <c r="I40" s="125"/>
      <c r="J40" s="126"/>
      <c r="K40" s="111"/>
      <c r="L40" s="92"/>
      <c r="M40" s="93"/>
      <c r="N40" s="94"/>
      <c r="O40" s="123"/>
      <c r="P40" s="124"/>
      <c r="Q40" s="111"/>
    </row>
    <row r="41" spans="1:17">
      <c r="A41" s="183"/>
      <c r="B41" s="34" t="s">
        <v>52</v>
      </c>
      <c r="C41" s="98"/>
      <c r="D41" s="99"/>
      <c r="E41" s="100"/>
      <c r="F41" s="18"/>
      <c r="G41" s="17"/>
      <c r="H41" s="12">
        <v>1</v>
      </c>
      <c r="I41" s="125"/>
      <c r="J41" s="126"/>
      <c r="K41" s="111"/>
      <c r="L41" s="104"/>
      <c r="M41" s="105"/>
      <c r="N41" s="103"/>
      <c r="O41" s="127"/>
      <c r="P41" s="128"/>
      <c r="Q41" s="97"/>
    </row>
    <row r="42" spans="1:17">
      <c r="A42" s="183"/>
      <c r="B42" s="34" t="s">
        <v>53</v>
      </c>
      <c r="C42" s="98"/>
      <c r="D42" s="99"/>
      <c r="E42" s="100"/>
      <c r="F42" s="123"/>
      <c r="G42" s="124"/>
      <c r="H42" s="111"/>
      <c r="I42" s="125"/>
      <c r="J42" s="126"/>
      <c r="K42" s="111"/>
      <c r="L42" s="104"/>
      <c r="M42" s="105"/>
      <c r="N42" s="103"/>
      <c r="O42" s="127"/>
      <c r="P42" s="128"/>
      <c r="Q42" s="97"/>
    </row>
    <row r="43" spans="1:17">
      <c r="A43" s="183"/>
      <c r="B43" s="34" t="s">
        <v>54</v>
      </c>
      <c r="C43" s="47"/>
      <c r="D43" s="48">
        <v>1</v>
      </c>
      <c r="E43" s="30"/>
      <c r="F43" s="123"/>
      <c r="G43" s="124"/>
      <c r="H43" s="111"/>
      <c r="I43" s="125"/>
      <c r="J43" s="126"/>
      <c r="K43" s="111"/>
      <c r="L43" s="104"/>
      <c r="M43" s="105"/>
      <c r="N43" s="103"/>
      <c r="O43" s="127"/>
      <c r="P43" s="128"/>
      <c r="Q43" s="97"/>
    </row>
    <row r="44" spans="1:17">
      <c r="A44" s="183"/>
      <c r="B44" s="34" t="s">
        <v>55</v>
      </c>
      <c r="C44" s="47"/>
      <c r="D44" s="48"/>
      <c r="E44" s="30">
        <v>1</v>
      </c>
      <c r="F44" s="18"/>
      <c r="G44" s="17"/>
      <c r="H44" s="12">
        <v>1</v>
      </c>
      <c r="I44" s="15">
        <v>1</v>
      </c>
      <c r="J44" s="14"/>
      <c r="K44" s="12"/>
      <c r="L44" s="16">
        <v>1</v>
      </c>
      <c r="M44" s="13"/>
      <c r="N44" s="12"/>
      <c r="O44" s="73"/>
      <c r="P44" s="74"/>
      <c r="Q44" s="29">
        <v>1</v>
      </c>
    </row>
    <row r="45" spans="1:17">
      <c r="A45" s="183"/>
      <c r="B45" s="34" t="s">
        <v>56</v>
      </c>
      <c r="C45" s="47">
        <v>1</v>
      </c>
      <c r="D45" s="48"/>
      <c r="E45" s="30"/>
      <c r="F45" s="123"/>
      <c r="G45" s="124"/>
      <c r="H45" s="111"/>
      <c r="I45" s="125"/>
      <c r="J45" s="126"/>
      <c r="K45" s="111"/>
      <c r="L45" s="129"/>
      <c r="M45" s="105"/>
      <c r="N45" s="111"/>
      <c r="O45" s="130"/>
      <c r="P45" s="131"/>
      <c r="Q45" s="97"/>
    </row>
    <row r="46" spans="1:17">
      <c r="A46" s="183"/>
      <c r="B46" s="34" t="s">
        <v>57</v>
      </c>
      <c r="C46" s="47"/>
      <c r="D46" s="48"/>
      <c r="E46" s="30">
        <v>1</v>
      </c>
      <c r="F46" s="132"/>
      <c r="G46" s="133"/>
      <c r="H46" s="134">
        <v>1</v>
      </c>
      <c r="I46" s="135"/>
      <c r="J46" s="136"/>
      <c r="K46" s="134">
        <v>1</v>
      </c>
      <c r="L46" s="137"/>
      <c r="M46" s="133"/>
      <c r="N46" s="134">
        <v>1</v>
      </c>
      <c r="O46" s="138"/>
      <c r="P46" s="139"/>
      <c r="Q46" s="140">
        <v>1</v>
      </c>
    </row>
    <row r="47" spans="1:17">
      <c r="A47" s="183"/>
      <c r="B47" s="34" t="s">
        <v>58</v>
      </c>
      <c r="C47" s="47"/>
      <c r="D47" s="48"/>
      <c r="E47" s="30">
        <v>1</v>
      </c>
      <c r="F47" s="18">
        <v>1</v>
      </c>
      <c r="G47" s="17"/>
      <c r="H47" s="12"/>
      <c r="I47" s="15"/>
      <c r="J47" s="14">
        <v>1</v>
      </c>
      <c r="K47" s="12"/>
      <c r="L47" s="78">
        <v>1</v>
      </c>
      <c r="M47" s="13"/>
      <c r="N47" s="12"/>
      <c r="O47" s="73">
        <v>1</v>
      </c>
      <c r="P47" s="74"/>
      <c r="Q47" s="29"/>
    </row>
    <row r="48" spans="1:17">
      <c r="A48" s="185" t="s">
        <v>59</v>
      </c>
      <c r="B48" s="37" t="s">
        <v>59</v>
      </c>
      <c r="C48" s="75">
        <f>SUM(C8:C47)</f>
        <v>24</v>
      </c>
      <c r="D48" s="75">
        <f t="shared" ref="D48:Q48" si="0">SUM(D8:D47)</f>
        <v>4</v>
      </c>
      <c r="E48" s="75">
        <f t="shared" si="0"/>
        <v>5</v>
      </c>
      <c r="F48" s="75">
        <f t="shared" si="0"/>
        <v>22</v>
      </c>
      <c r="G48" s="75">
        <f t="shared" si="0"/>
        <v>3</v>
      </c>
      <c r="H48" s="75">
        <f t="shared" si="0"/>
        <v>6</v>
      </c>
      <c r="I48" s="75">
        <f t="shared" si="0"/>
        <v>17</v>
      </c>
      <c r="J48" s="75">
        <f t="shared" si="0"/>
        <v>5</v>
      </c>
      <c r="K48" s="75">
        <f t="shared" si="0"/>
        <v>6</v>
      </c>
      <c r="L48" s="75">
        <f t="shared" si="0"/>
        <v>19</v>
      </c>
      <c r="M48" s="75">
        <f t="shared" si="0"/>
        <v>3</v>
      </c>
      <c r="N48" s="75">
        <f t="shared" si="0"/>
        <v>6</v>
      </c>
      <c r="O48" s="75">
        <f t="shared" si="0"/>
        <v>19</v>
      </c>
      <c r="P48" s="75">
        <f t="shared" si="0"/>
        <v>4</v>
      </c>
      <c r="Q48" s="75">
        <f t="shared" si="0"/>
        <v>5</v>
      </c>
    </row>
    <row r="49" spans="1:17">
      <c r="A49" s="186"/>
      <c r="B49" s="38" t="s">
        <v>60</v>
      </c>
      <c r="C49" s="171"/>
      <c r="D49" s="172"/>
      <c r="E49" s="173"/>
      <c r="F49" s="10"/>
      <c r="G49" s="9"/>
      <c r="H49" s="11"/>
      <c r="I49" s="10"/>
      <c r="J49" s="9"/>
      <c r="K49" s="11"/>
      <c r="L49" s="10"/>
      <c r="M49" s="9"/>
      <c r="N49" s="11"/>
      <c r="O49" s="10"/>
      <c r="P49" s="9"/>
      <c r="Q49" s="11"/>
    </row>
    <row r="50" spans="1:17">
      <c r="A50" s="167" t="s">
        <v>61</v>
      </c>
      <c r="B50" s="168"/>
      <c r="C50" s="169" t="s">
        <v>89</v>
      </c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70"/>
    </row>
    <row r="51" spans="1:17">
      <c r="A51" s="45" t="s">
        <v>62</v>
      </c>
      <c r="B51" s="44"/>
      <c r="C51" s="44"/>
      <c r="D51" s="44"/>
      <c r="E51" s="159" t="s">
        <v>90</v>
      </c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1"/>
    </row>
    <row r="52" spans="1:17">
      <c r="A52" s="145"/>
      <c r="B52" s="146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7"/>
    </row>
    <row r="53" spans="1:17">
      <c r="A53" s="148" t="s">
        <v>63</v>
      </c>
      <c r="B53" s="149"/>
      <c r="C53" s="146" t="s">
        <v>91</v>
      </c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7"/>
    </row>
    <row r="54" spans="1:17">
      <c r="A54" s="164" t="s">
        <v>92</v>
      </c>
      <c r="B54" s="165"/>
      <c r="C54" s="165"/>
      <c r="D54" s="165"/>
      <c r="E54" s="165"/>
      <c r="F54" s="165"/>
      <c r="G54" s="165"/>
      <c r="H54" s="165"/>
      <c r="I54" s="165"/>
      <c r="J54" s="165"/>
      <c r="K54" s="165"/>
      <c r="L54" s="165"/>
      <c r="M54" s="165"/>
      <c r="N54" s="165"/>
      <c r="O54" s="165"/>
      <c r="P54" s="165"/>
      <c r="Q54" s="166"/>
    </row>
    <row r="55" spans="1:17" ht="26.25" customHeight="1">
      <c r="A55" s="162" t="s">
        <v>64</v>
      </c>
      <c r="B55" s="163"/>
      <c r="C55" s="163"/>
      <c r="D55" s="163"/>
      <c r="E55" s="163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7"/>
    </row>
    <row r="56" spans="1:17">
      <c r="A56" s="148" t="s">
        <v>65</v>
      </c>
      <c r="B56" s="149"/>
      <c r="C56" s="146">
        <f>SUM(C48:Q48)</f>
        <v>148</v>
      </c>
      <c r="D56" s="146"/>
      <c r="E56" s="146"/>
      <c r="F56" s="146"/>
      <c r="G56" s="146"/>
      <c r="H56" s="146"/>
      <c r="I56" s="146"/>
      <c r="J56" s="44" t="s">
        <v>66</v>
      </c>
      <c r="M56" s="157">
        <f>M58/C56</f>
        <v>0.81081081081081086</v>
      </c>
      <c r="N56" s="157"/>
      <c r="O56" s="157"/>
      <c r="P56" s="157"/>
      <c r="Q56" s="158"/>
    </row>
    <row r="57" spans="1:17">
      <c r="A57" s="148" t="s">
        <v>67</v>
      </c>
      <c r="B57" s="149"/>
      <c r="E57" s="146"/>
      <c r="F57" s="146"/>
      <c r="G57" s="146"/>
      <c r="H57" s="146"/>
      <c r="I57" s="146"/>
      <c r="J57" s="146"/>
      <c r="K57" s="146"/>
      <c r="M57" s="157"/>
      <c r="N57" s="157"/>
      <c r="O57" s="157"/>
      <c r="P57" s="157"/>
      <c r="Q57" s="158"/>
    </row>
    <row r="58" spans="1:17">
      <c r="A58" s="145">
        <f>SUM(O48+L48+I48+F48+C48)</f>
        <v>101</v>
      </c>
      <c r="B58" s="146"/>
      <c r="C58" s="146"/>
      <c r="D58" s="146"/>
      <c r="E58" s="146"/>
      <c r="F58" s="146"/>
      <c r="G58" s="146"/>
      <c r="H58" s="146"/>
      <c r="I58" s="146"/>
      <c r="J58" t="s">
        <v>68</v>
      </c>
      <c r="M58" s="146">
        <f>C56-C61</f>
        <v>120</v>
      </c>
      <c r="N58" s="146"/>
      <c r="O58" s="146"/>
      <c r="P58" s="146"/>
      <c r="Q58" s="147"/>
    </row>
    <row r="59" spans="1:17">
      <c r="A59" s="148" t="s">
        <v>69</v>
      </c>
      <c r="B59" s="149"/>
      <c r="C59" s="146">
        <f>SUM(P48+M48+J48+G48+D48)</f>
        <v>19</v>
      </c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7"/>
    </row>
    <row r="60" spans="1:17">
      <c r="A60" s="43"/>
      <c r="Q60" s="42"/>
    </row>
    <row r="61" spans="1:17">
      <c r="A61" s="148" t="s">
        <v>70</v>
      </c>
      <c r="B61" s="149"/>
      <c r="C61" s="146">
        <f>SUM(Q48+N48+K48+H48+E48)</f>
        <v>28</v>
      </c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7"/>
    </row>
    <row r="62" spans="1:17">
      <c r="A62" s="39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1"/>
    </row>
    <row r="63" spans="1:17">
      <c r="A63" s="148" t="s">
        <v>71</v>
      </c>
      <c r="B63" s="149"/>
      <c r="H63" s="42"/>
      <c r="I63" s="148" t="s">
        <v>72</v>
      </c>
      <c r="J63" s="149"/>
      <c r="K63" s="149"/>
      <c r="L63" s="149"/>
      <c r="M63" s="149"/>
      <c r="N63" s="149"/>
      <c r="O63" s="149"/>
      <c r="P63" s="149"/>
      <c r="Q63" s="150"/>
    </row>
    <row r="64" spans="1:17">
      <c r="A64" s="151" t="s">
        <v>73</v>
      </c>
      <c r="B64" s="152"/>
      <c r="C64" s="40"/>
      <c r="D64" s="40"/>
      <c r="E64" s="40"/>
      <c r="F64" s="40"/>
      <c r="G64" s="40"/>
      <c r="H64" s="41"/>
      <c r="I64" s="151" t="s">
        <v>74</v>
      </c>
      <c r="J64" s="152"/>
      <c r="K64" s="152"/>
      <c r="L64" s="152"/>
      <c r="M64" s="152"/>
      <c r="N64" s="152"/>
      <c r="O64" s="152"/>
      <c r="P64" s="152"/>
      <c r="Q64" s="153"/>
    </row>
    <row r="65" spans="1:17" ht="51.6" customHeight="1">
      <c r="A65" s="154" t="s">
        <v>93</v>
      </c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6"/>
    </row>
    <row r="66" spans="1:17"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</row>
  </sheetData>
  <mergeCells count="55">
    <mergeCell ref="A1:B3"/>
    <mergeCell ref="C1:Q1"/>
    <mergeCell ref="C2:Q2"/>
    <mergeCell ref="C3:I3"/>
    <mergeCell ref="J3:O3"/>
    <mergeCell ref="P3:Q3"/>
    <mergeCell ref="A4:J4"/>
    <mergeCell ref="K4:Q4"/>
    <mergeCell ref="A5:B7"/>
    <mergeCell ref="C5:E5"/>
    <mergeCell ref="F5:H5"/>
    <mergeCell ref="I5:K5"/>
    <mergeCell ref="L5:N5"/>
    <mergeCell ref="O5:Q5"/>
    <mergeCell ref="C6:D6"/>
    <mergeCell ref="E6:E7"/>
    <mergeCell ref="A50:B50"/>
    <mergeCell ref="C50:Q50"/>
    <mergeCell ref="C49:E49"/>
    <mergeCell ref="F6:G6"/>
    <mergeCell ref="H6:H7"/>
    <mergeCell ref="I6:J6"/>
    <mergeCell ref="K6:K7"/>
    <mergeCell ref="L6:M6"/>
    <mergeCell ref="N6:N7"/>
    <mergeCell ref="O6:P6"/>
    <mergeCell ref="Q6:Q7"/>
    <mergeCell ref="A8:A36"/>
    <mergeCell ref="A37:A47"/>
    <mergeCell ref="A48:A49"/>
    <mergeCell ref="E51:Q51"/>
    <mergeCell ref="A52:Q52"/>
    <mergeCell ref="A53:B53"/>
    <mergeCell ref="C53:Q53"/>
    <mergeCell ref="A55:E55"/>
    <mergeCell ref="F55:Q55"/>
    <mergeCell ref="A54:Q54"/>
    <mergeCell ref="A56:B56"/>
    <mergeCell ref="C56:I56"/>
    <mergeCell ref="M56:Q56"/>
    <mergeCell ref="A57:B57"/>
    <mergeCell ref="E57:K57"/>
    <mergeCell ref="M57:Q57"/>
    <mergeCell ref="B66:Q66"/>
    <mergeCell ref="A58:I58"/>
    <mergeCell ref="M58:Q58"/>
    <mergeCell ref="A59:B59"/>
    <mergeCell ref="C59:Q59"/>
    <mergeCell ref="A61:B61"/>
    <mergeCell ref="C61:Q61"/>
    <mergeCell ref="A63:B63"/>
    <mergeCell ref="I63:Q63"/>
    <mergeCell ref="A64:B64"/>
    <mergeCell ref="I64:Q64"/>
    <mergeCell ref="A65:Q65"/>
  </mergeCells>
  <printOptions horizontalCentered="1" verticalCentered="1"/>
  <pageMargins left="0" right="0" top="0.15748031496062992" bottom="0.15748031496062992" header="0.31496062992125984" footer="0.31496062992125984"/>
  <pageSetup scale="72" fitToWidth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A7B92-AA33-4D27-AA7C-D853B7F71F8F}">
  <sheetPr>
    <pageSetUpPr fitToPage="1"/>
  </sheetPr>
  <dimension ref="A1:S66"/>
  <sheetViews>
    <sheetView topLeftCell="A37" zoomScale="98" zoomScaleNormal="98" workbookViewId="0">
      <selection activeCell="C8" sqref="C8"/>
    </sheetView>
  </sheetViews>
  <sheetFormatPr defaultColWidth="11.42578125" defaultRowHeight="15"/>
  <cols>
    <col min="2" max="2" width="18.85546875" customWidth="1"/>
    <col min="3" max="3" width="4.7109375" customWidth="1"/>
    <col min="4" max="4" width="5.42578125" customWidth="1"/>
    <col min="5" max="5" width="4.85546875" customWidth="1"/>
    <col min="6" max="6" width="5.42578125" customWidth="1"/>
    <col min="7" max="7" width="5.85546875" customWidth="1"/>
    <col min="8" max="8" width="5.42578125" customWidth="1"/>
    <col min="9" max="9" width="5.7109375" customWidth="1"/>
    <col min="10" max="10" width="5.5703125" customWidth="1"/>
    <col min="11" max="12" width="5.7109375" customWidth="1"/>
    <col min="13" max="13" width="5.5703125" customWidth="1"/>
    <col min="14" max="16" width="5.7109375" customWidth="1"/>
    <col min="17" max="17" width="5.42578125" customWidth="1"/>
  </cols>
  <sheetData>
    <row r="1" spans="1:19">
      <c r="A1" s="205"/>
      <c r="B1" s="206"/>
      <c r="C1" s="211" t="s">
        <v>76</v>
      </c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3"/>
    </row>
    <row r="2" spans="1:19">
      <c r="A2" s="207"/>
      <c r="B2" s="208"/>
      <c r="C2" s="214" t="s">
        <v>1</v>
      </c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6"/>
    </row>
    <row r="3" spans="1:19">
      <c r="A3" s="209"/>
      <c r="B3" s="210"/>
      <c r="C3" s="217" t="s">
        <v>2</v>
      </c>
      <c r="D3" s="218"/>
      <c r="E3" s="218"/>
      <c r="F3" s="218"/>
      <c r="G3" s="218"/>
      <c r="H3" s="218"/>
      <c r="I3" s="219"/>
      <c r="J3" s="217" t="s">
        <v>3</v>
      </c>
      <c r="K3" s="218"/>
      <c r="L3" s="218"/>
      <c r="M3" s="218"/>
      <c r="N3" s="218"/>
      <c r="O3" s="219"/>
      <c r="P3" s="220" t="s">
        <v>4</v>
      </c>
      <c r="Q3" s="219"/>
    </row>
    <row r="4" spans="1:19">
      <c r="A4" s="187" t="s">
        <v>87</v>
      </c>
      <c r="B4" s="187"/>
      <c r="C4" s="187"/>
      <c r="D4" s="187"/>
      <c r="E4" s="187"/>
      <c r="F4" s="187"/>
      <c r="G4" s="187"/>
      <c r="H4" s="187"/>
      <c r="I4" s="187"/>
      <c r="J4" s="187"/>
      <c r="K4" s="188" t="s">
        <v>88</v>
      </c>
      <c r="L4" s="189"/>
      <c r="M4" s="189"/>
      <c r="N4" s="189"/>
      <c r="O4" s="189"/>
      <c r="P4" s="189"/>
      <c r="Q4" s="190"/>
      <c r="R4" s="88"/>
      <c r="S4" s="141"/>
    </row>
    <row r="5" spans="1:19">
      <c r="A5" s="191" t="s">
        <v>7</v>
      </c>
      <c r="B5" s="192"/>
      <c r="C5" s="197" t="s">
        <v>8</v>
      </c>
      <c r="D5" s="198"/>
      <c r="E5" s="198"/>
      <c r="F5" s="198" t="s">
        <v>9</v>
      </c>
      <c r="G5" s="198"/>
      <c r="H5" s="198"/>
      <c r="I5" s="198" t="s">
        <v>10</v>
      </c>
      <c r="J5" s="198"/>
      <c r="K5" s="198"/>
      <c r="L5" s="198" t="s">
        <v>11</v>
      </c>
      <c r="M5" s="198"/>
      <c r="N5" s="199"/>
      <c r="O5" s="200" t="s">
        <v>12</v>
      </c>
      <c r="P5" s="201"/>
      <c r="Q5" s="202"/>
    </row>
    <row r="6" spans="1:19">
      <c r="A6" s="193"/>
      <c r="B6" s="194"/>
      <c r="C6" s="179" t="s">
        <v>13</v>
      </c>
      <c r="D6" s="174"/>
      <c r="E6" s="203" t="s">
        <v>14</v>
      </c>
      <c r="F6" s="174" t="s">
        <v>13</v>
      </c>
      <c r="G6" s="174"/>
      <c r="H6" s="175" t="s">
        <v>14</v>
      </c>
      <c r="I6" s="174" t="s">
        <v>13</v>
      </c>
      <c r="J6" s="174"/>
      <c r="K6" s="175" t="s">
        <v>14</v>
      </c>
      <c r="L6" s="174" t="s">
        <v>13</v>
      </c>
      <c r="M6" s="174"/>
      <c r="N6" s="177" t="s">
        <v>14</v>
      </c>
      <c r="O6" s="179" t="s">
        <v>13</v>
      </c>
      <c r="P6" s="174"/>
      <c r="Q6" s="180" t="s">
        <v>14</v>
      </c>
    </row>
    <row r="7" spans="1:19">
      <c r="A7" s="195"/>
      <c r="B7" s="196"/>
      <c r="C7" s="8" t="s">
        <v>15</v>
      </c>
      <c r="D7" s="7" t="s">
        <v>16</v>
      </c>
      <c r="E7" s="204"/>
      <c r="F7" s="7" t="s">
        <v>15</v>
      </c>
      <c r="G7" s="7" t="s">
        <v>16</v>
      </c>
      <c r="H7" s="176"/>
      <c r="I7" s="7" t="s">
        <v>15</v>
      </c>
      <c r="J7" s="7" t="s">
        <v>16</v>
      </c>
      <c r="K7" s="176"/>
      <c r="L7" s="7" t="s">
        <v>15</v>
      </c>
      <c r="M7" s="7" t="s">
        <v>16</v>
      </c>
      <c r="N7" s="178"/>
      <c r="O7" s="8" t="s">
        <v>15</v>
      </c>
      <c r="P7" s="7" t="s">
        <v>16</v>
      </c>
      <c r="Q7" s="181"/>
    </row>
    <row r="8" spans="1:19" ht="22.5">
      <c r="A8" s="182" t="s">
        <v>17</v>
      </c>
      <c r="B8" s="33" t="s">
        <v>18</v>
      </c>
      <c r="C8" s="6">
        <v>1</v>
      </c>
      <c r="D8" s="5"/>
      <c r="E8" s="4"/>
      <c r="F8" s="6">
        <v>1</v>
      </c>
      <c r="G8" s="5"/>
      <c r="H8" s="4"/>
      <c r="I8" s="27">
        <v>1</v>
      </c>
      <c r="J8" s="76"/>
      <c r="K8" s="30"/>
      <c r="L8" s="77">
        <v>1</v>
      </c>
      <c r="M8" s="26"/>
      <c r="N8" s="30"/>
      <c r="O8" s="27">
        <v>1</v>
      </c>
      <c r="P8" s="26"/>
      <c r="Q8" s="29"/>
    </row>
    <row r="9" spans="1:19" ht="22.5">
      <c r="A9" s="183"/>
      <c r="B9" s="34" t="s">
        <v>19</v>
      </c>
      <c r="C9" s="47">
        <v>1</v>
      </c>
      <c r="D9" s="48"/>
      <c r="E9" s="30"/>
      <c r="F9" s="66">
        <v>1</v>
      </c>
      <c r="G9" s="67"/>
      <c r="H9" s="12"/>
      <c r="I9" s="61">
        <v>1</v>
      </c>
      <c r="J9" s="62"/>
      <c r="K9" s="12"/>
      <c r="L9" s="66">
        <v>1</v>
      </c>
      <c r="M9" s="67"/>
      <c r="N9" s="12"/>
      <c r="O9" s="56"/>
      <c r="P9" s="67">
        <v>1</v>
      </c>
      <c r="Q9" s="29"/>
    </row>
    <row r="10" spans="1:19">
      <c r="A10" s="183"/>
      <c r="B10" s="34" t="s">
        <v>20</v>
      </c>
      <c r="C10" s="49">
        <v>1</v>
      </c>
      <c r="D10" s="46"/>
      <c r="E10" s="30"/>
      <c r="F10" s="66">
        <v>1</v>
      </c>
      <c r="G10" s="67"/>
      <c r="H10" s="12"/>
      <c r="I10" s="61">
        <v>1</v>
      </c>
      <c r="J10" s="62"/>
      <c r="K10" s="12"/>
      <c r="L10" s="66">
        <v>1</v>
      </c>
      <c r="M10" s="67"/>
      <c r="N10" s="12"/>
      <c r="O10" s="56">
        <v>1</v>
      </c>
      <c r="P10" s="67"/>
      <c r="Q10" s="29"/>
    </row>
    <row r="11" spans="1:19">
      <c r="A11" s="183"/>
      <c r="B11" s="34" t="s">
        <v>21</v>
      </c>
      <c r="C11" s="49">
        <v>1</v>
      </c>
      <c r="D11" s="46"/>
      <c r="E11" s="30"/>
      <c r="F11" s="68">
        <v>1</v>
      </c>
      <c r="G11" s="69"/>
      <c r="H11" s="57"/>
      <c r="I11" s="61">
        <v>1</v>
      </c>
      <c r="J11" s="62"/>
      <c r="K11" s="12"/>
      <c r="L11" s="68">
        <v>1</v>
      </c>
      <c r="M11" s="69"/>
      <c r="N11" s="12"/>
      <c r="O11" s="56">
        <v>1</v>
      </c>
      <c r="P11" s="67"/>
      <c r="Q11" s="29"/>
    </row>
    <row r="12" spans="1:19">
      <c r="A12" s="183"/>
      <c r="B12" s="34" t="s">
        <v>22</v>
      </c>
      <c r="C12" s="50">
        <v>1</v>
      </c>
      <c r="D12" s="51"/>
      <c r="E12" s="30"/>
      <c r="F12" s="18">
        <v>1</v>
      </c>
      <c r="G12" s="17"/>
      <c r="H12" s="12"/>
      <c r="I12" s="18">
        <v>1</v>
      </c>
      <c r="J12" s="17"/>
      <c r="K12" s="12"/>
      <c r="L12" s="18">
        <v>1</v>
      </c>
      <c r="M12" s="17"/>
      <c r="N12" s="12"/>
      <c r="O12" s="18">
        <v>1</v>
      </c>
      <c r="P12" s="17"/>
      <c r="Q12" s="12"/>
    </row>
    <row r="13" spans="1:19" ht="22.5">
      <c r="A13" s="183"/>
      <c r="B13" s="34" t="s">
        <v>23</v>
      </c>
      <c r="C13" s="47">
        <v>1</v>
      </c>
      <c r="D13" s="48"/>
      <c r="E13" s="30"/>
      <c r="F13" s="18">
        <v>1</v>
      </c>
      <c r="G13" s="17"/>
      <c r="H13" s="12"/>
      <c r="I13" s="15">
        <v>1</v>
      </c>
      <c r="J13" s="14"/>
      <c r="K13" s="12"/>
      <c r="L13" s="18">
        <v>1</v>
      </c>
      <c r="M13" s="17"/>
      <c r="N13" s="12"/>
      <c r="O13" s="56">
        <v>1</v>
      </c>
      <c r="P13" s="67"/>
      <c r="Q13" s="29"/>
    </row>
    <row r="14" spans="1:19">
      <c r="A14" s="183"/>
      <c r="B14" s="34" t="s">
        <v>24</v>
      </c>
      <c r="C14" s="47">
        <v>1</v>
      </c>
      <c r="D14" s="48"/>
      <c r="E14" s="28"/>
      <c r="F14" s="18">
        <v>1</v>
      </c>
      <c r="G14" s="17"/>
      <c r="H14" s="12"/>
      <c r="I14" s="15">
        <v>1</v>
      </c>
      <c r="J14" s="14"/>
      <c r="K14" s="12"/>
      <c r="L14" s="18">
        <v>1</v>
      </c>
      <c r="M14" s="17"/>
      <c r="N14" s="12"/>
      <c r="O14" s="56">
        <v>1</v>
      </c>
      <c r="P14" s="67"/>
      <c r="Q14" s="29"/>
    </row>
    <row r="15" spans="1:19">
      <c r="A15" s="183"/>
      <c r="B15" s="34" t="s">
        <v>25</v>
      </c>
      <c r="C15" s="89"/>
      <c r="D15" s="90"/>
      <c r="E15" s="91"/>
      <c r="F15" s="92"/>
      <c r="G15" s="93"/>
      <c r="H15" s="94"/>
      <c r="I15" s="63">
        <v>1</v>
      </c>
      <c r="J15" s="64"/>
      <c r="K15" s="65"/>
      <c r="L15" s="92"/>
      <c r="M15" s="93"/>
      <c r="N15" s="94"/>
      <c r="O15" s="95"/>
      <c r="P15" s="96"/>
      <c r="Q15" s="97"/>
    </row>
    <row r="16" spans="1:19">
      <c r="A16" s="183"/>
      <c r="B16" s="34" t="s">
        <v>26</v>
      </c>
      <c r="C16" s="47"/>
      <c r="D16" s="48"/>
      <c r="E16" s="12">
        <v>1</v>
      </c>
      <c r="F16" s="16">
        <v>1</v>
      </c>
      <c r="G16" s="13"/>
      <c r="H16" s="12"/>
      <c r="I16" s="22"/>
      <c r="J16" s="21">
        <v>1</v>
      </c>
      <c r="K16" s="12"/>
      <c r="L16" s="16">
        <v>1</v>
      </c>
      <c r="M16" s="13"/>
      <c r="N16" s="12"/>
      <c r="O16" s="95"/>
      <c r="P16" s="96"/>
      <c r="Q16" s="97"/>
    </row>
    <row r="17" spans="1:17">
      <c r="A17" s="183"/>
      <c r="B17" s="34" t="s">
        <v>27</v>
      </c>
      <c r="C17" s="98"/>
      <c r="D17" s="99"/>
      <c r="E17" s="100"/>
      <c r="F17" s="16"/>
      <c r="G17" s="13"/>
      <c r="H17" s="12">
        <v>1</v>
      </c>
      <c r="I17" s="15"/>
      <c r="J17" s="14">
        <v>1</v>
      </c>
      <c r="K17" s="58"/>
      <c r="L17" s="18"/>
      <c r="M17" s="17">
        <v>1</v>
      </c>
      <c r="N17" s="12"/>
      <c r="O17" s="95"/>
      <c r="P17" s="96"/>
      <c r="Q17" s="97"/>
    </row>
    <row r="18" spans="1:17">
      <c r="A18" s="183"/>
      <c r="B18" s="34" t="s">
        <v>28</v>
      </c>
      <c r="C18" s="47">
        <v>1</v>
      </c>
      <c r="D18" s="48"/>
      <c r="E18" s="30"/>
      <c r="F18" s="16"/>
      <c r="G18" s="13"/>
      <c r="H18" s="12">
        <v>1</v>
      </c>
      <c r="I18" s="22"/>
      <c r="J18" s="21"/>
      <c r="K18" s="107">
        <v>1</v>
      </c>
      <c r="L18" s="142">
        <v>1</v>
      </c>
      <c r="M18" s="108"/>
      <c r="N18" s="106"/>
      <c r="O18" s="56">
        <v>1</v>
      </c>
      <c r="P18" s="67"/>
      <c r="Q18" s="29"/>
    </row>
    <row r="19" spans="1:17">
      <c r="A19" s="183"/>
      <c r="B19" s="34" t="s">
        <v>29</v>
      </c>
      <c r="C19" s="47">
        <v>1</v>
      </c>
      <c r="D19" s="48"/>
      <c r="E19" s="30"/>
      <c r="F19" s="16">
        <v>1</v>
      </c>
      <c r="G19" s="13"/>
      <c r="H19" s="12"/>
      <c r="I19" s="22">
        <v>1</v>
      </c>
      <c r="J19" s="21"/>
      <c r="K19" s="59"/>
      <c r="L19" s="18">
        <v>1</v>
      </c>
      <c r="M19" s="17"/>
      <c r="N19" s="12"/>
      <c r="O19" s="56">
        <v>1</v>
      </c>
      <c r="P19" s="67"/>
      <c r="Q19" s="29"/>
    </row>
    <row r="20" spans="1:17">
      <c r="A20" s="183"/>
      <c r="B20" s="34" t="s">
        <v>30</v>
      </c>
      <c r="C20" s="47"/>
      <c r="D20" s="48"/>
      <c r="E20" s="12">
        <v>1</v>
      </c>
      <c r="F20" s="16">
        <v>1</v>
      </c>
      <c r="G20" s="13"/>
      <c r="H20" s="12"/>
      <c r="I20" s="101"/>
      <c r="J20" s="102"/>
      <c r="K20" s="103"/>
      <c r="L20" s="104"/>
      <c r="M20" s="105"/>
      <c r="N20" s="103"/>
      <c r="O20" s="56">
        <v>1</v>
      </c>
      <c r="P20" s="67"/>
      <c r="Q20" s="29"/>
    </row>
    <row r="21" spans="1:17">
      <c r="A21" s="183"/>
      <c r="B21" s="34" t="s">
        <v>31</v>
      </c>
      <c r="C21" s="47">
        <v>1</v>
      </c>
      <c r="D21" s="48"/>
      <c r="E21" s="30"/>
      <c r="F21" s="16">
        <v>1</v>
      </c>
      <c r="G21" s="13"/>
      <c r="H21" s="12"/>
      <c r="I21" s="101"/>
      <c r="J21" s="102"/>
      <c r="K21" s="103"/>
      <c r="L21" s="104"/>
      <c r="M21" s="105"/>
      <c r="N21" s="103"/>
      <c r="O21" s="56">
        <v>1</v>
      </c>
      <c r="P21" s="67"/>
      <c r="Q21" s="29"/>
    </row>
    <row r="22" spans="1:17">
      <c r="A22" s="183"/>
      <c r="B22" s="34" t="s">
        <v>32</v>
      </c>
      <c r="C22" s="98"/>
      <c r="D22" s="99"/>
      <c r="E22" s="100"/>
      <c r="F22" s="104"/>
      <c r="G22" s="105"/>
      <c r="H22" s="111"/>
      <c r="I22" s="22">
        <v>1</v>
      </c>
      <c r="J22" s="21"/>
      <c r="K22" s="59"/>
      <c r="L22" s="16"/>
      <c r="M22" s="13"/>
      <c r="N22" s="107">
        <v>1</v>
      </c>
      <c r="O22" s="110"/>
      <c r="P22" s="110"/>
      <c r="Q22" s="109">
        <v>1</v>
      </c>
    </row>
    <row r="23" spans="1:17">
      <c r="A23" s="183"/>
      <c r="B23" s="34" t="s">
        <v>33</v>
      </c>
      <c r="C23" s="47">
        <v>1</v>
      </c>
      <c r="D23" s="48"/>
      <c r="E23" s="30"/>
      <c r="F23" s="16">
        <v>1</v>
      </c>
      <c r="G23" s="13"/>
      <c r="H23" s="59"/>
      <c r="I23" s="22"/>
      <c r="J23" s="21"/>
      <c r="K23" s="59">
        <v>1</v>
      </c>
      <c r="L23" s="16"/>
      <c r="M23" s="13"/>
      <c r="N23" s="12">
        <v>1</v>
      </c>
      <c r="O23" s="56"/>
      <c r="P23" s="67"/>
      <c r="Q23" s="29">
        <v>1</v>
      </c>
    </row>
    <row r="24" spans="1:17">
      <c r="A24" s="183"/>
      <c r="B24" s="34" t="s">
        <v>34</v>
      </c>
      <c r="C24" s="47">
        <v>1</v>
      </c>
      <c r="D24" s="48"/>
      <c r="E24" s="30"/>
      <c r="F24" s="16"/>
      <c r="G24" s="13">
        <v>1</v>
      </c>
      <c r="H24" s="59"/>
      <c r="I24" s="101"/>
      <c r="J24" s="102"/>
      <c r="K24" s="103"/>
      <c r="L24" s="104"/>
      <c r="M24" s="105"/>
      <c r="N24" s="111"/>
      <c r="O24" s="56">
        <v>1</v>
      </c>
      <c r="P24" s="67"/>
      <c r="Q24" s="29"/>
    </row>
    <row r="25" spans="1:17">
      <c r="A25" s="183"/>
      <c r="B25" s="34" t="s">
        <v>35</v>
      </c>
      <c r="C25" s="98"/>
      <c r="D25" s="99"/>
      <c r="E25" s="100"/>
      <c r="F25" s="104"/>
      <c r="G25" s="105"/>
      <c r="H25" s="103"/>
      <c r="I25" s="101"/>
      <c r="J25" s="102"/>
      <c r="K25" s="103"/>
      <c r="L25" s="16">
        <v>1</v>
      </c>
      <c r="M25" s="13"/>
      <c r="N25" s="12"/>
      <c r="O25" s="95"/>
      <c r="P25" s="96"/>
      <c r="Q25" s="97"/>
    </row>
    <row r="26" spans="1:17">
      <c r="A26" s="183"/>
      <c r="B26" s="34" t="s">
        <v>36</v>
      </c>
      <c r="C26" s="47">
        <v>1</v>
      </c>
      <c r="D26" s="48"/>
      <c r="E26" s="30"/>
      <c r="F26" s="16">
        <v>1</v>
      </c>
      <c r="G26" s="13"/>
      <c r="H26" s="59"/>
      <c r="I26" s="22"/>
      <c r="J26" s="21"/>
      <c r="K26" s="59">
        <v>1</v>
      </c>
      <c r="L26" s="16"/>
      <c r="M26" s="13"/>
      <c r="N26" s="12">
        <v>1</v>
      </c>
      <c r="O26" s="56">
        <v>1</v>
      </c>
      <c r="P26" s="67"/>
      <c r="Q26" s="29"/>
    </row>
    <row r="27" spans="1:17">
      <c r="A27" s="183"/>
      <c r="B27" s="34" t="s">
        <v>37</v>
      </c>
      <c r="C27" s="47"/>
      <c r="D27" s="48">
        <v>1</v>
      </c>
      <c r="E27" s="30"/>
      <c r="F27" s="16"/>
      <c r="G27" s="13">
        <v>1</v>
      </c>
      <c r="H27" s="59"/>
      <c r="I27" s="22"/>
      <c r="J27" s="21"/>
      <c r="K27" s="59">
        <v>1</v>
      </c>
      <c r="L27" s="16"/>
      <c r="M27" s="13"/>
      <c r="N27" s="12">
        <v>1</v>
      </c>
      <c r="O27" s="56"/>
      <c r="P27" s="67"/>
      <c r="Q27" s="29">
        <v>1</v>
      </c>
    </row>
    <row r="28" spans="1:17" ht="22.5">
      <c r="A28" s="183"/>
      <c r="B28" s="34" t="s">
        <v>38</v>
      </c>
      <c r="C28" s="47">
        <v>1</v>
      </c>
      <c r="D28" s="48"/>
      <c r="E28" s="12"/>
      <c r="F28" s="16">
        <v>1</v>
      </c>
      <c r="G28" s="13"/>
      <c r="H28" s="59"/>
      <c r="I28" s="22">
        <v>1</v>
      </c>
      <c r="J28" s="21"/>
      <c r="K28" s="59"/>
      <c r="L28" s="16">
        <v>1</v>
      </c>
      <c r="M28" s="13"/>
      <c r="N28" s="12"/>
      <c r="O28" s="56"/>
      <c r="P28" s="67">
        <v>1</v>
      </c>
      <c r="Q28" s="29"/>
    </row>
    <row r="29" spans="1:17">
      <c r="A29" s="183"/>
      <c r="B29" s="34" t="s">
        <v>39</v>
      </c>
      <c r="C29" s="47">
        <v>1</v>
      </c>
      <c r="D29" s="48"/>
      <c r="E29" s="12"/>
      <c r="F29" s="16">
        <v>1</v>
      </c>
      <c r="G29" s="13"/>
      <c r="H29" s="59"/>
      <c r="I29" s="22">
        <v>1</v>
      </c>
      <c r="J29" s="21"/>
      <c r="K29" s="59"/>
      <c r="L29" s="16">
        <v>1</v>
      </c>
      <c r="M29" s="13"/>
      <c r="N29" s="12"/>
      <c r="O29" s="56">
        <v>1</v>
      </c>
      <c r="P29" s="67"/>
      <c r="Q29" s="29"/>
    </row>
    <row r="30" spans="1:17">
      <c r="A30" s="183"/>
      <c r="B30" s="34" t="s">
        <v>40</v>
      </c>
      <c r="C30" s="47">
        <v>1</v>
      </c>
      <c r="D30" s="48"/>
      <c r="E30" s="12"/>
      <c r="F30" s="16">
        <v>1</v>
      </c>
      <c r="G30" s="13"/>
      <c r="H30" s="59"/>
      <c r="I30" s="22"/>
      <c r="J30" s="21">
        <v>1</v>
      </c>
      <c r="K30" s="59"/>
      <c r="L30" s="16"/>
      <c r="M30" s="13">
        <v>1</v>
      </c>
      <c r="N30" s="59"/>
      <c r="O30" s="56"/>
      <c r="P30" s="67">
        <v>1</v>
      </c>
      <c r="Q30" s="29"/>
    </row>
    <row r="31" spans="1:17">
      <c r="A31" s="183"/>
      <c r="B31" s="34" t="s">
        <v>41</v>
      </c>
      <c r="C31" s="47"/>
      <c r="D31" s="48">
        <v>1</v>
      </c>
      <c r="E31" s="12"/>
      <c r="F31" s="16"/>
      <c r="G31" s="13">
        <v>1</v>
      </c>
      <c r="H31" s="59"/>
      <c r="I31" s="22"/>
      <c r="J31" s="21"/>
      <c r="K31" s="59">
        <v>1</v>
      </c>
      <c r="L31" s="16"/>
      <c r="M31" s="13"/>
      <c r="N31" s="59">
        <v>1</v>
      </c>
      <c r="O31" s="56">
        <v>1</v>
      </c>
      <c r="P31" s="67"/>
      <c r="Q31" s="29"/>
    </row>
    <row r="32" spans="1:17">
      <c r="A32" s="183"/>
      <c r="B32" s="34" t="s">
        <v>42</v>
      </c>
      <c r="C32" s="47"/>
      <c r="D32" s="48">
        <v>1</v>
      </c>
      <c r="E32" s="12"/>
      <c r="F32" s="16"/>
      <c r="G32" s="13"/>
      <c r="H32" s="59">
        <v>1</v>
      </c>
      <c r="I32" s="22">
        <v>1</v>
      </c>
      <c r="J32" s="21"/>
      <c r="K32" s="59"/>
      <c r="L32" s="16">
        <v>1</v>
      </c>
      <c r="M32" s="13"/>
      <c r="N32" s="59"/>
      <c r="O32" s="56">
        <v>1</v>
      </c>
      <c r="P32" s="67"/>
      <c r="Q32" s="29"/>
    </row>
    <row r="33" spans="1:17" ht="22.5">
      <c r="A33" s="183"/>
      <c r="B33" s="34" t="s">
        <v>43</v>
      </c>
      <c r="C33" s="47">
        <v>1</v>
      </c>
      <c r="D33" s="48"/>
      <c r="E33" s="12"/>
      <c r="F33" s="16">
        <v>1</v>
      </c>
      <c r="G33" s="13"/>
      <c r="H33" s="12"/>
      <c r="I33" s="22"/>
      <c r="J33" s="21">
        <v>1</v>
      </c>
      <c r="K33" s="12"/>
      <c r="L33" s="16"/>
      <c r="M33" s="13">
        <v>1</v>
      </c>
      <c r="N33" s="12"/>
      <c r="O33" s="56"/>
      <c r="P33" s="67">
        <v>1</v>
      </c>
      <c r="Q33" s="29"/>
    </row>
    <row r="34" spans="1:17">
      <c r="A34" s="183"/>
      <c r="B34" s="34" t="s">
        <v>44</v>
      </c>
      <c r="C34" s="47">
        <v>1</v>
      </c>
      <c r="D34" s="52"/>
      <c r="E34" s="53"/>
      <c r="F34" s="16">
        <v>1</v>
      </c>
      <c r="G34" s="13"/>
      <c r="H34" s="59"/>
      <c r="I34" s="22">
        <v>1</v>
      </c>
      <c r="J34" s="21"/>
      <c r="K34" s="59"/>
      <c r="L34" s="16">
        <v>1</v>
      </c>
      <c r="M34" s="13"/>
      <c r="N34" s="59"/>
      <c r="O34" s="56">
        <v>1</v>
      </c>
      <c r="P34" s="67"/>
      <c r="Q34" s="29"/>
    </row>
    <row r="35" spans="1:17">
      <c r="A35" s="183"/>
      <c r="B35" s="34" t="s">
        <v>45</v>
      </c>
      <c r="C35" s="47">
        <v>1</v>
      </c>
      <c r="D35" s="52"/>
      <c r="E35" s="53"/>
      <c r="F35" s="20">
        <v>1</v>
      </c>
      <c r="G35" s="19"/>
      <c r="H35" s="60"/>
      <c r="I35" s="22">
        <v>1</v>
      </c>
      <c r="J35" s="21"/>
      <c r="K35" s="60"/>
      <c r="L35" s="20">
        <v>1</v>
      </c>
      <c r="M35" s="19"/>
      <c r="N35" s="60"/>
      <c r="O35" s="56">
        <v>1</v>
      </c>
      <c r="P35" s="67"/>
      <c r="Q35" s="29"/>
    </row>
    <row r="36" spans="1:17">
      <c r="A36" s="184"/>
      <c r="B36" s="35" t="s">
        <v>46</v>
      </c>
      <c r="C36" s="55">
        <v>1</v>
      </c>
      <c r="D36" s="54"/>
      <c r="E36" s="25"/>
      <c r="F36" s="24">
        <v>1</v>
      </c>
      <c r="G36" s="23"/>
      <c r="H36" s="70"/>
      <c r="I36" s="22">
        <v>1</v>
      </c>
      <c r="J36" s="21"/>
      <c r="K36" s="60"/>
      <c r="L36" s="20">
        <v>1</v>
      </c>
      <c r="M36" s="19"/>
      <c r="N36" s="60"/>
      <c r="O36" s="71">
        <v>1</v>
      </c>
      <c r="P36" s="72"/>
      <c r="Q36" s="60"/>
    </row>
    <row r="37" spans="1:17">
      <c r="A37" s="182" t="s">
        <v>47</v>
      </c>
      <c r="B37" s="33" t="s">
        <v>48</v>
      </c>
      <c r="C37" s="112"/>
      <c r="D37" s="113"/>
      <c r="E37" s="114"/>
      <c r="F37" s="31">
        <v>1</v>
      </c>
      <c r="G37" s="32"/>
      <c r="H37" s="4"/>
      <c r="I37" s="115"/>
      <c r="J37" s="116"/>
      <c r="K37" s="114"/>
      <c r="L37" s="117"/>
      <c r="M37" s="118"/>
      <c r="N37" s="119"/>
      <c r="O37" s="120"/>
      <c r="P37" s="121"/>
      <c r="Q37" s="122"/>
    </row>
    <row r="38" spans="1:17">
      <c r="A38" s="183"/>
      <c r="B38" s="36" t="s">
        <v>49</v>
      </c>
      <c r="C38" s="47">
        <v>1</v>
      </c>
      <c r="D38" s="48"/>
      <c r="E38" s="30"/>
      <c r="F38" s="123"/>
      <c r="G38" s="124"/>
      <c r="H38" s="111"/>
      <c r="I38" s="125"/>
      <c r="J38" s="126"/>
      <c r="K38" s="111"/>
      <c r="L38" s="123"/>
      <c r="M38" s="124"/>
      <c r="N38" s="111"/>
      <c r="O38" s="123"/>
      <c r="P38" s="124"/>
      <c r="Q38" s="111"/>
    </row>
    <row r="39" spans="1:17">
      <c r="A39" s="183"/>
      <c r="B39" s="34" t="s">
        <v>50</v>
      </c>
      <c r="C39" s="47">
        <v>1</v>
      </c>
      <c r="D39" s="48"/>
      <c r="E39" s="30"/>
      <c r="F39" s="123"/>
      <c r="G39" s="124"/>
      <c r="H39" s="111"/>
      <c r="I39" s="125"/>
      <c r="J39" s="126"/>
      <c r="K39" s="111"/>
      <c r="L39" s="104"/>
      <c r="M39" s="105"/>
      <c r="N39" s="103"/>
      <c r="O39" s="123"/>
      <c r="P39" s="124"/>
      <c r="Q39" s="111"/>
    </row>
    <row r="40" spans="1:17">
      <c r="A40" s="183"/>
      <c r="B40" s="34" t="s">
        <v>51</v>
      </c>
      <c r="C40" s="47">
        <v>1</v>
      </c>
      <c r="D40" s="48"/>
      <c r="E40" s="30"/>
      <c r="F40" s="123"/>
      <c r="G40" s="124"/>
      <c r="H40" s="111"/>
      <c r="I40" s="125"/>
      <c r="J40" s="126"/>
      <c r="K40" s="111"/>
      <c r="L40" s="92"/>
      <c r="M40" s="93"/>
      <c r="N40" s="94"/>
      <c r="O40" s="123"/>
      <c r="P40" s="124"/>
      <c r="Q40" s="111"/>
    </row>
    <row r="41" spans="1:17">
      <c r="A41" s="183"/>
      <c r="B41" s="34" t="s">
        <v>52</v>
      </c>
      <c r="C41" s="98"/>
      <c r="D41" s="99"/>
      <c r="E41" s="100"/>
      <c r="F41" s="18"/>
      <c r="G41" s="17"/>
      <c r="H41" s="12">
        <v>1</v>
      </c>
      <c r="I41" s="125"/>
      <c r="J41" s="126"/>
      <c r="K41" s="111"/>
      <c r="L41" s="104"/>
      <c r="M41" s="105"/>
      <c r="N41" s="103"/>
      <c r="O41" s="127"/>
      <c r="P41" s="128"/>
      <c r="Q41" s="97"/>
    </row>
    <row r="42" spans="1:17">
      <c r="A42" s="183"/>
      <c r="B42" s="34" t="s">
        <v>53</v>
      </c>
      <c r="C42" s="98"/>
      <c r="D42" s="99"/>
      <c r="E42" s="100"/>
      <c r="F42" s="123"/>
      <c r="G42" s="124"/>
      <c r="H42" s="111"/>
      <c r="I42" s="125"/>
      <c r="J42" s="126"/>
      <c r="K42" s="111"/>
      <c r="L42" s="104"/>
      <c r="M42" s="105"/>
      <c r="N42" s="103"/>
      <c r="O42" s="127"/>
      <c r="P42" s="128"/>
      <c r="Q42" s="97"/>
    </row>
    <row r="43" spans="1:17">
      <c r="A43" s="183"/>
      <c r="B43" s="34" t="s">
        <v>54</v>
      </c>
      <c r="C43" s="47"/>
      <c r="D43" s="48">
        <v>1</v>
      </c>
      <c r="E43" s="30"/>
      <c r="F43" s="123"/>
      <c r="G43" s="124"/>
      <c r="H43" s="111"/>
      <c r="I43" s="125"/>
      <c r="J43" s="126"/>
      <c r="K43" s="111"/>
      <c r="L43" s="104"/>
      <c r="M43" s="105"/>
      <c r="N43" s="103"/>
      <c r="O43" s="127"/>
      <c r="P43" s="128"/>
      <c r="Q43" s="97"/>
    </row>
    <row r="44" spans="1:17">
      <c r="A44" s="183"/>
      <c r="B44" s="34" t="s">
        <v>55</v>
      </c>
      <c r="C44" s="47"/>
      <c r="D44" s="48"/>
      <c r="E44" s="30">
        <v>1</v>
      </c>
      <c r="F44" s="18"/>
      <c r="G44" s="17"/>
      <c r="H44" s="12">
        <v>1</v>
      </c>
      <c r="I44" s="15">
        <v>1</v>
      </c>
      <c r="J44" s="14"/>
      <c r="K44" s="12"/>
      <c r="L44" s="16">
        <v>1</v>
      </c>
      <c r="M44" s="13"/>
      <c r="N44" s="12"/>
      <c r="O44" s="73"/>
      <c r="P44" s="74"/>
      <c r="Q44" s="29">
        <v>1</v>
      </c>
    </row>
    <row r="45" spans="1:17">
      <c r="A45" s="183"/>
      <c r="B45" s="34" t="s">
        <v>56</v>
      </c>
      <c r="C45" s="47">
        <v>1</v>
      </c>
      <c r="D45" s="48"/>
      <c r="E45" s="30"/>
      <c r="F45" s="123"/>
      <c r="G45" s="124"/>
      <c r="H45" s="111"/>
      <c r="I45" s="125"/>
      <c r="J45" s="126"/>
      <c r="K45" s="111"/>
      <c r="L45" s="129"/>
      <c r="M45" s="105"/>
      <c r="N45" s="111"/>
      <c r="O45" s="130"/>
      <c r="P45" s="131"/>
      <c r="Q45" s="97"/>
    </row>
    <row r="46" spans="1:17">
      <c r="A46" s="183"/>
      <c r="B46" s="34" t="s">
        <v>57</v>
      </c>
      <c r="C46" s="47"/>
      <c r="D46" s="48"/>
      <c r="E46" s="30">
        <v>1</v>
      </c>
      <c r="F46" s="132"/>
      <c r="G46" s="133"/>
      <c r="H46" s="134">
        <v>1</v>
      </c>
      <c r="I46" s="135"/>
      <c r="J46" s="136"/>
      <c r="K46" s="134">
        <v>1</v>
      </c>
      <c r="L46" s="137"/>
      <c r="M46" s="133"/>
      <c r="N46" s="134">
        <v>1</v>
      </c>
      <c r="O46" s="138"/>
      <c r="P46" s="139"/>
      <c r="Q46" s="140">
        <v>1</v>
      </c>
    </row>
    <row r="47" spans="1:17">
      <c r="A47" s="183"/>
      <c r="B47" s="34" t="s">
        <v>58</v>
      </c>
      <c r="C47" s="47"/>
      <c r="D47" s="48"/>
      <c r="E47" s="30">
        <v>1</v>
      </c>
      <c r="F47" s="18">
        <v>1</v>
      </c>
      <c r="G47" s="17"/>
      <c r="H47" s="12"/>
      <c r="I47" s="15"/>
      <c r="J47" s="14">
        <v>1</v>
      </c>
      <c r="K47" s="12"/>
      <c r="L47" s="78">
        <v>1</v>
      </c>
      <c r="M47" s="13"/>
      <c r="N47" s="12"/>
      <c r="O47" s="73">
        <v>1</v>
      </c>
      <c r="P47" s="74"/>
      <c r="Q47" s="29"/>
    </row>
    <row r="48" spans="1:17">
      <c r="A48" s="185" t="s">
        <v>59</v>
      </c>
      <c r="B48" s="37" t="s">
        <v>59</v>
      </c>
      <c r="C48" s="75">
        <f>SUM(C8:C47)</f>
        <v>24</v>
      </c>
      <c r="D48" s="75">
        <f t="shared" ref="D48:Q48" si="0">SUM(D8:D47)</f>
        <v>4</v>
      </c>
      <c r="E48" s="75">
        <f t="shared" si="0"/>
        <v>5</v>
      </c>
      <c r="F48" s="75">
        <f t="shared" si="0"/>
        <v>22</v>
      </c>
      <c r="G48" s="75">
        <f t="shared" si="0"/>
        <v>3</v>
      </c>
      <c r="H48" s="75">
        <f t="shared" si="0"/>
        <v>6</v>
      </c>
      <c r="I48" s="75">
        <f t="shared" si="0"/>
        <v>17</v>
      </c>
      <c r="J48" s="75">
        <f t="shared" si="0"/>
        <v>5</v>
      </c>
      <c r="K48" s="75">
        <f t="shared" si="0"/>
        <v>6</v>
      </c>
      <c r="L48" s="75">
        <f t="shared" si="0"/>
        <v>19</v>
      </c>
      <c r="M48" s="75">
        <f t="shared" si="0"/>
        <v>3</v>
      </c>
      <c r="N48" s="75">
        <f t="shared" si="0"/>
        <v>6</v>
      </c>
      <c r="O48" s="75">
        <f t="shared" si="0"/>
        <v>19</v>
      </c>
      <c r="P48" s="75">
        <f t="shared" si="0"/>
        <v>4</v>
      </c>
      <c r="Q48" s="75">
        <f t="shared" si="0"/>
        <v>5</v>
      </c>
    </row>
    <row r="49" spans="1:17">
      <c r="A49" s="186"/>
      <c r="B49" s="38" t="s">
        <v>60</v>
      </c>
      <c r="C49" s="171"/>
      <c r="D49" s="172"/>
      <c r="E49" s="173"/>
      <c r="F49" s="10"/>
      <c r="G49" s="9"/>
      <c r="H49" s="11"/>
      <c r="I49" s="10"/>
      <c r="J49" s="9"/>
      <c r="K49" s="11"/>
      <c r="L49" s="10"/>
      <c r="M49" s="9"/>
      <c r="N49" s="11"/>
      <c r="O49" s="10"/>
      <c r="P49" s="9"/>
      <c r="Q49" s="11"/>
    </row>
    <row r="50" spans="1:17">
      <c r="A50" s="167" t="s">
        <v>61</v>
      </c>
      <c r="B50" s="168"/>
      <c r="C50" s="169" t="s">
        <v>89</v>
      </c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70"/>
    </row>
    <row r="51" spans="1:17">
      <c r="A51" s="45" t="s">
        <v>62</v>
      </c>
      <c r="B51" s="44"/>
      <c r="C51" s="44"/>
      <c r="D51" s="44"/>
      <c r="E51" s="159" t="s">
        <v>90</v>
      </c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1"/>
    </row>
    <row r="52" spans="1:17">
      <c r="A52" s="145"/>
      <c r="B52" s="146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7"/>
    </row>
    <row r="53" spans="1:17">
      <c r="A53" s="148" t="s">
        <v>63</v>
      </c>
      <c r="B53" s="149"/>
      <c r="C53" s="146" t="s">
        <v>91</v>
      </c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7"/>
    </row>
    <row r="54" spans="1:17">
      <c r="A54" s="164" t="s">
        <v>92</v>
      </c>
      <c r="B54" s="165"/>
      <c r="C54" s="165"/>
      <c r="D54" s="165"/>
      <c r="E54" s="165"/>
      <c r="F54" s="165"/>
      <c r="G54" s="165"/>
      <c r="H54" s="165"/>
      <c r="I54" s="165"/>
      <c r="J54" s="165"/>
      <c r="K54" s="165"/>
      <c r="L54" s="165"/>
      <c r="M54" s="165"/>
      <c r="N54" s="165"/>
      <c r="O54" s="165"/>
      <c r="P54" s="165"/>
      <c r="Q54" s="166"/>
    </row>
    <row r="55" spans="1:17" ht="26.25" customHeight="1">
      <c r="A55" s="162" t="s">
        <v>64</v>
      </c>
      <c r="B55" s="163"/>
      <c r="C55" s="163"/>
      <c r="D55" s="163"/>
      <c r="E55" s="163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7"/>
    </row>
    <row r="56" spans="1:17">
      <c r="A56" s="148" t="s">
        <v>65</v>
      </c>
      <c r="B56" s="149"/>
      <c r="C56" s="146">
        <f>SUM(C48:Q48)</f>
        <v>148</v>
      </c>
      <c r="D56" s="146"/>
      <c r="E56" s="146"/>
      <c r="F56" s="146"/>
      <c r="G56" s="146"/>
      <c r="H56" s="146"/>
      <c r="I56" s="146"/>
      <c r="J56" s="44" t="s">
        <v>66</v>
      </c>
      <c r="M56" s="157">
        <f>M58/C56</f>
        <v>0.81081081081081086</v>
      </c>
      <c r="N56" s="157"/>
      <c r="O56" s="157"/>
      <c r="P56" s="157"/>
      <c r="Q56" s="158"/>
    </row>
    <row r="57" spans="1:17">
      <c r="A57" s="148" t="s">
        <v>67</v>
      </c>
      <c r="B57" s="149"/>
      <c r="E57" s="146"/>
      <c r="F57" s="146"/>
      <c r="G57" s="146"/>
      <c r="H57" s="146"/>
      <c r="I57" s="146"/>
      <c r="J57" s="146"/>
      <c r="K57" s="146"/>
      <c r="M57" s="157"/>
      <c r="N57" s="157"/>
      <c r="O57" s="157"/>
      <c r="P57" s="157"/>
      <c r="Q57" s="158"/>
    </row>
    <row r="58" spans="1:17">
      <c r="A58" s="145">
        <f>SUM(O48+L48+I48+F48+C48)</f>
        <v>101</v>
      </c>
      <c r="B58" s="146"/>
      <c r="C58" s="146"/>
      <c r="D58" s="146"/>
      <c r="E58" s="146"/>
      <c r="F58" s="146"/>
      <c r="G58" s="146"/>
      <c r="H58" s="146"/>
      <c r="I58" s="146"/>
      <c r="J58" t="s">
        <v>68</v>
      </c>
      <c r="M58" s="146">
        <f>C56-C61</f>
        <v>120</v>
      </c>
      <c r="N58" s="146"/>
      <c r="O58" s="146"/>
      <c r="P58" s="146"/>
      <c r="Q58" s="147"/>
    </row>
    <row r="59" spans="1:17">
      <c r="A59" s="148" t="s">
        <v>69</v>
      </c>
      <c r="B59" s="149"/>
      <c r="C59" s="146">
        <f>SUM(P48+M48+J48+G48+D48)</f>
        <v>19</v>
      </c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7"/>
    </row>
    <row r="60" spans="1:17">
      <c r="A60" s="43"/>
      <c r="Q60" s="42"/>
    </row>
    <row r="61" spans="1:17">
      <c r="A61" s="148" t="s">
        <v>70</v>
      </c>
      <c r="B61" s="149"/>
      <c r="C61" s="146">
        <f>SUM(Q48+N48+K48+H48+E48)</f>
        <v>28</v>
      </c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7"/>
    </row>
    <row r="62" spans="1:17">
      <c r="A62" s="39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1"/>
    </row>
    <row r="63" spans="1:17">
      <c r="A63" s="148" t="s">
        <v>71</v>
      </c>
      <c r="B63" s="149"/>
      <c r="H63" s="42"/>
      <c r="I63" s="148" t="s">
        <v>72</v>
      </c>
      <c r="J63" s="149"/>
      <c r="K63" s="149"/>
      <c r="L63" s="149"/>
      <c r="M63" s="149"/>
      <c r="N63" s="149"/>
      <c r="O63" s="149"/>
      <c r="P63" s="149"/>
      <c r="Q63" s="150"/>
    </row>
    <row r="64" spans="1:17">
      <c r="A64" s="151" t="s">
        <v>73</v>
      </c>
      <c r="B64" s="152"/>
      <c r="C64" s="40"/>
      <c r="D64" s="40"/>
      <c r="E64" s="40"/>
      <c r="F64" s="40"/>
      <c r="G64" s="40"/>
      <c r="H64" s="41"/>
      <c r="I64" s="151" t="s">
        <v>74</v>
      </c>
      <c r="J64" s="152"/>
      <c r="K64" s="152"/>
      <c r="L64" s="152"/>
      <c r="M64" s="152"/>
      <c r="N64" s="152"/>
      <c r="O64" s="152"/>
      <c r="P64" s="152"/>
      <c r="Q64" s="153"/>
    </row>
    <row r="65" spans="1:17" ht="51.6" customHeight="1">
      <c r="A65" s="154" t="s">
        <v>93</v>
      </c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6"/>
    </row>
    <row r="66" spans="1:17"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</row>
  </sheetData>
  <mergeCells count="55">
    <mergeCell ref="A65:Q65"/>
    <mergeCell ref="B66:Q66"/>
    <mergeCell ref="A61:B61"/>
    <mergeCell ref="C61:Q61"/>
    <mergeCell ref="A63:B63"/>
    <mergeCell ref="I63:Q63"/>
    <mergeCell ref="A64:B64"/>
    <mergeCell ref="I64:Q64"/>
    <mergeCell ref="A57:B57"/>
    <mergeCell ref="E57:K57"/>
    <mergeCell ref="M57:Q57"/>
    <mergeCell ref="A58:I58"/>
    <mergeCell ref="M58:Q58"/>
    <mergeCell ref="A59:B59"/>
    <mergeCell ref="C59:Q59"/>
    <mergeCell ref="A54:Q54"/>
    <mergeCell ref="A55:E55"/>
    <mergeCell ref="F55:Q55"/>
    <mergeCell ref="A56:B56"/>
    <mergeCell ref="C56:I56"/>
    <mergeCell ref="M56:Q56"/>
    <mergeCell ref="A50:B50"/>
    <mergeCell ref="C50:Q50"/>
    <mergeCell ref="E51:Q51"/>
    <mergeCell ref="A52:Q52"/>
    <mergeCell ref="A53:B53"/>
    <mergeCell ref="C53:Q53"/>
    <mergeCell ref="O6:P6"/>
    <mergeCell ref="Q6:Q7"/>
    <mergeCell ref="A8:A36"/>
    <mergeCell ref="A37:A47"/>
    <mergeCell ref="A48:A49"/>
    <mergeCell ref="C49:E49"/>
    <mergeCell ref="F6:G6"/>
    <mergeCell ref="H6:H7"/>
    <mergeCell ref="I6:J6"/>
    <mergeCell ref="K6:K7"/>
    <mergeCell ref="L6:M6"/>
    <mergeCell ref="N6:N7"/>
    <mergeCell ref="A4:J4"/>
    <mergeCell ref="K4:Q4"/>
    <mergeCell ref="A5:B7"/>
    <mergeCell ref="C5:E5"/>
    <mergeCell ref="F5:H5"/>
    <mergeCell ref="I5:K5"/>
    <mergeCell ref="L5:N5"/>
    <mergeCell ref="O5:Q5"/>
    <mergeCell ref="C6:D6"/>
    <mergeCell ref="E6:E7"/>
    <mergeCell ref="A1:B3"/>
    <mergeCell ref="C1:Q1"/>
    <mergeCell ref="C2:Q2"/>
    <mergeCell ref="C3:I3"/>
    <mergeCell ref="J3:O3"/>
    <mergeCell ref="P3:Q3"/>
  </mergeCells>
  <printOptions horizontalCentered="1" verticalCentered="1"/>
  <pageMargins left="0" right="0" top="0.15748031496062992" bottom="0.15748031496062992" header="0.31496062992125984" footer="0.31496062992125984"/>
  <pageSetup scale="72" fitToWidth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DD9E9-7859-43D9-A37E-5CCDC5A41EB4}">
  <sheetPr>
    <pageSetUpPr fitToPage="1"/>
  </sheetPr>
  <dimension ref="A1:S66"/>
  <sheetViews>
    <sheetView topLeftCell="A41" zoomScale="98" zoomScaleNormal="98" workbookViewId="0">
      <selection activeCell="M57" sqref="M57:Q57"/>
    </sheetView>
  </sheetViews>
  <sheetFormatPr defaultColWidth="11.42578125" defaultRowHeight="15"/>
  <cols>
    <col min="2" max="2" width="18.85546875" customWidth="1"/>
    <col min="3" max="3" width="4.7109375" customWidth="1"/>
    <col min="4" max="4" width="5.42578125" customWidth="1"/>
    <col min="5" max="5" width="4.85546875" customWidth="1"/>
    <col min="6" max="6" width="5.42578125" customWidth="1"/>
    <col min="7" max="7" width="5.85546875" customWidth="1"/>
    <col min="8" max="8" width="5.42578125" customWidth="1"/>
    <col min="9" max="9" width="5.7109375" customWidth="1"/>
    <col min="10" max="10" width="5.5703125" customWidth="1"/>
    <col min="11" max="12" width="5.7109375" customWidth="1"/>
    <col min="13" max="13" width="5.5703125" customWidth="1"/>
    <col min="14" max="16" width="5.7109375" customWidth="1"/>
    <col min="17" max="17" width="5.42578125" customWidth="1"/>
  </cols>
  <sheetData>
    <row r="1" spans="1:19">
      <c r="A1" s="205"/>
      <c r="B1" s="206"/>
      <c r="C1" s="211" t="s">
        <v>76</v>
      </c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3"/>
    </row>
    <row r="2" spans="1:19">
      <c r="A2" s="207"/>
      <c r="B2" s="208"/>
      <c r="C2" s="214" t="s">
        <v>1</v>
      </c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6"/>
    </row>
    <row r="3" spans="1:19">
      <c r="A3" s="209"/>
      <c r="B3" s="210"/>
      <c r="C3" s="217" t="s">
        <v>2</v>
      </c>
      <c r="D3" s="218"/>
      <c r="E3" s="218"/>
      <c r="F3" s="218"/>
      <c r="G3" s="218"/>
      <c r="H3" s="218"/>
      <c r="I3" s="219"/>
      <c r="J3" s="217" t="s">
        <v>3</v>
      </c>
      <c r="K3" s="218"/>
      <c r="L3" s="218"/>
      <c r="M3" s="218"/>
      <c r="N3" s="218"/>
      <c r="O3" s="219"/>
      <c r="P3" s="220" t="s">
        <v>4</v>
      </c>
      <c r="Q3" s="219"/>
    </row>
    <row r="4" spans="1:19">
      <c r="A4" s="187" t="s">
        <v>87</v>
      </c>
      <c r="B4" s="187"/>
      <c r="C4" s="187"/>
      <c r="D4" s="187"/>
      <c r="E4" s="187"/>
      <c r="F4" s="187"/>
      <c r="G4" s="187"/>
      <c r="H4" s="187"/>
      <c r="I4" s="187"/>
      <c r="J4" s="187"/>
      <c r="K4" s="188" t="s">
        <v>94</v>
      </c>
      <c r="L4" s="189"/>
      <c r="M4" s="189"/>
      <c r="N4" s="189"/>
      <c r="O4" s="189"/>
      <c r="P4" s="189"/>
      <c r="Q4" s="190"/>
      <c r="R4" s="88"/>
      <c r="S4" s="141"/>
    </row>
    <row r="5" spans="1:19">
      <c r="A5" s="191" t="s">
        <v>7</v>
      </c>
      <c r="B5" s="192"/>
      <c r="C5" s="197" t="s">
        <v>8</v>
      </c>
      <c r="D5" s="198"/>
      <c r="E5" s="198"/>
      <c r="F5" s="198" t="s">
        <v>9</v>
      </c>
      <c r="G5" s="198"/>
      <c r="H5" s="198"/>
      <c r="I5" s="198" t="s">
        <v>10</v>
      </c>
      <c r="J5" s="198"/>
      <c r="K5" s="198"/>
      <c r="L5" s="198" t="s">
        <v>11</v>
      </c>
      <c r="M5" s="198"/>
      <c r="N5" s="199"/>
      <c r="O5" s="200" t="s">
        <v>12</v>
      </c>
      <c r="P5" s="201"/>
      <c r="Q5" s="202"/>
    </row>
    <row r="6" spans="1:19">
      <c r="A6" s="193"/>
      <c r="B6" s="194"/>
      <c r="C6" s="179" t="s">
        <v>13</v>
      </c>
      <c r="D6" s="174"/>
      <c r="E6" s="203" t="s">
        <v>14</v>
      </c>
      <c r="F6" s="174" t="s">
        <v>13</v>
      </c>
      <c r="G6" s="174"/>
      <c r="H6" s="175" t="s">
        <v>14</v>
      </c>
      <c r="I6" s="174" t="s">
        <v>13</v>
      </c>
      <c r="J6" s="174"/>
      <c r="K6" s="175" t="s">
        <v>14</v>
      </c>
      <c r="L6" s="174" t="s">
        <v>13</v>
      </c>
      <c r="M6" s="174"/>
      <c r="N6" s="177" t="s">
        <v>14</v>
      </c>
      <c r="O6" s="179" t="s">
        <v>13</v>
      </c>
      <c r="P6" s="174"/>
      <c r="Q6" s="180" t="s">
        <v>14</v>
      </c>
    </row>
    <row r="7" spans="1:19">
      <c r="A7" s="195"/>
      <c r="B7" s="196"/>
      <c r="C7" s="8" t="s">
        <v>15</v>
      </c>
      <c r="D7" s="7" t="s">
        <v>16</v>
      </c>
      <c r="E7" s="204"/>
      <c r="F7" s="7" t="s">
        <v>15</v>
      </c>
      <c r="G7" s="7" t="s">
        <v>16</v>
      </c>
      <c r="H7" s="176"/>
      <c r="I7" s="7" t="s">
        <v>15</v>
      </c>
      <c r="J7" s="7" t="s">
        <v>16</v>
      </c>
      <c r="K7" s="176"/>
      <c r="L7" s="7" t="s">
        <v>15</v>
      </c>
      <c r="M7" s="7" t="s">
        <v>16</v>
      </c>
      <c r="N7" s="178"/>
      <c r="O7" s="8" t="s">
        <v>15</v>
      </c>
      <c r="P7" s="7" t="s">
        <v>16</v>
      </c>
      <c r="Q7" s="181"/>
    </row>
    <row r="8" spans="1:19" ht="22.5">
      <c r="A8" s="182" t="s">
        <v>17</v>
      </c>
      <c r="B8" s="33" t="s">
        <v>18</v>
      </c>
      <c r="C8" s="6">
        <v>1</v>
      </c>
      <c r="D8" s="5"/>
      <c r="E8" s="4"/>
      <c r="F8" s="6">
        <v>1</v>
      </c>
      <c r="G8" s="5"/>
      <c r="H8" s="4"/>
      <c r="I8" s="27">
        <v>1</v>
      </c>
      <c r="J8" s="76"/>
      <c r="K8" s="30"/>
      <c r="L8" s="77">
        <v>1</v>
      </c>
      <c r="M8" s="26"/>
      <c r="N8" s="30"/>
      <c r="O8" s="27">
        <v>1</v>
      </c>
      <c r="P8" s="26"/>
      <c r="Q8" s="29"/>
    </row>
    <row r="9" spans="1:19" ht="22.5">
      <c r="A9" s="183"/>
      <c r="B9" s="34" t="s">
        <v>19</v>
      </c>
      <c r="C9" s="47"/>
      <c r="D9" s="48">
        <v>1</v>
      </c>
      <c r="E9" s="30"/>
      <c r="F9" s="66">
        <v>1</v>
      </c>
      <c r="G9" s="67"/>
      <c r="H9" s="12"/>
      <c r="I9" s="61">
        <v>1</v>
      </c>
      <c r="J9" s="62"/>
      <c r="K9" s="12"/>
      <c r="L9" s="66">
        <v>1</v>
      </c>
      <c r="M9" s="67"/>
      <c r="N9" s="12"/>
      <c r="O9" s="56"/>
      <c r="P9" s="67">
        <v>1</v>
      </c>
      <c r="Q9" s="29"/>
    </row>
    <row r="10" spans="1:19">
      <c r="A10" s="183"/>
      <c r="B10" s="34" t="s">
        <v>20</v>
      </c>
      <c r="C10" s="49">
        <v>1</v>
      </c>
      <c r="D10" s="46"/>
      <c r="E10" s="30"/>
      <c r="F10" s="66">
        <v>1</v>
      </c>
      <c r="G10" s="67"/>
      <c r="H10" s="12"/>
      <c r="I10" s="61">
        <v>1</v>
      </c>
      <c r="J10" s="62"/>
      <c r="K10" s="12"/>
      <c r="L10" s="66">
        <v>1</v>
      </c>
      <c r="M10" s="67"/>
      <c r="N10" s="12"/>
      <c r="O10" s="56">
        <v>1</v>
      </c>
      <c r="P10" s="67"/>
      <c r="Q10" s="29"/>
    </row>
    <row r="11" spans="1:19">
      <c r="A11" s="183"/>
      <c r="B11" s="34" t="s">
        <v>21</v>
      </c>
      <c r="C11" s="49">
        <v>1</v>
      </c>
      <c r="D11" s="46"/>
      <c r="E11" s="30"/>
      <c r="F11" s="68">
        <v>1</v>
      </c>
      <c r="G11" s="69"/>
      <c r="H11" s="57"/>
      <c r="I11" s="61">
        <v>1</v>
      </c>
      <c r="J11" s="62"/>
      <c r="K11" s="12"/>
      <c r="L11" s="68">
        <v>1</v>
      </c>
      <c r="M11" s="69"/>
      <c r="N11" s="12"/>
      <c r="O11" s="56">
        <v>1</v>
      </c>
      <c r="P11" s="67"/>
      <c r="Q11" s="29"/>
    </row>
    <row r="12" spans="1:19">
      <c r="A12" s="183"/>
      <c r="B12" s="34" t="s">
        <v>22</v>
      </c>
      <c r="C12" s="50">
        <v>1</v>
      </c>
      <c r="D12" s="51"/>
      <c r="E12" s="30"/>
      <c r="F12" s="18">
        <v>1</v>
      </c>
      <c r="G12" s="17"/>
      <c r="H12" s="12"/>
      <c r="I12" s="18">
        <v>1</v>
      </c>
      <c r="J12" s="17"/>
      <c r="K12" s="12"/>
      <c r="L12" s="18">
        <v>1</v>
      </c>
      <c r="M12" s="17"/>
      <c r="N12" s="12"/>
      <c r="O12" s="18">
        <v>1</v>
      </c>
      <c r="P12" s="17"/>
      <c r="Q12" s="12"/>
    </row>
    <row r="13" spans="1:19" ht="22.5">
      <c r="A13" s="183"/>
      <c r="B13" s="34" t="s">
        <v>23</v>
      </c>
      <c r="C13" s="47">
        <v>1</v>
      </c>
      <c r="D13" s="48"/>
      <c r="E13" s="30"/>
      <c r="F13" s="18">
        <v>1</v>
      </c>
      <c r="G13" s="17"/>
      <c r="H13" s="12"/>
      <c r="I13" s="15">
        <v>1</v>
      </c>
      <c r="J13" s="14"/>
      <c r="K13" s="12"/>
      <c r="L13" s="18">
        <v>1</v>
      </c>
      <c r="M13" s="17"/>
      <c r="N13" s="12"/>
      <c r="O13" s="56">
        <v>1</v>
      </c>
      <c r="P13" s="67"/>
      <c r="Q13" s="29"/>
    </row>
    <row r="14" spans="1:19">
      <c r="A14" s="183"/>
      <c r="B14" s="34" t="s">
        <v>24</v>
      </c>
      <c r="C14" s="47">
        <v>1</v>
      </c>
      <c r="D14" s="48"/>
      <c r="E14" s="28"/>
      <c r="F14" s="18">
        <v>1</v>
      </c>
      <c r="G14" s="17"/>
      <c r="H14" s="12"/>
      <c r="I14" s="15">
        <v>1</v>
      </c>
      <c r="J14" s="14"/>
      <c r="K14" s="12"/>
      <c r="L14" s="18">
        <v>1</v>
      </c>
      <c r="M14" s="17"/>
      <c r="N14" s="12"/>
      <c r="O14" s="56">
        <v>1</v>
      </c>
      <c r="P14" s="67"/>
      <c r="Q14" s="29"/>
    </row>
    <row r="15" spans="1:19">
      <c r="A15" s="183"/>
      <c r="B15" s="34" t="s">
        <v>25</v>
      </c>
      <c r="C15" s="89"/>
      <c r="D15" s="90"/>
      <c r="E15" s="91"/>
      <c r="F15" s="92"/>
      <c r="G15" s="93"/>
      <c r="H15" s="94"/>
      <c r="I15" s="63">
        <v>1</v>
      </c>
      <c r="J15" s="64"/>
      <c r="K15" s="65"/>
      <c r="L15" s="92"/>
      <c r="M15" s="93"/>
      <c r="N15" s="94"/>
      <c r="O15" s="95"/>
      <c r="P15" s="96"/>
      <c r="Q15" s="97"/>
    </row>
    <row r="16" spans="1:19">
      <c r="A16" s="183"/>
      <c r="B16" s="34" t="s">
        <v>26</v>
      </c>
      <c r="C16" s="89"/>
      <c r="D16" s="90"/>
      <c r="E16" s="91"/>
      <c r="F16" s="16">
        <v>1</v>
      </c>
      <c r="G16" s="13"/>
      <c r="H16" s="12"/>
      <c r="I16" s="22"/>
      <c r="J16" s="21">
        <v>1</v>
      </c>
      <c r="K16" s="12"/>
      <c r="L16" s="16">
        <v>1</v>
      </c>
      <c r="M16" s="13"/>
      <c r="N16" s="12"/>
      <c r="O16" s="95"/>
      <c r="P16" s="96"/>
      <c r="Q16" s="97"/>
    </row>
    <row r="17" spans="1:17">
      <c r="A17" s="183"/>
      <c r="B17" s="34" t="s">
        <v>27</v>
      </c>
      <c r="C17" s="98"/>
      <c r="D17" s="99"/>
      <c r="E17" s="100"/>
      <c r="F17" s="104"/>
      <c r="G17" s="105"/>
      <c r="H17" s="111"/>
      <c r="I17" s="15"/>
      <c r="J17" s="14">
        <v>1</v>
      </c>
      <c r="K17" s="58"/>
      <c r="L17" s="18"/>
      <c r="M17" s="17">
        <v>1</v>
      </c>
      <c r="N17" s="12"/>
      <c r="O17" s="95"/>
      <c r="P17" s="96"/>
      <c r="Q17" s="97"/>
    </row>
    <row r="18" spans="1:17">
      <c r="A18" s="183"/>
      <c r="B18" s="34" t="s">
        <v>28</v>
      </c>
      <c r="C18" s="47">
        <v>1</v>
      </c>
      <c r="D18" s="48"/>
      <c r="E18" s="30"/>
      <c r="F18" s="104"/>
      <c r="G18" s="105"/>
      <c r="H18" s="111"/>
      <c r="I18" s="104"/>
      <c r="J18" s="105"/>
      <c r="K18" s="111"/>
      <c r="L18" s="142">
        <v>1</v>
      </c>
      <c r="M18" s="108"/>
      <c r="N18" s="106"/>
      <c r="O18" s="56">
        <v>1</v>
      </c>
      <c r="P18" s="67"/>
      <c r="Q18" s="29"/>
    </row>
    <row r="19" spans="1:17">
      <c r="A19" s="183"/>
      <c r="B19" s="34" t="s">
        <v>29</v>
      </c>
      <c r="C19" s="47">
        <v>1</v>
      </c>
      <c r="D19" s="48"/>
      <c r="E19" s="30"/>
      <c r="F19" s="16">
        <v>1</v>
      </c>
      <c r="G19" s="13"/>
      <c r="H19" s="12"/>
      <c r="I19" s="22">
        <v>1</v>
      </c>
      <c r="J19" s="21"/>
      <c r="K19" s="59"/>
      <c r="L19" s="18">
        <v>1</v>
      </c>
      <c r="M19" s="17"/>
      <c r="N19" s="12"/>
      <c r="O19" s="56">
        <v>1</v>
      </c>
      <c r="P19" s="67"/>
      <c r="Q19" s="29"/>
    </row>
    <row r="20" spans="1:17">
      <c r="A20" s="183"/>
      <c r="B20" s="34" t="s">
        <v>30</v>
      </c>
      <c r="C20" s="89"/>
      <c r="D20" s="90"/>
      <c r="E20" s="91"/>
      <c r="F20" s="16">
        <v>1</v>
      </c>
      <c r="G20" s="13"/>
      <c r="H20" s="12"/>
      <c r="I20" s="101"/>
      <c r="J20" s="102"/>
      <c r="K20" s="103"/>
      <c r="L20" s="104"/>
      <c r="M20" s="105"/>
      <c r="N20" s="103"/>
      <c r="O20" s="56">
        <v>1</v>
      </c>
      <c r="P20" s="67"/>
      <c r="Q20" s="29"/>
    </row>
    <row r="21" spans="1:17">
      <c r="A21" s="183"/>
      <c r="B21" s="34" t="s">
        <v>31</v>
      </c>
      <c r="C21" s="47">
        <v>1</v>
      </c>
      <c r="D21" s="48"/>
      <c r="E21" s="30"/>
      <c r="F21" s="16">
        <v>1</v>
      </c>
      <c r="G21" s="13"/>
      <c r="H21" s="12"/>
      <c r="I21" s="101"/>
      <c r="J21" s="102"/>
      <c r="K21" s="103"/>
      <c r="L21" s="104"/>
      <c r="M21" s="105"/>
      <c r="N21" s="103"/>
      <c r="O21" s="56">
        <v>1</v>
      </c>
      <c r="P21" s="67"/>
      <c r="Q21" s="29"/>
    </row>
    <row r="22" spans="1:17">
      <c r="A22" s="183"/>
      <c r="B22" s="34" t="s">
        <v>32</v>
      </c>
      <c r="C22" s="98"/>
      <c r="D22" s="99"/>
      <c r="E22" s="100"/>
      <c r="F22" s="104"/>
      <c r="G22" s="105"/>
      <c r="H22" s="111"/>
      <c r="I22" s="22">
        <v>1</v>
      </c>
      <c r="J22" s="21"/>
      <c r="K22" s="59"/>
      <c r="L22" s="104"/>
      <c r="M22" s="105"/>
      <c r="N22" s="111"/>
      <c r="O22" s="104"/>
      <c r="P22" s="105"/>
      <c r="Q22" s="111"/>
    </row>
    <row r="23" spans="1:17">
      <c r="A23" s="183"/>
      <c r="B23" s="34" t="s">
        <v>33</v>
      </c>
      <c r="C23" s="47">
        <v>1</v>
      </c>
      <c r="D23" s="48"/>
      <c r="E23" s="30"/>
      <c r="F23" s="16">
        <v>1</v>
      </c>
      <c r="G23" s="13"/>
      <c r="H23" s="59"/>
      <c r="I23" s="104"/>
      <c r="J23" s="105"/>
      <c r="K23" s="111"/>
      <c r="L23" s="104"/>
      <c r="M23" s="105"/>
      <c r="N23" s="111"/>
      <c r="O23" s="104"/>
      <c r="P23" s="105"/>
      <c r="Q23" s="111"/>
    </row>
    <row r="24" spans="1:17">
      <c r="A24" s="183"/>
      <c r="B24" s="34" t="s">
        <v>34</v>
      </c>
      <c r="C24" s="47">
        <v>1</v>
      </c>
      <c r="D24" s="48"/>
      <c r="E24" s="30"/>
      <c r="F24" s="16"/>
      <c r="G24" s="13">
        <v>1</v>
      </c>
      <c r="H24" s="59"/>
      <c r="I24" s="101"/>
      <c r="J24" s="102"/>
      <c r="K24" s="103"/>
      <c r="L24" s="104"/>
      <c r="M24" s="105"/>
      <c r="N24" s="111"/>
      <c r="O24" s="56">
        <v>1</v>
      </c>
      <c r="P24" s="67"/>
      <c r="Q24" s="29"/>
    </row>
    <row r="25" spans="1:17">
      <c r="A25" s="183"/>
      <c r="B25" s="34" t="s">
        <v>35</v>
      </c>
      <c r="C25" s="98"/>
      <c r="D25" s="99"/>
      <c r="E25" s="100"/>
      <c r="F25" s="104"/>
      <c r="G25" s="105"/>
      <c r="H25" s="103"/>
      <c r="I25" s="101"/>
      <c r="J25" s="102"/>
      <c r="K25" s="103"/>
      <c r="L25" s="16">
        <v>1</v>
      </c>
      <c r="M25" s="13"/>
      <c r="N25" s="12"/>
      <c r="O25" s="95"/>
      <c r="P25" s="96"/>
      <c r="Q25" s="97"/>
    </row>
    <row r="26" spans="1:17">
      <c r="A26" s="183"/>
      <c r="B26" s="34" t="s">
        <v>36</v>
      </c>
      <c r="C26" s="47">
        <v>1</v>
      </c>
      <c r="D26" s="48"/>
      <c r="E26" s="30"/>
      <c r="F26" s="16">
        <v>1</v>
      </c>
      <c r="G26" s="13"/>
      <c r="H26" s="59"/>
      <c r="I26" s="104"/>
      <c r="J26" s="105"/>
      <c r="K26" s="111"/>
      <c r="L26" s="104"/>
      <c r="M26" s="105"/>
      <c r="N26" s="111"/>
      <c r="O26" s="56">
        <v>1</v>
      </c>
      <c r="P26" s="67"/>
      <c r="Q26" s="29"/>
    </row>
    <row r="27" spans="1:17">
      <c r="A27" s="183"/>
      <c r="B27" s="34" t="s">
        <v>37</v>
      </c>
      <c r="C27" s="98"/>
      <c r="D27" s="99"/>
      <c r="E27" s="100"/>
      <c r="F27" s="16"/>
      <c r="G27" s="13">
        <v>1</v>
      </c>
      <c r="H27" s="59"/>
      <c r="I27" s="104"/>
      <c r="J27" s="105"/>
      <c r="K27" s="111"/>
      <c r="L27" s="104"/>
      <c r="M27" s="105"/>
      <c r="N27" s="111"/>
      <c r="O27" s="104"/>
      <c r="P27" s="105"/>
      <c r="Q27" s="111"/>
    </row>
    <row r="28" spans="1:17" ht="22.5">
      <c r="A28" s="183"/>
      <c r="B28" s="34" t="s">
        <v>38</v>
      </c>
      <c r="C28" s="47">
        <v>1</v>
      </c>
      <c r="D28" s="48"/>
      <c r="E28" s="12"/>
      <c r="F28" s="16">
        <v>1</v>
      </c>
      <c r="G28" s="13"/>
      <c r="H28" s="59"/>
      <c r="I28" s="22">
        <v>1</v>
      </c>
      <c r="J28" s="21"/>
      <c r="K28" s="59"/>
      <c r="L28" s="16">
        <v>1</v>
      </c>
      <c r="M28" s="13"/>
      <c r="N28" s="12"/>
      <c r="O28" s="56"/>
      <c r="P28" s="67">
        <v>1</v>
      </c>
      <c r="Q28" s="29"/>
    </row>
    <row r="29" spans="1:17">
      <c r="A29" s="183"/>
      <c r="B29" s="34" t="s">
        <v>39</v>
      </c>
      <c r="C29" s="47">
        <v>1</v>
      </c>
      <c r="D29" s="48"/>
      <c r="E29" s="12"/>
      <c r="F29" s="16">
        <v>1</v>
      </c>
      <c r="G29" s="13"/>
      <c r="H29" s="59"/>
      <c r="I29" s="22">
        <v>1</v>
      </c>
      <c r="J29" s="21"/>
      <c r="K29" s="59"/>
      <c r="L29" s="16">
        <v>1</v>
      </c>
      <c r="M29" s="13"/>
      <c r="N29" s="12"/>
      <c r="O29" s="56">
        <v>1</v>
      </c>
      <c r="P29" s="67"/>
      <c r="Q29" s="29"/>
    </row>
    <row r="30" spans="1:17">
      <c r="A30" s="183"/>
      <c r="B30" s="34" t="s">
        <v>40</v>
      </c>
      <c r="C30" s="47">
        <v>1</v>
      </c>
      <c r="D30" s="48"/>
      <c r="E30" s="12"/>
      <c r="F30" s="16">
        <v>1</v>
      </c>
      <c r="G30" s="13"/>
      <c r="H30" s="59"/>
      <c r="I30" s="22"/>
      <c r="J30" s="21">
        <v>1</v>
      </c>
      <c r="K30" s="59"/>
      <c r="L30" s="16"/>
      <c r="M30" s="13">
        <v>1</v>
      </c>
      <c r="N30" s="59"/>
      <c r="O30" s="56"/>
      <c r="P30" s="67">
        <v>1</v>
      </c>
      <c r="Q30" s="29"/>
    </row>
    <row r="31" spans="1:17">
      <c r="A31" s="183"/>
      <c r="B31" s="34" t="s">
        <v>41</v>
      </c>
      <c r="C31" s="47"/>
      <c r="D31" s="48">
        <v>1</v>
      </c>
      <c r="E31" s="12"/>
      <c r="F31" s="16"/>
      <c r="G31" s="13">
        <v>1</v>
      </c>
      <c r="H31" s="59"/>
      <c r="I31" s="104"/>
      <c r="J31" s="105"/>
      <c r="K31" s="111"/>
      <c r="L31" s="104"/>
      <c r="M31" s="105"/>
      <c r="N31" s="111"/>
      <c r="O31" s="56">
        <v>1</v>
      </c>
      <c r="P31" s="67"/>
      <c r="Q31" s="29"/>
    </row>
    <row r="32" spans="1:17">
      <c r="A32" s="183"/>
      <c r="B32" s="34" t="s">
        <v>42</v>
      </c>
      <c r="C32" s="47"/>
      <c r="D32" s="48">
        <v>1</v>
      </c>
      <c r="E32" s="12"/>
      <c r="F32" s="104"/>
      <c r="G32" s="105"/>
      <c r="H32" s="111"/>
      <c r="I32" s="22">
        <v>1</v>
      </c>
      <c r="J32" s="21"/>
      <c r="K32" s="59"/>
      <c r="L32" s="16">
        <v>1</v>
      </c>
      <c r="M32" s="13"/>
      <c r="N32" s="59"/>
      <c r="O32" s="56">
        <v>1</v>
      </c>
      <c r="P32" s="67"/>
      <c r="Q32" s="29"/>
    </row>
    <row r="33" spans="1:17" ht="22.5">
      <c r="A33" s="183"/>
      <c r="B33" s="34" t="s">
        <v>43</v>
      </c>
      <c r="C33" s="47">
        <v>1</v>
      </c>
      <c r="D33" s="48"/>
      <c r="E33" s="12"/>
      <c r="F33" s="16">
        <v>1</v>
      </c>
      <c r="G33" s="13"/>
      <c r="H33" s="12"/>
      <c r="I33" s="22"/>
      <c r="J33" s="21">
        <v>1</v>
      </c>
      <c r="K33" s="12"/>
      <c r="L33" s="16"/>
      <c r="M33" s="13">
        <v>1</v>
      </c>
      <c r="N33" s="12"/>
      <c r="O33" s="56"/>
      <c r="P33" s="67">
        <v>1</v>
      </c>
      <c r="Q33" s="29"/>
    </row>
    <row r="34" spans="1:17">
      <c r="A34" s="183"/>
      <c r="B34" s="34" t="s">
        <v>44</v>
      </c>
      <c r="C34" s="47">
        <v>1</v>
      </c>
      <c r="D34" s="52"/>
      <c r="E34" s="53"/>
      <c r="F34" s="16">
        <v>1</v>
      </c>
      <c r="G34" s="13"/>
      <c r="H34" s="59"/>
      <c r="I34" s="22">
        <v>1</v>
      </c>
      <c r="J34" s="21"/>
      <c r="K34" s="59"/>
      <c r="L34" s="16">
        <v>1</v>
      </c>
      <c r="M34" s="13"/>
      <c r="N34" s="59"/>
      <c r="O34" s="56">
        <v>1</v>
      </c>
      <c r="P34" s="67"/>
      <c r="Q34" s="29"/>
    </row>
    <row r="35" spans="1:17">
      <c r="A35" s="183"/>
      <c r="B35" s="34" t="s">
        <v>45</v>
      </c>
      <c r="C35" s="47">
        <v>1</v>
      </c>
      <c r="D35" s="52"/>
      <c r="E35" s="53"/>
      <c r="F35" s="20">
        <v>1</v>
      </c>
      <c r="G35" s="19"/>
      <c r="H35" s="60"/>
      <c r="I35" s="22">
        <v>1</v>
      </c>
      <c r="J35" s="21"/>
      <c r="K35" s="60"/>
      <c r="L35" s="20">
        <v>1</v>
      </c>
      <c r="M35" s="19"/>
      <c r="N35" s="60"/>
      <c r="O35" s="56">
        <v>1</v>
      </c>
      <c r="P35" s="67"/>
      <c r="Q35" s="29"/>
    </row>
    <row r="36" spans="1:17">
      <c r="A36" s="184"/>
      <c r="B36" s="35" t="s">
        <v>46</v>
      </c>
      <c r="C36" s="55">
        <v>1</v>
      </c>
      <c r="D36" s="54"/>
      <c r="E36" s="25"/>
      <c r="F36" s="24">
        <v>1</v>
      </c>
      <c r="G36" s="23"/>
      <c r="H36" s="70"/>
      <c r="I36" s="22">
        <v>1</v>
      </c>
      <c r="J36" s="21"/>
      <c r="K36" s="60"/>
      <c r="L36" s="20">
        <v>1</v>
      </c>
      <c r="M36" s="19"/>
      <c r="N36" s="60"/>
      <c r="O36" s="71">
        <v>1</v>
      </c>
      <c r="P36" s="72"/>
      <c r="Q36" s="60"/>
    </row>
    <row r="37" spans="1:17">
      <c r="A37" s="182" t="s">
        <v>47</v>
      </c>
      <c r="B37" s="33" t="s">
        <v>48</v>
      </c>
      <c r="C37" s="112"/>
      <c r="D37" s="113"/>
      <c r="E37" s="114"/>
      <c r="F37" s="31">
        <v>1</v>
      </c>
      <c r="G37" s="32"/>
      <c r="H37" s="4"/>
      <c r="I37" s="115"/>
      <c r="J37" s="116"/>
      <c r="K37" s="114"/>
      <c r="L37" s="117"/>
      <c r="M37" s="118"/>
      <c r="N37" s="119"/>
      <c r="O37" s="120"/>
      <c r="P37" s="121"/>
      <c r="Q37" s="122"/>
    </row>
    <row r="38" spans="1:17">
      <c r="A38" s="183"/>
      <c r="B38" s="36" t="s">
        <v>49</v>
      </c>
      <c r="C38" s="47">
        <v>1</v>
      </c>
      <c r="D38" s="48"/>
      <c r="E38" s="30"/>
      <c r="F38" s="123"/>
      <c r="G38" s="124"/>
      <c r="H38" s="111"/>
      <c r="I38" s="125"/>
      <c r="J38" s="126"/>
      <c r="K38" s="111"/>
      <c r="L38" s="123"/>
      <c r="M38" s="124"/>
      <c r="N38" s="111"/>
      <c r="O38" s="123"/>
      <c r="P38" s="124"/>
      <c r="Q38" s="111"/>
    </row>
    <row r="39" spans="1:17">
      <c r="A39" s="183"/>
      <c r="B39" s="34" t="s">
        <v>50</v>
      </c>
      <c r="C39" s="47">
        <v>1</v>
      </c>
      <c r="D39" s="48"/>
      <c r="E39" s="30"/>
      <c r="F39" s="123"/>
      <c r="G39" s="124"/>
      <c r="H39" s="111"/>
      <c r="I39" s="125"/>
      <c r="J39" s="126"/>
      <c r="K39" s="111"/>
      <c r="L39" s="104"/>
      <c r="M39" s="105"/>
      <c r="N39" s="103"/>
      <c r="O39" s="123"/>
      <c r="P39" s="124"/>
      <c r="Q39" s="111"/>
    </row>
    <row r="40" spans="1:17">
      <c r="A40" s="183"/>
      <c r="B40" s="34" t="s">
        <v>51</v>
      </c>
      <c r="C40" s="47">
        <v>1</v>
      </c>
      <c r="D40" s="48"/>
      <c r="E40" s="30"/>
      <c r="F40" s="123"/>
      <c r="G40" s="124"/>
      <c r="H40" s="111"/>
      <c r="I40" s="125"/>
      <c r="J40" s="126"/>
      <c r="K40" s="111"/>
      <c r="L40" s="92"/>
      <c r="M40" s="93"/>
      <c r="N40" s="94"/>
      <c r="O40" s="123"/>
      <c r="P40" s="124"/>
      <c r="Q40" s="111"/>
    </row>
    <row r="41" spans="1:17">
      <c r="A41" s="183"/>
      <c r="B41" s="34" t="s">
        <v>52</v>
      </c>
      <c r="C41" s="98"/>
      <c r="D41" s="99"/>
      <c r="E41" s="100"/>
      <c r="F41" s="130"/>
      <c r="G41" s="131"/>
      <c r="H41" s="97"/>
      <c r="I41" s="125"/>
      <c r="J41" s="126"/>
      <c r="K41" s="111"/>
      <c r="L41" s="104"/>
      <c r="M41" s="105"/>
      <c r="N41" s="103"/>
      <c r="O41" s="127"/>
      <c r="P41" s="128"/>
      <c r="Q41" s="97"/>
    </row>
    <row r="42" spans="1:17">
      <c r="A42" s="183"/>
      <c r="B42" s="34" t="s">
        <v>53</v>
      </c>
      <c r="C42" s="98"/>
      <c r="D42" s="99"/>
      <c r="E42" s="100"/>
      <c r="F42" s="123"/>
      <c r="G42" s="124"/>
      <c r="H42" s="111"/>
      <c r="I42" s="125"/>
      <c r="J42" s="126"/>
      <c r="K42" s="111"/>
      <c r="L42" s="104"/>
      <c r="M42" s="105"/>
      <c r="N42" s="103"/>
      <c r="O42" s="127"/>
      <c r="P42" s="128"/>
      <c r="Q42" s="97"/>
    </row>
    <row r="43" spans="1:17">
      <c r="A43" s="183"/>
      <c r="B43" s="34" t="s">
        <v>54</v>
      </c>
      <c r="C43" s="47"/>
      <c r="D43" s="48">
        <v>1</v>
      </c>
      <c r="E43" s="30"/>
      <c r="F43" s="123"/>
      <c r="G43" s="124"/>
      <c r="H43" s="111"/>
      <c r="I43" s="125"/>
      <c r="J43" s="126"/>
      <c r="K43" s="111"/>
      <c r="L43" s="104"/>
      <c r="M43" s="105"/>
      <c r="N43" s="103"/>
      <c r="O43" s="127"/>
      <c r="P43" s="128"/>
      <c r="Q43" s="97"/>
    </row>
    <row r="44" spans="1:17">
      <c r="A44" s="183"/>
      <c r="B44" s="34" t="s">
        <v>55</v>
      </c>
      <c r="C44" s="98"/>
      <c r="D44" s="99"/>
      <c r="E44" s="100"/>
      <c r="F44" s="98"/>
      <c r="G44" s="99"/>
      <c r="H44" s="100"/>
      <c r="I44" s="15">
        <v>1</v>
      </c>
      <c r="J44" s="14"/>
      <c r="K44" s="12"/>
      <c r="L44" s="16">
        <v>1</v>
      </c>
      <c r="M44" s="13"/>
      <c r="N44" s="12"/>
      <c r="O44" s="130"/>
      <c r="P44" s="131"/>
      <c r="Q44" s="97"/>
    </row>
    <row r="45" spans="1:17">
      <c r="A45" s="183"/>
      <c r="B45" s="34" t="s">
        <v>56</v>
      </c>
      <c r="C45" s="47">
        <v>1</v>
      </c>
      <c r="D45" s="48"/>
      <c r="E45" s="30"/>
      <c r="F45" s="123"/>
      <c r="G45" s="124"/>
      <c r="H45" s="111"/>
      <c r="I45" s="125"/>
      <c r="J45" s="126"/>
      <c r="K45" s="111"/>
      <c r="L45" s="129"/>
      <c r="M45" s="105"/>
      <c r="N45" s="111"/>
      <c r="O45" s="130"/>
      <c r="P45" s="131"/>
      <c r="Q45" s="97"/>
    </row>
    <row r="46" spans="1:17">
      <c r="A46" s="183"/>
      <c r="B46" s="34" t="s">
        <v>57</v>
      </c>
      <c r="C46" s="98"/>
      <c r="D46" s="99"/>
      <c r="E46" s="100"/>
      <c r="F46" s="130"/>
      <c r="G46" s="131"/>
      <c r="H46" s="97"/>
      <c r="I46" s="130"/>
      <c r="J46" s="131"/>
      <c r="K46" s="97"/>
      <c r="L46" s="130"/>
      <c r="M46" s="131"/>
      <c r="N46" s="97"/>
      <c r="O46" s="130"/>
      <c r="P46" s="131"/>
      <c r="Q46" s="97"/>
    </row>
    <row r="47" spans="1:17">
      <c r="A47" s="183"/>
      <c r="B47" s="34" t="s">
        <v>58</v>
      </c>
      <c r="C47" s="98"/>
      <c r="D47" s="99"/>
      <c r="E47" s="100"/>
      <c r="F47" s="18">
        <v>1</v>
      </c>
      <c r="G47" s="17"/>
      <c r="H47" s="12"/>
      <c r="I47" s="15"/>
      <c r="J47" s="14">
        <v>1</v>
      </c>
      <c r="K47" s="12"/>
      <c r="L47" s="78">
        <v>1</v>
      </c>
      <c r="M47" s="13"/>
      <c r="N47" s="12"/>
      <c r="O47" s="73">
        <v>1</v>
      </c>
      <c r="P47" s="74"/>
      <c r="Q47" s="29"/>
    </row>
    <row r="48" spans="1:17">
      <c r="A48" s="185" t="s">
        <v>59</v>
      </c>
      <c r="B48" s="37" t="s">
        <v>59</v>
      </c>
      <c r="C48" s="75">
        <f>SUM(C8:C47)</f>
        <v>23</v>
      </c>
      <c r="D48" s="75">
        <f t="shared" ref="D48:Q48" si="0">SUM(D8:D47)</f>
        <v>4</v>
      </c>
      <c r="E48" s="75">
        <f t="shared" si="0"/>
        <v>0</v>
      </c>
      <c r="F48" s="75">
        <f t="shared" si="0"/>
        <v>22</v>
      </c>
      <c r="G48" s="75">
        <f t="shared" si="0"/>
        <v>3</v>
      </c>
      <c r="H48" s="75">
        <f t="shared" si="0"/>
        <v>0</v>
      </c>
      <c r="I48" s="75">
        <f t="shared" si="0"/>
        <v>17</v>
      </c>
      <c r="J48" s="75">
        <f t="shared" si="0"/>
        <v>5</v>
      </c>
      <c r="K48" s="75">
        <f t="shared" si="0"/>
        <v>0</v>
      </c>
      <c r="L48" s="75">
        <f t="shared" si="0"/>
        <v>19</v>
      </c>
      <c r="M48" s="75">
        <f t="shared" si="0"/>
        <v>3</v>
      </c>
      <c r="N48" s="75">
        <f t="shared" si="0"/>
        <v>0</v>
      </c>
      <c r="O48" s="75">
        <f t="shared" si="0"/>
        <v>19</v>
      </c>
      <c r="P48" s="75">
        <f t="shared" si="0"/>
        <v>4</v>
      </c>
      <c r="Q48" s="75">
        <f t="shared" si="0"/>
        <v>0</v>
      </c>
    </row>
    <row r="49" spans="1:17">
      <c r="A49" s="186"/>
      <c r="B49" s="38" t="s">
        <v>60</v>
      </c>
      <c r="C49" s="171"/>
      <c r="D49" s="172"/>
      <c r="E49" s="173"/>
      <c r="F49" s="10"/>
      <c r="G49" s="9"/>
      <c r="H49" s="11"/>
      <c r="I49" s="10"/>
      <c r="J49" s="9"/>
      <c r="K49" s="11"/>
      <c r="L49" s="10"/>
      <c r="M49" s="9"/>
      <c r="N49" s="11"/>
      <c r="O49" s="10"/>
      <c r="P49" s="9"/>
      <c r="Q49" s="11"/>
    </row>
    <row r="50" spans="1:17">
      <c r="A50" s="167" t="s">
        <v>61</v>
      </c>
      <c r="B50" s="168"/>
      <c r="C50" s="169" t="s">
        <v>95</v>
      </c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70"/>
    </row>
    <row r="51" spans="1:17">
      <c r="A51" s="45" t="s">
        <v>62</v>
      </c>
      <c r="B51" s="44"/>
      <c r="C51" s="44"/>
      <c r="D51" s="44"/>
      <c r="E51" s="159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1"/>
    </row>
    <row r="52" spans="1:17">
      <c r="A52" s="145"/>
      <c r="B52" s="146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7"/>
    </row>
    <row r="53" spans="1:17">
      <c r="A53" s="148" t="s">
        <v>63</v>
      </c>
      <c r="B53" s="149"/>
      <c r="C53" s="146" t="s">
        <v>96</v>
      </c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7"/>
    </row>
    <row r="54" spans="1:17">
      <c r="A54" s="164"/>
      <c r="B54" s="165"/>
      <c r="C54" s="165"/>
      <c r="D54" s="165"/>
      <c r="E54" s="165"/>
      <c r="F54" s="165"/>
      <c r="G54" s="165"/>
      <c r="H54" s="165"/>
      <c r="I54" s="165"/>
      <c r="J54" s="165"/>
      <c r="K54" s="165"/>
      <c r="L54" s="165"/>
      <c r="M54" s="165"/>
      <c r="N54" s="165"/>
      <c r="O54" s="165"/>
      <c r="P54" s="165"/>
      <c r="Q54" s="166"/>
    </row>
    <row r="55" spans="1:17" ht="26.25" customHeight="1">
      <c r="A55" s="162" t="s">
        <v>64</v>
      </c>
      <c r="B55" s="163"/>
      <c r="C55" s="163"/>
      <c r="D55" s="163"/>
      <c r="E55" s="163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7"/>
    </row>
    <row r="56" spans="1:17">
      <c r="A56" s="148" t="s">
        <v>65</v>
      </c>
      <c r="B56" s="149"/>
      <c r="C56" s="146">
        <f>SUM(C48:Q48)</f>
        <v>119</v>
      </c>
      <c r="D56" s="146"/>
      <c r="E56" s="146"/>
      <c r="F56" s="146"/>
      <c r="G56" s="146"/>
      <c r="H56" s="146"/>
      <c r="I56" s="146"/>
      <c r="J56" s="44" t="s">
        <v>66</v>
      </c>
      <c r="M56" s="157">
        <f>A58/C56</f>
        <v>0.84033613445378152</v>
      </c>
      <c r="N56" s="157"/>
      <c r="O56" s="157"/>
      <c r="P56" s="157"/>
      <c r="Q56" s="158"/>
    </row>
    <row r="57" spans="1:17">
      <c r="A57" s="148" t="s">
        <v>67</v>
      </c>
      <c r="B57" s="149"/>
      <c r="E57" s="146"/>
      <c r="F57" s="146"/>
      <c r="G57" s="146"/>
      <c r="H57" s="146"/>
      <c r="I57" s="146"/>
      <c r="J57" s="146"/>
      <c r="K57" s="146"/>
      <c r="M57" s="157"/>
      <c r="N57" s="157"/>
      <c r="O57" s="157"/>
      <c r="P57" s="157"/>
      <c r="Q57" s="158"/>
    </row>
    <row r="58" spans="1:17">
      <c r="A58" s="145">
        <f>SUM(O48+L48+I48+F48+C48)</f>
        <v>100</v>
      </c>
      <c r="B58" s="146"/>
      <c r="C58" s="146"/>
      <c r="D58" s="146"/>
      <c r="E58" s="146"/>
      <c r="F58" s="146"/>
      <c r="G58" s="146"/>
      <c r="H58" s="146"/>
      <c r="I58" s="146"/>
      <c r="J58" t="s">
        <v>68</v>
      </c>
      <c r="M58" s="146">
        <f>C56-C61</f>
        <v>119</v>
      </c>
      <c r="N58" s="146"/>
      <c r="O58" s="146"/>
      <c r="P58" s="146"/>
      <c r="Q58" s="147"/>
    </row>
    <row r="59" spans="1:17">
      <c r="A59" s="148" t="s">
        <v>69</v>
      </c>
      <c r="B59" s="149"/>
      <c r="C59" s="146">
        <f>SUM(P48+M48+J48+G48+D48)</f>
        <v>19</v>
      </c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7"/>
    </row>
    <row r="60" spans="1:17">
      <c r="A60" s="43"/>
      <c r="Q60" s="42"/>
    </row>
    <row r="61" spans="1:17">
      <c r="A61" s="148" t="s">
        <v>70</v>
      </c>
      <c r="B61" s="149"/>
      <c r="C61" s="146">
        <f>SUM(Q48+N48+K48+H48+E48)</f>
        <v>0</v>
      </c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7"/>
    </row>
    <row r="62" spans="1:17">
      <c r="A62" s="39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1"/>
    </row>
    <row r="63" spans="1:17">
      <c r="A63" s="148" t="s">
        <v>71</v>
      </c>
      <c r="B63" s="149"/>
      <c r="H63" s="42"/>
      <c r="I63" s="148" t="s">
        <v>72</v>
      </c>
      <c r="J63" s="149"/>
      <c r="K63" s="149"/>
      <c r="L63" s="149"/>
      <c r="M63" s="149"/>
      <c r="N63" s="149"/>
      <c r="O63" s="149"/>
      <c r="P63" s="149"/>
      <c r="Q63" s="150"/>
    </row>
    <row r="64" spans="1:17">
      <c r="A64" s="151" t="s">
        <v>73</v>
      </c>
      <c r="B64" s="152"/>
      <c r="C64" s="40"/>
      <c r="D64" s="40"/>
      <c r="E64" s="40"/>
      <c r="F64" s="40"/>
      <c r="G64" s="40"/>
      <c r="H64" s="41"/>
      <c r="I64" s="151" t="s">
        <v>74</v>
      </c>
      <c r="J64" s="152"/>
      <c r="K64" s="152"/>
      <c r="L64" s="152"/>
      <c r="M64" s="152"/>
      <c r="N64" s="152"/>
      <c r="O64" s="152"/>
      <c r="P64" s="152"/>
      <c r="Q64" s="153"/>
    </row>
    <row r="65" spans="1:17" ht="51.6" customHeight="1">
      <c r="A65" s="154" t="s">
        <v>93</v>
      </c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6"/>
    </row>
    <row r="66" spans="1:17"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</row>
  </sheetData>
  <mergeCells count="55">
    <mergeCell ref="A65:Q65"/>
    <mergeCell ref="B66:Q66"/>
    <mergeCell ref="A61:B61"/>
    <mergeCell ref="C61:Q61"/>
    <mergeCell ref="A63:B63"/>
    <mergeCell ref="I63:Q63"/>
    <mergeCell ref="A64:B64"/>
    <mergeCell ref="I64:Q64"/>
    <mergeCell ref="A57:B57"/>
    <mergeCell ref="E57:K57"/>
    <mergeCell ref="M57:Q57"/>
    <mergeCell ref="A58:I58"/>
    <mergeCell ref="M58:Q58"/>
    <mergeCell ref="A59:B59"/>
    <mergeCell ref="C59:Q59"/>
    <mergeCell ref="A54:Q54"/>
    <mergeCell ref="A55:E55"/>
    <mergeCell ref="F55:Q55"/>
    <mergeCell ref="A56:B56"/>
    <mergeCell ref="C56:I56"/>
    <mergeCell ref="M56:Q56"/>
    <mergeCell ref="A50:B50"/>
    <mergeCell ref="C50:Q50"/>
    <mergeCell ref="E51:Q51"/>
    <mergeCell ref="A52:Q52"/>
    <mergeCell ref="A53:B53"/>
    <mergeCell ref="C53:Q53"/>
    <mergeCell ref="O6:P6"/>
    <mergeCell ref="Q6:Q7"/>
    <mergeCell ref="A8:A36"/>
    <mergeCell ref="A37:A47"/>
    <mergeCell ref="A48:A49"/>
    <mergeCell ref="C49:E49"/>
    <mergeCell ref="F6:G6"/>
    <mergeCell ref="H6:H7"/>
    <mergeCell ref="I6:J6"/>
    <mergeCell ref="K6:K7"/>
    <mergeCell ref="L6:M6"/>
    <mergeCell ref="N6:N7"/>
    <mergeCell ref="A4:J4"/>
    <mergeCell ref="K4:Q4"/>
    <mergeCell ref="A5:B7"/>
    <mergeCell ref="C5:E5"/>
    <mergeCell ref="F5:H5"/>
    <mergeCell ref="I5:K5"/>
    <mergeCell ref="L5:N5"/>
    <mergeCell ref="O5:Q5"/>
    <mergeCell ref="C6:D6"/>
    <mergeCell ref="E6:E7"/>
    <mergeCell ref="A1:B3"/>
    <mergeCell ref="C1:Q1"/>
    <mergeCell ref="C2:Q2"/>
    <mergeCell ref="C3:I3"/>
    <mergeCell ref="J3:O3"/>
    <mergeCell ref="P3:Q3"/>
  </mergeCells>
  <printOptions horizontalCentered="1" verticalCentered="1"/>
  <pageMargins left="0" right="0" top="0.15748031496062992" bottom="0.15748031496062992" header="0.31496062992125984" footer="0.31496062992125984"/>
  <pageSetup scale="72" fitToWidth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BF98A-277C-48FD-BAB5-AA706A3672D1}">
  <sheetPr>
    <pageSetUpPr fitToPage="1"/>
  </sheetPr>
  <dimension ref="A1:S66"/>
  <sheetViews>
    <sheetView tabSelected="1" topLeftCell="A53" zoomScale="98" zoomScaleNormal="98" workbookViewId="0">
      <selection activeCell="I18" sqref="I18"/>
    </sheetView>
  </sheetViews>
  <sheetFormatPr defaultColWidth="11.42578125" defaultRowHeight="15"/>
  <cols>
    <col min="2" max="2" width="18.85546875" customWidth="1"/>
    <col min="3" max="3" width="4.7109375" customWidth="1"/>
    <col min="4" max="4" width="5.42578125" customWidth="1"/>
    <col min="5" max="5" width="4.85546875" customWidth="1"/>
    <col min="6" max="6" width="5.42578125" customWidth="1"/>
    <col min="7" max="7" width="5.85546875" customWidth="1"/>
    <col min="8" max="8" width="5.42578125" customWidth="1"/>
    <col min="9" max="9" width="5.7109375" customWidth="1"/>
    <col min="10" max="10" width="5.5703125" customWidth="1"/>
    <col min="11" max="12" width="5.7109375" customWidth="1"/>
    <col min="13" max="13" width="5.5703125" customWidth="1"/>
    <col min="14" max="16" width="5.7109375" customWidth="1"/>
    <col min="17" max="17" width="5.42578125" customWidth="1"/>
  </cols>
  <sheetData>
    <row r="1" spans="1:19">
      <c r="A1" s="205"/>
      <c r="B1" s="206"/>
      <c r="C1" s="211" t="s">
        <v>0</v>
      </c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3"/>
    </row>
    <row r="2" spans="1:19">
      <c r="A2" s="207"/>
      <c r="B2" s="208"/>
      <c r="C2" s="214" t="s">
        <v>1</v>
      </c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6"/>
    </row>
    <row r="3" spans="1:19">
      <c r="A3" s="209"/>
      <c r="B3" s="210"/>
      <c r="C3" s="217" t="s">
        <v>2</v>
      </c>
      <c r="D3" s="218"/>
      <c r="E3" s="218"/>
      <c r="F3" s="218"/>
      <c r="G3" s="218"/>
      <c r="H3" s="218"/>
      <c r="I3" s="219"/>
      <c r="J3" s="217" t="s">
        <v>3</v>
      </c>
      <c r="K3" s="218"/>
      <c r="L3" s="218"/>
      <c r="M3" s="218"/>
      <c r="N3" s="218"/>
      <c r="O3" s="219"/>
      <c r="P3" s="220" t="s">
        <v>4</v>
      </c>
      <c r="Q3" s="219"/>
    </row>
    <row r="4" spans="1:19">
      <c r="A4" s="187" t="s">
        <v>87</v>
      </c>
      <c r="B4" s="187"/>
      <c r="C4" s="187"/>
      <c r="D4" s="187"/>
      <c r="E4" s="187"/>
      <c r="F4" s="187"/>
      <c r="G4" s="187"/>
      <c r="H4" s="187"/>
      <c r="I4" s="187"/>
      <c r="J4" s="187"/>
      <c r="K4" s="188" t="s">
        <v>97</v>
      </c>
      <c r="L4" s="189"/>
      <c r="M4" s="189"/>
      <c r="N4" s="189"/>
      <c r="O4" s="189"/>
      <c r="P4" s="189"/>
      <c r="Q4" s="190"/>
      <c r="R4" s="88"/>
      <c r="S4" s="141"/>
    </row>
    <row r="5" spans="1:19">
      <c r="A5" s="191" t="s">
        <v>7</v>
      </c>
      <c r="B5" s="192"/>
      <c r="C5" s="197" t="s">
        <v>8</v>
      </c>
      <c r="D5" s="198"/>
      <c r="E5" s="198"/>
      <c r="F5" s="198" t="s">
        <v>9</v>
      </c>
      <c r="G5" s="198"/>
      <c r="H5" s="198"/>
      <c r="I5" s="198" t="s">
        <v>10</v>
      </c>
      <c r="J5" s="198"/>
      <c r="K5" s="198"/>
      <c r="L5" s="198" t="s">
        <v>11</v>
      </c>
      <c r="M5" s="198"/>
      <c r="N5" s="199"/>
      <c r="O5" s="200" t="s">
        <v>12</v>
      </c>
      <c r="P5" s="201"/>
      <c r="Q5" s="202"/>
    </row>
    <row r="6" spans="1:19">
      <c r="A6" s="193"/>
      <c r="B6" s="194"/>
      <c r="C6" s="179" t="s">
        <v>13</v>
      </c>
      <c r="D6" s="174"/>
      <c r="E6" s="203" t="s">
        <v>14</v>
      </c>
      <c r="F6" s="174" t="s">
        <v>13</v>
      </c>
      <c r="G6" s="174"/>
      <c r="H6" s="175" t="s">
        <v>14</v>
      </c>
      <c r="I6" s="174" t="s">
        <v>13</v>
      </c>
      <c r="J6" s="174"/>
      <c r="K6" s="175" t="s">
        <v>14</v>
      </c>
      <c r="L6" s="174" t="s">
        <v>13</v>
      </c>
      <c r="M6" s="174"/>
      <c r="N6" s="177" t="s">
        <v>14</v>
      </c>
      <c r="O6" s="179" t="s">
        <v>13</v>
      </c>
      <c r="P6" s="174"/>
      <c r="Q6" s="180" t="s">
        <v>14</v>
      </c>
    </row>
    <row r="7" spans="1:19">
      <c r="A7" s="195"/>
      <c r="B7" s="196"/>
      <c r="C7" s="8" t="s">
        <v>15</v>
      </c>
      <c r="D7" s="7" t="s">
        <v>16</v>
      </c>
      <c r="E7" s="204"/>
      <c r="F7" s="7" t="s">
        <v>15</v>
      </c>
      <c r="G7" s="7" t="s">
        <v>16</v>
      </c>
      <c r="H7" s="176"/>
      <c r="I7" s="7" t="s">
        <v>15</v>
      </c>
      <c r="J7" s="7" t="s">
        <v>16</v>
      </c>
      <c r="K7" s="176"/>
      <c r="L7" s="7" t="s">
        <v>15</v>
      </c>
      <c r="M7" s="7" t="s">
        <v>16</v>
      </c>
      <c r="N7" s="178"/>
      <c r="O7" s="8" t="s">
        <v>15</v>
      </c>
      <c r="P7" s="7" t="s">
        <v>16</v>
      </c>
      <c r="Q7" s="181"/>
    </row>
    <row r="8" spans="1:19" ht="22.5">
      <c r="A8" s="182" t="s">
        <v>17</v>
      </c>
      <c r="B8" s="33" t="s">
        <v>18</v>
      </c>
      <c r="C8" s="6">
        <v>1</v>
      </c>
      <c r="D8" s="5"/>
      <c r="E8" s="4"/>
      <c r="F8" s="6">
        <v>1</v>
      </c>
      <c r="G8" s="5"/>
      <c r="H8" s="4"/>
      <c r="I8" s="27">
        <v>1</v>
      </c>
      <c r="J8" s="76"/>
      <c r="K8" s="30"/>
      <c r="L8" s="77">
        <v>1</v>
      </c>
      <c r="M8" s="26"/>
      <c r="N8" s="30"/>
      <c r="O8" s="27">
        <v>1</v>
      </c>
      <c r="P8" s="26"/>
      <c r="Q8" s="29"/>
    </row>
    <row r="9" spans="1:19" ht="22.5">
      <c r="A9" s="183"/>
      <c r="B9" s="34" t="s">
        <v>19</v>
      </c>
      <c r="C9" s="47"/>
      <c r="D9" s="48">
        <v>1</v>
      </c>
      <c r="E9" s="30"/>
      <c r="F9" s="66">
        <v>1</v>
      </c>
      <c r="G9" s="67"/>
      <c r="H9" s="12"/>
      <c r="I9" s="61">
        <v>1</v>
      </c>
      <c r="J9" s="62"/>
      <c r="K9" s="12"/>
      <c r="L9" s="66">
        <v>1</v>
      </c>
      <c r="M9" s="67"/>
      <c r="N9" s="12"/>
      <c r="O9" s="56"/>
      <c r="P9" s="67">
        <v>1</v>
      </c>
      <c r="Q9" s="29"/>
    </row>
    <row r="10" spans="1:19">
      <c r="A10" s="183"/>
      <c r="B10" s="34" t="s">
        <v>20</v>
      </c>
      <c r="C10" s="49">
        <v>1</v>
      </c>
      <c r="D10" s="46"/>
      <c r="E10" s="30"/>
      <c r="F10" s="66">
        <v>1</v>
      </c>
      <c r="G10" s="67"/>
      <c r="H10" s="12"/>
      <c r="I10" s="61">
        <v>1</v>
      </c>
      <c r="J10" s="62"/>
      <c r="K10" s="12"/>
      <c r="L10" s="66">
        <v>1</v>
      </c>
      <c r="M10" s="67"/>
      <c r="N10" s="12"/>
      <c r="O10" s="56">
        <v>1</v>
      </c>
      <c r="P10" s="67"/>
      <c r="Q10" s="29"/>
    </row>
    <row r="11" spans="1:19">
      <c r="A11" s="183"/>
      <c r="B11" s="34" t="s">
        <v>21</v>
      </c>
      <c r="C11" s="49">
        <v>1</v>
      </c>
      <c r="D11" s="46"/>
      <c r="E11" s="30"/>
      <c r="F11" s="68">
        <v>1</v>
      </c>
      <c r="G11" s="69"/>
      <c r="H11" s="57"/>
      <c r="I11" s="61">
        <v>1</v>
      </c>
      <c r="J11" s="62"/>
      <c r="K11" s="12"/>
      <c r="L11" s="68">
        <v>1</v>
      </c>
      <c r="M11" s="69"/>
      <c r="N11" s="12"/>
      <c r="O11" s="56">
        <v>1</v>
      </c>
      <c r="P11" s="67"/>
      <c r="Q11" s="29"/>
    </row>
    <row r="12" spans="1:19">
      <c r="A12" s="183"/>
      <c r="B12" s="34" t="s">
        <v>22</v>
      </c>
      <c r="C12" s="50">
        <v>1</v>
      </c>
      <c r="D12" s="51"/>
      <c r="E12" s="30"/>
      <c r="F12" s="18">
        <v>1</v>
      </c>
      <c r="G12" s="17"/>
      <c r="H12" s="12"/>
      <c r="I12" s="18">
        <v>1</v>
      </c>
      <c r="J12" s="17"/>
      <c r="K12" s="12"/>
      <c r="L12" s="18">
        <v>1</v>
      </c>
      <c r="M12" s="17"/>
      <c r="N12" s="12"/>
      <c r="O12" s="18">
        <v>1</v>
      </c>
      <c r="P12" s="17"/>
      <c r="Q12" s="12"/>
    </row>
    <row r="13" spans="1:19" ht="22.5">
      <c r="A13" s="183"/>
      <c r="B13" s="34" t="s">
        <v>23</v>
      </c>
      <c r="C13" s="47">
        <v>1</v>
      </c>
      <c r="D13" s="48"/>
      <c r="E13" s="30"/>
      <c r="F13" s="18">
        <v>1</v>
      </c>
      <c r="G13" s="17"/>
      <c r="H13" s="12"/>
      <c r="I13" s="15">
        <v>1</v>
      </c>
      <c r="J13" s="14"/>
      <c r="K13" s="12"/>
      <c r="L13" s="18">
        <v>1</v>
      </c>
      <c r="M13" s="17"/>
      <c r="N13" s="12"/>
      <c r="O13" s="56">
        <v>1</v>
      </c>
      <c r="P13" s="67"/>
      <c r="Q13" s="29"/>
    </row>
    <row r="14" spans="1:19">
      <c r="A14" s="183"/>
      <c r="B14" s="34" t="s">
        <v>24</v>
      </c>
      <c r="C14" s="47">
        <v>1</v>
      </c>
      <c r="D14" s="48"/>
      <c r="E14" s="28"/>
      <c r="F14" s="18">
        <v>1</v>
      </c>
      <c r="G14" s="17"/>
      <c r="H14" s="12"/>
      <c r="I14" s="15">
        <v>1</v>
      </c>
      <c r="J14" s="14"/>
      <c r="K14" s="12"/>
      <c r="L14" s="18">
        <v>1</v>
      </c>
      <c r="M14" s="17"/>
      <c r="N14" s="12"/>
      <c r="O14" s="56">
        <v>1</v>
      </c>
      <c r="P14" s="67"/>
      <c r="Q14" s="29"/>
    </row>
    <row r="15" spans="1:19">
      <c r="A15" s="183"/>
      <c r="B15" s="34" t="s">
        <v>25</v>
      </c>
      <c r="C15" s="89"/>
      <c r="D15" s="90"/>
      <c r="E15" s="91"/>
      <c r="F15" s="92"/>
      <c r="G15" s="93"/>
      <c r="H15" s="94"/>
      <c r="I15" s="63">
        <v>1</v>
      </c>
      <c r="J15" s="64"/>
      <c r="K15" s="65"/>
      <c r="L15" s="92"/>
      <c r="M15" s="93"/>
      <c r="N15" s="94"/>
      <c r="O15" s="95"/>
      <c r="P15" s="96"/>
      <c r="Q15" s="97"/>
    </row>
    <row r="16" spans="1:19">
      <c r="A16" s="183"/>
      <c r="B16" s="34" t="s">
        <v>26</v>
      </c>
      <c r="C16" s="123"/>
      <c r="D16" s="124"/>
      <c r="E16" s="111"/>
      <c r="F16" s="16">
        <v>1</v>
      </c>
      <c r="G16" s="13"/>
      <c r="H16" s="12"/>
      <c r="I16" s="22"/>
      <c r="J16" s="21">
        <v>1</v>
      </c>
      <c r="K16" s="12"/>
      <c r="L16" s="16">
        <v>1</v>
      </c>
      <c r="M16" s="13"/>
      <c r="N16" s="12"/>
      <c r="O16" s="95"/>
      <c r="P16" s="96"/>
      <c r="Q16" s="97"/>
    </row>
    <row r="17" spans="1:17">
      <c r="A17" s="183"/>
      <c r="B17" s="34" t="s">
        <v>27</v>
      </c>
      <c r="C17" s="98"/>
      <c r="D17" s="99"/>
      <c r="E17" s="100"/>
      <c r="F17" s="123"/>
      <c r="G17" s="124"/>
      <c r="H17" s="111"/>
      <c r="I17" s="15">
        <v>1</v>
      </c>
      <c r="J17" s="14"/>
      <c r="K17" s="58"/>
      <c r="L17" s="18"/>
      <c r="M17" s="17">
        <v>1</v>
      </c>
      <c r="N17" s="12"/>
      <c r="O17" s="95"/>
      <c r="P17" s="96"/>
      <c r="Q17" s="97"/>
    </row>
    <row r="18" spans="1:17">
      <c r="A18" s="183"/>
      <c r="B18" s="34" t="s">
        <v>28</v>
      </c>
      <c r="C18" s="47">
        <v>1</v>
      </c>
      <c r="D18" s="48"/>
      <c r="E18" s="30"/>
      <c r="F18" s="123"/>
      <c r="G18" s="124"/>
      <c r="H18" s="111"/>
      <c r="I18" s="123"/>
      <c r="J18" s="124"/>
      <c r="K18" s="111"/>
      <c r="L18" s="142">
        <v>1</v>
      </c>
      <c r="M18" s="108"/>
      <c r="N18" s="106"/>
      <c r="O18" s="56">
        <v>1</v>
      </c>
      <c r="P18" s="67"/>
      <c r="Q18" s="29"/>
    </row>
    <row r="19" spans="1:17">
      <c r="A19" s="183"/>
      <c r="B19" s="34" t="s">
        <v>29</v>
      </c>
      <c r="C19" s="47">
        <v>1</v>
      </c>
      <c r="D19" s="48"/>
      <c r="E19" s="30"/>
      <c r="F19" s="16">
        <v>1</v>
      </c>
      <c r="G19" s="13"/>
      <c r="H19" s="12"/>
      <c r="I19" s="22">
        <v>1</v>
      </c>
      <c r="J19" s="21"/>
      <c r="K19" s="59"/>
      <c r="L19" s="18">
        <v>1</v>
      </c>
      <c r="M19" s="17"/>
      <c r="N19" s="12"/>
      <c r="O19" s="56">
        <v>1</v>
      </c>
      <c r="P19" s="67"/>
      <c r="Q19" s="29"/>
    </row>
    <row r="20" spans="1:17">
      <c r="A20" s="183"/>
      <c r="B20" s="34" t="s">
        <v>30</v>
      </c>
      <c r="C20" s="123"/>
      <c r="D20" s="124"/>
      <c r="E20" s="111"/>
      <c r="F20" s="16">
        <v>1</v>
      </c>
      <c r="G20" s="13"/>
      <c r="H20" s="12"/>
      <c r="I20" s="101"/>
      <c r="J20" s="102"/>
      <c r="K20" s="103"/>
      <c r="L20" s="104"/>
      <c r="M20" s="105"/>
      <c r="N20" s="103"/>
      <c r="O20" s="56">
        <v>1</v>
      </c>
      <c r="P20" s="67"/>
      <c r="Q20" s="29"/>
    </row>
    <row r="21" spans="1:17">
      <c r="A21" s="183"/>
      <c r="B21" s="34" t="s">
        <v>31</v>
      </c>
      <c r="C21" s="47">
        <v>1</v>
      </c>
      <c r="D21" s="48"/>
      <c r="E21" s="30"/>
      <c r="F21" s="16">
        <v>1</v>
      </c>
      <c r="G21" s="13"/>
      <c r="H21" s="12"/>
      <c r="I21" s="101"/>
      <c r="J21" s="102"/>
      <c r="K21" s="103"/>
      <c r="L21" s="104"/>
      <c r="M21" s="105"/>
      <c r="N21" s="103"/>
      <c r="O21" s="56">
        <v>1</v>
      </c>
      <c r="P21" s="67"/>
      <c r="Q21" s="29"/>
    </row>
    <row r="22" spans="1:17">
      <c r="A22" s="183"/>
      <c r="B22" s="34" t="s">
        <v>32</v>
      </c>
      <c r="C22" s="98"/>
      <c r="D22" s="99"/>
      <c r="E22" s="100"/>
      <c r="F22" s="104"/>
      <c r="G22" s="105"/>
      <c r="H22" s="111"/>
      <c r="I22" s="22">
        <v>1</v>
      </c>
      <c r="J22" s="21"/>
      <c r="K22" s="59"/>
      <c r="L22" s="123"/>
      <c r="M22" s="124"/>
      <c r="N22" s="111"/>
      <c r="O22" s="123"/>
      <c r="P22" s="124"/>
      <c r="Q22" s="111"/>
    </row>
    <row r="23" spans="1:17">
      <c r="A23" s="183"/>
      <c r="B23" s="34" t="s">
        <v>33</v>
      </c>
      <c r="C23" s="47">
        <v>1</v>
      </c>
      <c r="D23" s="48"/>
      <c r="E23" s="30"/>
      <c r="F23" s="16">
        <v>1</v>
      </c>
      <c r="G23" s="13"/>
      <c r="H23" s="59"/>
      <c r="I23" s="123"/>
      <c r="J23" s="124"/>
      <c r="K23" s="111"/>
      <c r="L23" s="123"/>
      <c r="M23" s="124"/>
      <c r="N23" s="111"/>
      <c r="O23" s="123"/>
      <c r="P23" s="124"/>
      <c r="Q23" s="111"/>
    </row>
    <row r="24" spans="1:17">
      <c r="A24" s="183"/>
      <c r="B24" s="34" t="s">
        <v>34</v>
      </c>
      <c r="C24" s="47">
        <v>1</v>
      </c>
      <c r="D24" s="48"/>
      <c r="E24" s="30"/>
      <c r="F24" s="16"/>
      <c r="G24" s="13">
        <v>1</v>
      </c>
      <c r="H24" s="59"/>
      <c r="I24" s="101"/>
      <c r="J24" s="102"/>
      <c r="K24" s="103"/>
      <c r="L24" s="104"/>
      <c r="M24" s="105"/>
      <c r="N24" s="111"/>
      <c r="O24" s="56">
        <v>1</v>
      </c>
      <c r="P24" s="67"/>
      <c r="Q24" s="29"/>
    </row>
    <row r="25" spans="1:17">
      <c r="A25" s="183"/>
      <c r="B25" s="34" t="s">
        <v>35</v>
      </c>
      <c r="C25" s="98"/>
      <c r="D25" s="99"/>
      <c r="E25" s="100"/>
      <c r="F25" s="104"/>
      <c r="G25" s="105"/>
      <c r="H25" s="103"/>
      <c r="I25" s="101"/>
      <c r="J25" s="102"/>
      <c r="K25" s="103"/>
      <c r="L25" s="16">
        <v>1</v>
      </c>
      <c r="M25" s="13"/>
      <c r="N25" s="12"/>
      <c r="O25" s="95"/>
      <c r="P25" s="96"/>
      <c r="Q25" s="97"/>
    </row>
    <row r="26" spans="1:17">
      <c r="A26" s="183"/>
      <c r="B26" s="34" t="s">
        <v>36</v>
      </c>
      <c r="C26" s="47">
        <v>1</v>
      </c>
      <c r="D26" s="48"/>
      <c r="E26" s="30"/>
      <c r="F26" s="16">
        <v>1</v>
      </c>
      <c r="G26" s="13"/>
      <c r="H26" s="59"/>
      <c r="I26" s="123"/>
      <c r="J26" s="124"/>
      <c r="K26" s="111"/>
      <c r="L26" s="123"/>
      <c r="M26" s="124"/>
      <c r="N26" s="111"/>
      <c r="O26" s="56">
        <v>1</v>
      </c>
      <c r="P26" s="67"/>
      <c r="Q26" s="29"/>
    </row>
    <row r="27" spans="1:17">
      <c r="A27" s="183"/>
      <c r="B27" s="34" t="s">
        <v>37</v>
      </c>
      <c r="C27" s="47"/>
      <c r="D27" s="48">
        <v>1</v>
      </c>
      <c r="E27" s="30"/>
      <c r="F27" s="16"/>
      <c r="G27" s="13">
        <v>1</v>
      </c>
      <c r="H27" s="59"/>
      <c r="I27" s="123"/>
      <c r="J27" s="124"/>
      <c r="K27" s="111"/>
      <c r="L27" s="123"/>
      <c r="M27" s="124"/>
      <c r="N27" s="111"/>
      <c r="O27" s="123"/>
      <c r="P27" s="124"/>
      <c r="Q27" s="111"/>
    </row>
    <row r="28" spans="1:17" ht="22.5">
      <c r="A28" s="183"/>
      <c r="B28" s="34" t="s">
        <v>38</v>
      </c>
      <c r="C28" s="47">
        <v>1</v>
      </c>
      <c r="D28" s="48"/>
      <c r="E28" s="12"/>
      <c r="F28" s="16">
        <v>1</v>
      </c>
      <c r="G28" s="13"/>
      <c r="H28" s="59"/>
      <c r="I28" s="22">
        <v>1</v>
      </c>
      <c r="J28" s="21"/>
      <c r="K28" s="59"/>
      <c r="L28" s="16">
        <v>1</v>
      </c>
      <c r="M28" s="13"/>
      <c r="N28" s="12"/>
      <c r="O28" s="56"/>
      <c r="P28" s="67">
        <v>1</v>
      </c>
      <c r="Q28" s="29"/>
    </row>
    <row r="29" spans="1:17">
      <c r="A29" s="183"/>
      <c r="B29" s="34" t="s">
        <v>39</v>
      </c>
      <c r="C29" s="47">
        <v>1</v>
      </c>
      <c r="D29" s="48"/>
      <c r="E29" s="12"/>
      <c r="F29" s="16">
        <v>1</v>
      </c>
      <c r="G29" s="13"/>
      <c r="H29" s="59"/>
      <c r="I29" s="22">
        <v>1</v>
      </c>
      <c r="J29" s="21"/>
      <c r="K29" s="59"/>
      <c r="L29" s="16">
        <v>1</v>
      </c>
      <c r="M29" s="13"/>
      <c r="N29" s="12"/>
      <c r="O29" s="56">
        <v>1</v>
      </c>
      <c r="P29" s="67"/>
      <c r="Q29" s="29"/>
    </row>
    <row r="30" spans="1:17">
      <c r="A30" s="183"/>
      <c r="B30" s="34" t="s">
        <v>40</v>
      </c>
      <c r="C30" s="47">
        <v>1</v>
      </c>
      <c r="D30" s="48"/>
      <c r="E30" s="12"/>
      <c r="F30" s="16">
        <v>1</v>
      </c>
      <c r="G30" s="13"/>
      <c r="H30" s="59"/>
      <c r="I30" s="22"/>
      <c r="J30" s="21">
        <v>1</v>
      </c>
      <c r="K30" s="59"/>
      <c r="L30" s="16"/>
      <c r="M30" s="13">
        <v>1</v>
      </c>
      <c r="N30" s="59"/>
      <c r="O30" s="56"/>
      <c r="P30" s="67">
        <v>1</v>
      </c>
      <c r="Q30" s="29"/>
    </row>
    <row r="31" spans="1:17">
      <c r="A31" s="183"/>
      <c r="B31" s="34" t="s">
        <v>41</v>
      </c>
      <c r="C31" s="47"/>
      <c r="D31" s="48">
        <v>1</v>
      </c>
      <c r="E31" s="12"/>
      <c r="F31" s="16"/>
      <c r="G31" s="13">
        <v>1</v>
      </c>
      <c r="H31" s="59"/>
      <c r="I31" s="123"/>
      <c r="J31" s="124"/>
      <c r="K31" s="111"/>
      <c r="L31" s="123"/>
      <c r="M31" s="124"/>
      <c r="N31" s="111"/>
      <c r="O31" s="56">
        <v>1</v>
      </c>
      <c r="P31" s="67"/>
      <c r="Q31" s="29"/>
    </row>
    <row r="32" spans="1:17">
      <c r="A32" s="183"/>
      <c r="B32" s="34" t="s">
        <v>42</v>
      </c>
      <c r="C32" s="47">
        <v>1</v>
      </c>
      <c r="D32" s="48"/>
      <c r="E32" s="12"/>
      <c r="F32" s="123"/>
      <c r="G32" s="124"/>
      <c r="H32" s="111"/>
      <c r="I32" s="22">
        <v>1</v>
      </c>
      <c r="J32" s="21"/>
      <c r="K32" s="59"/>
      <c r="L32" s="16">
        <v>1</v>
      </c>
      <c r="M32" s="13"/>
      <c r="N32" s="59"/>
      <c r="O32" s="56">
        <v>1</v>
      </c>
      <c r="P32" s="67"/>
      <c r="Q32" s="29"/>
    </row>
    <row r="33" spans="1:17" ht="22.5">
      <c r="A33" s="183"/>
      <c r="B33" s="34" t="s">
        <v>43</v>
      </c>
      <c r="C33" s="47">
        <v>1</v>
      </c>
      <c r="D33" s="48"/>
      <c r="E33" s="12"/>
      <c r="F33" s="16">
        <v>1</v>
      </c>
      <c r="G33" s="13"/>
      <c r="H33" s="12"/>
      <c r="I33" s="22"/>
      <c r="J33" s="21">
        <v>1</v>
      </c>
      <c r="K33" s="12"/>
      <c r="L33" s="16"/>
      <c r="M33" s="13">
        <v>1</v>
      </c>
      <c r="N33" s="12"/>
      <c r="O33" s="56"/>
      <c r="P33" s="67">
        <v>1</v>
      </c>
      <c r="Q33" s="29"/>
    </row>
    <row r="34" spans="1:17">
      <c r="A34" s="183"/>
      <c r="B34" s="34" t="s">
        <v>44</v>
      </c>
      <c r="C34" s="47">
        <v>1</v>
      </c>
      <c r="D34" s="52"/>
      <c r="E34" s="53"/>
      <c r="F34" s="16">
        <v>1</v>
      </c>
      <c r="G34" s="13"/>
      <c r="H34" s="59"/>
      <c r="I34" s="22">
        <v>1</v>
      </c>
      <c r="J34" s="21"/>
      <c r="K34" s="59"/>
      <c r="L34" s="16">
        <v>1</v>
      </c>
      <c r="M34" s="13"/>
      <c r="N34" s="59"/>
      <c r="O34" s="56">
        <v>1</v>
      </c>
      <c r="P34" s="67"/>
      <c r="Q34" s="29"/>
    </row>
    <row r="35" spans="1:17">
      <c r="A35" s="183"/>
      <c r="B35" s="34" t="s">
        <v>45</v>
      </c>
      <c r="C35" s="47">
        <v>1</v>
      </c>
      <c r="D35" s="52"/>
      <c r="E35" s="53"/>
      <c r="F35" s="20">
        <v>1</v>
      </c>
      <c r="G35" s="19"/>
      <c r="H35" s="60"/>
      <c r="I35" s="22">
        <v>1</v>
      </c>
      <c r="J35" s="21"/>
      <c r="K35" s="60"/>
      <c r="L35" s="20">
        <v>1</v>
      </c>
      <c r="M35" s="19"/>
      <c r="N35" s="60"/>
      <c r="O35" s="56">
        <v>1</v>
      </c>
      <c r="P35" s="67"/>
      <c r="Q35" s="29"/>
    </row>
    <row r="36" spans="1:17">
      <c r="A36" s="184"/>
      <c r="B36" s="35" t="s">
        <v>46</v>
      </c>
      <c r="C36" s="55">
        <v>1</v>
      </c>
      <c r="D36" s="54"/>
      <c r="E36" s="25"/>
      <c r="F36" s="24">
        <v>1</v>
      </c>
      <c r="G36" s="23"/>
      <c r="H36" s="70"/>
      <c r="I36" s="22">
        <v>1</v>
      </c>
      <c r="J36" s="21"/>
      <c r="K36" s="60"/>
      <c r="L36" s="20">
        <v>1</v>
      </c>
      <c r="M36" s="19"/>
      <c r="N36" s="60"/>
      <c r="O36" s="71">
        <v>1</v>
      </c>
      <c r="P36" s="72"/>
      <c r="Q36" s="60"/>
    </row>
    <row r="37" spans="1:17">
      <c r="A37" s="182" t="s">
        <v>47</v>
      </c>
      <c r="B37" s="33" t="s">
        <v>48</v>
      </c>
      <c r="C37" s="112"/>
      <c r="D37" s="113"/>
      <c r="E37" s="114"/>
      <c r="F37" s="31">
        <v>1</v>
      </c>
      <c r="G37" s="32"/>
      <c r="H37" s="4"/>
      <c r="I37" s="115"/>
      <c r="J37" s="116"/>
      <c r="K37" s="114"/>
      <c r="L37" s="117"/>
      <c r="M37" s="118"/>
      <c r="N37" s="119"/>
      <c r="O37" s="120"/>
      <c r="P37" s="121"/>
      <c r="Q37" s="122"/>
    </row>
    <row r="38" spans="1:17">
      <c r="A38" s="183"/>
      <c r="B38" s="36" t="s">
        <v>49</v>
      </c>
      <c r="C38" s="47">
        <v>1</v>
      </c>
      <c r="D38" s="48"/>
      <c r="E38" s="30"/>
      <c r="F38" s="123"/>
      <c r="G38" s="124"/>
      <c r="H38" s="111"/>
      <c r="I38" s="125"/>
      <c r="J38" s="126"/>
      <c r="K38" s="111"/>
      <c r="L38" s="123"/>
      <c r="M38" s="124"/>
      <c r="N38" s="111"/>
      <c r="O38" s="123"/>
      <c r="P38" s="124"/>
      <c r="Q38" s="111"/>
    </row>
    <row r="39" spans="1:17">
      <c r="A39" s="183"/>
      <c r="B39" s="34" t="s">
        <v>50</v>
      </c>
      <c r="C39" s="47">
        <v>1</v>
      </c>
      <c r="D39" s="48"/>
      <c r="E39" s="30"/>
      <c r="F39" s="123"/>
      <c r="G39" s="124"/>
      <c r="H39" s="111"/>
      <c r="I39" s="125"/>
      <c r="J39" s="126"/>
      <c r="K39" s="111"/>
      <c r="L39" s="104"/>
      <c r="M39" s="105"/>
      <c r="N39" s="103"/>
      <c r="O39" s="123"/>
      <c r="P39" s="124"/>
      <c r="Q39" s="111"/>
    </row>
    <row r="40" spans="1:17">
      <c r="A40" s="183"/>
      <c r="B40" s="34" t="s">
        <v>51</v>
      </c>
      <c r="C40" s="47">
        <v>1</v>
      </c>
      <c r="D40" s="48"/>
      <c r="E40" s="30"/>
      <c r="F40" s="123"/>
      <c r="G40" s="124"/>
      <c r="H40" s="111"/>
      <c r="I40" s="125"/>
      <c r="J40" s="126"/>
      <c r="K40" s="111"/>
      <c r="L40" s="92"/>
      <c r="M40" s="93"/>
      <c r="N40" s="94"/>
      <c r="O40" s="123"/>
      <c r="P40" s="124"/>
      <c r="Q40" s="111"/>
    </row>
    <row r="41" spans="1:17">
      <c r="A41" s="183"/>
      <c r="B41" s="34" t="s">
        <v>52</v>
      </c>
      <c r="C41" s="98"/>
      <c r="D41" s="99"/>
      <c r="E41" s="100"/>
      <c r="F41" s="123"/>
      <c r="G41" s="124"/>
      <c r="H41" s="111"/>
      <c r="I41" s="125"/>
      <c r="J41" s="126"/>
      <c r="K41" s="111"/>
      <c r="L41" s="104"/>
      <c r="M41" s="105"/>
      <c r="N41" s="103"/>
      <c r="O41" s="127"/>
      <c r="P41" s="128"/>
      <c r="Q41" s="97"/>
    </row>
    <row r="42" spans="1:17">
      <c r="A42" s="183"/>
      <c r="B42" s="34" t="s">
        <v>53</v>
      </c>
      <c r="C42" s="98"/>
      <c r="D42" s="99"/>
      <c r="E42" s="100"/>
      <c r="F42" s="123"/>
      <c r="G42" s="124"/>
      <c r="H42" s="111"/>
      <c r="I42" s="125"/>
      <c r="J42" s="126"/>
      <c r="K42" s="111"/>
      <c r="L42" s="104"/>
      <c r="M42" s="105"/>
      <c r="N42" s="103"/>
      <c r="O42" s="127"/>
      <c r="P42" s="128"/>
      <c r="Q42" s="97"/>
    </row>
    <row r="43" spans="1:17">
      <c r="A43" s="183"/>
      <c r="B43" s="34" t="s">
        <v>54</v>
      </c>
      <c r="C43" s="47"/>
      <c r="D43" s="48">
        <v>1</v>
      </c>
      <c r="E43" s="30"/>
      <c r="F43" s="123"/>
      <c r="G43" s="124"/>
      <c r="H43" s="111"/>
      <c r="I43" s="125"/>
      <c r="J43" s="126"/>
      <c r="K43" s="111"/>
      <c r="L43" s="104"/>
      <c r="M43" s="105"/>
      <c r="N43" s="103"/>
      <c r="O43" s="127"/>
      <c r="P43" s="128"/>
      <c r="Q43" s="97"/>
    </row>
    <row r="44" spans="1:17">
      <c r="A44" s="183"/>
      <c r="B44" s="34" t="s">
        <v>55</v>
      </c>
      <c r="C44" s="123"/>
      <c r="D44" s="124"/>
      <c r="E44" s="111"/>
      <c r="F44" s="123"/>
      <c r="G44" s="124"/>
      <c r="H44" s="111"/>
      <c r="I44" s="15">
        <v>1</v>
      </c>
      <c r="J44" s="14"/>
      <c r="K44" s="12"/>
      <c r="L44" s="16">
        <v>1</v>
      </c>
      <c r="M44" s="13"/>
      <c r="N44" s="12"/>
      <c r="O44" s="123"/>
      <c r="P44" s="124"/>
      <c r="Q44" s="111"/>
    </row>
    <row r="45" spans="1:17">
      <c r="A45" s="183"/>
      <c r="B45" s="34" t="s">
        <v>56</v>
      </c>
      <c r="C45" s="47">
        <v>1</v>
      </c>
      <c r="D45" s="48"/>
      <c r="E45" s="30"/>
      <c r="F45" s="123"/>
      <c r="G45" s="124"/>
      <c r="H45" s="111"/>
      <c r="I45" s="125"/>
      <c r="J45" s="126"/>
      <c r="K45" s="111"/>
      <c r="L45" s="129"/>
      <c r="M45" s="105"/>
      <c r="N45" s="111"/>
      <c r="O45" s="130"/>
      <c r="P45" s="131"/>
      <c r="Q45" s="97"/>
    </row>
    <row r="46" spans="1:17">
      <c r="A46" s="183"/>
      <c r="B46" s="34" t="s">
        <v>57</v>
      </c>
      <c r="C46" s="123"/>
      <c r="D46" s="124"/>
      <c r="E46" s="111"/>
      <c r="F46" s="123"/>
      <c r="G46" s="124"/>
      <c r="H46" s="111"/>
      <c r="I46" s="123"/>
      <c r="J46" s="124"/>
      <c r="K46" s="111"/>
      <c r="L46" s="123"/>
      <c r="M46" s="124"/>
      <c r="N46" s="111"/>
      <c r="O46" s="123"/>
      <c r="P46" s="124"/>
      <c r="Q46" s="111"/>
    </row>
    <row r="47" spans="1:17">
      <c r="A47" s="183"/>
      <c r="B47" s="34" t="s">
        <v>58</v>
      </c>
      <c r="C47" s="123"/>
      <c r="D47" s="124"/>
      <c r="E47" s="111"/>
      <c r="F47" s="18">
        <v>1</v>
      </c>
      <c r="G47" s="17"/>
      <c r="H47" s="12"/>
      <c r="I47" s="15"/>
      <c r="J47" s="14">
        <v>1</v>
      </c>
      <c r="K47" s="12"/>
      <c r="L47" s="78">
        <v>1</v>
      </c>
      <c r="M47" s="13"/>
      <c r="N47" s="12"/>
      <c r="O47" s="73">
        <v>1</v>
      </c>
      <c r="P47" s="74"/>
      <c r="Q47" s="29"/>
    </row>
    <row r="48" spans="1:17">
      <c r="A48" s="185" t="s">
        <v>59</v>
      </c>
      <c r="B48" s="37" t="s">
        <v>59</v>
      </c>
      <c r="C48" s="75">
        <f>SUM(C8:C47)</f>
        <v>24</v>
      </c>
      <c r="D48" s="75">
        <f t="shared" ref="D48:Q48" si="0">SUM(D8:D47)</f>
        <v>4</v>
      </c>
      <c r="E48" s="75">
        <f t="shared" si="0"/>
        <v>0</v>
      </c>
      <c r="F48" s="75">
        <f t="shared" si="0"/>
        <v>22</v>
      </c>
      <c r="G48" s="75">
        <f t="shared" si="0"/>
        <v>3</v>
      </c>
      <c r="H48" s="75">
        <f t="shared" si="0"/>
        <v>0</v>
      </c>
      <c r="I48" s="75">
        <f t="shared" si="0"/>
        <v>18</v>
      </c>
      <c r="J48" s="75">
        <f t="shared" si="0"/>
        <v>4</v>
      </c>
      <c r="K48" s="75">
        <f t="shared" si="0"/>
        <v>0</v>
      </c>
      <c r="L48" s="75">
        <f t="shared" si="0"/>
        <v>19</v>
      </c>
      <c r="M48" s="75">
        <f t="shared" si="0"/>
        <v>3</v>
      </c>
      <c r="N48" s="75">
        <f t="shared" si="0"/>
        <v>0</v>
      </c>
      <c r="O48" s="75">
        <f t="shared" si="0"/>
        <v>19</v>
      </c>
      <c r="P48" s="75">
        <f t="shared" si="0"/>
        <v>4</v>
      </c>
      <c r="Q48" s="75">
        <f t="shared" si="0"/>
        <v>0</v>
      </c>
    </row>
    <row r="49" spans="1:17">
      <c r="A49" s="186"/>
      <c r="B49" s="38" t="s">
        <v>60</v>
      </c>
      <c r="C49" s="171"/>
      <c r="D49" s="172"/>
      <c r="E49" s="173"/>
      <c r="F49" s="10"/>
      <c r="G49" s="9"/>
      <c r="H49" s="11"/>
      <c r="I49" s="10"/>
      <c r="J49" s="9"/>
      <c r="K49" s="11"/>
      <c r="L49" s="10"/>
      <c r="M49" s="9"/>
      <c r="N49" s="11"/>
      <c r="O49" s="10"/>
      <c r="P49" s="9"/>
      <c r="Q49" s="11"/>
    </row>
    <row r="50" spans="1:17">
      <c r="A50" s="167" t="s">
        <v>61</v>
      </c>
      <c r="B50" s="168"/>
      <c r="C50" s="169" t="s">
        <v>98</v>
      </c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70"/>
    </row>
    <row r="51" spans="1:17">
      <c r="A51" s="45" t="s">
        <v>62</v>
      </c>
      <c r="B51" s="44"/>
      <c r="C51" s="44"/>
      <c r="D51" s="44"/>
      <c r="E51" s="159" t="s">
        <v>90</v>
      </c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1"/>
    </row>
    <row r="52" spans="1:17">
      <c r="A52" s="145" t="s">
        <v>99</v>
      </c>
      <c r="B52" s="146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7"/>
    </row>
    <row r="53" spans="1:17">
      <c r="A53" s="148" t="s">
        <v>63</v>
      </c>
      <c r="B53" s="149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7"/>
    </row>
    <row r="54" spans="1:17">
      <c r="A54" s="164" t="s">
        <v>92</v>
      </c>
      <c r="B54" s="165"/>
      <c r="C54" s="165"/>
      <c r="D54" s="165"/>
      <c r="E54" s="165"/>
      <c r="F54" s="165"/>
      <c r="G54" s="165"/>
      <c r="H54" s="165"/>
      <c r="I54" s="165"/>
      <c r="J54" s="165"/>
      <c r="K54" s="165"/>
      <c r="L54" s="165"/>
      <c r="M54" s="165"/>
      <c r="N54" s="165"/>
      <c r="O54" s="165"/>
      <c r="P54" s="165"/>
      <c r="Q54" s="166"/>
    </row>
    <row r="55" spans="1:17" ht="26.25" customHeight="1">
      <c r="A55" s="162" t="s">
        <v>64</v>
      </c>
      <c r="B55" s="163"/>
      <c r="C55" s="163"/>
      <c r="D55" s="163"/>
      <c r="E55" s="163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7"/>
    </row>
    <row r="56" spans="1:17">
      <c r="A56" s="148" t="s">
        <v>65</v>
      </c>
      <c r="B56" s="149"/>
      <c r="C56" s="146">
        <f>SUM(C48:Q48)</f>
        <v>120</v>
      </c>
      <c r="D56" s="146"/>
      <c r="E56" s="146"/>
      <c r="F56" s="146"/>
      <c r="G56" s="146"/>
      <c r="H56" s="146"/>
      <c r="I56" s="146"/>
      <c r="J56" s="44" t="s">
        <v>66</v>
      </c>
      <c r="M56" s="157">
        <f>A58/C56</f>
        <v>0.85</v>
      </c>
      <c r="N56" s="157"/>
      <c r="O56" s="157"/>
      <c r="P56" s="157"/>
      <c r="Q56" s="158"/>
    </row>
    <row r="57" spans="1:17">
      <c r="A57" s="148" t="s">
        <v>67</v>
      </c>
      <c r="B57" s="149"/>
      <c r="E57" s="146"/>
      <c r="F57" s="146"/>
      <c r="G57" s="146"/>
      <c r="H57" s="146"/>
      <c r="I57" s="146"/>
      <c r="J57" s="146"/>
      <c r="K57" s="146"/>
      <c r="M57" s="157"/>
      <c r="N57" s="157"/>
      <c r="O57" s="157"/>
      <c r="P57" s="157"/>
      <c r="Q57" s="158"/>
    </row>
    <row r="58" spans="1:17">
      <c r="A58" s="145">
        <f>SUM(O48+L48+I48+F48+C48)</f>
        <v>102</v>
      </c>
      <c r="B58" s="146"/>
      <c r="C58" s="146"/>
      <c r="D58" s="146"/>
      <c r="E58" s="146"/>
      <c r="F58" s="146"/>
      <c r="G58" s="146"/>
      <c r="H58" s="146"/>
      <c r="I58" s="146"/>
      <c r="J58" t="s">
        <v>68</v>
      </c>
      <c r="M58" s="146">
        <f>C56-C61</f>
        <v>120</v>
      </c>
      <c r="N58" s="146"/>
      <c r="O58" s="146"/>
      <c r="P58" s="146"/>
      <c r="Q58" s="147"/>
    </row>
    <row r="59" spans="1:17">
      <c r="A59" s="148" t="s">
        <v>69</v>
      </c>
      <c r="B59" s="149"/>
      <c r="C59" s="146">
        <f>SUM(P48+M48+J48+G48+D48)</f>
        <v>18</v>
      </c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7"/>
    </row>
    <row r="60" spans="1:17">
      <c r="A60" s="43"/>
      <c r="Q60" s="42"/>
    </row>
    <row r="61" spans="1:17">
      <c r="A61" s="148" t="s">
        <v>70</v>
      </c>
      <c r="B61" s="149"/>
      <c r="C61" s="146">
        <f>SUM(Q48+N48+K48+H48+E48)</f>
        <v>0</v>
      </c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7"/>
    </row>
    <row r="62" spans="1:17">
      <c r="A62" s="39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1"/>
    </row>
    <row r="63" spans="1:17">
      <c r="A63" s="148" t="s">
        <v>71</v>
      </c>
      <c r="B63" s="149"/>
      <c r="H63" s="42"/>
      <c r="I63" s="148" t="s">
        <v>72</v>
      </c>
      <c r="J63" s="149"/>
      <c r="K63" s="149"/>
      <c r="L63" s="149"/>
      <c r="M63" s="149"/>
      <c r="N63" s="149"/>
      <c r="O63" s="149"/>
      <c r="P63" s="149"/>
      <c r="Q63" s="150"/>
    </row>
    <row r="64" spans="1:17">
      <c r="A64" s="151" t="s">
        <v>73</v>
      </c>
      <c r="B64" s="152"/>
      <c r="C64" s="40"/>
      <c r="D64" s="40"/>
      <c r="E64" s="40"/>
      <c r="F64" s="40"/>
      <c r="G64" s="40"/>
      <c r="H64" s="41"/>
      <c r="I64" s="151" t="s">
        <v>74</v>
      </c>
      <c r="J64" s="152"/>
      <c r="K64" s="152"/>
      <c r="L64" s="152"/>
      <c r="M64" s="152"/>
      <c r="N64" s="152"/>
      <c r="O64" s="152"/>
      <c r="P64" s="152"/>
      <c r="Q64" s="153"/>
    </row>
    <row r="65" spans="1:17" ht="51.6" customHeight="1">
      <c r="A65" s="154" t="s">
        <v>93</v>
      </c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6"/>
    </row>
    <row r="66" spans="1:17"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</row>
  </sheetData>
  <mergeCells count="55">
    <mergeCell ref="A65:Q65"/>
    <mergeCell ref="B66:Q66"/>
    <mergeCell ref="A61:B61"/>
    <mergeCell ref="C61:Q61"/>
    <mergeCell ref="A63:B63"/>
    <mergeCell ref="I63:Q63"/>
    <mergeCell ref="A64:B64"/>
    <mergeCell ref="I64:Q64"/>
    <mergeCell ref="A57:B57"/>
    <mergeCell ref="E57:K57"/>
    <mergeCell ref="M57:Q57"/>
    <mergeCell ref="A58:I58"/>
    <mergeCell ref="M58:Q58"/>
    <mergeCell ref="A59:B59"/>
    <mergeCell ref="C59:Q59"/>
    <mergeCell ref="A54:Q54"/>
    <mergeCell ref="A55:E55"/>
    <mergeCell ref="F55:Q55"/>
    <mergeCell ref="A56:B56"/>
    <mergeCell ref="C56:I56"/>
    <mergeCell ref="M56:Q56"/>
    <mergeCell ref="A50:B50"/>
    <mergeCell ref="C50:Q50"/>
    <mergeCell ref="E51:Q51"/>
    <mergeCell ref="A52:Q52"/>
    <mergeCell ref="A53:B53"/>
    <mergeCell ref="C53:Q53"/>
    <mergeCell ref="O6:P6"/>
    <mergeCell ref="Q6:Q7"/>
    <mergeCell ref="A8:A36"/>
    <mergeCell ref="A37:A47"/>
    <mergeCell ref="A48:A49"/>
    <mergeCell ref="C49:E49"/>
    <mergeCell ref="F6:G6"/>
    <mergeCell ref="H6:H7"/>
    <mergeCell ref="I6:J6"/>
    <mergeCell ref="K6:K7"/>
    <mergeCell ref="L6:M6"/>
    <mergeCell ref="N6:N7"/>
    <mergeCell ref="A4:J4"/>
    <mergeCell ref="K4:Q4"/>
    <mergeCell ref="A5:B7"/>
    <mergeCell ref="C5:E5"/>
    <mergeCell ref="F5:H5"/>
    <mergeCell ref="I5:K5"/>
    <mergeCell ref="L5:N5"/>
    <mergeCell ref="O5:Q5"/>
    <mergeCell ref="C6:D6"/>
    <mergeCell ref="E6:E7"/>
    <mergeCell ref="A1:B3"/>
    <mergeCell ref="C1:Q1"/>
    <mergeCell ref="C2:Q2"/>
    <mergeCell ref="C3:I3"/>
    <mergeCell ref="J3:O3"/>
    <mergeCell ref="P3:Q3"/>
  </mergeCells>
  <printOptions horizontalCentered="1" verticalCentered="1"/>
  <pageMargins left="0" right="0" top="0.15748031496062992" bottom="0.15748031496062992" header="0.31496062992125984" footer="0.31496062992125984"/>
  <pageSetup scale="72" fitToWidth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ED59-B776-45BF-A335-6B6137034204}">
  <dimension ref="B2:E6"/>
  <sheetViews>
    <sheetView workbookViewId="0">
      <selection activeCell="G7" sqref="G7"/>
    </sheetView>
  </sheetViews>
  <sheetFormatPr defaultColWidth="11.42578125" defaultRowHeight="15"/>
  <cols>
    <col min="4" max="4" width="23.28515625" bestFit="1" customWidth="1"/>
    <col min="5" max="5" width="14.28515625" bestFit="1" customWidth="1"/>
  </cols>
  <sheetData>
    <row r="2" spans="2:5">
      <c r="B2" s="226" t="s">
        <v>100</v>
      </c>
      <c r="C2" s="227"/>
      <c r="D2" s="227"/>
      <c r="E2" s="227"/>
    </row>
    <row r="3" spans="2:5" ht="15.75" thickBot="1">
      <c r="B3" s="79" t="s">
        <v>101</v>
      </c>
      <c r="C3" s="80" t="s">
        <v>102</v>
      </c>
      <c r="D3" s="80" t="s">
        <v>103</v>
      </c>
      <c r="E3" s="80" t="s">
        <v>104</v>
      </c>
    </row>
    <row r="4" spans="2:5" ht="15.75" thickBot="1">
      <c r="B4" s="81"/>
      <c r="C4" s="82"/>
      <c r="D4" s="83"/>
      <c r="E4" s="84"/>
    </row>
    <row r="5" spans="2:5" ht="15.75" thickBot="1">
      <c r="B5" s="85"/>
      <c r="C5" s="82"/>
      <c r="D5" s="83"/>
      <c r="E5" s="84"/>
    </row>
    <row r="6" spans="2:5" ht="15.75" thickBot="1">
      <c r="B6" s="86"/>
      <c r="C6" s="87"/>
      <c r="D6" s="83"/>
      <c r="E6" s="84"/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CONTABILIDAD 1</dc:creator>
  <cp:keywords/>
  <dc:description/>
  <cp:lastModifiedBy>Claudia Marcela Caballero Escorcia</cp:lastModifiedBy>
  <cp:revision/>
  <dcterms:created xsi:type="dcterms:W3CDTF">2015-01-27T17:12:01Z</dcterms:created>
  <dcterms:modified xsi:type="dcterms:W3CDTF">2026-08-26T01:44:53Z</dcterms:modified>
  <cp:category/>
  <cp:contentStatus/>
</cp:coreProperties>
</file>