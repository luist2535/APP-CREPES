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repesywaffles-my.sharepoint.com/personal/claudia_caballero_crepesywaffles_com/Documents/Escritorio/PROGRAMA HACCP BARRANQUILLA/PROGRAMAS/4. PROGRAMA DE LIMPIEZA Y DESINFECCIÓN/1. HACCP LYD/Verificación Mensuales  L&amp;D/2026/"/>
    </mc:Choice>
  </mc:AlternateContent>
  <xr:revisionPtr revIDLastSave="0" documentId="8_{ED69EEC6-557A-4B56-873E-A1A25094053F}" xr6:coauthVersionLast="47" xr6:coauthVersionMax="47" xr10:uidLastSave="{00000000-0000-0000-0000-000000000000}"/>
  <bookViews>
    <workbookView xWindow="-108" yWindow="-108" windowWidth="23256" windowHeight="12576" firstSheet="6" activeTab="6" xr2:uid="{00000000-000D-0000-FFFF-FFFF00000000}"/>
  </bookViews>
  <sheets>
    <sheet name="V2" sheetId="19" r:id="rId1"/>
    <sheet name="Enero" sheetId="21" r:id="rId2"/>
    <sheet name="Febrero" sheetId="22" r:id="rId3"/>
    <sheet name="Marzo" sheetId="23" r:id="rId4"/>
    <sheet name="Abril" sheetId="24" r:id="rId5"/>
    <sheet name="Mayo" sheetId="25" r:id="rId6"/>
    <sheet name="Junio" sheetId="26" r:id="rId7"/>
    <sheet name="CONTROL DE CAMBIOS" sheetId="20" r:id="rId8"/>
  </sheets>
  <definedNames>
    <definedName name="_xlnm.Print_Area" localSheetId="4">Abril!$A$1:$T$141</definedName>
    <definedName name="_xlnm.Print_Area" localSheetId="1">Enero!$A$1:$T$141</definedName>
    <definedName name="_xlnm.Print_Area" localSheetId="2">Febrero!$A$1:$T$141</definedName>
    <definedName name="_xlnm.Print_Area" localSheetId="3">Marzo!$A$1:$T$141</definedName>
    <definedName name="_xlnm.Print_Area" localSheetId="5">Mayo!$A$1:$T$141</definedName>
    <definedName name="_xlnm.Print_Area" localSheetId="6">Junio!$A$1:$T$141</definedName>
    <definedName name="_xlnm.Print_Area" localSheetId="0">'V2'!$A$1:$T$141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9" i="26" l="1"/>
  <c r="S69" i="26"/>
  <c r="R69" i="26"/>
  <c r="Q69" i="26"/>
  <c r="P69" i="26"/>
  <c r="O69" i="26"/>
  <c r="N69" i="26"/>
  <c r="M69" i="26"/>
  <c r="L69" i="26"/>
  <c r="K69" i="26"/>
  <c r="J69" i="26"/>
  <c r="I69" i="26"/>
  <c r="H69" i="26"/>
  <c r="G69" i="26"/>
  <c r="F69" i="26"/>
  <c r="E69" i="26"/>
  <c r="B136" i="26" s="1"/>
  <c r="D69" i="26"/>
  <c r="B134" i="26" s="1"/>
  <c r="C69" i="26"/>
  <c r="T69" i="25"/>
  <c r="S69" i="25"/>
  <c r="R69" i="25"/>
  <c r="Q69" i="25"/>
  <c r="P69" i="25"/>
  <c r="O69" i="25"/>
  <c r="N69" i="25"/>
  <c r="M69" i="25"/>
  <c r="L69" i="25"/>
  <c r="K69" i="25"/>
  <c r="J69" i="25"/>
  <c r="I69" i="25"/>
  <c r="H69" i="25"/>
  <c r="G69" i="25"/>
  <c r="F69" i="25"/>
  <c r="E69" i="25"/>
  <c r="B136" i="25" s="1"/>
  <c r="D69" i="25"/>
  <c r="B134" i="25" s="1"/>
  <c r="C69" i="25"/>
  <c r="T69" i="24"/>
  <c r="S69" i="24"/>
  <c r="R69" i="24"/>
  <c r="Q69" i="24"/>
  <c r="P69" i="24"/>
  <c r="O69" i="24"/>
  <c r="N69" i="24"/>
  <c r="M69" i="24"/>
  <c r="L69" i="24"/>
  <c r="K69" i="24"/>
  <c r="J69" i="24"/>
  <c r="I69" i="24"/>
  <c r="H69" i="24"/>
  <c r="G69" i="24"/>
  <c r="F69" i="24"/>
  <c r="E69" i="24"/>
  <c r="B136" i="24" s="1"/>
  <c r="D69" i="24"/>
  <c r="B134" i="24" s="1"/>
  <c r="C69" i="24"/>
  <c r="T69" i="23"/>
  <c r="S69" i="23"/>
  <c r="R69" i="23"/>
  <c r="Q69" i="23"/>
  <c r="P69" i="23"/>
  <c r="O69" i="23"/>
  <c r="N69" i="23"/>
  <c r="M69" i="23"/>
  <c r="L69" i="23"/>
  <c r="K69" i="23"/>
  <c r="J69" i="23"/>
  <c r="I69" i="23"/>
  <c r="H69" i="23"/>
  <c r="G69" i="23"/>
  <c r="F69" i="23"/>
  <c r="E69" i="23"/>
  <c r="B136" i="23" s="1"/>
  <c r="D69" i="23"/>
  <c r="B134" i="23" s="1"/>
  <c r="C69" i="23"/>
  <c r="C70" i="22"/>
  <c r="E70" i="22"/>
  <c r="O70" i="22"/>
  <c r="Q70" i="22"/>
  <c r="L70" i="22"/>
  <c r="I70" i="22"/>
  <c r="F70" i="22"/>
  <c r="T69" i="22"/>
  <c r="S69" i="22"/>
  <c r="R69" i="22"/>
  <c r="Q69" i="22"/>
  <c r="P69" i="22"/>
  <c r="O69" i="22"/>
  <c r="N69" i="22"/>
  <c r="M69" i="22"/>
  <c r="L69" i="22"/>
  <c r="K69" i="22"/>
  <c r="J69" i="22"/>
  <c r="I69" i="22"/>
  <c r="H69" i="22"/>
  <c r="G69" i="22"/>
  <c r="F69" i="22"/>
  <c r="E69" i="22"/>
  <c r="B136" i="22" s="1"/>
  <c r="D69" i="22"/>
  <c r="B134" i="22" s="1"/>
  <c r="C69" i="22"/>
  <c r="T69" i="21"/>
  <c r="S69" i="21"/>
  <c r="R69" i="21"/>
  <c r="Q69" i="21"/>
  <c r="P69" i="21"/>
  <c r="O69" i="21"/>
  <c r="N69" i="21"/>
  <c r="M69" i="21"/>
  <c r="L69" i="21"/>
  <c r="K69" i="21"/>
  <c r="J69" i="21"/>
  <c r="I69" i="21"/>
  <c r="H69" i="21"/>
  <c r="G69" i="21"/>
  <c r="F69" i="21"/>
  <c r="E69" i="21"/>
  <c r="B136" i="21" s="1"/>
  <c r="D69" i="21"/>
  <c r="B134" i="21" s="1"/>
  <c r="C69" i="21"/>
  <c r="F69" i="19"/>
  <c r="G69" i="19"/>
  <c r="H69" i="19"/>
  <c r="I69" i="19"/>
  <c r="J69" i="19"/>
  <c r="K69" i="19"/>
  <c r="L69" i="19"/>
  <c r="M69" i="19"/>
  <c r="N69" i="19"/>
  <c r="O69" i="19"/>
  <c r="P69" i="19"/>
  <c r="Q69" i="19"/>
  <c r="R69" i="19"/>
  <c r="S69" i="19"/>
  <c r="T69" i="19"/>
  <c r="E69" i="19"/>
  <c r="B136" i="19" s="1"/>
  <c r="D69" i="19"/>
  <c r="B134" i="19" s="1"/>
  <c r="C69" i="19"/>
  <c r="B132" i="26" l="1"/>
  <c r="B131" i="26"/>
  <c r="J132" i="26" s="1"/>
  <c r="F134" i="26"/>
  <c r="B132" i="25"/>
  <c r="B131" i="25"/>
  <c r="J132" i="25" s="1"/>
  <c r="F134" i="25"/>
  <c r="B132" i="24"/>
  <c r="B131" i="24"/>
  <c r="J132" i="24" s="1"/>
  <c r="F134" i="24"/>
  <c r="B132" i="23"/>
  <c r="B131" i="23"/>
  <c r="J132" i="23" s="1"/>
  <c r="F134" i="23"/>
  <c r="B132" i="22"/>
  <c r="B131" i="22"/>
  <c r="J132" i="22" s="1"/>
  <c r="F134" i="22"/>
  <c r="B131" i="19"/>
  <c r="J132" i="19" s="1"/>
  <c r="B132" i="19"/>
  <c r="F132" i="19" s="1"/>
  <c r="F134" i="19"/>
  <c r="B132" i="21"/>
  <c r="B131" i="21"/>
  <c r="J132" i="21" s="1"/>
  <c r="F134" i="21"/>
  <c r="F132" i="26" l="1"/>
  <c r="F132" i="25"/>
  <c r="F132" i="24"/>
  <c r="F132" i="23"/>
  <c r="F132" i="22"/>
  <c r="F132" i="21"/>
</calcChain>
</file>

<file path=xl/sharedStrings.xml><?xml version="1.0" encoding="utf-8"?>
<sst xmlns="http://schemas.openxmlformats.org/spreadsheetml/2006/main" count="887" uniqueCount="128">
  <si>
    <t xml:space="preserve">ÁREA DIRECCION DE CALIDAD </t>
  </si>
  <si>
    <t xml:space="preserve">Verificación De Limpieza y Desinfección  Cocina Caliente y  Salsas frias      </t>
  </si>
  <si>
    <r>
      <rPr>
        <b/>
        <sz val="12"/>
        <color rgb="FF000000"/>
        <rFont val="Calibri"/>
        <family val="2"/>
        <scheme val="minor"/>
      </rPr>
      <t xml:space="preserve">        Código: </t>
    </r>
    <r>
      <rPr>
        <sz val="12"/>
        <color rgb="FF000000"/>
        <rFont val="Calibri"/>
        <family val="2"/>
        <scheme val="minor"/>
      </rPr>
      <t>DCM-F-CPP-21</t>
    </r>
    <r>
      <rPr>
        <b/>
        <sz val="12"/>
        <color rgb="FF000000"/>
        <rFont val="Calibri"/>
        <family val="2"/>
        <scheme val="minor"/>
      </rPr>
      <t xml:space="preserve">     </t>
    </r>
  </si>
  <si>
    <r>
      <rPr>
        <b/>
        <sz val="12"/>
        <color rgb="FF000000"/>
        <rFont val="Calibri"/>
        <family val="2"/>
        <scheme val="minor"/>
      </rPr>
      <t xml:space="preserve">Fecha: </t>
    </r>
    <r>
      <rPr>
        <sz val="12"/>
        <color rgb="FF000000"/>
        <rFont val="Calibri"/>
        <family val="2"/>
        <scheme val="minor"/>
      </rPr>
      <t>02-Feb-26</t>
    </r>
  </si>
  <si>
    <r>
      <rPr>
        <b/>
        <sz val="12"/>
        <color rgb="FF000000"/>
        <rFont val="Calibri"/>
        <family val="2"/>
        <scheme val="minor"/>
      </rPr>
      <t xml:space="preserve">versión: </t>
    </r>
    <r>
      <rPr>
        <sz val="12"/>
        <color rgb="FF000000"/>
        <rFont val="Calibri"/>
        <family val="2"/>
        <scheme val="minor"/>
      </rPr>
      <t>02</t>
    </r>
  </si>
  <si>
    <t>VERIFICACIÓN REALIZADA POR :___________________________________</t>
  </si>
  <si>
    <t>FECHA Y HORA : ________________________________________</t>
  </si>
  <si>
    <t>ASPECTO</t>
  </si>
  <si>
    <t>COCINA CALIENTE</t>
  </si>
  <si>
    <t>SALSAS FRIAS</t>
  </si>
  <si>
    <t>PLATERO</t>
  </si>
  <si>
    <t>EMPAQUE Y ENFRIAMIENTO</t>
  </si>
  <si>
    <t>HELADERIA</t>
  </si>
  <si>
    <t>PASILLO</t>
  </si>
  <si>
    <t>SATISFACTORIO</t>
  </si>
  <si>
    <t>NA</t>
  </si>
  <si>
    <t>SI</t>
  </si>
  <si>
    <t>NO</t>
  </si>
  <si>
    <t>ASPECTOS GENERALES</t>
  </si>
  <si>
    <t>Acceso /Puertas de acceso</t>
  </si>
  <si>
    <t>Paredes / Paredes polipanel</t>
  </si>
  <si>
    <t>Lamparas</t>
  </si>
  <si>
    <t>Techos (partes altas)</t>
  </si>
  <si>
    <t>Ventanas</t>
  </si>
  <si>
    <t>Meson de trabajo/mesa empaque/meson lavado</t>
  </si>
  <si>
    <t>Porta termometros</t>
  </si>
  <si>
    <t>Utensilios de L &amp; D</t>
  </si>
  <si>
    <t>Zona de almacenamiento ollas</t>
  </si>
  <si>
    <t>Cubetas</t>
  </si>
  <si>
    <t>Estibas plasticas</t>
  </si>
  <si>
    <t>Tablero producción</t>
  </si>
  <si>
    <t>Carrito meson</t>
  </si>
  <si>
    <t>Balanzas / balanza electrónica</t>
  </si>
  <si>
    <t>Delantales y /o chaquetas</t>
  </si>
  <si>
    <t>Punto de higiene</t>
  </si>
  <si>
    <t>Porta petos</t>
  </si>
  <si>
    <t>Meson de licuadoras</t>
  </si>
  <si>
    <t>Dispensador de papel</t>
  </si>
  <si>
    <t>Estanteria</t>
  </si>
  <si>
    <t>Tablas de corte</t>
  </si>
  <si>
    <t>Porta cuchilo</t>
  </si>
  <si>
    <t>Elementos de protección personal (EPP)</t>
  </si>
  <si>
    <t>Jaboneras</t>
  </si>
  <si>
    <t>Utensilios plásticos (baldes, espatulas, etc.)</t>
  </si>
  <si>
    <t>Sifon de tinas</t>
  </si>
  <si>
    <t>Extintor</t>
  </si>
  <si>
    <t>Gabinete L&amp;D</t>
  </si>
  <si>
    <t>Calentador</t>
  </si>
  <si>
    <t>Campanas</t>
  </si>
  <si>
    <t>Ducha</t>
  </si>
  <si>
    <t>Pisos</t>
  </si>
  <si>
    <t>Tapas grises y/o canastas</t>
  </si>
  <si>
    <t>Sifón (es)y/o canalina</t>
  </si>
  <si>
    <t xml:space="preserve">Atomizadores </t>
  </si>
  <si>
    <t>Tapas de enchufes e interruptores</t>
  </si>
  <si>
    <t>Tuberiasde servicios</t>
  </si>
  <si>
    <t>Tuberia de enfriamiento</t>
  </si>
  <si>
    <t>Ventana de Tránsito</t>
  </si>
  <si>
    <t>Canecas de residuos</t>
  </si>
  <si>
    <t>Orden en el area</t>
  </si>
  <si>
    <t>EQUIPOS Y UTENSILIOS</t>
  </si>
  <si>
    <t>Sarten Basculante grande 1</t>
  </si>
  <si>
    <t>Sarten Basculante grande 2</t>
  </si>
  <si>
    <t>Tinas</t>
  </si>
  <si>
    <t>Maquina clippeadora</t>
  </si>
  <si>
    <t>Campana extractora estufas</t>
  </si>
  <si>
    <t>Campana extractora basculantes</t>
  </si>
  <si>
    <t>Horno</t>
  </si>
  <si>
    <t>Estufas enanas</t>
  </si>
  <si>
    <t>Licuadora vitamix</t>
  </si>
  <si>
    <t>Licuadora industrial de pie</t>
  </si>
  <si>
    <t>Evaporadores</t>
  </si>
  <si>
    <t>Maquina de hielo</t>
  </si>
  <si>
    <t>Hidrolavadora</t>
  </si>
  <si>
    <t xml:space="preserve">Molino </t>
  </si>
  <si>
    <t xml:space="preserve">Despulpadora </t>
  </si>
  <si>
    <t>Pasteurizador</t>
  </si>
  <si>
    <t>Mesón de etiquetas</t>
  </si>
  <si>
    <t>Ultracongelador</t>
  </si>
  <si>
    <t>Labotronik</t>
  </si>
  <si>
    <t xml:space="preserve">Freidora </t>
  </si>
  <si>
    <t>TOTAL</t>
  </si>
  <si>
    <t>% POR AREA</t>
  </si>
  <si>
    <r>
      <rPr>
        <b/>
        <sz val="12"/>
        <color rgb="FF000000"/>
        <rFont val="Calibri"/>
        <family val="2"/>
        <scheme val="minor"/>
      </rPr>
      <t xml:space="preserve">CÓDIGO: </t>
    </r>
    <r>
      <rPr>
        <sz val="12"/>
        <color rgb="FF000000"/>
        <rFont val="Calibri"/>
        <family val="2"/>
        <scheme val="minor"/>
      </rPr>
      <t>DCM-F-CPP-21</t>
    </r>
    <r>
      <rPr>
        <b/>
        <sz val="12"/>
        <color rgb="FF000000"/>
        <rFont val="Calibri"/>
        <family val="2"/>
        <scheme val="minor"/>
      </rPr>
      <t xml:space="preserve"> / PREPARADO POR: </t>
    </r>
    <r>
      <rPr>
        <sz val="12"/>
        <color rgb="FF000000"/>
        <rFont val="Calibri"/>
        <family val="2"/>
        <scheme val="minor"/>
      </rPr>
      <t>Auxiliar de calidad</t>
    </r>
    <r>
      <rPr>
        <b/>
        <sz val="12"/>
        <color rgb="FF000000"/>
        <rFont val="Calibri"/>
        <family val="2"/>
        <scheme val="minor"/>
      </rPr>
      <t xml:space="preserve"> / REVISADO POR: </t>
    </r>
    <r>
      <rPr>
        <sz val="12"/>
        <color rgb="FF000000"/>
        <rFont val="Calibri"/>
        <family val="2"/>
        <scheme val="minor"/>
      </rPr>
      <t>Coordinador de calidad</t>
    </r>
    <r>
      <rPr>
        <b/>
        <sz val="12"/>
        <color rgb="FF000000"/>
        <rFont val="Calibri"/>
        <family val="2"/>
        <scheme val="minor"/>
      </rPr>
      <t xml:space="preserve"> / APROBADO POR: </t>
    </r>
    <r>
      <rPr>
        <sz val="12"/>
        <color rgb="FF000000"/>
        <rFont val="Calibri"/>
        <family val="2"/>
        <scheme val="minor"/>
      </rPr>
      <t>Directora de Calidad y Medio Ambiente</t>
    </r>
    <r>
      <rPr>
        <b/>
        <sz val="12"/>
        <color rgb="FF000000"/>
        <rFont val="Calibri"/>
        <family val="2"/>
        <scheme val="minor"/>
      </rPr>
      <t xml:space="preserve"> / FECHA: </t>
    </r>
    <r>
      <rPr>
        <sz val="12"/>
        <color rgb="FF000000"/>
        <rFont val="Calibri"/>
        <family val="2"/>
        <scheme val="minor"/>
      </rPr>
      <t>02-Feb-26</t>
    </r>
    <r>
      <rPr>
        <b/>
        <sz val="12"/>
        <color rgb="FF000000"/>
        <rFont val="Calibri"/>
        <family val="2"/>
        <scheme val="minor"/>
      </rPr>
      <t xml:space="preserve"> / VERSIÓN: </t>
    </r>
    <r>
      <rPr>
        <sz val="12"/>
        <color rgb="FF000000"/>
        <rFont val="Calibri"/>
        <family val="2"/>
        <scheme val="minor"/>
      </rPr>
      <t xml:space="preserve">02
</t>
    </r>
    <r>
      <rPr>
        <b/>
        <sz val="12"/>
        <color rgb="FF000000"/>
        <rFont val="Calibri"/>
        <family val="2"/>
        <scheme val="minor"/>
      </rPr>
      <t>DOCUMENTO CONTROLADO</t>
    </r>
  </si>
  <si>
    <t xml:space="preserve">COMENTARIOS: </t>
  </si>
  <si>
    <t>NOVEDADES MANTENIMIENTO:</t>
  </si>
  <si>
    <t>NOVEDADES BPM - CONTAMINACIÓN CRUZADA</t>
  </si>
  <si>
    <t>PARA DILIGENCIAMIENTO DE LA DIRECCIÓN DE CALIDAD</t>
  </si>
  <si>
    <t xml:space="preserve">TOTAL ASPECTOS CALIFICADOS: </t>
  </si>
  <si>
    <r>
      <t>CALIFICACIÓN=</t>
    </r>
    <r>
      <rPr>
        <sz val="8"/>
        <color theme="1"/>
        <rFont val="Arial"/>
        <family val="2"/>
      </rPr>
      <t xml:space="preserve">   </t>
    </r>
  </si>
  <si>
    <t xml:space="preserve">RECOMENDACIONES: </t>
  </si>
  <si>
    <t xml:space="preserve">SATISFACTORIO: </t>
  </si>
  <si>
    <t>Satisfactorio x 100</t>
  </si>
  <si>
    <t>(Total - No aplica)</t>
  </si>
  <si>
    <t xml:space="preserve">NO SATISFATORIO:   </t>
  </si>
  <si>
    <t xml:space="preserve">NO APLICA:   </t>
  </si>
  <si>
    <t>Responsable Diligenciamiento: Hillary Gutierrez</t>
  </si>
  <si>
    <t>Verificado por: Claudia Caballero</t>
  </si>
  <si>
    <t>Cargo: Auxiliar de calidad</t>
  </si>
  <si>
    <t>Coordinación de calidad</t>
  </si>
  <si>
    <t xml:space="preserve"> </t>
  </si>
  <si>
    <t>DOCUMENTO CONTROLADO</t>
  </si>
  <si>
    <r>
      <t xml:space="preserve">        Código: </t>
    </r>
    <r>
      <rPr>
        <sz val="12"/>
        <color theme="1"/>
        <rFont val="Calibri"/>
        <family val="2"/>
        <scheme val="minor"/>
      </rPr>
      <t>DCM-F-DPR-21</t>
    </r>
    <r>
      <rPr>
        <b/>
        <sz val="12"/>
        <color theme="1"/>
        <rFont val="Calibri"/>
        <family val="2"/>
        <scheme val="minor"/>
      </rPr>
      <t xml:space="preserve">     </t>
    </r>
  </si>
  <si>
    <r>
      <t xml:space="preserve">Fecha: </t>
    </r>
    <r>
      <rPr>
        <sz val="12"/>
        <color theme="1"/>
        <rFont val="Calibri"/>
        <family val="2"/>
        <scheme val="minor"/>
      </rPr>
      <t>28-Abr-25</t>
    </r>
  </si>
  <si>
    <r>
      <t xml:space="preserve">versión: </t>
    </r>
    <r>
      <rPr>
        <sz val="12"/>
        <color theme="1"/>
        <rFont val="Calibri"/>
        <family val="2"/>
        <scheme val="minor"/>
      </rPr>
      <t>01</t>
    </r>
  </si>
  <si>
    <r>
      <t xml:space="preserve">CÓDIGO: </t>
    </r>
    <r>
      <rPr>
        <sz val="12"/>
        <color theme="1"/>
        <rFont val="Calibri"/>
        <family val="2"/>
        <scheme val="minor"/>
      </rPr>
      <t>DCM-F-DPR-21</t>
    </r>
    <r>
      <rPr>
        <b/>
        <sz val="12"/>
        <color theme="1"/>
        <rFont val="Calibri"/>
        <family val="2"/>
        <scheme val="minor"/>
      </rPr>
      <t xml:space="preserve"> / PREPARADO POR: </t>
    </r>
    <r>
      <rPr>
        <sz val="12"/>
        <color theme="1"/>
        <rFont val="Calibri"/>
        <family val="2"/>
        <scheme val="minor"/>
      </rPr>
      <t>Auxiliar de calidad</t>
    </r>
    <r>
      <rPr>
        <b/>
        <sz val="12"/>
        <color theme="1"/>
        <rFont val="Calibri"/>
        <family val="2"/>
        <scheme val="minor"/>
      </rPr>
      <t xml:space="preserve"> / REVISADO POR: </t>
    </r>
    <r>
      <rPr>
        <sz val="12"/>
        <color theme="1"/>
        <rFont val="Calibri"/>
        <family val="2"/>
        <scheme val="minor"/>
      </rPr>
      <t>Coordinador de calidad</t>
    </r>
    <r>
      <rPr>
        <b/>
        <sz val="12"/>
        <color theme="1"/>
        <rFont val="Calibri"/>
        <family val="2"/>
        <scheme val="minor"/>
      </rPr>
      <t xml:space="preserve"> / APROBADO POR: </t>
    </r>
    <r>
      <rPr>
        <sz val="12"/>
        <color theme="1"/>
        <rFont val="Calibri"/>
        <family val="2"/>
        <scheme val="minor"/>
      </rPr>
      <t>Directora de Calidad y Medio Ambiente</t>
    </r>
    <r>
      <rPr>
        <b/>
        <sz val="12"/>
        <color theme="1"/>
        <rFont val="Calibri"/>
        <family val="2"/>
        <scheme val="minor"/>
      </rPr>
      <t xml:space="preserve"> / FECHA: </t>
    </r>
    <r>
      <rPr>
        <sz val="12"/>
        <color theme="1"/>
        <rFont val="Calibri"/>
        <family val="2"/>
        <scheme val="minor"/>
      </rPr>
      <t>28-Abr-25</t>
    </r>
    <r>
      <rPr>
        <b/>
        <sz val="12"/>
        <color theme="1"/>
        <rFont val="Calibri"/>
        <family val="2"/>
        <scheme val="minor"/>
      </rPr>
      <t xml:space="preserve"> / VERSIÓN: </t>
    </r>
    <r>
      <rPr>
        <sz val="12"/>
        <color theme="1"/>
        <rFont val="Calibri"/>
        <family val="2"/>
        <scheme val="minor"/>
      </rPr>
      <t>01</t>
    </r>
    <r>
      <rPr>
        <b/>
        <sz val="12"/>
        <color theme="1"/>
        <rFont val="Calibri"/>
        <family val="2"/>
        <scheme val="minor"/>
      </rPr>
      <t xml:space="preserve">
DOCUMENTO CONTROLADO</t>
    </r>
  </si>
  <si>
    <t xml:space="preserve">COMENTARIOS: Paredes de salsas frías es partes altas se encuentran sucias. En área de empaque el techo tiene manchas negras </t>
  </si>
  <si>
    <t xml:space="preserve">Paredes de salsas frias en partes altas se encuentran sucias. Techo y paredes de enfriamiento y empaque igual se encuentran sucias. </t>
  </si>
  <si>
    <t>Evaporadores de salsas frías se encuentran llenos de polvos.</t>
  </si>
  <si>
    <t>Ventilador en área de platero presenta acumulación de polvos.</t>
  </si>
  <si>
    <t>Intervenir pisos en área de heladería, demasiado rotos y dañado.</t>
  </si>
  <si>
    <t>El techo d empaque retiene humedad, por lo tanto ese goteo puede caer en los alimentos.</t>
  </si>
  <si>
    <t xml:space="preserve">Chaqueta demasiado sucia en salsas frías. </t>
  </si>
  <si>
    <t>Recipientes en áreas de heladeria se encunetran en estanterias de recipientes limpios y presentan residuos de chocolate.</t>
  </si>
  <si>
    <t>Intervenir partes altas de cuartos fríos. Limpieza de campanas de cocina caliente</t>
  </si>
  <si>
    <t xml:space="preserve">Se evidencia personal de heladería en cocina caliente. </t>
  </si>
  <si>
    <t>La clasificación de canecas se realiza de mal maera tenian residuos organicos en canecas de ordinarios en área de despacho e ingreso.</t>
  </si>
  <si>
    <t>Se evidencian azafates sin tapas y les cae el sobrante de agua de recipientes que están en estantería superior.</t>
  </si>
  <si>
    <r>
      <rPr>
        <b/>
        <sz val="12"/>
        <color rgb="FF000000"/>
        <rFont val="Arial"/>
        <family val="2"/>
      </rPr>
      <t>COMENTARIOS:</t>
    </r>
    <r>
      <rPr>
        <sz val="12"/>
        <color rgb="FF000000"/>
        <rFont val="Arial"/>
        <family val="2"/>
      </rPr>
      <t xml:space="preserve"> Punto de higiene de heladería no tiene papel de manos. Partes altas de empaque con acumulación de polvo.</t>
    </r>
  </si>
  <si>
    <r>
      <rPr>
        <b/>
        <sz val="10"/>
        <color rgb="FF000000"/>
        <rFont val="Arial"/>
        <family val="2"/>
      </rPr>
      <t xml:space="preserve">NOVEDADES BPM - CONTAMINACIÓN CRUZADA: </t>
    </r>
    <r>
      <rPr>
        <sz val="10"/>
        <color rgb="FF000000"/>
        <rFont val="Arial"/>
        <family val="2"/>
      </rPr>
      <t xml:space="preserve">Tapas de envases de colores en heladería presentan suciedad entre cauchos, los sifones de heladería, </t>
    </r>
  </si>
  <si>
    <t xml:space="preserve">salsas frías y pasills presentan oxido. </t>
  </si>
  <si>
    <t>En área de platero la caja organizadora de bolsas para la basura está rota.</t>
  </si>
  <si>
    <t xml:space="preserve">Se evidencia freidora en cocina caliente sin uso reteniendo agua sucia. </t>
  </si>
  <si>
    <t>CONTROL DE CAMBIOS</t>
  </si>
  <si>
    <t>VERSIÓN</t>
  </si>
  <si>
    <t>FECHA</t>
  </si>
  <si>
    <t>DESCRIPCIÓN DE CAMBIOS</t>
  </si>
  <si>
    <t>APROBADO 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</si>
</sst>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7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7"/>
      <color theme="1"/>
      <name val="Arial"/>
      <family val="2"/>
    </font>
    <font>
      <u/>
      <sz val="7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5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0"/>
      <name val="Calibri"/>
      <family val="2"/>
      <scheme val="minor"/>
    </font>
    <font>
      <sz val="6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0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theme="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31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8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8"/>
      </left>
      <right/>
      <top style="medium">
        <color indexed="64"/>
      </top>
      <bottom style="medium">
        <color indexed="8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8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/>
      <top style="hair">
        <color indexed="64"/>
      </top>
      <bottom style="hair">
        <color indexed="8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hair">
        <color indexed="8"/>
      </top>
      <bottom style="hair">
        <color indexed="8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49">
    <xf numFmtId="0" fontId="0" fillId="0" borderId="0" xfId="0"/>
    <xf numFmtId="0" fontId="4" fillId="2" borderId="0" xfId="2" applyFont="1" applyFill="1"/>
    <xf numFmtId="0" fontId="6" fillId="2" borderId="0" xfId="2" applyFont="1" applyFill="1"/>
    <xf numFmtId="0" fontId="8" fillId="2" borderId="16" xfId="2" applyFont="1" applyFill="1" applyBorder="1" applyAlignment="1">
      <alignment horizontal="center" vertical="center"/>
    </xf>
    <xf numFmtId="0" fontId="8" fillId="2" borderId="21" xfId="2" applyFont="1" applyFill="1" applyBorder="1" applyAlignment="1">
      <alignment horizontal="center" vertical="center"/>
    </xf>
    <xf numFmtId="0" fontId="8" fillId="2" borderId="52" xfId="2" applyFont="1" applyFill="1" applyBorder="1" applyAlignment="1">
      <alignment horizontal="center" vertical="center"/>
    </xf>
    <xf numFmtId="0" fontId="8" fillId="2" borderId="41" xfId="2" applyFont="1" applyFill="1" applyBorder="1" applyAlignment="1">
      <alignment horizontal="center" vertical="center"/>
    </xf>
    <xf numFmtId="0" fontId="4" fillId="2" borderId="42" xfId="2" applyFont="1" applyFill="1" applyBorder="1" applyAlignment="1">
      <alignment horizontal="center" vertical="center" wrapText="1"/>
    </xf>
    <xf numFmtId="0" fontId="8" fillId="2" borderId="46" xfId="2" applyFont="1" applyFill="1" applyBorder="1" applyAlignment="1">
      <alignment horizontal="center" vertical="center"/>
    </xf>
    <xf numFmtId="0" fontId="8" fillId="2" borderId="3" xfId="2" applyFont="1" applyFill="1" applyBorder="1" applyAlignment="1">
      <alignment horizontal="center" vertical="center"/>
    </xf>
    <xf numFmtId="0" fontId="4" fillId="3" borderId="8" xfId="2" applyFont="1" applyFill="1" applyBorder="1"/>
    <xf numFmtId="0" fontId="4" fillId="3" borderId="1" xfId="2" applyFont="1" applyFill="1" applyBorder="1"/>
    <xf numFmtId="0" fontId="4" fillId="3" borderId="4" xfId="2" applyFont="1" applyFill="1" applyBorder="1"/>
    <xf numFmtId="0" fontId="4" fillId="2" borderId="1" xfId="2" applyFont="1" applyFill="1" applyBorder="1"/>
    <xf numFmtId="0" fontId="4" fillId="2" borderId="8" xfId="2" applyFont="1" applyFill="1" applyBorder="1"/>
    <xf numFmtId="0" fontId="4" fillId="2" borderId="12" xfId="2" applyFont="1" applyFill="1" applyBorder="1"/>
    <xf numFmtId="0" fontId="9" fillId="3" borderId="12" xfId="2" applyFont="1" applyFill="1" applyBorder="1" applyAlignment="1">
      <alignment vertical="center" wrapText="1"/>
    </xf>
    <xf numFmtId="0" fontId="4" fillId="2" borderId="4" xfId="2" applyFont="1" applyFill="1" applyBorder="1" applyAlignment="1">
      <alignment horizontal="center"/>
    </xf>
    <xf numFmtId="0" fontId="4" fillId="2" borderId="1" xfId="2" applyFont="1" applyFill="1" applyBorder="1" applyAlignment="1">
      <alignment horizontal="center"/>
    </xf>
    <xf numFmtId="0" fontId="9" fillId="3" borderId="8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26" xfId="2" applyFont="1" applyFill="1" applyBorder="1" applyAlignment="1">
      <alignment horizontal="center" vertical="center"/>
    </xf>
    <xf numFmtId="0" fontId="9" fillId="3" borderId="18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vertical="center" wrapText="1"/>
    </xf>
    <xf numFmtId="0" fontId="9" fillId="3" borderId="1" xfId="2" applyFont="1" applyFill="1" applyBorder="1" applyAlignment="1">
      <alignment vertical="center" wrapText="1"/>
    </xf>
    <xf numFmtId="0" fontId="9" fillId="2" borderId="1" xfId="2" applyFont="1" applyFill="1" applyBorder="1" applyAlignment="1">
      <alignment vertical="center" wrapText="1"/>
    </xf>
    <xf numFmtId="0" fontId="9" fillId="2" borderId="8" xfId="2" applyFont="1" applyFill="1" applyBorder="1" applyAlignment="1">
      <alignment horizontal="center" vertical="center"/>
    </xf>
    <xf numFmtId="0" fontId="9" fillId="2" borderId="1" xfId="2" applyFont="1" applyFill="1" applyBorder="1" applyAlignment="1">
      <alignment horizontal="center" vertical="center"/>
    </xf>
    <xf numFmtId="0" fontId="9" fillId="2" borderId="12" xfId="2" applyFont="1" applyFill="1" applyBorder="1" applyAlignment="1">
      <alignment vertical="center" wrapText="1"/>
    </xf>
    <xf numFmtId="0" fontId="9" fillId="2" borderId="4" xfId="2" applyFont="1" applyFill="1" applyBorder="1" applyAlignment="1">
      <alignment vertical="center" wrapText="1"/>
    </xf>
    <xf numFmtId="0" fontId="9" fillId="2" borderId="15" xfId="2" applyFont="1" applyFill="1" applyBorder="1" applyAlignment="1">
      <alignment horizontal="center" vertical="center"/>
    </xf>
    <xf numFmtId="0" fontId="9" fillId="2" borderId="31" xfId="2" applyFont="1" applyFill="1" applyBorder="1" applyAlignment="1">
      <alignment horizontal="center" vertical="center"/>
    </xf>
    <xf numFmtId="0" fontId="9" fillId="2" borderId="13" xfId="2" applyFont="1" applyFill="1" applyBorder="1" applyAlignment="1">
      <alignment vertical="center" wrapText="1"/>
    </xf>
    <xf numFmtId="0" fontId="9" fillId="2" borderId="14" xfId="2" applyFont="1" applyFill="1" applyBorder="1" applyAlignment="1">
      <alignment horizontal="center" vertical="center"/>
    </xf>
    <xf numFmtId="0" fontId="9" fillId="2" borderId="2" xfId="2" applyFont="1" applyFill="1" applyBorder="1" applyAlignment="1">
      <alignment horizontal="center" vertical="center"/>
    </xf>
    <xf numFmtId="0" fontId="9" fillId="2" borderId="47" xfId="2" applyFont="1" applyFill="1" applyBorder="1" applyAlignment="1">
      <alignment vertical="center" wrapText="1"/>
    </xf>
    <xf numFmtId="0" fontId="9" fillId="2" borderId="2" xfId="2" applyFont="1" applyFill="1" applyBorder="1" applyAlignment="1">
      <alignment vertical="center" wrapText="1"/>
    </xf>
    <xf numFmtId="0" fontId="3" fillId="2" borderId="0" xfId="0" applyFont="1" applyFill="1"/>
    <xf numFmtId="0" fontId="11" fillId="2" borderId="11" xfId="2" applyFont="1" applyFill="1" applyBorder="1"/>
    <xf numFmtId="0" fontId="10" fillId="2" borderId="0" xfId="2" applyFont="1" applyFill="1"/>
    <xf numFmtId="0" fontId="10" fillId="2" borderId="11" xfId="2" applyFont="1" applyFill="1" applyBorder="1" applyAlignment="1">
      <alignment vertical="top"/>
    </xf>
    <xf numFmtId="0" fontId="4" fillId="2" borderId="11" xfId="2" applyFont="1" applyFill="1" applyBorder="1"/>
    <xf numFmtId="0" fontId="8" fillId="2" borderId="25" xfId="2" applyFont="1" applyFill="1" applyBorder="1" applyAlignment="1">
      <alignment horizontal="center" vertical="center"/>
    </xf>
    <xf numFmtId="0" fontId="4" fillId="2" borderId="54" xfId="2" applyFont="1" applyFill="1" applyBorder="1" applyAlignment="1">
      <alignment horizontal="center" vertical="center" wrapText="1"/>
    </xf>
    <xf numFmtId="0" fontId="4" fillId="2" borderId="49" xfId="2" applyFont="1" applyFill="1" applyBorder="1" applyAlignment="1">
      <alignment horizontal="center" vertical="center" wrapText="1"/>
    </xf>
    <xf numFmtId="0" fontId="6" fillId="2" borderId="58" xfId="2" applyFont="1" applyFill="1" applyBorder="1" applyAlignment="1">
      <alignment vertical="center"/>
    </xf>
    <xf numFmtId="0" fontId="5" fillId="2" borderId="27" xfId="2" applyFont="1" applyFill="1" applyBorder="1"/>
    <xf numFmtId="0" fontId="4" fillId="3" borderId="64" xfId="2" applyFont="1" applyFill="1" applyBorder="1"/>
    <xf numFmtId="0" fontId="4" fillId="2" borderId="12" xfId="2" applyFont="1" applyFill="1" applyBorder="1" applyAlignment="1">
      <alignment horizontal="center" vertical="center" wrapText="1"/>
    </xf>
    <xf numFmtId="0" fontId="6" fillId="2" borderId="59" xfId="2" applyFont="1" applyFill="1" applyBorder="1" applyAlignment="1">
      <alignment vertical="center"/>
    </xf>
    <xf numFmtId="0" fontId="6" fillId="2" borderId="0" xfId="2" applyFont="1" applyFill="1" applyAlignment="1">
      <alignment horizontal="center" vertical="center"/>
    </xf>
    <xf numFmtId="0" fontId="4" fillId="2" borderId="40" xfId="2" applyFont="1" applyFill="1" applyBorder="1"/>
    <xf numFmtId="0" fontId="7" fillId="2" borderId="37" xfId="2" applyFont="1" applyFill="1" applyBorder="1"/>
    <xf numFmtId="0" fontId="14" fillId="2" borderId="20" xfId="0" applyFont="1" applyFill="1" applyBorder="1"/>
    <xf numFmtId="0" fontId="4" fillId="2" borderId="73" xfId="2" applyFont="1" applyFill="1" applyBorder="1"/>
    <xf numFmtId="0" fontId="13" fillId="2" borderId="23" xfId="2" applyFont="1" applyFill="1" applyBorder="1"/>
    <xf numFmtId="0" fontId="5" fillId="2" borderId="77" xfId="2" applyFont="1" applyFill="1" applyBorder="1"/>
    <xf numFmtId="0" fontId="5" fillId="2" borderId="24" xfId="2" applyFont="1" applyFill="1" applyBorder="1"/>
    <xf numFmtId="0" fontId="5" fillId="2" borderId="40" xfId="2" applyFont="1" applyFill="1" applyBorder="1"/>
    <xf numFmtId="0" fontId="9" fillId="2" borderId="66" xfId="2" applyFont="1" applyFill="1" applyBorder="1" applyAlignment="1">
      <alignment horizontal="left" vertical="center" wrapText="1"/>
    </xf>
    <xf numFmtId="0" fontId="9" fillId="2" borderId="67" xfId="2" applyFont="1" applyFill="1" applyBorder="1" applyAlignment="1">
      <alignment horizontal="left" vertical="center" wrapText="1"/>
    </xf>
    <xf numFmtId="0" fontId="9" fillId="2" borderId="68" xfId="2" applyFont="1" applyFill="1" applyBorder="1" applyAlignment="1">
      <alignment horizontal="left" vertical="center" wrapText="1"/>
    </xf>
    <xf numFmtId="0" fontId="16" fillId="2" borderId="0" xfId="2" applyFont="1" applyFill="1"/>
    <xf numFmtId="0" fontId="16" fillId="2" borderId="0" xfId="2" applyFont="1" applyFill="1" applyAlignment="1">
      <alignment vertical="top"/>
    </xf>
    <xf numFmtId="0" fontId="17" fillId="2" borderId="30" xfId="2" applyFont="1" applyFill="1" applyBorder="1" applyAlignment="1">
      <alignment vertical="center"/>
    </xf>
    <xf numFmtId="0" fontId="5" fillId="2" borderId="23" xfId="2" applyFont="1" applyFill="1" applyBorder="1" applyAlignment="1">
      <alignment horizontal="left"/>
    </xf>
    <xf numFmtId="0" fontId="5" fillId="2" borderId="61" xfId="2" applyFont="1" applyFill="1" applyBorder="1" applyAlignment="1">
      <alignment horizontal="left"/>
    </xf>
    <xf numFmtId="0" fontId="5" fillId="2" borderId="61" xfId="2" applyFont="1" applyFill="1" applyBorder="1"/>
    <xf numFmtId="0" fontId="5" fillId="2" borderId="23" xfId="2" applyFont="1" applyFill="1" applyBorder="1"/>
    <xf numFmtId="0" fontId="16" fillId="2" borderId="24" xfId="2" applyFont="1" applyFill="1" applyBorder="1" applyAlignment="1">
      <alignment horizontal="left"/>
    </xf>
    <xf numFmtId="0" fontId="16" fillId="2" borderId="40" xfId="2" applyFont="1" applyFill="1" applyBorder="1" applyAlignment="1">
      <alignment horizontal="left"/>
    </xf>
    <xf numFmtId="0" fontId="8" fillId="2" borderId="54" xfId="2" applyFont="1" applyFill="1" applyBorder="1" applyAlignment="1">
      <alignment horizontal="center" vertical="center" wrapText="1"/>
    </xf>
    <xf numFmtId="0" fontId="4" fillId="3" borderId="8" xfId="2" applyFont="1" applyFill="1" applyBorder="1" applyAlignment="1">
      <alignment horizontal="center"/>
    </xf>
    <xf numFmtId="0" fontId="4" fillId="2" borderId="8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 vertical="center" wrapText="1"/>
    </xf>
    <xf numFmtId="0" fontId="9" fillId="2" borderId="67" xfId="2" applyFont="1" applyFill="1" applyBorder="1" applyAlignment="1">
      <alignment horizontal="left" wrapText="1"/>
    </xf>
    <xf numFmtId="0" fontId="4" fillId="2" borderId="4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4" fillId="2" borderId="46" xfId="2" applyFont="1" applyFill="1" applyBorder="1" applyAlignment="1">
      <alignment horizontal="center" vertical="center" wrapText="1"/>
    </xf>
    <xf numFmtId="0" fontId="4" fillId="2" borderId="19" xfId="2" applyFont="1" applyFill="1" applyBorder="1" applyAlignment="1">
      <alignment horizontal="center" vertical="center" wrapText="1"/>
    </xf>
    <xf numFmtId="0" fontId="4" fillId="2" borderId="47" xfId="2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 vertical="center" wrapText="1"/>
    </xf>
    <xf numFmtId="0" fontId="4" fillId="2" borderId="78" xfId="2" applyFont="1" applyFill="1" applyBorder="1" applyAlignment="1">
      <alignment horizontal="center" vertical="center" wrapText="1"/>
    </xf>
    <xf numFmtId="0" fontId="5" fillId="2" borderId="4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 wrapText="1"/>
    </xf>
    <xf numFmtId="0" fontId="5" fillId="2" borderId="12" xfId="2" applyFont="1" applyFill="1" applyBorder="1" applyAlignment="1">
      <alignment horizontal="center" vertical="center" wrapText="1"/>
    </xf>
    <xf numFmtId="0" fontId="5" fillId="2" borderId="47" xfId="2" applyFont="1" applyFill="1" applyBorder="1" applyAlignment="1">
      <alignment horizontal="center" vertical="center" wrapText="1"/>
    </xf>
    <xf numFmtId="0" fontId="5" fillId="2" borderId="2" xfId="2" applyFont="1" applyFill="1" applyBorder="1" applyAlignment="1">
      <alignment horizontal="center" vertical="center" wrapText="1"/>
    </xf>
    <xf numFmtId="0" fontId="4" fillId="2" borderId="52" xfId="2" applyFont="1" applyFill="1" applyBorder="1" applyAlignment="1">
      <alignment horizontal="center" vertical="center" wrapText="1"/>
    </xf>
    <xf numFmtId="0" fontId="4" fillId="2" borderId="41" xfId="2" applyFont="1" applyFill="1" applyBorder="1" applyAlignment="1">
      <alignment horizontal="center" vertical="center" wrapText="1"/>
    </xf>
    <xf numFmtId="0" fontId="4" fillId="2" borderId="38" xfId="2" applyFont="1" applyFill="1" applyBorder="1" applyAlignment="1">
      <alignment horizontal="center" vertical="center" wrapText="1"/>
    </xf>
    <xf numFmtId="0" fontId="4" fillId="2" borderId="8" xfId="2" applyFont="1" applyFill="1" applyBorder="1" applyAlignment="1">
      <alignment horizontal="center" vertical="center" wrapText="1"/>
    </xf>
    <xf numFmtId="0" fontId="8" fillId="2" borderId="53" xfId="2" applyFont="1" applyFill="1" applyBorder="1" applyAlignment="1">
      <alignment horizontal="center" vertical="center"/>
    </xf>
    <xf numFmtId="0" fontId="8" fillId="2" borderId="51" xfId="2" applyFont="1" applyFill="1" applyBorder="1" applyAlignment="1">
      <alignment horizontal="center" vertical="center"/>
    </xf>
    <xf numFmtId="0" fontId="4" fillId="2" borderId="26" xfId="2" applyFont="1" applyFill="1" applyBorder="1"/>
    <xf numFmtId="0" fontId="4" fillId="2" borderId="18" xfId="2" applyFont="1" applyFill="1" applyBorder="1"/>
    <xf numFmtId="0" fontId="9" fillId="3" borderId="4" xfId="2" applyFont="1" applyFill="1" applyBorder="1" applyAlignment="1">
      <alignment horizontal="center" vertical="center"/>
    </xf>
    <xf numFmtId="0" fontId="9" fillId="3" borderId="15" xfId="2" applyFont="1" applyFill="1" applyBorder="1" applyAlignment="1">
      <alignment horizontal="center" vertical="center"/>
    </xf>
    <xf numFmtId="0" fontId="9" fillId="3" borderId="31" xfId="2" applyFont="1" applyFill="1" applyBorder="1" applyAlignment="1">
      <alignment horizontal="center" vertical="center"/>
    </xf>
    <xf numFmtId="0" fontId="9" fillId="2" borderId="26" xfId="2" applyFont="1" applyFill="1" applyBorder="1" applyAlignment="1">
      <alignment horizontal="center" vertical="center"/>
    </xf>
    <xf numFmtId="0" fontId="9" fillId="2" borderId="18" xfId="2" applyFont="1" applyFill="1" applyBorder="1" applyAlignment="1">
      <alignment horizontal="center" vertical="center"/>
    </xf>
    <xf numFmtId="0" fontId="9" fillId="2" borderId="70" xfId="2" applyFont="1" applyFill="1" applyBorder="1" applyAlignment="1">
      <alignment horizontal="center" vertical="center"/>
    </xf>
    <xf numFmtId="0" fontId="9" fillId="2" borderId="71" xfId="2" applyFont="1" applyFill="1" applyBorder="1" applyAlignment="1">
      <alignment horizontal="center" vertical="center"/>
    </xf>
    <xf numFmtId="0" fontId="4" fillId="2" borderId="4" xfId="2" applyFont="1" applyFill="1" applyBorder="1" applyAlignment="1">
      <alignment vertical="center" wrapText="1"/>
    </xf>
    <xf numFmtId="0" fontId="4" fillId="2" borderId="1" xfId="2" applyFont="1" applyFill="1" applyBorder="1" applyAlignment="1">
      <alignment vertical="center" wrapText="1"/>
    </xf>
    <xf numFmtId="0" fontId="20" fillId="5" borderId="20" xfId="0" applyFont="1" applyFill="1" applyBorder="1" applyAlignment="1">
      <alignment horizontal="center"/>
    </xf>
    <xf numFmtId="0" fontId="20" fillId="5" borderId="36" xfId="0" applyFont="1" applyFill="1" applyBorder="1" applyAlignment="1">
      <alignment horizontal="center"/>
    </xf>
    <xf numFmtId="0" fontId="0" fillId="2" borderId="20" xfId="0" applyFill="1" applyBorder="1" applyAlignment="1">
      <alignment horizontal="center" vertical="center"/>
    </xf>
    <xf numFmtId="15" fontId="1" fillId="2" borderId="36" xfId="0" applyNumberFormat="1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wrapText="1"/>
    </xf>
    <xf numFmtId="0" fontId="21" fillId="2" borderId="37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/>
    </xf>
    <xf numFmtId="0" fontId="1" fillId="2" borderId="36" xfId="0" applyFont="1" applyFill="1" applyBorder="1" applyAlignment="1">
      <alignment horizontal="center"/>
    </xf>
    <xf numFmtId="0" fontId="0" fillId="0" borderId="62" xfId="0" applyBorder="1"/>
    <xf numFmtId="0" fontId="0" fillId="0" borderId="39" xfId="0" applyBorder="1"/>
    <xf numFmtId="0" fontId="5" fillId="2" borderId="0" xfId="2" applyFont="1" applyFill="1"/>
    <xf numFmtId="0" fontId="5" fillId="2" borderId="80" xfId="2" applyFont="1" applyFill="1" applyBorder="1"/>
    <xf numFmtId="0" fontId="5" fillId="2" borderId="81" xfId="2" applyFont="1" applyFill="1" applyBorder="1"/>
    <xf numFmtId="0" fontId="7" fillId="2" borderId="83" xfId="2" applyFont="1" applyFill="1" applyBorder="1" applyAlignment="1">
      <alignment vertical="center" wrapText="1"/>
    </xf>
    <xf numFmtId="0" fontId="6" fillId="2" borderId="11" xfId="2" applyFont="1" applyFill="1" applyBorder="1" applyAlignment="1">
      <alignment horizontal="left"/>
    </xf>
    <xf numFmtId="0" fontId="0" fillId="0" borderId="85" xfId="0" applyBorder="1"/>
    <xf numFmtId="0" fontId="0" fillId="0" borderId="36" xfId="0" applyBorder="1"/>
    <xf numFmtId="0" fontId="4" fillId="2" borderId="21" xfId="2" applyFont="1" applyFill="1" applyBorder="1" applyAlignment="1">
      <alignment horizontal="center" vertical="center" wrapText="1"/>
    </xf>
    <xf numFmtId="0" fontId="4" fillId="6" borderId="46" xfId="2" applyFont="1" applyFill="1" applyBorder="1" applyAlignment="1">
      <alignment horizontal="center" vertical="center" wrapText="1"/>
    </xf>
    <xf numFmtId="0" fontId="4" fillId="6" borderId="3" xfId="2" applyFont="1" applyFill="1" applyBorder="1" applyAlignment="1">
      <alignment horizontal="center" vertical="center" wrapText="1"/>
    </xf>
    <xf numFmtId="0" fontId="4" fillId="6" borderId="54" xfId="2" applyFont="1" applyFill="1" applyBorder="1" applyAlignment="1">
      <alignment horizontal="center" vertical="center" wrapText="1"/>
    </xf>
    <xf numFmtId="0" fontId="9" fillId="6" borderId="8" xfId="2" applyFont="1" applyFill="1" applyBorder="1" applyAlignment="1">
      <alignment horizontal="center" vertical="center"/>
    </xf>
    <xf numFmtId="0" fontId="9" fillId="6" borderId="1" xfId="2" applyFont="1" applyFill="1" applyBorder="1" applyAlignment="1">
      <alignment horizontal="center" vertical="center"/>
    </xf>
    <xf numFmtId="0" fontId="9" fillId="6" borderId="12" xfId="2" applyFont="1" applyFill="1" applyBorder="1" applyAlignment="1">
      <alignment vertical="center" wrapText="1"/>
    </xf>
    <xf numFmtId="0" fontId="9" fillId="6" borderId="15" xfId="2" applyFont="1" applyFill="1" applyBorder="1" applyAlignment="1">
      <alignment horizontal="center" vertical="center"/>
    </xf>
    <xf numFmtId="0" fontId="9" fillId="6" borderId="31" xfId="2" applyFont="1" applyFill="1" applyBorder="1" applyAlignment="1">
      <alignment horizontal="center" vertical="center"/>
    </xf>
    <xf numFmtId="0" fontId="4" fillId="6" borderId="12" xfId="2" applyFont="1" applyFill="1" applyBorder="1" applyAlignment="1">
      <alignment horizontal="center" vertical="center" wrapText="1"/>
    </xf>
    <xf numFmtId="0" fontId="9" fillId="6" borderId="4" xfId="2" applyFont="1" applyFill="1" applyBorder="1" applyAlignment="1">
      <alignment vertical="center" wrapText="1"/>
    </xf>
    <xf numFmtId="0" fontId="9" fillId="6" borderId="1" xfId="2" applyFont="1" applyFill="1" applyBorder="1" applyAlignment="1">
      <alignment vertical="center" wrapText="1"/>
    </xf>
    <xf numFmtId="0" fontId="9" fillId="2" borderId="54" xfId="2" applyFont="1" applyFill="1" applyBorder="1" applyAlignment="1">
      <alignment vertical="center" wrapText="1"/>
    </xf>
    <xf numFmtId="0" fontId="4" fillId="2" borderId="64" xfId="2" applyFont="1" applyFill="1" applyBorder="1" applyAlignment="1">
      <alignment horizontal="center" vertical="center" wrapText="1"/>
    </xf>
    <xf numFmtId="0" fontId="4" fillId="2" borderId="64" xfId="2" applyFont="1" applyFill="1" applyBorder="1"/>
    <xf numFmtId="0" fontId="9" fillId="2" borderId="64" xfId="2" applyFont="1" applyFill="1" applyBorder="1" applyAlignment="1">
      <alignment vertical="center" wrapText="1"/>
    </xf>
    <xf numFmtId="0" fontId="4" fillId="6" borderId="64" xfId="2" applyFont="1" applyFill="1" applyBorder="1" applyAlignment="1">
      <alignment horizontal="center" vertical="center" wrapText="1"/>
    </xf>
    <xf numFmtId="0" fontId="9" fillId="2" borderId="87" xfId="2" applyFont="1" applyFill="1" applyBorder="1" applyAlignment="1">
      <alignment vertical="center" wrapText="1"/>
    </xf>
    <xf numFmtId="0" fontId="8" fillId="2" borderId="50" xfId="2" applyFont="1" applyFill="1" applyBorder="1" applyAlignment="1">
      <alignment horizontal="center" vertical="center"/>
    </xf>
    <xf numFmtId="0" fontId="8" fillId="2" borderId="94" xfId="2" applyFont="1" applyFill="1" applyBorder="1" applyAlignment="1">
      <alignment horizontal="center" vertical="center"/>
    </xf>
    <xf numFmtId="0" fontId="4" fillId="2" borderId="51" xfId="2" applyFont="1" applyFill="1" applyBorder="1" applyAlignment="1">
      <alignment horizontal="center" vertical="center" wrapText="1"/>
    </xf>
    <xf numFmtId="0" fontId="4" fillId="2" borderId="90" xfId="2" applyFont="1" applyFill="1" applyBorder="1" applyAlignment="1">
      <alignment horizontal="center" vertical="center" wrapText="1"/>
    </xf>
    <xf numFmtId="0" fontId="4" fillId="2" borderId="90" xfId="2" applyFont="1" applyFill="1" applyBorder="1"/>
    <xf numFmtId="0" fontId="9" fillId="2" borderId="90" xfId="2" applyFont="1" applyFill="1" applyBorder="1" applyAlignment="1">
      <alignment vertical="center" wrapText="1"/>
    </xf>
    <xf numFmtId="0" fontId="4" fillId="6" borderId="90" xfId="2" applyFont="1" applyFill="1" applyBorder="1" applyAlignment="1">
      <alignment horizontal="center" vertical="center" wrapText="1"/>
    </xf>
    <xf numFmtId="0" fontId="9" fillId="2" borderId="95" xfId="2" applyFont="1" applyFill="1" applyBorder="1" applyAlignment="1">
      <alignment vertical="center" wrapText="1"/>
    </xf>
    <xf numFmtId="0" fontId="4" fillId="6" borderId="1" xfId="2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vertical="center" wrapText="1"/>
    </xf>
    <xf numFmtId="0" fontId="4" fillId="2" borderId="95" xfId="2" applyFont="1" applyFill="1" applyBorder="1" applyAlignment="1">
      <alignment horizontal="center" vertical="center" wrapText="1"/>
    </xf>
    <xf numFmtId="0" fontId="4" fillId="2" borderId="87" xfId="2" applyFont="1" applyFill="1" applyBorder="1" applyAlignment="1">
      <alignment horizontal="center" vertical="center" wrapText="1"/>
    </xf>
    <xf numFmtId="0" fontId="8" fillId="2" borderId="2" xfId="2" applyFont="1" applyFill="1" applyBorder="1" applyAlignment="1">
      <alignment horizontal="center" vertical="center" wrapText="1"/>
    </xf>
    <xf numFmtId="0" fontId="8" fillId="2" borderId="95" xfId="2" applyFont="1" applyFill="1" applyBorder="1" applyAlignment="1">
      <alignment horizontal="center" vertical="center" wrapText="1"/>
    </xf>
    <xf numFmtId="0" fontId="4" fillId="2" borderId="53" xfId="2" applyFont="1" applyFill="1" applyBorder="1" applyAlignment="1">
      <alignment horizontal="center" vertical="center" wrapText="1"/>
    </xf>
    <xf numFmtId="0" fontId="4" fillId="2" borderId="88" xfId="2" applyFont="1" applyFill="1" applyBorder="1" applyAlignment="1">
      <alignment horizontal="center" vertical="center" wrapText="1"/>
    </xf>
    <xf numFmtId="0" fontId="9" fillId="2" borderId="8" xfId="2" applyFont="1" applyFill="1" applyBorder="1" applyAlignment="1">
      <alignment vertical="center" wrapText="1"/>
    </xf>
    <xf numFmtId="0" fontId="4" fillId="6" borderId="8" xfId="2" applyFont="1" applyFill="1" applyBorder="1" applyAlignment="1">
      <alignment horizontal="center" vertical="center" wrapText="1"/>
    </xf>
    <xf numFmtId="0" fontId="4" fillId="2" borderId="16" xfId="2" applyFont="1" applyFill="1" applyBorder="1" applyAlignment="1">
      <alignment horizontal="center" vertical="center" wrapText="1"/>
    </xf>
    <xf numFmtId="0" fontId="4" fillId="2" borderId="22" xfId="2" applyFont="1" applyFill="1" applyBorder="1" applyAlignment="1">
      <alignment horizontal="center" vertical="center" wrapText="1"/>
    </xf>
    <xf numFmtId="0" fontId="4" fillId="2" borderId="14" xfId="2" applyFont="1" applyFill="1" applyBorder="1" applyAlignment="1">
      <alignment horizontal="center" vertical="center" wrapText="1"/>
    </xf>
    <xf numFmtId="0" fontId="4" fillId="2" borderId="13" xfId="2" applyFont="1" applyFill="1" applyBorder="1" applyAlignment="1">
      <alignment horizontal="center" vertical="center" wrapText="1"/>
    </xf>
    <xf numFmtId="0" fontId="5" fillId="6" borderId="4" xfId="2" applyFont="1" applyFill="1" applyBorder="1" applyAlignment="1">
      <alignment horizontal="center" vertical="center" wrapText="1"/>
    </xf>
    <xf numFmtId="0" fontId="5" fillId="6" borderId="1" xfId="2" applyFont="1" applyFill="1" applyBorder="1" applyAlignment="1">
      <alignment horizontal="center" vertical="center" wrapText="1"/>
    </xf>
    <xf numFmtId="0" fontId="5" fillId="6" borderId="12" xfId="2" applyFont="1" applyFill="1" applyBorder="1" applyAlignment="1">
      <alignment horizontal="center" vertical="center" wrapText="1"/>
    </xf>
    <xf numFmtId="0" fontId="9" fillId="6" borderId="14" xfId="2" applyFont="1" applyFill="1" applyBorder="1" applyAlignment="1">
      <alignment horizontal="center" vertical="center"/>
    </xf>
    <xf numFmtId="0" fontId="9" fillId="6" borderId="2" xfId="2" applyFont="1" applyFill="1" applyBorder="1" applyAlignment="1">
      <alignment horizontal="center" vertical="center"/>
    </xf>
    <xf numFmtId="0" fontId="9" fillId="6" borderId="13" xfId="2" applyFont="1" applyFill="1" applyBorder="1" applyAlignment="1">
      <alignment vertical="center" wrapText="1"/>
    </xf>
    <xf numFmtId="0" fontId="9" fillId="6" borderId="95" xfId="2" applyFont="1" applyFill="1" applyBorder="1" applyAlignment="1">
      <alignment vertical="center" wrapText="1"/>
    </xf>
    <xf numFmtId="0" fontId="9" fillId="6" borderId="8" xfId="2" applyFont="1" applyFill="1" applyBorder="1" applyAlignment="1">
      <alignment vertical="center" wrapText="1"/>
    </xf>
    <xf numFmtId="0" fontId="9" fillId="6" borderId="87" xfId="2" applyFont="1" applyFill="1" applyBorder="1" applyAlignment="1">
      <alignment vertical="center" wrapText="1"/>
    </xf>
    <xf numFmtId="0" fontId="8" fillId="6" borderId="54" xfId="2" applyFont="1" applyFill="1" applyBorder="1" applyAlignment="1">
      <alignment horizontal="center" vertical="center" wrapText="1"/>
    </xf>
    <xf numFmtId="0" fontId="9" fillId="2" borderId="14" xfId="2" applyFont="1" applyFill="1" applyBorder="1" applyAlignment="1">
      <alignment vertical="center" wrapText="1"/>
    </xf>
    <xf numFmtId="0" fontId="9" fillId="2" borderId="91" xfId="2" applyFont="1" applyFill="1" applyBorder="1" applyAlignment="1">
      <alignment horizontal="left" vertical="center" wrapText="1"/>
    </xf>
    <xf numFmtId="0" fontId="9" fillId="7" borderId="53" xfId="2" applyFont="1" applyFill="1" applyBorder="1" applyAlignment="1">
      <alignment horizontal="center" vertical="center"/>
    </xf>
    <xf numFmtId="0" fontId="9" fillId="7" borderId="41" xfId="2" applyFont="1" applyFill="1" applyBorder="1" applyAlignment="1">
      <alignment horizontal="center" vertical="center"/>
    </xf>
    <xf numFmtId="0" fontId="4" fillId="6" borderId="42" xfId="2" applyFont="1" applyFill="1" applyBorder="1" applyAlignment="1">
      <alignment horizontal="center" vertical="center" wrapText="1"/>
    </xf>
    <xf numFmtId="0" fontId="9" fillId="7" borderId="69" xfId="2" applyFont="1" applyFill="1" applyBorder="1" applyAlignment="1">
      <alignment horizontal="center" vertical="center"/>
    </xf>
    <xf numFmtId="0" fontId="9" fillId="7" borderId="55" xfId="2" applyFont="1" applyFill="1" applyBorder="1" applyAlignment="1">
      <alignment horizontal="center" vertical="center"/>
    </xf>
    <xf numFmtId="0" fontId="9" fillId="7" borderId="89" xfId="2" applyFont="1" applyFill="1" applyBorder="1" applyAlignment="1">
      <alignment vertical="center" wrapText="1"/>
    </xf>
    <xf numFmtId="0" fontId="9" fillId="7" borderId="53" xfId="2" applyFont="1" applyFill="1" applyBorder="1" applyAlignment="1">
      <alignment vertical="center" wrapText="1"/>
    </xf>
    <xf numFmtId="0" fontId="9" fillId="7" borderId="88" xfId="2" applyFont="1" applyFill="1" applyBorder="1" applyAlignment="1">
      <alignment vertical="center" wrapText="1"/>
    </xf>
    <xf numFmtId="0" fontId="9" fillId="7" borderId="42" xfId="2" applyFont="1" applyFill="1" applyBorder="1" applyAlignment="1">
      <alignment vertical="center" wrapText="1"/>
    </xf>
    <xf numFmtId="0" fontId="9" fillId="7" borderId="52" xfId="2" applyFont="1" applyFill="1" applyBorder="1" applyAlignment="1">
      <alignment vertical="center" wrapText="1"/>
    </xf>
    <xf numFmtId="0" fontId="9" fillId="7" borderId="41" xfId="2" applyFont="1" applyFill="1" applyBorder="1" applyAlignment="1">
      <alignment vertical="center" wrapText="1"/>
    </xf>
    <xf numFmtId="0" fontId="8" fillId="6" borderId="42" xfId="2" applyFont="1" applyFill="1" applyBorder="1" applyAlignment="1">
      <alignment horizontal="center" vertical="center" wrapText="1"/>
    </xf>
    <xf numFmtId="0" fontId="9" fillId="7" borderId="8" xfId="2" applyFont="1" applyFill="1" applyBorder="1" applyAlignment="1">
      <alignment horizontal="center" vertical="center"/>
    </xf>
    <xf numFmtId="0" fontId="9" fillId="7" borderId="1" xfId="2" applyFont="1" applyFill="1" applyBorder="1" applyAlignment="1">
      <alignment horizontal="center" vertical="center"/>
    </xf>
    <xf numFmtId="0" fontId="9" fillId="7" borderId="26" xfId="2" applyFont="1" applyFill="1" applyBorder="1" applyAlignment="1">
      <alignment horizontal="center" vertical="center"/>
    </xf>
    <xf numFmtId="0" fontId="9" fillId="7" borderId="18" xfId="2" applyFont="1" applyFill="1" applyBorder="1" applyAlignment="1">
      <alignment horizontal="center" vertical="center"/>
    </xf>
    <xf numFmtId="0" fontId="9" fillId="7" borderId="4" xfId="2" applyFont="1" applyFill="1" applyBorder="1" applyAlignment="1">
      <alignment vertical="center" wrapText="1"/>
    </xf>
    <xf numFmtId="0" fontId="9" fillId="7" borderId="1" xfId="2" applyFont="1" applyFill="1" applyBorder="1" applyAlignment="1">
      <alignment vertical="center" wrapText="1"/>
    </xf>
    <xf numFmtId="0" fontId="4" fillId="6" borderId="47" xfId="2" applyFont="1" applyFill="1" applyBorder="1" applyAlignment="1">
      <alignment horizontal="center" vertical="center" wrapText="1"/>
    </xf>
    <xf numFmtId="0" fontId="4" fillId="6" borderId="2" xfId="2" applyFont="1" applyFill="1" applyBorder="1" applyAlignment="1">
      <alignment horizontal="center" vertical="center" wrapText="1"/>
    </xf>
    <xf numFmtId="0" fontId="4" fillId="6" borderId="38" xfId="2" applyFont="1" applyFill="1" applyBorder="1" applyAlignment="1">
      <alignment horizontal="center" vertical="center" wrapText="1"/>
    </xf>
    <xf numFmtId="0" fontId="4" fillId="6" borderId="8" xfId="2" applyFont="1" applyFill="1" applyBorder="1"/>
    <xf numFmtId="0" fontId="4" fillId="6" borderId="1" xfId="2" applyFont="1" applyFill="1" applyBorder="1"/>
    <xf numFmtId="0" fontId="4" fillId="6" borderId="12" xfId="2" applyFont="1" applyFill="1" applyBorder="1"/>
    <xf numFmtId="0" fontId="4" fillId="6" borderId="26" xfId="2" applyFont="1" applyFill="1" applyBorder="1"/>
    <xf numFmtId="0" fontId="4" fillId="6" borderId="18" xfId="2" applyFont="1" applyFill="1" applyBorder="1"/>
    <xf numFmtId="0" fontId="4" fillId="6" borderId="64" xfId="2" applyFont="1" applyFill="1" applyBorder="1"/>
    <xf numFmtId="0" fontId="9" fillId="7" borderId="4" xfId="2" applyFont="1" applyFill="1" applyBorder="1" applyAlignment="1">
      <alignment horizontal="center" vertical="center"/>
    </xf>
    <xf numFmtId="0" fontId="9" fillId="7" borderId="12" xfId="2" applyFont="1" applyFill="1" applyBorder="1" applyAlignment="1">
      <alignment vertical="center" wrapText="1"/>
    </xf>
    <xf numFmtId="0" fontId="9" fillId="6" borderId="90" xfId="2" applyFont="1" applyFill="1" applyBorder="1" applyAlignment="1">
      <alignment vertical="center" wrapText="1"/>
    </xf>
    <xf numFmtId="0" fontId="9" fillId="6" borderId="64" xfId="2" applyFont="1" applyFill="1" applyBorder="1" applyAlignment="1">
      <alignment vertical="center" wrapText="1"/>
    </xf>
    <xf numFmtId="0" fontId="4" fillId="6" borderId="4" xfId="2" applyFont="1" applyFill="1" applyBorder="1" applyAlignment="1">
      <alignment vertical="center" wrapText="1"/>
    </xf>
    <xf numFmtId="0" fontId="4" fillId="6" borderId="1" xfId="2" applyFont="1" applyFill="1" applyBorder="1" applyAlignment="1">
      <alignment vertical="center" wrapText="1"/>
    </xf>
    <xf numFmtId="0" fontId="4" fillId="6" borderId="2" xfId="2" applyFont="1" applyFill="1" applyBorder="1" applyAlignment="1">
      <alignment vertical="center" wrapText="1"/>
    </xf>
    <xf numFmtId="0" fontId="4" fillId="6" borderId="95" xfId="2" applyFont="1" applyFill="1" applyBorder="1" applyAlignment="1">
      <alignment horizontal="center" vertical="center" wrapText="1"/>
    </xf>
    <xf numFmtId="0" fontId="9" fillId="6" borderId="47" xfId="2" applyFont="1" applyFill="1" applyBorder="1" applyAlignment="1">
      <alignment vertical="center" wrapText="1"/>
    </xf>
    <xf numFmtId="0" fontId="9" fillId="6" borderId="2" xfId="2" applyFont="1" applyFill="1" applyBorder="1" applyAlignment="1">
      <alignment vertical="center" wrapText="1"/>
    </xf>
    <xf numFmtId="0" fontId="4" fillId="6" borderId="94" xfId="2" applyFont="1" applyFill="1" applyBorder="1" applyAlignment="1">
      <alignment vertical="center" wrapText="1"/>
    </xf>
    <xf numFmtId="0" fontId="4" fillId="6" borderId="21" xfId="2" applyFont="1" applyFill="1" applyBorder="1" applyAlignment="1">
      <alignment vertical="center" wrapText="1"/>
    </xf>
    <xf numFmtId="0" fontId="4" fillId="6" borderId="22" xfId="2" applyFont="1" applyFill="1" applyBorder="1" applyAlignment="1">
      <alignment horizontal="center" vertical="center" wrapText="1"/>
    </xf>
    <xf numFmtId="0" fontId="4" fillId="6" borderId="50" xfId="2" applyFont="1" applyFill="1" applyBorder="1" applyAlignment="1">
      <alignment horizontal="center" vertical="center" wrapText="1"/>
    </xf>
    <xf numFmtId="0" fontId="4" fillId="6" borderId="16" xfId="2" applyFont="1" applyFill="1" applyBorder="1" applyAlignment="1">
      <alignment horizontal="center" vertical="center" wrapText="1"/>
    </xf>
    <xf numFmtId="0" fontId="4" fillId="6" borderId="86" xfId="2" applyFont="1" applyFill="1" applyBorder="1" applyAlignment="1">
      <alignment horizontal="center" vertical="center" wrapText="1"/>
    </xf>
    <xf numFmtId="9" fontId="4" fillId="2" borderId="0" xfId="2" applyNumberFormat="1" applyFont="1" applyFill="1"/>
    <xf numFmtId="0" fontId="6" fillId="2" borderId="35" xfId="2" applyFont="1" applyFill="1" applyBorder="1" applyAlignment="1">
      <alignment vertical="center"/>
    </xf>
    <xf numFmtId="0" fontId="6" fillId="2" borderId="99" xfId="2" applyFont="1" applyFill="1" applyBorder="1" applyAlignment="1">
      <alignment vertical="center"/>
    </xf>
    <xf numFmtId="9" fontId="6" fillId="2" borderId="29" xfId="2" applyNumberFormat="1" applyFont="1" applyFill="1" applyBorder="1" applyAlignment="1">
      <alignment vertical="center"/>
    </xf>
    <xf numFmtId="9" fontId="6" fillId="2" borderId="30" xfId="2" applyNumberFormat="1" applyFont="1" applyFill="1" applyBorder="1" applyAlignment="1">
      <alignment vertical="center"/>
    </xf>
    <xf numFmtId="0" fontId="0" fillId="0" borderId="62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6" xfId="0" applyBorder="1" applyAlignment="1">
      <alignment horizontal="center"/>
    </xf>
    <xf numFmtId="0" fontId="17" fillId="2" borderId="30" xfId="2" applyFont="1" applyFill="1" applyBorder="1" applyAlignment="1">
      <alignment horizontal="center" vertical="center"/>
    </xf>
    <xf numFmtId="0" fontId="5" fillId="2" borderId="61" xfId="2" applyFont="1" applyFill="1" applyBorder="1" applyAlignment="1">
      <alignment horizontal="center"/>
    </xf>
    <xf numFmtId="0" fontId="5" fillId="2" borderId="27" xfId="2" applyFont="1" applyFill="1" applyBorder="1" applyAlignment="1">
      <alignment horizontal="center"/>
    </xf>
    <xf numFmtId="0" fontId="4" fillId="0" borderId="4" xfId="2" applyFont="1" applyBorder="1" applyAlignment="1">
      <alignment vertical="center" wrapText="1"/>
    </xf>
    <xf numFmtId="0" fontId="4" fillId="0" borderId="12" xfId="2" applyFont="1" applyBorder="1" applyAlignment="1">
      <alignment horizontal="center" vertical="center" wrapText="1"/>
    </xf>
    <xf numFmtId="0" fontId="9" fillId="0" borderId="8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9" fillId="0" borderId="12" xfId="2" applyFont="1" applyBorder="1" applyAlignment="1">
      <alignment vertical="center" wrapText="1"/>
    </xf>
    <xf numFmtId="0" fontId="9" fillId="7" borderId="101" xfId="2" applyFont="1" applyFill="1" applyBorder="1" applyAlignment="1">
      <alignment vertical="center" wrapText="1"/>
    </xf>
    <xf numFmtId="0" fontId="9" fillId="7" borderId="102" xfId="2" applyFont="1" applyFill="1" applyBorder="1" applyAlignment="1">
      <alignment vertical="center" wrapText="1"/>
    </xf>
    <xf numFmtId="0" fontId="4" fillId="6" borderId="103" xfId="2" applyFont="1" applyFill="1" applyBorder="1" applyAlignment="1">
      <alignment horizontal="center" vertical="center" wrapText="1"/>
    </xf>
    <xf numFmtId="0" fontId="4" fillId="6" borderId="104" xfId="2" applyFont="1" applyFill="1" applyBorder="1" applyAlignment="1">
      <alignment horizontal="center" vertical="center" wrapText="1"/>
    </xf>
    <xf numFmtId="0" fontId="4" fillId="6" borderId="104" xfId="2" applyFont="1" applyFill="1" applyBorder="1"/>
    <xf numFmtId="0" fontId="9" fillId="2" borderId="104" xfId="2" applyFont="1" applyFill="1" applyBorder="1" applyAlignment="1">
      <alignment vertical="center" wrapText="1"/>
    </xf>
    <xf numFmtId="0" fontId="9" fillId="6" borderId="104" xfId="2" applyFont="1" applyFill="1" applyBorder="1" applyAlignment="1">
      <alignment vertical="center" wrapText="1"/>
    </xf>
    <xf numFmtId="0" fontId="4" fillId="2" borderId="103" xfId="2" applyFont="1" applyFill="1" applyBorder="1" applyAlignment="1">
      <alignment horizontal="center" vertical="center" wrapText="1"/>
    </xf>
    <xf numFmtId="0" fontId="4" fillId="2" borderId="104" xfId="2" applyFont="1" applyFill="1" applyBorder="1" applyAlignment="1">
      <alignment horizontal="center" vertical="center" wrapText="1"/>
    </xf>
    <xf numFmtId="0" fontId="4" fillId="6" borderId="105" xfId="2" applyFont="1" applyFill="1" applyBorder="1" applyAlignment="1">
      <alignment horizontal="center" vertical="center" wrapText="1"/>
    </xf>
    <xf numFmtId="0" fontId="4" fillId="2" borderId="106" xfId="2" applyFont="1" applyFill="1" applyBorder="1" applyAlignment="1">
      <alignment horizontal="center" vertical="center" wrapText="1"/>
    </xf>
    <xf numFmtId="0" fontId="4" fillId="2" borderId="105" xfId="2" applyFont="1" applyFill="1" applyBorder="1" applyAlignment="1">
      <alignment horizontal="center" vertical="center" wrapText="1"/>
    </xf>
    <xf numFmtId="0" fontId="4" fillId="6" borderId="107" xfId="2" applyFont="1" applyFill="1" applyBorder="1" applyAlignment="1">
      <alignment horizontal="center" vertical="center" wrapText="1"/>
    </xf>
    <xf numFmtId="0" fontId="4" fillId="6" borderId="108" xfId="2" applyFont="1" applyFill="1" applyBorder="1" applyAlignment="1">
      <alignment horizontal="center" vertical="center" wrapText="1"/>
    </xf>
    <xf numFmtId="0" fontId="4" fillId="6" borderId="109" xfId="2" applyFont="1" applyFill="1" applyBorder="1" applyAlignment="1">
      <alignment horizontal="center" vertical="center" wrapText="1"/>
    </xf>
    <xf numFmtId="0" fontId="4" fillId="0" borderId="90" xfId="2" applyFont="1" applyBorder="1" applyAlignment="1">
      <alignment horizontal="center" vertical="center" wrapText="1"/>
    </xf>
    <xf numFmtId="0" fontId="6" fillId="2" borderId="110" xfId="2" applyFont="1" applyFill="1" applyBorder="1" applyAlignment="1">
      <alignment vertical="center"/>
    </xf>
    <xf numFmtId="0" fontId="8" fillId="2" borderId="100" xfId="2" applyFont="1" applyFill="1" applyBorder="1" applyAlignment="1">
      <alignment horizontal="center" vertical="center"/>
    </xf>
    <xf numFmtId="0" fontId="8" fillId="2" borderId="111" xfId="2" applyFont="1" applyFill="1" applyBorder="1" applyAlignment="1">
      <alignment horizontal="center" vertical="center"/>
    </xf>
    <xf numFmtId="0" fontId="4" fillId="2" borderId="102" xfId="2" applyFont="1" applyFill="1" applyBorder="1" applyAlignment="1">
      <alignment horizontal="center" vertical="center" wrapText="1"/>
    </xf>
    <xf numFmtId="0" fontId="4" fillId="3" borderId="103" xfId="2" applyFont="1" applyFill="1" applyBorder="1" applyAlignment="1">
      <alignment horizontal="center"/>
    </xf>
    <xf numFmtId="0" fontId="4" fillId="2" borderId="103" xfId="2" applyFont="1" applyFill="1" applyBorder="1" applyAlignment="1">
      <alignment horizontal="center"/>
    </xf>
    <xf numFmtId="0" fontId="9" fillId="3" borderId="103" xfId="2" applyFont="1" applyFill="1" applyBorder="1" applyAlignment="1">
      <alignment horizontal="center" vertical="center"/>
    </xf>
    <xf numFmtId="0" fontId="4" fillId="2" borderId="104" xfId="2" applyFont="1" applyFill="1" applyBorder="1"/>
    <xf numFmtId="0" fontId="9" fillId="2" borderId="103" xfId="2" applyFont="1" applyFill="1" applyBorder="1" applyAlignment="1">
      <alignment horizontal="center" vertical="center"/>
    </xf>
    <xf numFmtId="0" fontId="9" fillId="6" borderId="103" xfId="2" applyFont="1" applyFill="1" applyBorder="1" applyAlignment="1">
      <alignment horizontal="center" vertical="center"/>
    </xf>
    <xf numFmtId="0" fontId="9" fillId="6" borderId="106" xfId="2" applyFont="1" applyFill="1" applyBorder="1" applyAlignment="1">
      <alignment horizontal="center" vertical="center"/>
    </xf>
    <xf numFmtId="0" fontId="9" fillId="6" borderId="105" xfId="2" applyFont="1" applyFill="1" applyBorder="1" applyAlignment="1">
      <alignment vertical="center" wrapText="1"/>
    </xf>
    <xf numFmtId="0" fontId="9" fillId="2" borderId="106" xfId="2" applyFont="1" applyFill="1" applyBorder="1" applyAlignment="1">
      <alignment horizontal="center" vertical="center"/>
    </xf>
    <xf numFmtId="0" fontId="9" fillId="2" borderId="105" xfId="2" applyFont="1" applyFill="1" applyBorder="1" applyAlignment="1">
      <alignment vertical="center" wrapText="1"/>
    </xf>
    <xf numFmtId="0" fontId="9" fillId="2" borderId="107" xfId="2" applyFont="1" applyFill="1" applyBorder="1" applyAlignment="1">
      <alignment horizontal="center" vertical="center"/>
    </xf>
    <xf numFmtId="0" fontId="9" fillId="2" borderId="112" xfId="2" applyFont="1" applyFill="1" applyBorder="1" applyAlignment="1">
      <alignment horizontal="center" vertical="center"/>
    </xf>
    <xf numFmtId="0" fontId="9" fillId="2" borderId="109" xfId="2" applyFont="1" applyFill="1" applyBorder="1" applyAlignment="1">
      <alignment vertical="center" wrapText="1"/>
    </xf>
    <xf numFmtId="0" fontId="9" fillId="3" borderId="90" xfId="2" applyFont="1" applyFill="1" applyBorder="1" applyAlignment="1">
      <alignment vertical="center" wrapText="1"/>
    </xf>
    <xf numFmtId="0" fontId="4" fillId="6" borderId="4" xfId="2" applyFont="1" applyFill="1" applyBorder="1" applyAlignment="1">
      <alignment horizontal="center" vertical="center" wrapText="1"/>
    </xf>
    <xf numFmtId="0" fontId="8" fillId="2" borderId="2" xfId="2" applyFont="1" applyFill="1" applyBorder="1" applyAlignment="1">
      <alignment horizontal="center" vertical="center"/>
    </xf>
    <xf numFmtId="0" fontId="8" fillId="2" borderId="95" xfId="2" applyFont="1" applyFill="1" applyBorder="1" applyAlignment="1">
      <alignment horizontal="center" vertical="center"/>
    </xf>
    <xf numFmtId="0" fontId="9" fillId="7" borderId="25" xfId="2" applyFont="1" applyFill="1" applyBorder="1" applyAlignment="1">
      <alignment horizontal="center" vertical="center"/>
    </xf>
    <xf numFmtId="0" fontId="9" fillId="7" borderId="3" xfId="2" applyFont="1" applyFill="1" applyBorder="1" applyAlignment="1">
      <alignment horizontal="center" vertical="center"/>
    </xf>
    <xf numFmtId="0" fontId="9" fillId="7" borderId="51" xfId="2" applyFont="1" applyFill="1" applyBorder="1" applyAlignment="1">
      <alignment vertical="center" wrapText="1"/>
    </xf>
    <xf numFmtId="0" fontId="4" fillId="0" borderId="4" xfId="2" applyFont="1" applyBorder="1" applyAlignment="1">
      <alignment horizontal="center" vertical="center" wrapText="1"/>
    </xf>
    <xf numFmtId="0" fontId="4" fillId="0" borderId="64" xfId="2" applyFont="1" applyBorder="1" applyAlignment="1">
      <alignment horizontal="center" vertical="center" wrapText="1"/>
    </xf>
    <xf numFmtId="0" fontId="9" fillId="0" borderId="87" xfId="2" applyFont="1" applyBorder="1" applyAlignment="1">
      <alignment vertical="center" wrapText="1"/>
    </xf>
    <xf numFmtId="0" fontId="27" fillId="2" borderId="23" xfId="2" applyFont="1" applyFill="1" applyBorder="1"/>
    <xf numFmtId="0" fontId="16" fillId="2" borderId="0" xfId="2" applyFont="1" applyFill="1" applyAlignment="1">
      <alignment horizontal="center" vertical="top"/>
    </xf>
    <xf numFmtId="0" fontId="4" fillId="6" borderId="8" xfId="2" applyFont="1" applyFill="1" applyBorder="1" applyAlignment="1">
      <alignment horizontal="center"/>
    </xf>
    <xf numFmtId="0" fontId="4" fillId="6" borderId="94" xfId="2" applyFont="1" applyFill="1" applyBorder="1" applyAlignment="1">
      <alignment horizontal="center" vertical="center" wrapText="1"/>
    </xf>
    <xf numFmtId="0" fontId="6" fillId="2" borderId="58" xfId="2" applyFont="1" applyFill="1" applyBorder="1" applyAlignment="1">
      <alignment horizontal="center" vertical="center"/>
    </xf>
    <xf numFmtId="0" fontId="5" fillId="2" borderId="40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3" borderId="4" xfId="2" applyFont="1" applyFill="1" applyBorder="1" applyAlignment="1">
      <alignment horizontal="center"/>
    </xf>
    <xf numFmtId="0" fontId="4" fillId="3" borderId="4" xfId="2" applyFont="1" applyFill="1" applyBorder="1" applyAlignment="1">
      <alignment horizontal="center" vertical="center"/>
    </xf>
    <xf numFmtId="0" fontId="4" fillId="2" borderId="26" xfId="2" applyFont="1" applyFill="1" applyBorder="1" applyAlignment="1">
      <alignment horizontal="center" vertical="center"/>
    </xf>
    <xf numFmtId="0" fontId="4" fillId="6" borderId="26" xfId="2" applyFont="1" applyFill="1" applyBorder="1" applyAlignment="1">
      <alignment horizontal="center" vertical="center"/>
    </xf>
    <xf numFmtId="0" fontId="4" fillId="6" borderId="8" xfId="2" applyFont="1" applyFill="1" applyBorder="1" applyAlignment="1">
      <alignment horizontal="center" vertical="center"/>
    </xf>
    <xf numFmtId="0" fontId="5" fillId="2" borderId="61" xfId="2" applyFont="1" applyFill="1" applyBorder="1" applyAlignment="1">
      <alignment horizontal="center" vertical="center"/>
    </xf>
    <xf numFmtId="0" fontId="5" fillId="2" borderId="27" xfId="2" applyFont="1" applyFill="1" applyBorder="1" applyAlignment="1">
      <alignment horizontal="center" vertical="center"/>
    </xf>
    <xf numFmtId="0" fontId="5" fillId="2" borderId="40" xfId="2" applyFont="1" applyFill="1" applyBorder="1" applyAlignment="1">
      <alignment horizontal="center" vertical="center"/>
    </xf>
    <xf numFmtId="0" fontId="4" fillId="2" borderId="0" xfId="2" applyFont="1" applyFill="1" applyAlignment="1">
      <alignment horizontal="center" vertical="center"/>
    </xf>
    <xf numFmtId="0" fontId="10" fillId="2" borderId="0" xfId="2" applyFont="1" applyFill="1" applyAlignment="1">
      <alignment horizontal="center" vertical="center"/>
    </xf>
    <xf numFmtId="0" fontId="4" fillId="2" borderId="40" xfId="2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8" xfId="2" applyFont="1" applyFill="1" applyBorder="1" applyAlignment="1">
      <alignment horizontal="center" vertical="center"/>
    </xf>
    <xf numFmtId="0" fontId="4" fillId="3" borderId="1" xfId="2" applyFont="1" applyFill="1" applyBorder="1" applyAlignment="1">
      <alignment vertical="center"/>
    </xf>
    <xf numFmtId="0" fontId="4" fillId="3" borderId="64" xfId="2" applyFont="1" applyFill="1" applyBorder="1" applyAlignment="1">
      <alignment vertical="center"/>
    </xf>
    <xf numFmtId="0" fontId="4" fillId="3" borderId="103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3" borderId="1" xfId="2" applyFont="1" applyFill="1" applyBorder="1" applyAlignment="1">
      <alignment horizontal="center" vertical="center"/>
    </xf>
    <xf numFmtId="0" fontId="4" fillId="3" borderId="1" xfId="2" applyFont="1" applyFill="1" applyBorder="1" applyAlignment="1">
      <alignment horizontal="center"/>
    </xf>
    <xf numFmtId="0" fontId="4" fillId="0" borderId="1" xfId="2" applyFont="1" applyBorder="1" applyAlignment="1">
      <alignment horizontal="center" vertical="center" wrapText="1"/>
    </xf>
    <xf numFmtId="0" fontId="4" fillId="6" borderId="21" xfId="2" applyFont="1" applyFill="1" applyBorder="1" applyAlignment="1">
      <alignment horizontal="center" vertical="center" wrapText="1"/>
    </xf>
    <xf numFmtId="0" fontId="9" fillId="2" borderId="4" xfId="2" applyFont="1" applyFill="1" applyBorder="1" applyAlignment="1">
      <alignment horizontal="center" vertical="center" wrapText="1"/>
    </xf>
    <xf numFmtId="0" fontId="9" fillId="6" borderId="4" xfId="2" applyFont="1" applyFill="1" applyBorder="1" applyAlignment="1">
      <alignment horizontal="center" vertical="center" wrapText="1"/>
    </xf>
    <xf numFmtId="0" fontId="9" fillId="0" borderId="4" xfId="2" applyFont="1" applyBorder="1" applyAlignment="1">
      <alignment horizontal="center" vertical="center" wrapText="1"/>
    </xf>
    <xf numFmtId="0" fontId="9" fillId="2" borderId="47" xfId="2" applyFont="1" applyFill="1" applyBorder="1" applyAlignment="1">
      <alignment horizontal="center" vertical="center" wrapText="1"/>
    </xf>
    <xf numFmtId="0" fontId="9" fillId="7" borderId="100" xfId="2" applyFont="1" applyFill="1" applyBorder="1" applyAlignment="1">
      <alignment horizontal="center" vertical="center" wrapText="1"/>
    </xf>
    <xf numFmtId="0" fontId="4" fillId="6" borderId="103" xfId="2" applyFont="1" applyFill="1" applyBorder="1" applyAlignment="1">
      <alignment horizontal="center"/>
    </xf>
    <xf numFmtId="0" fontId="9" fillId="6" borderId="103" xfId="2" applyFont="1" applyFill="1" applyBorder="1" applyAlignment="1">
      <alignment horizontal="center" vertical="center" wrapText="1"/>
    </xf>
    <xf numFmtId="0" fontId="6" fillId="2" borderId="110" xfId="2" applyFont="1" applyFill="1" applyBorder="1" applyAlignment="1">
      <alignment horizontal="center" vertical="center"/>
    </xf>
    <xf numFmtId="0" fontId="5" fillId="2" borderId="0" xfId="2" applyFont="1" applyFill="1" applyAlignment="1">
      <alignment horizontal="center"/>
    </xf>
    <xf numFmtId="0" fontId="9" fillId="3" borderId="4" xfId="2" applyFont="1" applyFill="1" applyBorder="1" applyAlignment="1">
      <alignment horizontal="center" vertical="center" wrapText="1"/>
    </xf>
    <xf numFmtId="0" fontId="9" fillId="7" borderId="52" xfId="2" applyFont="1" applyFill="1" applyBorder="1" applyAlignment="1">
      <alignment horizontal="center" vertical="center" wrapText="1"/>
    </xf>
    <xf numFmtId="0" fontId="9" fillId="7" borderId="4" xfId="2" applyFont="1" applyFill="1" applyBorder="1" applyAlignment="1">
      <alignment horizontal="center" vertical="center" wrapText="1"/>
    </xf>
    <xf numFmtId="0" fontId="9" fillId="6" borderId="47" xfId="2" applyFont="1" applyFill="1" applyBorder="1" applyAlignment="1">
      <alignment horizontal="center" vertical="center" wrapText="1"/>
    </xf>
    <xf numFmtId="0" fontId="9" fillId="6" borderId="12" xfId="2" applyFont="1" applyFill="1" applyBorder="1" applyAlignment="1">
      <alignment horizontal="center" vertical="center" wrapText="1"/>
    </xf>
    <xf numFmtId="0" fontId="9" fillId="2" borderId="12" xfId="2" applyFont="1" applyFill="1" applyBorder="1" applyAlignment="1">
      <alignment horizontal="center" vertical="center" wrapText="1"/>
    </xf>
    <xf numFmtId="0" fontId="9" fillId="2" borderId="54" xfId="2" applyFont="1" applyFill="1" applyBorder="1" applyAlignment="1">
      <alignment horizontal="center" vertical="center" wrapText="1"/>
    </xf>
    <xf numFmtId="0" fontId="9" fillId="2" borderId="13" xfId="2" applyFont="1" applyFill="1" applyBorder="1" applyAlignment="1">
      <alignment horizontal="center" vertical="center" wrapText="1"/>
    </xf>
    <xf numFmtId="0" fontId="9" fillId="7" borderId="12" xfId="2" applyFont="1" applyFill="1" applyBorder="1" applyAlignment="1">
      <alignment horizontal="center" vertical="center" wrapText="1"/>
    </xf>
    <xf numFmtId="0" fontId="0" fillId="0" borderId="85" xfId="0" applyBorder="1" applyAlignment="1">
      <alignment horizontal="center"/>
    </xf>
    <xf numFmtId="0" fontId="4" fillId="0" borderId="8" xfId="2" applyFont="1" applyBorder="1" applyAlignment="1">
      <alignment horizontal="center" vertical="center" wrapText="1"/>
    </xf>
    <xf numFmtId="0" fontId="23" fillId="2" borderId="77" xfId="2" applyFont="1" applyFill="1" applyBorder="1"/>
    <xf numFmtId="0" fontId="19" fillId="4" borderId="79" xfId="0" applyFont="1" applyFill="1" applyBorder="1" applyAlignment="1">
      <alignment horizontal="center"/>
    </xf>
    <xf numFmtId="0" fontId="19" fillId="4" borderId="0" xfId="0" applyFont="1" applyFill="1" applyAlignment="1">
      <alignment horizontal="center"/>
    </xf>
    <xf numFmtId="0" fontId="0" fillId="0" borderId="23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79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6" xfId="0" applyBorder="1" applyAlignment="1">
      <alignment horizontal="center"/>
    </xf>
    <xf numFmtId="0" fontId="17" fillId="0" borderId="29" xfId="0" applyFont="1" applyBorder="1" applyAlignment="1">
      <alignment horizontal="center"/>
    </xf>
    <xf numFmtId="0" fontId="17" fillId="0" borderId="30" xfId="0" applyFont="1" applyBorder="1" applyAlignment="1">
      <alignment horizontal="center"/>
    </xf>
    <xf numFmtId="0" fontId="17" fillId="0" borderId="35" xfId="0" applyFont="1" applyBorder="1" applyAlignment="1">
      <alignment horizontal="center"/>
    </xf>
    <xf numFmtId="0" fontId="24" fillId="2" borderId="29" xfId="2" applyFont="1" applyFill="1" applyBorder="1" applyAlignment="1">
      <alignment horizontal="center" vertical="center"/>
    </xf>
    <xf numFmtId="0" fontId="17" fillId="2" borderId="30" xfId="2" applyFont="1" applyFill="1" applyBorder="1" applyAlignment="1">
      <alignment horizontal="center" vertical="center"/>
    </xf>
    <xf numFmtId="0" fontId="17" fillId="2" borderId="35" xfId="2" applyFont="1" applyFill="1" applyBorder="1" applyAlignment="1">
      <alignment horizontal="center" vertical="center"/>
    </xf>
    <xf numFmtId="0" fontId="24" fillId="2" borderId="30" xfId="2" applyFont="1" applyFill="1" applyBorder="1" applyAlignment="1">
      <alignment horizontal="center" vertical="center"/>
    </xf>
    <xf numFmtId="0" fontId="16" fillId="2" borderId="40" xfId="2" applyFont="1" applyFill="1" applyBorder="1" applyAlignment="1">
      <alignment horizontal="center"/>
    </xf>
    <xf numFmtId="0" fontId="4" fillId="2" borderId="43" xfId="2" applyFont="1" applyFill="1" applyBorder="1" applyAlignment="1">
      <alignment horizontal="center" vertical="center" wrapText="1"/>
    </xf>
    <xf numFmtId="0" fontId="4" fillId="2" borderId="48" xfId="2" applyFont="1" applyFill="1" applyBorder="1" applyAlignment="1">
      <alignment horizontal="center" vertical="center" wrapText="1"/>
    </xf>
    <xf numFmtId="0" fontId="4" fillId="2" borderId="44" xfId="2" applyFont="1" applyFill="1" applyBorder="1" applyAlignment="1">
      <alignment horizontal="center" vertical="center" wrapText="1"/>
    </xf>
    <xf numFmtId="0" fontId="4" fillId="2" borderId="5" xfId="2" applyFont="1" applyFill="1" applyBorder="1" applyAlignment="1">
      <alignment horizontal="center" vertical="center" wrapText="1"/>
    </xf>
    <xf numFmtId="0" fontId="4" fillId="2" borderId="45" xfId="2" applyFont="1" applyFill="1" applyBorder="1" applyAlignment="1">
      <alignment horizontal="center" vertical="center" wrapText="1"/>
    </xf>
    <xf numFmtId="0" fontId="4" fillId="2" borderId="10" xfId="2" applyFont="1" applyFill="1" applyBorder="1" applyAlignment="1">
      <alignment horizontal="center" vertical="center" wrapText="1"/>
    </xf>
    <xf numFmtId="0" fontId="7" fillId="2" borderId="56" xfId="2" applyFont="1" applyFill="1" applyBorder="1" applyAlignment="1">
      <alignment horizontal="center" vertical="center" wrapText="1"/>
    </xf>
    <xf numFmtId="0" fontId="7" fillId="2" borderId="57" xfId="2" applyFont="1" applyFill="1" applyBorder="1" applyAlignment="1">
      <alignment horizontal="center" vertical="center" wrapText="1"/>
    </xf>
    <xf numFmtId="0" fontId="7" fillId="2" borderId="58" xfId="2" applyFont="1" applyFill="1" applyBorder="1" applyAlignment="1">
      <alignment horizontal="center" vertical="center" wrapText="1"/>
    </xf>
    <xf numFmtId="0" fontId="7" fillId="2" borderId="59" xfId="2" applyFont="1" applyFill="1" applyBorder="1" applyAlignment="1">
      <alignment horizontal="center" vertical="center" wrapText="1"/>
    </xf>
    <xf numFmtId="0" fontId="7" fillId="2" borderId="63" xfId="2" applyFont="1" applyFill="1" applyBorder="1" applyAlignment="1">
      <alignment horizontal="center" vertical="center" wrapText="1"/>
    </xf>
    <xf numFmtId="0" fontId="7" fillId="2" borderId="29" xfId="2" applyFont="1" applyFill="1" applyBorder="1" applyAlignment="1">
      <alignment horizontal="center" vertical="center" wrapText="1"/>
    </xf>
    <xf numFmtId="0" fontId="7" fillId="2" borderId="30" xfId="2" applyFont="1" applyFill="1" applyBorder="1" applyAlignment="1">
      <alignment horizontal="center" vertical="center" wrapText="1"/>
    </xf>
    <xf numFmtId="0" fontId="7" fillId="2" borderId="35" xfId="2" applyFont="1" applyFill="1" applyBorder="1" applyAlignment="1">
      <alignment horizontal="center" vertical="center" wrapText="1"/>
    </xf>
    <xf numFmtId="0" fontId="8" fillId="2" borderId="25" xfId="2" applyFont="1" applyFill="1" applyBorder="1" applyAlignment="1">
      <alignment horizontal="left" vertical="center" shrinkToFit="1"/>
    </xf>
    <xf numFmtId="0" fontId="8" fillId="2" borderId="3" xfId="2" applyFont="1" applyFill="1" applyBorder="1" applyAlignment="1">
      <alignment horizontal="left" vertical="center" shrinkToFit="1"/>
    </xf>
    <xf numFmtId="0" fontId="4" fillId="2" borderId="3" xfId="2" applyFont="1" applyFill="1" applyBorder="1" applyAlignment="1">
      <alignment horizontal="center" vertical="center" wrapText="1"/>
    </xf>
    <xf numFmtId="0" fontId="4" fillId="2" borderId="21" xfId="2" applyFont="1" applyFill="1" applyBorder="1" applyAlignment="1">
      <alignment horizontal="center" vertical="center" wrapText="1"/>
    </xf>
    <xf numFmtId="0" fontId="8" fillId="2" borderId="3" xfId="2" applyFont="1" applyFill="1" applyBorder="1" applyAlignment="1">
      <alignment horizontal="center" vertical="center" wrapText="1"/>
    </xf>
    <xf numFmtId="0" fontId="8" fillId="2" borderId="21" xfId="2" applyFont="1" applyFill="1" applyBorder="1" applyAlignment="1">
      <alignment horizontal="center" vertical="center" wrapText="1"/>
    </xf>
    <xf numFmtId="0" fontId="8" fillId="2" borderId="51" xfId="2" applyFont="1" applyFill="1" applyBorder="1" applyAlignment="1">
      <alignment horizontal="left" vertical="center" shrinkToFit="1"/>
    </xf>
    <xf numFmtId="0" fontId="8" fillId="2" borderId="66" xfId="2" applyFont="1" applyFill="1" applyBorder="1" applyAlignment="1">
      <alignment horizontal="center" vertical="center" wrapText="1"/>
    </xf>
    <xf numFmtId="0" fontId="8" fillId="2" borderId="93" xfId="2" applyFont="1" applyFill="1" applyBorder="1" applyAlignment="1">
      <alignment horizontal="center" vertical="center" wrapText="1"/>
    </xf>
    <xf numFmtId="0" fontId="22" fillId="2" borderId="92" xfId="2" applyFont="1" applyFill="1" applyBorder="1" applyAlignment="1">
      <alignment horizontal="center" vertical="center" wrapText="1"/>
    </xf>
    <xf numFmtId="0" fontId="22" fillId="2" borderId="88" xfId="2" applyFont="1" applyFill="1" applyBorder="1" applyAlignment="1">
      <alignment horizontal="center" vertical="center" wrapText="1"/>
    </xf>
    <xf numFmtId="0" fontId="17" fillId="2" borderId="29" xfId="2" applyFont="1" applyFill="1" applyBorder="1" applyAlignment="1">
      <alignment horizontal="center" vertical="center" wrapText="1"/>
    </xf>
    <xf numFmtId="0" fontId="17" fillId="2" borderId="30" xfId="2" applyFont="1" applyFill="1" applyBorder="1" applyAlignment="1">
      <alignment horizontal="center" vertical="center" wrapText="1"/>
    </xf>
    <xf numFmtId="0" fontId="17" fillId="2" borderId="35" xfId="2" applyFont="1" applyFill="1" applyBorder="1" applyAlignment="1">
      <alignment horizontal="center" vertical="center" wrapText="1"/>
    </xf>
    <xf numFmtId="0" fontId="8" fillId="2" borderId="9" xfId="2" applyFont="1" applyFill="1" applyBorder="1" applyAlignment="1">
      <alignment horizontal="left" vertical="center" wrapText="1"/>
    </xf>
    <xf numFmtId="0" fontId="8" fillId="2" borderId="60" xfId="2" applyFont="1" applyFill="1" applyBorder="1" applyAlignment="1">
      <alignment horizontal="left" vertical="center" wrapText="1"/>
    </xf>
    <xf numFmtId="0" fontId="8" fillId="2" borderId="31" xfId="2" applyFont="1" applyFill="1" applyBorder="1" applyAlignment="1">
      <alignment horizontal="center" vertical="center" wrapText="1"/>
    </xf>
    <xf numFmtId="0" fontId="8" fillId="2" borderId="33" xfId="2" applyFont="1" applyFill="1" applyBorder="1" applyAlignment="1">
      <alignment horizontal="center" vertical="center" wrapText="1"/>
    </xf>
    <xf numFmtId="0" fontId="8" fillId="2" borderId="15" xfId="2" applyFont="1" applyFill="1" applyBorder="1" applyAlignment="1">
      <alignment horizontal="center" vertical="center" wrapText="1"/>
    </xf>
    <xf numFmtId="0" fontId="8" fillId="2" borderId="76" xfId="2" applyFont="1" applyFill="1" applyBorder="1" applyAlignment="1">
      <alignment horizontal="center" vertical="center" wrapText="1"/>
    </xf>
    <xf numFmtId="0" fontId="8" fillId="2" borderId="40" xfId="2" applyFont="1" applyFill="1" applyBorder="1" applyAlignment="1">
      <alignment horizontal="center" vertical="center" wrapText="1"/>
    </xf>
    <xf numFmtId="0" fontId="8" fillId="2" borderId="72" xfId="2" applyFont="1" applyFill="1" applyBorder="1" applyAlignment="1">
      <alignment horizontal="center" vertical="center" wrapText="1"/>
    </xf>
    <xf numFmtId="9" fontId="12" fillId="2" borderId="31" xfId="2" applyNumberFormat="1" applyFont="1" applyFill="1" applyBorder="1" applyAlignment="1">
      <alignment horizontal="center" vertical="center"/>
    </xf>
    <xf numFmtId="9" fontId="12" fillId="2" borderId="34" xfId="2" applyNumberFormat="1" applyFont="1" applyFill="1" applyBorder="1" applyAlignment="1">
      <alignment horizontal="center" vertical="center"/>
    </xf>
    <xf numFmtId="9" fontId="12" fillId="2" borderId="76" xfId="2" applyNumberFormat="1" applyFont="1" applyFill="1" applyBorder="1" applyAlignment="1">
      <alignment horizontal="center" vertical="center"/>
    </xf>
    <xf numFmtId="9" fontId="12" fillId="2" borderId="74" xfId="2" applyNumberFormat="1" applyFont="1" applyFill="1" applyBorder="1" applyAlignment="1">
      <alignment horizontal="center" vertical="center"/>
    </xf>
    <xf numFmtId="0" fontId="7" fillId="2" borderId="32" xfId="2" applyFont="1" applyFill="1" applyBorder="1" applyAlignment="1">
      <alignment horizontal="center" vertical="center" wrapText="1"/>
    </xf>
    <xf numFmtId="0" fontId="7" fillId="2" borderId="65" xfId="2" applyFont="1" applyFill="1" applyBorder="1" applyAlignment="1">
      <alignment horizontal="center" vertical="center" wrapText="1"/>
    </xf>
    <xf numFmtId="0" fontId="7" fillId="2" borderId="28" xfId="2" applyFont="1" applyFill="1" applyBorder="1" applyAlignment="1">
      <alignment horizontal="center" vertical="center" wrapText="1"/>
    </xf>
    <xf numFmtId="9" fontId="10" fillId="2" borderId="32" xfId="2" applyNumberFormat="1" applyFont="1" applyFill="1" applyBorder="1" applyAlignment="1">
      <alignment horizontal="center"/>
    </xf>
    <xf numFmtId="9" fontId="10" fillId="2" borderId="75" xfId="2" applyNumberFormat="1" applyFont="1" applyFill="1" applyBorder="1" applyAlignment="1">
      <alignment horizontal="center"/>
    </xf>
    <xf numFmtId="0" fontId="8" fillId="2" borderId="17" xfId="2" applyFont="1" applyFill="1" applyBorder="1" applyAlignment="1">
      <alignment horizontal="left" vertical="center" wrapText="1"/>
    </xf>
    <xf numFmtId="0" fontId="8" fillId="2" borderId="32" xfId="2" applyFont="1" applyFill="1" applyBorder="1" applyAlignment="1">
      <alignment horizontal="center" vertical="center" wrapText="1"/>
    </xf>
    <xf numFmtId="0" fontId="8" fillId="2" borderId="65" xfId="2" applyFont="1" applyFill="1" applyBorder="1" applyAlignment="1">
      <alignment horizontal="center" vertical="center" wrapText="1"/>
    </xf>
    <xf numFmtId="0" fontId="8" fillId="2" borderId="28" xfId="2" applyFont="1" applyFill="1" applyBorder="1" applyAlignment="1">
      <alignment horizontal="center" vertical="center" wrapText="1"/>
    </xf>
    <xf numFmtId="9" fontId="4" fillId="2" borderId="31" xfId="2" applyNumberFormat="1" applyFont="1" applyFill="1" applyBorder="1" applyAlignment="1">
      <alignment horizontal="center"/>
    </xf>
    <xf numFmtId="9" fontId="4" fillId="2" borderId="34" xfId="2" applyNumberFormat="1" applyFont="1" applyFill="1" applyBorder="1" applyAlignment="1">
      <alignment horizontal="center"/>
    </xf>
    <xf numFmtId="9" fontId="4" fillId="2" borderId="32" xfId="2" applyNumberFormat="1" applyFont="1" applyFill="1" applyBorder="1" applyAlignment="1">
      <alignment horizontal="center"/>
    </xf>
    <xf numFmtId="9" fontId="4" fillId="2" borderId="75" xfId="2" applyNumberFormat="1" applyFont="1" applyFill="1" applyBorder="1" applyAlignment="1">
      <alignment horizontal="center"/>
    </xf>
    <xf numFmtId="0" fontId="5" fillId="2" borderId="23" xfId="2" applyFont="1" applyFill="1" applyBorder="1" applyAlignment="1">
      <alignment horizontal="left"/>
    </xf>
    <xf numFmtId="0" fontId="5" fillId="2" borderId="61" xfId="2" applyFont="1" applyFill="1" applyBorder="1" applyAlignment="1">
      <alignment horizontal="left"/>
    </xf>
    <xf numFmtId="0" fontId="5" fillId="2" borderId="62" xfId="2" applyFont="1" applyFill="1" applyBorder="1" applyAlignment="1">
      <alignment horizontal="left"/>
    </xf>
    <xf numFmtId="0" fontId="5" fillId="2" borderId="24" xfId="2" applyFont="1" applyFill="1" applyBorder="1" applyAlignment="1">
      <alignment horizontal="left"/>
    </xf>
    <xf numFmtId="0" fontId="5" fillId="2" borderId="40" xfId="2" applyFont="1" applyFill="1" applyBorder="1" applyAlignment="1">
      <alignment horizontal="left"/>
    </xf>
    <xf numFmtId="0" fontId="5" fillId="2" borderId="36" xfId="2" applyFont="1" applyFill="1" applyBorder="1" applyAlignment="1">
      <alignment horizontal="left"/>
    </xf>
    <xf numFmtId="0" fontId="5" fillId="2" borderId="23" xfId="2" applyFont="1" applyFill="1" applyBorder="1" applyAlignment="1">
      <alignment horizontal="left" vertical="top"/>
    </xf>
    <xf numFmtId="0" fontId="5" fillId="2" borderId="61" xfId="2" applyFont="1" applyFill="1" applyBorder="1" applyAlignment="1">
      <alignment horizontal="left" vertical="top"/>
    </xf>
    <xf numFmtId="0" fontId="5" fillId="2" borderId="62" xfId="2" applyFont="1" applyFill="1" applyBorder="1" applyAlignment="1">
      <alignment horizontal="left" vertical="top"/>
    </xf>
    <xf numFmtId="0" fontId="5" fillId="2" borderId="79" xfId="2" applyFont="1" applyFill="1" applyBorder="1" applyAlignment="1">
      <alignment horizontal="left" vertical="top"/>
    </xf>
    <xf numFmtId="0" fontId="5" fillId="2" borderId="0" xfId="2" applyFont="1" applyFill="1" applyAlignment="1">
      <alignment horizontal="left" vertical="top"/>
    </xf>
    <xf numFmtId="0" fontId="5" fillId="2" borderId="39" xfId="2" applyFont="1" applyFill="1" applyBorder="1" applyAlignment="1">
      <alignment horizontal="left" vertical="top"/>
    </xf>
    <xf numFmtId="0" fontId="5" fillId="2" borderId="24" xfId="2" applyFont="1" applyFill="1" applyBorder="1" applyAlignment="1">
      <alignment horizontal="left" vertical="top"/>
    </xf>
    <xf numFmtId="0" fontId="5" fillId="2" borderId="40" xfId="2" applyFont="1" applyFill="1" applyBorder="1" applyAlignment="1">
      <alignment horizontal="left" vertical="top"/>
    </xf>
    <xf numFmtId="0" fontId="5" fillId="2" borderId="36" xfId="2" applyFont="1" applyFill="1" applyBorder="1" applyAlignment="1">
      <alignment horizontal="left" vertical="top"/>
    </xf>
    <xf numFmtId="0" fontId="10" fillId="2" borderId="39" xfId="2" applyFont="1" applyFill="1" applyBorder="1" applyAlignment="1">
      <alignment horizontal="center"/>
    </xf>
    <xf numFmtId="0" fontId="8" fillId="2" borderId="68" xfId="2" applyFont="1" applyFill="1" applyBorder="1" applyAlignment="1">
      <alignment horizontal="center" vertical="center" wrapText="1"/>
    </xf>
    <xf numFmtId="0" fontId="24" fillId="2" borderId="29" xfId="2" applyFont="1" applyFill="1" applyBorder="1" applyAlignment="1">
      <alignment horizontal="center" vertical="center" wrapText="1"/>
    </xf>
    <xf numFmtId="0" fontId="17" fillId="2" borderId="40" xfId="2" applyFont="1" applyFill="1" applyBorder="1" applyAlignment="1">
      <alignment horizontal="center" vertical="center"/>
    </xf>
    <xf numFmtId="0" fontId="5" fillId="2" borderId="61" xfId="2" applyFont="1" applyFill="1" applyBorder="1" applyAlignment="1">
      <alignment horizontal="center"/>
    </xf>
    <xf numFmtId="0" fontId="5" fillId="2" borderId="62" xfId="2" applyFont="1" applyFill="1" applyBorder="1" applyAlignment="1">
      <alignment horizontal="center"/>
    </xf>
    <xf numFmtId="0" fontId="13" fillId="2" borderId="6" xfId="2" applyFont="1" applyFill="1" applyBorder="1" applyAlignment="1">
      <alignment horizontal="center" vertical="center" textRotation="90" wrapText="1"/>
    </xf>
    <xf numFmtId="0" fontId="13" fillId="2" borderId="7" xfId="2" applyFont="1" applyFill="1" applyBorder="1" applyAlignment="1">
      <alignment horizontal="center" vertical="center" textRotation="90" wrapText="1"/>
    </xf>
    <xf numFmtId="0" fontId="13" fillId="2" borderId="20" xfId="2" applyFont="1" applyFill="1" applyBorder="1" applyAlignment="1">
      <alignment horizontal="center" vertical="center" textRotation="90" wrapText="1"/>
    </xf>
    <xf numFmtId="0" fontId="15" fillId="2" borderId="6" xfId="2" applyFont="1" applyFill="1" applyBorder="1" applyAlignment="1">
      <alignment horizontal="center" vertical="center" textRotation="90" wrapText="1"/>
    </xf>
    <xf numFmtId="0" fontId="15" fillId="2" borderId="20" xfId="2" applyFont="1" applyFill="1" applyBorder="1" applyAlignment="1">
      <alignment horizontal="center" vertical="center" textRotation="90" wrapText="1"/>
    </xf>
    <xf numFmtId="0" fontId="8" fillId="2" borderId="46" xfId="2" applyFont="1" applyFill="1" applyBorder="1" applyAlignment="1">
      <alignment horizontal="left" vertical="center" shrinkToFit="1"/>
    </xf>
    <xf numFmtId="0" fontId="8" fillId="2" borderId="54" xfId="2" applyFont="1" applyFill="1" applyBorder="1" applyAlignment="1">
      <alignment horizontal="center" vertical="center" wrapText="1"/>
    </xf>
    <xf numFmtId="0" fontId="8" fillId="2" borderId="22" xfId="2" applyFont="1" applyFill="1" applyBorder="1" applyAlignment="1">
      <alignment horizontal="center" vertical="center" wrapText="1"/>
    </xf>
    <xf numFmtId="0" fontId="6" fillId="2" borderId="29" xfId="2" applyFont="1" applyFill="1" applyBorder="1" applyAlignment="1">
      <alignment horizontal="center" vertical="center"/>
    </xf>
    <xf numFmtId="0" fontId="6" fillId="2" borderId="30" xfId="2" applyFont="1" applyFill="1" applyBorder="1" applyAlignment="1">
      <alignment horizontal="center" vertical="center"/>
    </xf>
    <xf numFmtId="0" fontId="6" fillId="2" borderId="35" xfId="2" applyFont="1" applyFill="1" applyBorder="1" applyAlignment="1">
      <alignment horizontal="center" vertical="center"/>
    </xf>
    <xf numFmtId="0" fontId="23" fillId="2" borderId="96" xfId="2" applyFont="1" applyFill="1" applyBorder="1" applyAlignment="1">
      <alignment horizontal="center"/>
    </xf>
    <xf numFmtId="0" fontId="5" fillId="2" borderId="80" xfId="2" applyFont="1" applyFill="1" applyBorder="1" applyAlignment="1">
      <alignment horizontal="center"/>
    </xf>
    <xf numFmtId="0" fontId="5" fillId="2" borderId="96" xfId="2" applyFont="1" applyFill="1" applyBorder="1" applyAlignment="1">
      <alignment horizontal="center"/>
    </xf>
    <xf numFmtId="0" fontId="23" fillId="2" borderId="84" xfId="2" applyFont="1" applyFill="1" applyBorder="1" applyAlignment="1">
      <alignment horizontal="center"/>
    </xf>
    <xf numFmtId="0" fontId="5" fillId="2" borderId="82" xfId="2" applyFont="1" applyFill="1" applyBorder="1" applyAlignment="1">
      <alignment horizontal="center"/>
    </xf>
    <xf numFmtId="0" fontId="5" fillId="2" borderId="27" xfId="2" applyFont="1" applyFill="1" applyBorder="1" applyAlignment="1">
      <alignment horizontal="center"/>
    </xf>
    <xf numFmtId="0" fontId="5" fillId="2" borderId="24" xfId="2" applyFont="1" applyFill="1" applyBorder="1" applyAlignment="1">
      <alignment horizontal="center" vertical="center" wrapText="1"/>
    </xf>
    <xf numFmtId="0" fontId="5" fillId="2" borderId="40" xfId="2" applyFont="1" applyFill="1" applyBorder="1" applyAlignment="1">
      <alignment horizontal="center" vertical="center" wrapText="1"/>
    </xf>
    <xf numFmtId="0" fontId="5" fillId="2" borderId="36" xfId="2" applyFont="1" applyFill="1" applyBorder="1" applyAlignment="1">
      <alignment horizontal="center" vertical="center" wrapText="1"/>
    </xf>
    <xf numFmtId="0" fontId="17" fillId="2" borderId="29" xfId="2" applyFont="1" applyFill="1" applyBorder="1" applyAlignment="1">
      <alignment horizontal="center" vertical="center"/>
    </xf>
    <xf numFmtId="9" fontId="6" fillId="2" borderId="97" xfId="2" applyNumberFormat="1" applyFont="1" applyFill="1" applyBorder="1" applyAlignment="1">
      <alignment horizontal="center" vertical="center"/>
    </xf>
    <xf numFmtId="9" fontId="6" fillId="2" borderId="98" xfId="2" applyNumberFormat="1" applyFont="1" applyFill="1" applyBorder="1" applyAlignment="1">
      <alignment horizontal="center" vertical="center"/>
    </xf>
    <xf numFmtId="9" fontId="6" fillId="2" borderId="29" xfId="2" applyNumberFormat="1" applyFont="1" applyFill="1" applyBorder="1" applyAlignment="1">
      <alignment horizontal="center" vertical="center"/>
    </xf>
    <xf numFmtId="9" fontId="6" fillId="2" borderId="30" xfId="2" applyNumberFormat="1" applyFont="1" applyFill="1" applyBorder="1" applyAlignment="1">
      <alignment horizontal="center" vertical="center"/>
    </xf>
    <xf numFmtId="9" fontId="6" fillId="2" borderId="35" xfId="2" applyNumberFormat="1" applyFont="1" applyFill="1" applyBorder="1" applyAlignment="1">
      <alignment horizontal="center" vertical="center"/>
    </xf>
    <xf numFmtId="0" fontId="8" fillId="2" borderId="113" xfId="2" applyFont="1" applyFill="1" applyBorder="1" applyAlignment="1">
      <alignment horizontal="center" vertical="center" wrapText="1"/>
    </xf>
    <xf numFmtId="0" fontId="26" fillId="2" borderId="96" xfId="2" applyFont="1" applyFill="1" applyBorder="1" applyAlignment="1">
      <alignment horizontal="center"/>
    </xf>
    <xf numFmtId="0" fontId="4" fillId="2" borderId="80" xfId="2" applyFont="1" applyFill="1" applyBorder="1" applyAlignment="1">
      <alignment horizontal="center"/>
    </xf>
    <xf numFmtId="0" fontId="4" fillId="0" borderId="46" xfId="2" applyFont="1" applyFill="1" applyBorder="1" applyAlignment="1">
      <alignment horizontal="center" vertical="center" wrapText="1"/>
    </xf>
    <xf numFmtId="0" fontId="4" fillId="0" borderId="3" xfId="2" applyFont="1" applyFill="1" applyBorder="1" applyAlignment="1">
      <alignment horizontal="center" vertical="center" wrapText="1"/>
    </xf>
    <xf numFmtId="0" fontId="4" fillId="0" borderId="54" xfId="2" applyFont="1" applyFill="1" applyBorder="1" applyAlignment="1">
      <alignment horizontal="center" vertical="center" wrapText="1"/>
    </xf>
    <xf numFmtId="0" fontId="29" fillId="2" borderId="27" xfId="2" applyFont="1" applyFill="1" applyBorder="1" applyAlignment="1">
      <alignment horizontal="center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416719</xdr:colOff>
      <xdr:row>0</xdr:row>
      <xdr:rowOff>0</xdr:rowOff>
    </xdr:from>
    <xdr:to>
      <xdr:col>1</xdr:col>
      <xdr:colOff>342900</xdr:colOff>
      <xdr:row>2</xdr:row>
      <xdr:rowOff>169498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F05431DB-3DDC-470A-9433-6FD98AE12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16719" y="0"/>
          <a:ext cx="690165" cy="5862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416719</xdr:colOff>
      <xdr:row>0</xdr:row>
      <xdr:rowOff>0</xdr:rowOff>
    </xdr:from>
    <xdr:to>
      <xdr:col>1</xdr:col>
      <xdr:colOff>342900</xdr:colOff>
      <xdr:row>2</xdr:row>
      <xdr:rowOff>169498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E2A3661A-58BB-4D65-B65C-348996F80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16719" y="0"/>
          <a:ext cx="1154906" cy="5885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416719</xdr:colOff>
      <xdr:row>0</xdr:row>
      <xdr:rowOff>0</xdr:rowOff>
    </xdr:from>
    <xdr:to>
      <xdr:col>1</xdr:col>
      <xdr:colOff>342900</xdr:colOff>
      <xdr:row>2</xdr:row>
      <xdr:rowOff>169498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5142578E-72EC-4BD4-A048-32B356255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16719" y="0"/>
          <a:ext cx="1154906" cy="5885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416719</xdr:colOff>
      <xdr:row>0</xdr:row>
      <xdr:rowOff>0</xdr:rowOff>
    </xdr:from>
    <xdr:to>
      <xdr:col>1</xdr:col>
      <xdr:colOff>342900</xdr:colOff>
      <xdr:row>2</xdr:row>
      <xdr:rowOff>169498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C718BAB2-740A-4253-A897-A7304A575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16719" y="0"/>
          <a:ext cx="1154906" cy="5790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416719</xdr:colOff>
      <xdr:row>0</xdr:row>
      <xdr:rowOff>0</xdr:rowOff>
    </xdr:from>
    <xdr:to>
      <xdr:col>1</xdr:col>
      <xdr:colOff>342900</xdr:colOff>
      <xdr:row>2</xdr:row>
      <xdr:rowOff>169498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2345C185-DAAE-4F85-9045-252F3D72C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16719" y="0"/>
          <a:ext cx="1154906" cy="5600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416719</xdr:colOff>
      <xdr:row>0</xdr:row>
      <xdr:rowOff>0</xdr:rowOff>
    </xdr:from>
    <xdr:to>
      <xdr:col>1</xdr:col>
      <xdr:colOff>342900</xdr:colOff>
      <xdr:row>2</xdr:row>
      <xdr:rowOff>169498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F69FFA35-DFE9-4C9B-AFB9-21B662A5C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16719" y="0"/>
          <a:ext cx="1154906" cy="5695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416719</xdr:colOff>
      <xdr:row>0</xdr:row>
      <xdr:rowOff>0</xdr:rowOff>
    </xdr:from>
    <xdr:to>
      <xdr:col>1</xdr:col>
      <xdr:colOff>342900</xdr:colOff>
      <xdr:row>2</xdr:row>
      <xdr:rowOff>169498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8BEA6ADD-64AF-4865-95A5-E187616B5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16719" y="0"/>
          <a:ext cx="1154906" cy="5695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C16EB-23B8-41AF-B40C-89903139B66B}">
  <dimension ref="A1:T141"/>
  <sheetViews>
    <sheetView view="pageBreakPreview" topLeftCell="A113" zoomScale="57" zoomScaleNormal="96" zoomScaleSheetLayoutView="57" workbookViewId="0">
      <selection activeCell="W123" sqref="W123"/>
    </sheetView>
  </sheetViews>
  <sheetFormatPr defaultColWidth="11.42578125" defaultRowHeight="14.45"/>
  <cols>
    <col min="1" max="1" width="18.42578125" customWidth="1"/>
    <col min="2" max="2" width="17.140625" customWidth="1"/>
    <col min="3" max="20" width="5.7109375" customWidth="1"/>
  </cols>
  <sheetData>
    <row r="1" spans="1:20" ht="16.149999999999999" thickBot="1">
      <c r="A1" s="328"/>
      <c r="B1" s="329"/>
      <c r="C1" s="334" t="s">
        <v>0</v>
      </c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6"/>
    </row>
    <row r="2" spans="1:20" ht="15.6">
      <c r="A2" s="330"/>
      <c r="B2" s="331"/>
      <c r="C2" s="334" t="s">
        <v>1</v>
      </c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  <c r="S2" s="335"/>
      <c r="T2" s="336"/>
    </row>
    <row r="3" spans="1:20" ht="15.6">
      <c r="A3" s="332"/>
      <c r="B3" s="333"/>
      <c r="C3" s="337" t="s">
        <v>2</v>
      </c>
      <c r="D3" s="338"/>
      <c r="E3" s="338"/>
      <c r="F3" s="338"/>
      <c r="G3" s="338"/>
      <c r="H3" s="339"/>
      <c r="I3" s="337" t="s">
        <v>3</v>
      </c>
      <c r="J3" s="338"/>
      <c r="K3" s="338"/>
      <c r="L3" s="338"/>
      <c r="M3" s="339"/>
      <c r="N3" s="64"/>
      <c r="O3" s="64"/>
      <c r="P3" s="64"/>
      <c r="Q3" s="64"/>
      <c r="R3" s="340" t="s">
        <v>4</v>
      </c>
      <c r="S3" s="338"/>
      <c r="T3" s="339"/>
    </row>
    <row r="4" spans="1:20">
      <c r="A4" s="2"/>
      <c r="B4" s="62" t="s">
        <v>5</v>
      </c>
      <c r="C4" s="63"/>
      <c r="D4" s="63"/>
      <c r="E4" s="63"/>
      <c r="F4" s="63"/>
      <c r="G4" s="63"/>
      <c r="H4" s="63"/>
      <c r="I4" s="341" t="s">
        <v>6</v>
      </c>
      <c r="J4" s="341"/>
      <c r="K4" s="341"/>
      <c r="L4" s="341"/>
      <c r="M4" s="341"/>
      <c r="N4" s="341"/>
      <c r="O4" s="341"/>
      <c r="P4" s="341"/>
      <c r="Q4" s="341"/>
      <c r="R4" s="341"/>
      <c r="S4" s="341"/>
      <c r="T4" s="341"/>
    </row>
    <row r="5" spans="1:20" ht="29.25" customHeight="1" thickBot="1">
      <c r="A5" s="342" t="s">
        <v>7</v>
      </c>
      <c r="B5" s="343"/>
      <c r="C5" s="348" t="s">
        <v>8</v>
      </c>
      <c r="D5" s="349"/>
      <c r="E5" s="350"/>
      <c r="F5" s="351" t="s">
        <v>9</v>
      </c>
      <c r="G5" s="349"/>
      <c r="H5" s="349"/>
      <c r="I5" s="349" t="s">
        <v>10</v>
      </c>
      <c r="J5" s="349"/>
      <c r="K5" s="349"/>
      <c r="L5" s="349" t="s">
        <v>11</v>
      </c>
      <c r="M5" s="349"/>
      <c r="N5" s="352"/>
      <c r="O5" s="353" t="s">
        <v>12</v>
      </c>
      <c r="P5" s="354"/>
      <c r="Q5" s="355"/>
      <c r="R5" s="353" t="s">
        <v>13</v>
      </c>
      <c r="S5" s="354"/>
      <c r="T5" s="355"/>
    </row>
    <row r="6" spans="1:20" ht="15" thickBot="1">
      <c r="A6" s="344"/>
      <c r="B6" s="345"/>
      <c r="C6" s="356" t="s">
        <v>14</v>
      </c>
      <c r="D6" s="357"/>
      <c r="E6" s="358" t="s">
        <v>15</v>
      </c>
      <c r="F6" s="357" t="s">
        <v>14</v>
      </c>
      <c r="G6" s="357"/>
      <c r="H6" s="360" t="s">
        <v>15</v>
      </c>
      <c r="I6" s="357" t="s">
        <v>14</v>
      </c>
      <c r="J6" s="357"/>
      <c r="K6" s="360" t="s">
        <v>15</v>
      </c>
      <c r="L6" s="357" t="s">
        <v>14</v>
      </c>
      <c r="M6" s="362"/>
      <c r="N6" s="363" t="s">
        <v>15</v>
      </c>
      <c r="O6" s="365" t="s">
        <v>14</v>
      </c>
      <c r="P6" s="366"/>
      <c r="Q6" s="363" t="s">
        <v>15</v>
      </c>
      <c r="R6" s="421" t="s">
        <v>14</v>
      </c>
      <c r="S6" s="357"/>
      <c r="T6" s="422" t="s">
        <v>15</v>
      </c>
    </row>
    <row r="7" spans="1:20" ht="15" thickBot="1">
      <c r="A7" s="346"/>
      <c r="B7" s="347"/>
      <c r="C7" s="3" t="s">
        <v>16</v>
      </c>
      <c r="D7" s="4" t="s">
        <v>17</v>
      </c>
      <c r="E7" s="359"/>
      <c r="F7" s="4" t="s">
        <v>16</v>
      </c>
      <c r="G7" s="4" t="s">
        <v>17</v>
      </c>
      <c r="H7" s="361"/>
      <c r="I7" s="4" t="s">
        <v>16</v>
      </c>
      <c r="J7" s="4" t="s">
        <v>17</v>
      </c>
      <c r="K7" s="361"/>
      <c r="L7" s="4" t="s">
        <v>16</v>
      </c>
      <c r="M7" s="141" t="s">
        <v>17</v>
      </c>
      <c r="N7" s="364"/>
      <c r="O7" s="153" t="s">
        <v>16</v>
      </c>
      <c r="P7" s="154" t="s">
        <v>17</v>
      </c>
      <c r="Q7" s="411"/>
      <c r="R7" s="142" t="s">
        <v>16</v>
      </c>
      <c r="S7" s="4" t="s">
        <v>17</v>
      </c>
      <c r="T7" s="423"/>
    </row>
    <row r="8" spans="1:20" ht="22.9">
      <c r="A8" s="416" t="s">
        <v>18</v>
      </c>
      <c r="B8" s="59" t="s">
        <v>19</v>
      </c>
      <c r="C8" s="5"/>
      <c r="D8" s="6"/>
      <c r="E8" s="7"/>
      <c r="F8" s="92"/>
      <c r="G8" s="6"/>
      <c r="H8" s="7"/>
      <c r="I8" s="8"/>
      <c r="J8" s="93"/>
      <c r="K8" s="43"/>
      <c r="L8" s="42"/>
      <c r="M8" s="9"/>
      <c r="N8" s="143"/>
      <c r="O8" s="155"/>
      <c r="P8" s="156"/>
      <c r="Q8" s="7"/>
      <c r="R8" s="8"/>
      <c r="S8" s="9"/>
      <c r="T8" s="71"/>
    </row>
    <row r="9" spans="1:20" ht="22.9">
      <c r="A9" s="417"/>
      <c r="B9" s="60" t="s">
        <v>20</v>
      </c>
      <c r="C9" s="76"/>
      <c r="D9" s="77"/>
      <c r="E9" s="43"/>
      <c r="F9" s="10"/>
      <c r="G9" s="11"/>
      <c r="H9" s="48"/>
      <c r="I9" s="12"/>
      <c r="J9" s="47"/>
      <c r="K9" s="48"/>
      <c r="L9" s="72"/>
      <c r="M9" s="11"/>
      <c r="N9" s="144"/>
      <c r="O9" s="91"/>
      <c r="P9" s="136"/>
      <c r="Q9" s="48"/>
      <c r="R9" s="12"/>
      <c r="S9" s="11"/>
      <c r="T9" s="71"/>
    </row>
    <row r="10" spans="1:20">
      <c r="A10" s="417"/>
      <c r="B10" s="60" t="s">
        <v>21</v>
      </c>
      <c r="C10" s="78"/>
      <c r="D10" s="74"/>
      <c r="E10" s="43"/>
      <c r="F10" s="10"/>
      <c r="G10" s="11"/>
      <c r="H10" s="48"/>
      <c r="I10" s="12"/>
      <c r="J10" s="47"/>
      <c r="K10" s="48"/>
      <c r="L10" s="72"/>
      <c r="M10" s="11"/>
      <c r="N10" s="144"/>
      <c r="O10" s="91"/>
      <c r="P10" s="136"/>
      <c r="Q10" s="48"/>
      <c r="R10" s="12"/>
      <c r="S10" s="11"/>
      <c r="T10" s="71"/>
    </row>
    <row r="11" spans="1:20">
      <c r="A11" s="417"/>
      <c r="B11" s="60" t="s">
        <v>22</v>
      </c>
      <c r="C11" s="124"/>
      <c r="D11" s="125"/>
      <c r="E11" s="126"/>
      <c r="F11" s="14"/>
      <c r="G11" s="13"/>
      <c r="H11" s="15"/>
      <c r="I11" s="12"/>
      <c r="J11" s="47"/>
      <c r="K11" s="48"/>
      <c r="L11" s="73"/>
      <c r="M11" s="13"/>
      <c r="N11" s="144"/>
      <c r="O11" s="91"/>
      <c r="P11" s="136"/>
      <c r="Q11" s="48"/>
      <c r="R11" s="12"/>
      <c r="S11" s="11"/>
      <c r="T11" s="71"/>
    </row>
    <row r="12" spans="1:20">
      <c r="A12" s="417"/>
      <c r="B12" s="60" t="s">
        <v>23</v>
      </c>
      <c r="C12" s="17"/>
      <c r="D12" s="18"/>
      <c r="E12" s="43"/>
      <c r="F12" s="19"/>
      <c r="G12" s="20"/>
      <c r="H12" s="48"/>
      <c r="I12" s="12"/>
      <c r="J12" s="47"/>
      <c r="K12" s="48"/>
      <c r="L12" s="73"/>
      <c r="M12" s="13"/>
      <c r="N12" s="144"/>
      <c r="O12" s="91"/>
      <c r="P12" s="136"/>
      <c r="Q12" s="48"/>
      <c r="R12" s="12"/>
      <c r="S12" s="11"/>
      <c r="T12" s="12"/>
    </row>
    <row r="13" spans="1:20" ht="45.6">
      <c r="A13" s="417"/>
      <c r="B13" s="60" t="s">
        <v>24</v>
      </c>
      <c r="C13" s="76"/>
      <c r="D13" s="77"/>
      <c r="E13" s="43"/>
      <c r="F13" s="19"/>
      <c r="G13" s="20"/>
      <c r="H13" s="48"/>
      <c r="I13" s="21"/>
      <c r="J13" s="22"/>
      <c r="K13" s="48"/>
      <c r="L13" s="19"/>
      <c r="M13" s="20"/>
      <c r="N13" s="144"/>
      <c r="O13" s="91"/>
      <c r="P13" s="136"/>
      <c r="Q13" s="48"/>
      <c r="R13" s="23"/>
      <c r="S13" s="24"/>
      <c r="T13" s="12"/>
    </row>
    <row r="14" spans="1:20">
      <c r="A14" s="417"/>
      <c r="B14" s="60" t="s">
        <v>25</v>
      </c>
      <c r="C14" s="76"/>
      <c r="D14" s="77"/>
      <c r="E14" s="79"/>
      <c r="F14" s="14"/>
      <c r="G14" s="13"/>
      <c r="H14" s="15"/>
      <c r="I14" s="94"/>
      <c r="J14" s="95"/>
      <c r="K14" s="15"/>
      <c r="L14" s="73"/>
      <c r="M14" s="13"/>
      <c r="N14" s="145"/>
      <c r="O14" s="14"/>
      <c r="P14" s="137"/>
      <c r="Q14" s="15"/>
      <c r="R14" s="96"/>
      <c r="S14" s="20"/>
      <c r="T14" s="12"/>
    </row>
    <row r="15" spans="1:20">
      <c r="A15" s="417"/>
      <c r="B15" s="60" t="s">
        <v>26</v>
      </c>
      <c r="C15" s="80"/>
      <c r="D15" s="81"/>
      <c r="E15" s="90"/>
      <c r="F15" s="14"/>
      <c r="G15" s="13"/>
      <c r="H15" s="15"/>
      <c r="I15" s="94"/>
      <c r="J15" s="95"/>
      <c r="K15" s="15"/>
      <c r="L15" s="73"/>
      <c r="M15" s="13"/>
      <c r="N15" s="145"/>
      <c r="O15" s="14"/>
      <c r="P15" s="137"/>
      <c r="Q15" s="15"/>
      <c r="R15" s="96"/>
      <c r="S15" s="20"/>
      <c r="T15" s="12"/>
    </row>
    <row r="16" spans="1:20" ht="22.9">
      <c r="A16" s="417"/>
      <c r="B16" s="60" t="s">
        <v>27</v>
      </c>
      <c r="C16" s="80"/>
      <c r="D16" s="81"/>
      <c r="E16" s="82"/>
      <c r="F16" s="26"/>
      <c r="G16" s="27"/>
      <c r="H16" s="48"/>
      <c r="I16" s="30"/>
      <c r="J16" s="31"/>
      <c r="K16" s="48"/>
      <c r="L16" s="26"/>
      <c r="M16" s="27"/>
      <c r="N16" s="144"/>
      <c r="O16" s="91"/>
      <c r="P16" s="136"/>
      <c r="Q16" s="48"/>
      <c r="R16" s="23"/>
      <c r="S16" s="24"/>
      <c r="T16" s="12"/>
    </row>
    <row r="17" spans="1:20">
      <c r="A17" s="417"/>
      <c r="B17" s="60" t="s">
        <v>28</v>
      </c>
      <c r="C17" s="80"/>
      <c r="D17" s="81"/>
      <c r="E17" s="43"/>
      <c r="F17" s="26"/>
      <c r="G17" s="27"/>
      <c r="H17" s="48"/>
      <c r="I17" s="30"/>
      <c r="J17" s="31"/>
      <c r="K17" s="48"/>
      <c r="L17" s="26"/>
      <c r="M17" s="27"/>
      <c r="N17" s="144"/>
      <c r="O17" s="91"/>
      <c r="P17" s="136"/>
      <c r="Q17" s="48"/>
      <c r="R17" s="23"/>
      <c r="S17" s="24"/>
      <c r="T17" s="12"/>
    </row>
    <row r="18" spans="1:20">
      <c r="A18" s="417"/>
      <c r="B18" s="60" t="s">
        <v>29</v>
      </c>
      <c r="C18" s="76"/>
      <c r="D18" s="77"/>
      <c r="E18" s="43"/>
      <c r="F18" s="19"/>
      <c r="G18" s="20"/>
      <c r="H18" s="16"/>
      <c r="I18" s="21"/>
      <c r="J18" s="22"/>
      <c r="K18" s="16"/>
      <c r="L18" s="19"/>
      <c r="M18" s="20"/>
      <c r="N18" s="144"/>
      <c r="O18" s="91"/>
      <c r="P18" s="136"/>
      <c r="Q18" s="48"/>
      <c r="R18" s="23"/>
      <c r="S18" s="24"/>
      <c r="T18" s="12"/>
    </row>
    <row r="19" spans="1:20">
      <c r="A19" s="417"/>
      <c r="B19" s="60" t="s">
        <v>30</v>
      </c>
      <c r="C19" s="76"/>
      <c r="D19" s="77"/>
      <c r="E19" s="43"/>
      <c r="F19" s="19"/>
      <c r="G19" s="20"/>
      <c r="H19" s="16"/>
      <c r="I19" s="97"/>
      <c r="J19" s="98"/>
      <c r="K19" s="16"/>
      <c r="L19" s="19"/>
      <c r="M19" s="20"/>
      <c r="N19" s="144"/>
      <c r="O19" s="91"/>
      <c r="P19" s="136"/>
      <c r="Q19" s="48"/>
      <c r="R19" s="23"/>
      <c r="S19" s="24"/>
      <c r="T19" s="12"/>
    </row>
    <row r="20" spans="1:20">
      <c r="A20" s="417"/>
      <c r="B20" s="60" t="s">
        <v>31</v>
      </c>
      <c r="C20" s="76"/>
      <c r="D20" s="77"/>
      <c r="E20" s="43"/>
      <c r="F20" s="19"/>
      <c r="G20" s="20"/>
      <c r="H20" s="16"/>
      <c r="I20" s="97"/>
      <c r="J20" s="98"/>
      <c r="K20" s="16"/>
      <c r="L20" s="19"/>
      <c r="M20" s="20"/>
      <c r="N20" s="144"/>
      <c r="O20" s="91"/>
      <c r="P20" s="136"/>
      <c r="Q20" s="48"/>
      <c r="R20" s="23"/>
      <c r="S20" s="24"/>
      <c r="T20" s="12"/>
    </row>
    <row r="21" spans="1:20" ht="22.9">
      <c r="A21" s="417"/>
      <c r="B21" s="60" t="s">
        <v>32</v>
      </c>
      <c r="C21" s="76"/>
      <c r="D21" s="77"/>
      <c r="E21" s="43"/>
      <c r="F21" s="19"/>
      <c r="G21" s="20"/>
      <c r="H21" s="16"/>
      <c r="I21" s="97"/>
      <c r="J21" s="98"/>
      <c r="K21" s="16"/>
      <c r="L21" s="19"/>
      <c r="M21" s="20"/>
      <c r="N21" s="144"/>
      <c r="O21" s="91"/>
      <c r="P21" s="136"/>
      <c r="Q21" s="48"/>
      <c r="R21" s="23"/>
      <c r="S21" s="24"/>
      <c r="T21" s="12"/>
    </row>
    <row r="22" spans="1:20" ht="22.9">
      <c r="A22" s="417"/>
      <c r="B22" s="60" t="s">
        <v>33</v>
      </c>
      <c r="C22" s="76"/>
      <c r="D22" s="77"/>
      <c r="E22" s="48"/>
      <c r="F22" s="26"/>
      <c r="G22" s="27"/>
      <c r="H22" s="48"/>
      <c r="I22" s="30"/>
      <c r="J22" s="31"/>
      <c r="K22" s="28"/>
      <c r="L22" s="26"/>
      <c r="M22" s="27"/>
      <c r="N22" s="146"/>
      <c r="O22" s="157"/>
      <c r="P22" s="138"/>
      <c r="Q22" s="28"/>
      <c r="R22" s="96"/>
      <c r="S22" s="20"/>
      <c r="T22" s="12"/>
    </row>
    <row r="23" spans="1:20">
      <c r="A23" s="417"/>
      <c r="B23" s="60" t="s">
        <v>34</v>
      </c>
      <c r="C23" s="76"/>
      <c r="D23" s="77"/>
      <c r="E23" s="43"/>
      <c r="F23" s="26"/>
      <c r="G23" s="27"/>
      <c r="H23" s="48"/>
      <c r="I23" s="30"/>
      <c r="J23" s="31"/>
      <c r="K23" s="28"/>
      <c r="L23" s="26"/>
      <c r="M23" s="27"/>
      <c r="N23" s="146"/>
      <c r="O23" s="157"/>
      <c r="P23" s="138"/>
      <c r="Q23" s="28"/>
      <c r="R23" s="29"/>
      <c r="S23" s="25"/>
      <c r="T23" s="12"/>
    </row>
    <row r="24" spans="1:20">
      <c r="A24" s="417"/>
      <c r="B24" s="60" t="s">
        <v>35</v>
      </c>
      <c r="C24" s="76"/>
      <c r="D24" s="77"/>
      <c r="E24" s="43"/>
      <c r="F24" s="26"/>
      <c r="G24" s="27"/>
      <c r="H24" s="48"/>
      <c r="I24" s="30"/>
      <c r="J24" s="31"/>
      <c r="K24" s="28"/>
      <c r="L24" s="26"/>
      <c r="M24" s="27"/>
      <c r="N24" s="146"/>
      <c r="O24" s="157"/>
      <c r="P24" s="138"/>
      <c r="Q24" s="28"/>
      <c r="R24" s="29"/>
      <c r="S24" s="25"/>
      <c r="T24" s="12"/>
    </row>
    <row r="25" spans="1:20">
      <c r="A25" s="417"/>
      <c r="B25" s="60" t="s">
        <v>36</v>
      </c>
      <c r="C25" s="76"/>
      <c r="D25" s="77"/>
      <c r="E25" s="43"/>
      <c r="F25" s="26"/>
      <c r="G25" s="27"/>
      <c r="H25" s="28"/>
      <c r="I25" s="30"/>
      <c r="J25" s="31"/>
      <c r="K25" s="28"/>
      <c r="L25" s="26"/>
      <c r="M25" s="27"/>
      <c r="N25" s="144"/>
      <c r="O25" s="91"/>
      <c r="P25" s="136"/>
      <c r="Q25" s="48"/>
      <c r="R25" s="29"/>
      <c r="S25" s="25"/>
      <c r="T25" s="12"/>
    </row>
    <row r="26" spans="1:20">
      <c r="A26" s="417"/>
      <c r="B26" s="60" t="s">
        <v>37</v>
      </c>
      <c r="C26" s="76"/>
      <c r="D26" s="77"/>
      <c r="E26" s="43"/>
      <c r="F26" s="26"/>
      <c r="G26" s="27"/>
      <c r="H26" s="28"/>
      <c r="I26" s="30"/>
      <c r="J26" s="31"/>
      <c r="K26" s="28"/>
      <c r="L26" s="26"/>
      <c r="M26" s="27"/>
      <c r="N26" s="144"/>
      <c r="O26" s="91"/>
      <c r="P26" s="136"/>
      <c r="Q26" s="48"/>
      <c r="R26" s="29"/>
      <c r="S26" s="25"/>
      <c r="T26" s="12"/>
    </row>
    <row r="27" spans="1:20">
      <c r="A27" s="417"/>
      <c r="B27" s="60" t="s">
        <v>38</v>
      </c>
      <c r="C27" s="76"/>
      <c r="D27" s="77"/>
      <c r="E27" s="43"/>
      <c r="F27" s="26"/>
      <c r="G27" s="27"/>
      <c r="H27" s="28"/>
      <c r="I27" s="30"/>
      <c r="J27" s="31"/>
      <c r="K27" s="28"/>
      <c r="L27" s="26"/>
      <c r="M27" s="27"/>
      <c r="N27" s="144"/>
      <c r="O27" s="91"/>
      <c r="P27" s="136"/>
      <c r="Q27" s="48"/>
      <c r="R27" s="29"/>
      <c r="S27" s="25"/>
      <c r="T27" s="12"/>
    </row>
    <row r="28" spans="1:20">
      <c r="A28" s="417"/>
      <c r="B28" s="60" t="s">
        <v>39</v>
      </c>
      <c r="C28" s="76"/>
      <c r="D28" s="77"/>
      <c r="E28" s="43"/>
      <c r="F28" s="26"/>
      <c r="G28" s="27"/>
      <c r="H28" s="28"/>
      <c r="I28" s="130"/>
      <c r="J28" s="131"/>
      <c r="K28" s="129"/>
      <c r="L28" s="127"/>
      <c r="M28" s="128"/>
      <c r="N28" s="147"/>
      <c r="O28" s="133"/>
      <c r="P28" s="134"/>
      <c r="Q28" s="172"/>
      <c r="R28" s="133"/>
      <c r="S28" s="134"/>
      <c r="T28" s="172"/>
    </row>
    <row r="29" spans="1:20">
      <c r="A29" s="417"/>
      <c r="B29" s="60" t="s">
        <v>40</v>
      </c>
      <c r="C29" s="76"/>
      <c r="D29" s="77"/>
      <c r="E29" s="43"/>
      <c r="F29" s="127"/>
      <c r="G29" s="128"/>
      <c r="H29" s="129"/>
      <c r="I29" s="130"/>
      <c r="J29" s="131"/>
      <c r="K29" s="129"/>
      <c r="L29" s="127"/>
      <c r="M29" s="128"/>
      <c r="N29" s="147"/>
      <c r="O29" s="158"/>
      <c r="P29" s="139"/>
      <c r="Q29" s="132"/>
      <c r="R29" s="133"/>
      <c r="S29" s="134"/>
      <c r="T29" s="172"/>
    </row>
    <row r="30" spans="1:20" ht="34.15">
      <c r="A30" s="417"/>
      <c r="B30" s="60" t="s">
        <v>41</v>
      </c>
      <c r="C30" s="76"/>
      <c r="D30" s="77"/>
      <c r="E30" s="43"/>
      <c r="F30" s="26"/>
      <c r="G30" s="27"/>
      <c r="H30" s="28"/>
      <c r="I30" s="30"/>
      <c r="J30" s="31"/>
      <c r="K30" s="28"/>
      <c r="L30" s="26"/>
      <c r="M30" s="27"/>
      <c r="N30" s="144"/>
      <c r="O30" s="91"/>
      <c r="P30" s="136"/>
      <c r="Q30" s="48"/>
      <c r="R30" s="29"/>
      <c r="S30" s="25"/>
      <c r="T30" s="12"/>
    </row>
    <row r="31" spans="1:20">
      <c r="A31" s="417"/>
      <c r="B31" s="60" t="s">
        <v>42</v>
      </c>
      <c r="C31" s="76"/>
      <c r="D31" s="77"/>
      <c r="E31" s="43"/>
      <c r="F31" s="26"/>
      <c r="G31" s="27"/>
      <c r="H31" s="28"/>
      <c r="I31" s="30"/>
      <c r="J31" s="31"/>
      <c r="K31" s="28"/>
      <c r="L31" s="26"/>
      <c r="M31" s="27"/>
      <c r="N31" s="144"/>
      <c r="O31" s="158"/>
      <c r="P31" s="139"/>
      <c r="Q31" s="132"/>
      <c r="R31" s="133"/>
      <c r="S31" s="134"/>
      <c r="T31" s="172"/>
    </row>
    <row r="32" spans="1:20" ht="34.15">
      <c r="A32" s="417"/>
      <c r="B32" s="60" t="s">
        <v>43</v>
      </c>
      <c r="C32" s="76"/>
      <c r="D32" s="77"/>
      <c r="E32" s="48"/>
      <c r="F32" s="26"/>
      <c r="G32" s="27"/>
      <c r="H32" s="28"/>
      <c r="I32" s="30"/>
      <c r="J32" s="31"/>
      <c r="K32" s="28"/>
      <c r="L32" s="26"/>
      <c r="M32" s="27"/>
      <c r="N32" s="144"/>
      <c r="O32" s="91"/>
      <c r="P32" s="136"/>
      <c r="Q32" s="48"/>
      <c r="R32" s="29"/>
      <c r="S32" s="25"/>
      <c r="T32" s="12"/>
    </row>
    <row r="33" spans="1:20">
      <c r="A33" s="417"/>
      <c r="B33" s="60" t="s">
        <v>44</v>
      </c>
      <c r="C33" s="76"/>
      <c r="D33" s="77"/>
      <c r="E33" s="48"/>
      <c r="F33" s="26"/>
      <c r="G33" s="27"/>
      <c r="H33" s="28"/>
      <c r="I33" s="30"/>
      <c r="J33" s="31"/>
      <c r="K33" s="28"/>
      <c r="L33" s="26"/>
      <c r="M33" s="27"/>
      <c r="N33" s="144"/>
      <c r="O33" s="91"/>
      <c r="P33" s="136"/>
      <c r="Q33" s="48"/>
      <c r="R33" s="29"/>
      <c r="S33" s="25"/>
      <c r="T33" s="12"/>
    </row>
    <row r="34" spans="1:20">
      <c r="A34" s="417"/>
      <c r="B34" s="60" t="s">
        <v>45</v>
      </c>
      <c r="C34" s="76"/>
      <c r="D34" s="77"/>
      <c r="E34" s="48"/>
      <c r="F34" s="26"/>
      <c r="G34" s="27"/>
      <c r="H34" s="28"/>
      <c r="I34" s="30"/>
      <c r="J34" s="31"/>
      <c r="K34" s="28"/>
      <c r="L34" s="26"/>
      <c r="M34" s="27"/>
      <c r="N34" s="144"/>
      <c r="O34" s="91"/>
      <c r="P34" s="136"/>
      <c r="Q34" s="48"/>
      <c r="R34" s="29"/>
      <c r="S34" s="25"/>
      <c r="T34" s="12"/>
    </row>
    <row r="35" spans="1:20">
      <c r="A35" s="417"/>
      <c r="B35" s="60" t="s">
        <v>46</v>
      </c>
      <c r="C35" s="76"/>
      <c r="D35" s="77"/>
      <c r="E35" s="48"/>
      <c r="F35" s="127"/>
      <c r="G35" s="128"/>
      <c r="H35" s="129"/>
      <c r="I35" s="130"/>
      <c r="J35" s="131"/>
      <c r="K35" s="129"/>
      <c r="L35" s="127"/>
      <c r="M35" s="128"/>
      <c r="N35" s="147"/>
      <c r="O35" s="158"/>
      <c r="P35" s="139"/>
      <c r="Q35" s="132"/>
      <c r="R35" s="133"/>
      <c r="S35" s="134"/>
      <c r="T35" s="129"/>
    </row>
    <row r="36" spans="1:20">
      <c r="A36" s="417"/>
      <c r="B36" s="60" t="s">
        <v>47</v>
      </c>
      <c r="C36" s="76"/>
      <c r="D36" s="77"/>
      <c r="E36" s="48"/>
      <c r="F36" s="26"/>
      <c r="G36" s="27"/>
      <c r="H36" s="28"/>
      <c r="I36" s="30"/>
      <c r="J36" s="31"/>
      <c r="K36" s="28"/>
      <c r="L36" s="26"/>
      <c r="M36" s="27"/>
      <c r="N36" s="144"/>
      <c r="O36" s="91"/>
      <c r="P36" s="136"/>
      <c r="Q36" s="48"/>
      <c r="R36" s="29"/>
      <c r="S36" s="25"/>
      <c r="T36" s="12"/>
    </row>
    <row r="37" spans="1:20">
      <c r="A37" s="417"/>
      <c r="B37" s="60" t="s">
        <v>48</v>
      </c>
      <c r="C37" s="76"/>
      <c r="D37" s="77"/>
      <c r="E37" s="48"/>
      <c r="F37" s="26"/>
      <c r="G37" s="27"/>
      <c r="H37" s="28"/>
      <c r="I37" s="30"/>
      <c r="J37" s="31"/>
      <c r="K37" s="28"/>
      <c r="L37" s="26"/>
      <c r="M37" s="27"/>
      <c r="N37" s="144"/>
      <c r="O37" s="91"/>
      <c r="P37" s="136"/>
      <c r="Q37" s="48"/>
      <c r="R37" s="29"/>
      <c r="S37" s="25"/>
      <c r="T37" s="12"/>
    </row>
    <row r="38" spans="1:20">
      <c r="A38" s="417"/>
      <c r="B38" s="60" t="s">
        <v>49</v>
      </c>
      <c r="C38" s="76"/>
      <c r="D38" s="77"/>
      <c r="E38" s="48"/>
      <c r="F38" s="26"/>
      <c r="G38" s="27"/>
      <c r="H38" s="28"/>
      <c r="I38" s="30"/>
      <c r="J38" s="31"/>
      <c r="K38" s="28"/>
      <c r="L38" s="26"/>
      <c r="M38" s="27"/>
      <c r="N38" s="144"/>
      <c r="O38" s="91"/>
      <c r="P38" s="136"/>
      <c r="Q38" s="48"/>
      <c r="R38" s="29"/>
      <c r="S38" s="25"/>
      <c r="T38" s="12"/>
    </row>
    <row r="39" spans="1:20">
      <c r="A39" s="417"/>
      <c r="B39" s="60" t="s">
        <v>50</v>
      </c>
      <c r="C39" s="76"/>
      <c r="D39" s="77"/>
      <c r="E39" s="48"/>
      <c r="F39" s="26"/>
      <c r="G39" s="27"/>
      <c r="H39" s="28"/>
      <c r="I39" s="30"/>
      <c r="J39" s="31"/>
      <c r="K39" s="28"/>
      <c r="L39" s="26"/>
      <c r="M39" s="27"/>
      <c r="N39" s="146"/>
      <c r="O39" s="157"/>
      <c r="P39" s="138"/>
      <c r="Q39" s="28"/>
      <c r="R39" s="29"/>
      <c r="S39" s="25"/>
      <c r="T39" s="28"/>
    </row>
    <row r="40" spans="1:20" ht="22.9">
      <c r="A40" s="417"/>
      <c r="B40" s="60" t="s">
        <v>51</v>
      </c>
      <c r="C40" s="76"/>
      <c r="D40" s="77"/>
      <c r="E40" s="48"/>
      <c r="F40" s="26"/>
      <c r="G40" s="27"/>
      <c r="H40" s="28"/>
      <c r="I40" s="30"/>
      <c r="J40" s="31"/>
      <c r="K40" s="28"/>
      <c r="L40" s="26"/>
      <c r="M40" s="27"/>
      <c r="N40" s="146"/>
      <c r="O40" s="157"/>
      <c r="P40" s="138"/>
      <c r="Q40" s="28"/>
      <c r="R40" s="29"/>
      <c r="S40" s="25"/>
      <c r="T40" s="135"/>
    </row>
    <row r="41" spans="1:20">
      <c r="A41" s="417"/>
      <c r="B41" s="60" t="s">
        <v>52</v>
      </c>
      <c r="C41" s="76"/>
      <c r="D41" s="77"/>
      <c r="E41" s="48"/>
      <c r="F41" s="26"/>
      <c r="G41" s="27"/>
      <c r="H41" s="28"/>
      <c r="I41" s="30"/>
      <c r="J41" s="31"/>
      <c r="K41" s="28"/>
      <c r="L41" s="26"/>
      <c r="M41" s="27"/>
      <c r="N41" s="146"/>
      <c r="O41" s="157"/>
      <c r="P41" s="138"/>
      <c r="Q41" s="28"/>
      <c r="R41" s="29"/>
      <c r="S41" s="25"/>
      <c r="T41" s="71"/>
    </row>
    <row r="42" spans="1:20">
      <c r="A42" s="417"/>
      <c r="B42" s="60" t="s">
        <v>53</v>
      </c>
      <c r="C42" s="76"/>
      <c r="D42" s="77"/>
      <c r="E42" s="48"/>
      <c r="F42" s="26"/>
      <c r="G42" s="27"/>
      <c r="H42" s="28"/>
      <c r="I42" s="30"/>
      <c r="J42" s="31"/>
      <c r="K42" s="28"/>
      <c r="L42" s="26"/>
      <c r="M42" s="27"/>
      <c r="N42" s="146"/>
      <c r="O42" s="157"/>
      <c r="P42" s="138"/>
      <c r="Q42" s="28"/>
      <c r="R42" s="29"/>
      <c r="S42" s="25"/>
      <c r="T42" s="71"/>
    </row>
    <row r="43" spans="1:20" ht="22.9">
      <c r="A43" s="417"/>
      <c r="B43" s="60" t="s">
        <v>54</v>
      </c>
      <c r="C43" s="76"/>
      <c r="D43" s="77"/>
      <c r="E43" s="48"/>
      <c r="F43" s="26"/>
      <c r="G43" s="27"/>
      <c r="H43" s="48"/>
      <c r="I43" s="30"/>
      <c r="J43" s="31"/>
      <c r="K43" s="48"/>
      <c r="L43" s="26"/>
      <c r="M43" s="27"/>
      <c r="N43" s="144"/>
      <c r="O43" s="91"/>
      <c r="P43" s="136"/>
      <c r="Q43" s="48"/>
      <c r="R43" s="29"/>
      <c r="S43" s="25"/>
      <c r="T43" s="71"/>
    </row>
    <row r="44" spans="1:20">
      <c r="A44" s="417"/>
      <c r="B44" s="60" t="s">
        <v>55</v>
      </c>
      <c r="C44" s="83"/>
      <c r="D44" s="84"/>
      <c r="E44" s="85"/>
      <c r="F44" s="26"/>
      <c r="G44" s="27"/>
      <c r="H44" s="28"/>
      <c r="I44" s="30"/>
      <c r="J44" s="31"/>
      <c r="K44" s="28"/>
      <c r="L44" s="26"/>
      <c r="M44" s="27"/>
      <c r="N44" s="146"/>
      <c r="O44" s="157"/>
      <c r="P44" s="138"/>
      <c r="Q44" s="28"/>
      <c r="R44" s="29"/>
      <c r="S44" s="25"/>
      <c r="T44" s="28"/>
    </row>
    <row r="45" spans="1:20" ht="22.9">
      <c r="A45" s="417"/>
      <c r="B45" s="60" t="s">
        <v>56</v>
      </c>
      <c r="C45" s="163"/>
      <c r="D45" s="164"/>
      <c r="E45" s="165"/>
      <c r="F45" s="166"/>
      <c r="G45" s="167"/>
      <c r="H45" s="168"/>
      <c r="I45" s="130"/>
      <c r="J45" s="131"/>
      <c r="K45" s="168"/>
      <c r="L45" s="166"/>
      <c r="M45" s="167"/>
      <c r="N45" s="169"/>
      <c r="O45" s="170"/>
      <c r="P45" s="171"/>
      <c r="Q45" s="129"/>
      <c r="R45" s="35"/>
      <c r="S45" s="36"/>
      <c r="T45" s="32"/>
    </row>
    <row r="46" spans="1:20">
      <c r="A46" s="417"/>
      <c r="B46" s="60" t="s">
        <v>57</v>
      </c>
      <c r="C46" s="163"/>
      <c r="D46" s="164"/>
      <c r="E46" s="165"/>
      <c r="F46" s="166"/>
      <c r="G46" s="167"/>
      <c r="H46" s="168"/>
      <c r="I46" s="130"/>
      <c r="J46" s="131"/>
      <c r="K46" s="168"/>
      <c r="L46" s="166"/>
      <c r="M46" s="167"/>
      <c r="N46" s="169"/>
      <c r="O46" s="170"/>
      <c r="P46" s="171"/>
      <c r="Q46" s="129"/>
      <c r="R46" s="35"/>
      <c r="S46" s="36"/>
      <c r="T46" s="32"/>
    </row>
    <row r="47" spans="1:20">
      <c r="A47" s="417"/>
      <c r="B47" s="60" t="s">
        <v>58</v>
      </c>
      <c r="C47" s="83"/>
      <c r="D47" s="84"/>
      <c r="E47" s="85"/>
      <c r="F47" s="33"/>
      <c r="G47" s="34"/>
      <c r="H47" s="32"/>
      <c r="I47" s="30"/>
      <c r="J47" s="31"/>
      <c r="K47" s="32"/>
      <c r="L47" s="33"/>
      <c r="M47" s="34"/>
      <c r="N47" s="148"/>
      <c r="O47" s="157"/>
      <c r="P47" s="140"/>
      <c r="Q47" s="28"/>
      <c r="R47" s="35"/>
      <c r="S47" s="36"/>
      <c r="T47" s="32"/>
    </row>
    <row r="48" spans="1:20">
      <c r="A48" s="417"/>
      <c r="B48" s="61" t="s">
        <v>59</v>
      </c>
      <c r="C48" s="86"/>
      <c r="D48" s="87"/>
      <c r="E48" s="44"/>
      <c r="F48" s="33"/>
      <c r="G48" s="34"/>
      <c r="H48" s="32"/>
      <c r="I48" s="30"/>
      <c r="J48" s="31"/>
      <c r="K48" s="32"/>
      <c r="L48" s="33"/>
      <c r="M48" s="34"/>
      <c r="N48" s="148"/>
      <c r="O48" s="173"/>
      <c r="P48" s="140"/>
      <c r="Q48" s="32"/>
      <c r="R48" s="35"/>
      <c r="S48" s="36"/>
      <c r="T48" s="32"/>
    </row>
    <row r="49" spans="1:20" ht="22.9">
      <c r="A49" s="416" t="s">
        <v>60</v>
      </c>
      <c r="B49" s="59" t="s">
        <v>61</v>
      </c>
      <c r="C49" s="88"/>
      <c r="D49" s="89"/>
      <c r="E49" s="7"/>
      <c r="F49" s="175"/>
      <c r="G49" s="176"/>
      <c r="H49" s="177"/>
      <c r="I49" s="178"/>
      <c r="J49" s="179"/>
      <c r="K49" s="177"/>
      <c r="L49" s="175"/>
      <c r="M49" s="176"/>
      <c r="N49" s="180"/>
      <c r="O49" s="181"/>
      <c r="P49" s="182"/>
      <c r="Q49" s="183"/>
      <c r="R49" s="184"/>
      <c r="S49" s="185"/>
      <c r="T49" s="186"/>
    </row>
    <row r="50" spans="1:20" ht="24">
      <c r="A50" s="417"/>
      <c r="B50" s="75" t="s">
        <v>62</v>
      </c>
      <c r="C50" s="76"/>
      <c r="D50" s="77"/>
      <c r="E50" s="43"/>
      <c r="F50" s="187"/>
      <c r="G50" s="188"/>
      <c r="H50" s="132"/>
      <c r="I50" s="189"/>
      <c r="J50" s="190"/>
      <c r="K50" s="132"/>
      <c r="L50" s="187"/>
      <c r="M50" s="188"/>
      <c r="N50" s="147"/>
      <c r="O50" s="158"/>
      <c r="P50" s="139"/>
      <c r="Q50" s="132"/>
      <c r="R50" s="191"/>
      <c r="S50" s="192"/>
      <c r="T50" s="172"/>
    </row>
    <row r="51" spans="1:20">
      <c r="A51" s="417"/>
      <c r="B51" s="60" t="s">
        <v>63</v>
      </c>
      <c r="C51" s="193"/>
      <c r="D51" s="194"/>
      <c r="E51" s="195"/>
      <c r="F51" s="196"/>
      <c r="G51" s="197"/>
      <c r="H51" s="198"/>
      <c r="I51" s="199"/>
      <c r="J51" s="200"/>
      <c r="K51" s="198"/>
      <c r="L51" s="14"/>
      <c r="M51" s="13"/>
      <c r="N51" s="145"/>
      <c r="O51" s="196"/>
      <c r="P51" s="201"/>
      <c r="Q51" s="198"/>
      <c r="R51" s="202"/>
      <c r="S51" s="188"/>
      <c r="T51" s="203"/>
    </row>
    <row r="52" spans="1:20">
      <c r="A52" s="417"/>
      <c r="B52" s="60" t="s">
        <v>64</v>
      </c>
      <c r="C52" s="193"/>
      <c r="D52" s="194"/>
      <c r="E52" s="195"/>
      <c r="F52" s="196"/>
      <c r="G52" s="197"/>
      <c r="H52" s="198"/>
      <c r="I52" s="199"/>
      <c r="J52" s="200"/>
      <c r="K52" s="198"/>
      <c r="L52" s="14"/>
      <c r="M52" s="13"/>
      <c r="N52" s="145"/>
      <c r="O52" s="196"/>
      <c r="P52" s="201"/>
      <c r="Q52" s="198"/>
      <c r="R52" s="202"/>
      <c r="S52" s="188"/>
      <c r="T52" s="203"/>
    </row>
    <row r="53" spans="1:20" ht="22.9">
      <c r="A53" s="417"/>
      <c r="B53" s="60" t="s">
        <v>65</v>
      </c>
      <c r="C53" s="80"/>
      <c r="D53" s="81"/>
      <c r="E53" s="90"/>
      <c r="F53" s="26"/>
      <c r="G53" s="27"/>
      <c r="H53" s="28"/>
      <c r="I53" s="99"/>
      <c r="J53" s="100"/>
      <c r="K53" s="28"/>
      <c r="L53" s="26"/>
      <c r="M53" s="27"/>
      <c r="N53" s="146"/>
      <c r="O53" s="157"/>
      <c r="P53" s="138"/>
      <c r="Q53" s="28"/>
      <c r="R53" s="29"/>
      <c r="S53" s="25"/>
      <c r="T53" s="28"/>
    </row>
    <row r="54" spans="1:20" ht="22.9">
      <c r="A54" s="417"/>
      <c r="B54" s="60" t="s">
        <v>66</v>
      </c>
      <c r="C54" s="76"/>
      <c r="D54" s="77"/>
      <c r="E54" s="48"/>
      <c r="F54" s="127"/>
      <c r="G54" s="128"/>
      <c r="H54" s="129"/>
      <c r="I54" s="130"/>
      <c r="J54" s="131"/>
      <c r="K54" s="129"/>
      <c r="L54" s="127"/>
      <c r="M54" s="128"/>
      <c r="N54" s="204"/>
      <c r="O54" s="170"/>
      <c r="P54" s="205"/>
      <c r="Q54" s="129"/>
      <c r="R54" s="133"/>
      <c r="S54" s="134"/>
      <c r="T54" s="129"/>
    </row>
    <row r="55" spans="1:20">
      <c r="A55" s="417"/>
      <c r="B55" s="60" t="s">
        <v>67</v>
      </c>
      <c r="C55" s="76"/>
      <c r="D55" s="77"/>
      <c r="E55" s="43"/>
      <c r="F55" s="187"/>
      <c r="G55" s="188"/>
      <c r="H55" s="132"/>
      <c r="I55" s="189"/>
      <c r="J55" s="190"/>
      <c r="K55" s="132"/>
      <c r="L55" s="187"/>
      <c r="M55" s="188"/>
      <c r="N55" s="147"/>
      <c r="O55" s="158"/>
      <c r="P55" s="139"/>
      <c r="Q55" s="132"/>
      <c r="R55" s="191"/>
      <c r="S55" s="192"/>
      <c r="T55" s="172"/>
    </row>
    <row r="56" spans="1:20">
      <c r="A56" s="417"/>
      <c r="B56" s="60" t="s">
        <v>68</v>
      </c>
      <c r="C56" s="76"/>
      <c r="D56" s="77"/>
      <c r="E56" s="43"/>
      <c r="F56" s="127"/>
      <c r="G56" s="128"/>
      <c r="H56" s="129"/>
      <c r="I56" s="130"/>
      <c r="J56" s="131"/>
      <c r="K56" s="129"/>
      <c r="L56" s="127"/>
      <c r="M56" s="128"/>
      <c r="N56" s="147"/>
      <c r="O56" s="158"/>
      <c r="P56" s="139"/>
      <c r="Q56" s="132"/>
      <c r="R56" s="133"/>
      <c r="S56" s="134"/>
      <c r="T56" s="172"/>
    </row>
    <row r="57" spans="1:20">
      <c r="A57" s="417"/>
      <c r="B57" s="60" t="s">
        <v>69</v>
      </c>
      <c r="C57" s="76"/>
      <c r="D57" s="77"/>
      <c r="E57" s="43"/>
      <c r="F57" s="26"/>
      <c r="G57" s="27"/>
      <c r="H57" s="28"/>
      <c r="I57" s="30"/>
      <c r="J57" s="31"/>
      <c r="K57" s="28"/>
      <c r="L57" s="26"/>
      <c r="M57" s="27"/>
      <c r="N57" s="144"/>
      <c r="O57" s="91"/>
      <c r="P57" s="136"/>
      <c r="Q57" s="48"/>
      <c r="R57" s="29"/>
      <c r="S57" s="25"/>
      <c r="T57" s="71"/>
    </row>
    <row r="58" spans="1:20" ht="22.9">
      <c r="A58" s="417"/>
      <c r="B58" s="60" t="s">
        <v>70</v>
      </c>
      <c r="C58" s="76"/>
      <c r="D58" s="77"/>
      <c r="E58" s="43"/>
      <c r="F58" s="26"/>
      <c r="G58" s="27"/>
      <c r="H58" s="28"/>
      <c r="I58" s="130"/>
      <c r="J58" s="131"/>
      <c r="K58" s="129"/>
      <c r="L58" s="127"/>
      <c r="M58" s="128"/>
      <c r="N58" s="147"/>
      <c r="O58" s="91"/>
      <c r="P58" s="136"/>
      <c r="Q58" s="48"/>
      <c r="R58" s="133"/>
      <c r="S58" s="134"/>
      <c r="T58" s="172"/>
    </row>
    <row r="59" spans="1:20">
      <c r="A59" s="417"/>
      <c r="B59" s="60" t="s">
        <v>71</v>
      </c>
      <c r="C59" s="91"/>
      <c r="D59" s="77"/>
      <c r="E59" s="43"/>
      <c r="F59" s="26"/>
      <c r="G59" s="27"/>
      <c r="H59" s="28"/>
      <c r="I59" s="101"/>
      <c r="J59" s="102"/>
      <c r="K59" s="28"/>
      <c r="L59" s="26"/>
      <c r="M59" s="27"/>
      <c r="N59" s="144"/>
      <c r="O59" s="91"/>
      <c r="P59" s="136"/>
      <c r="Q59" s="48"/>
      <c r="R59" s="29"/>
      <c r="S59" s="25"/>
      <c r="T59" s="71"/>
    </row>
    <row r="60" spans="1:20">
      <c r="A60" s="417"/>
      <c r="B60" s="60" t="s">
        <v>72</v>
      </c>
      <c r="C60" s="91"/>
      <c r="D60" s="77"/>
      <c r="E60" s="48"/>
      <c r="F60" s="103"/>
      <c r="G60" s="104"/>
      <c r="H60" s="48"/>
      <c r="I60" s="103"/>
      <c r="J60" s="104"/>
      <c r="K60" s="48"/>
      <c r="L60" s="103"/>
      <c r="M60" s="104"/>
      <c r="N60" s="144"/>
      <c r="O60" s="91"/>
      <c r="P60" s="136"/>
      <c r="Q60" s="48"/>
      <c r="R60" s="29"/>
      <c r="S60" s="25"/>
      <c r="T60" s="71"/>
    </row>
    <row r="61" spans="1:20">
      <c r="A61" s="417"/>
      <c r="B61" s="60" t="s">
        <v>73</v>
      </c>
      <c r="C61" s="91"/>
      <c r="D61" s="77"/>
      <c r="E61" s="48"/>
      <c r="F61" s="103"/>
      <c r="G61" s="104"/>
      <c r="H61" s="48"/>
      <c r="I61" s="103"/>
      <c r="J61" s="104"/>
      <c r="K61" s="48"/>
      <c r="L61" s="103"/>
      <c r="M61" s="104"/>
      <c r="N61" s="144"/>
      <c r="O61" s="91"/>
      <c r="P61" s="136"/>
      <c r="Q61" s="48"/>
      <c r="R61" s="29"/>
      <c r="S61" s="25"/>
      <c r="T61" s="71"/>
    </row>
    <row r="62" spans="1:20" ht="15" customHeight="1">
      <c r="A62" s="417"/>
      <c r="B62" s="60" t="s">
        <v>74</v>
      </c>
      <c r="C62" s="91"/>
      <c r="D62" s="77"/>
      <c r="E62" s="48"/>
      <c r="F62" s="103"/>
      <c r="G62" s="104"/>
      <c r="H62" s="48"/>
      <c r="I62" s="206"/>
      <c r="J62" s="207"/>
      <c r="K62" s="132"/>
      <c r="L62" s="206"/>
      <c r="M62" s="207"/>
      <c r="N62" s="147"/>
      <c r="O62" s="158"/>
      <c r="P62" s="139"/>
      <c r="Q62" s="132"/>
      <c r="R62" s="133"/>
      <c r="S62" s="134"/>
      <c r="T62" s="172"/>
    </row>
    <row r="63" spans="1:20" ht="24.75" customHeight="1">
      <c r="A63" s="417"/>
      <c r="B63" s="60" t="s">
        <v>75</v>
      </c>
      <c r="C63" s="91"/>
      <c r="D63" s="77"/>
      <c r="E63" s="48"/>
      <c r="F63" s="103"/>
      <c r="G63" s="104"/>
      <c r="H63" s="48"/>
      <c r="I63" s="103"/>
      <c r="J63" s="104"/>
      <c r="K63" s="48"/>
      <c r="L63" s="103"/>
      <c r="M63" s="104"/>
      <c r="N63" s="144"/>
      <c r="O63" s="91"/>
      <c r="P63" s="136"/>
      <c r="Q63" s="48"/>
      <c r="R63" s="29"/>
      <c r="S63" s="25"/>
      <c r="T63" s="71"/>
    </row>
    <row r="64" spans="1:20" ht="24.75" customHeight="1">
      <c r="A64" s="417"/>
      <c r="B64" s="60" t="s">
        <v>76</v>
      </c>
      <c r="C64" s="91"/>
      <c r="D64" s="77"/>
      <c r="E64" s="48"/>
      <c r="F64" s="103"/>
      <c r="G64" s="104"/>
      <c r="H64" s="48"/>
      <c r="I64" s="103"/>
      <c r="J64" s="104"/>
      <c r="K64" s="48"/>
      <c r="L64" s="103"/>
      <c r="M64" s="150"/>
      <c r="N64" s="151"/>
      <c r="O64" s="161"/>
      <c r="P64" s="152"/>
      <c r="Q64" s="162"/>
      <c r="R64" s="35"/>
      <c r="S64" s="36"/>
      <c r="T64" s="71"/>
    </row>
    <row r="65" spans="1:20" ht="24.75" customHeight="1">
      <c r="A65" s="417"/>
      <c r="B65" s="60" t="s">
        <v>77</v>
      </c>
      <c r="C65" s="158"/>
      <c r="D65" s="149"/>
      <c r="E65" s="132"/>
      <c r="F65" s="206"/>
      <c r="G65" s="207"/>
      <c r="H65" s="132"/>
      <c r="I65" s="206"/>
      <c r="J65" s="207"/>
      <c r="K65" s="132"/>
      <c r="L65" s="206"/>
      <c r="M65" s="208"/>
      <c r="N65" s="209"/>
      <c r="O65" s="161"/>
      <c r="P65" s="152"/>
      <c r="Q65" s="162"/>
      <c r="R65" s="210"/>
      <c r="S65" s="211"/>
      <c r="T65" s="172"/>
    </row>
    <row r="66" spans="1:20" ht="24.75" customHeight="1">
      <c r="A66" s="417"/>
      <c r="B66" s="60" t="s">
        <v>78</v>
      </c>
      <c r="C66" s="158"/>
      <c r="D66" s="149"/>
      <c r="E66" s="132"/>
      <c r="F66" s="206"/>
      <c r="G66" s="207"/>
      <c r="H66" s="132"/>
      <c r="I66" s="206"/>
      <c r="J66" s="207"/>
      <c r="K66" s="132"/>
      <c r="L66" s="206"/>
      <c r="M66" s="208"/>
      <c r="N66" s="209"/>
      <c r="O66" s="161"/>
      <c r="P66" s="152"/>
      <c r="Q66" s="162"/>
      <c r="R66" s="210"/>
      <c r="S66" s="211"/>
      <c r="T66" s="172"/>
    </row>
    <row r="67" spans="1:20" ht="24.75" customHeight="1">
      <c r="A67" s="417"/>
      <c r="B67" s="60" t="s">
        <v>79</v>
      </c>
      <c r="C67" s="158"/>
      <c r="D67" s="149"/>
      <c r="E67" s="132"/>
      <c r="F67" s="206"/>
      <c r="G67" s="207"/>
      <c r="H67" s="132"/>
      <c r="I67" s="206"/>
      <c r="J67" s="207"/>
      <c r="K67" s="132"/>
      <c r="L67" s="206"/>
      <c r="M67" s="208"/>
      <c r="N67" s="209"/>
      <c r="O67" s="161"/>
      <c r="P67" s="152"/>
      <c r="Q67" s="162"/>
      <c r="R67" s="210"/>
      <c r="S67" s="211"/>
      <c r="T67" s="172"/>
    </row>
    <row r="68" spans="1:20">
      <c r="A68" s="418"/>
      <c r="B68" s="174" t="s">
        <v>80</v>
      </c>
      <c r="C68" s="159"/>
      <c r="D68" s="123"/>
      <c r="E68" s="160"/>
      <c r="F68" s="212"/>
      <c r="G68" s="213"/>
      <c r="H68" s="214"/>
      <c r="I68" s="212"/>
      <c r="J68" s="213"/>
      <c r="K68" s="214"/>
      <c r="L68" s="212"/>
      <c r="M68" s="213"/>
      <c r="N68" s="215"/>
      <c r="O68" s="216"/>
      <c r="P68" s="217"/>
      <c r="Q68" s="214"/>
      <c r="R68" s="212"/>
      <c r="S68" s="213"/>
      <c r="T68" s="214"/>
    </row>
    <row r="69" spans="1:20">
      <c r="A69" s="419" t="s">
        <v>81</v>
      </c>
      <c r="B69" s="52" t="s">
        <v>81</v>
      </c>
      <c r="C69" s="49">
        <f>SUM(C8:C68)</f>
        <v>0</v>
      </c>
      <c r="D69" s="49">
        <f>SUM(D8:D68)</f>
        <v>0</v>
      </c>
      <c r="E69" s="45">
        <f>SUM(E8:E68)</f>
        <v>0</v>
      </c>
      <c r="F69" s="45">
        <f t="shared" ref="F69:T69" si="0">SUM(F8:F68)</f>
        <v>0</v>
      </c>
      <c r="G69" s="45">
        <f t="shared" si="0"/>
        <v>0</v>
      </c>
      <c r="H69" s="45">
        <f t="shared" si="0"/>
        <v>0</v>
      </c>
      <c r="I69" s="45">
        <f t="shared" si="0"/>
        <v>0</v>
      </c>
      <c r="J69" s="45">
        <f t="shared" si="0"/>
        <v>0</v>
      </c>
      <c r="K69" s="45">
        <f t="shared" si="0"/>
        <v>0</v>
      </c>
      <c r="L69" s="45">
        <f t="shared" si="0"/>
        <v>0</v>
      </c>
      <c r="M69" s="45">
        <f t="shared" si="0"/>
        <v>0</v>
      </c>
      <c r="N69" s="45">
        <f t="shared" si="0"/>
        <v>0</v>
      </c>
      <c r="O69" s="45">
        <f t="shared" si="0"/>
        <v>0</v>
      </c>
      <c r="P69" s="45">
        <f t="shared" si="0"/>
        <v>0</v>
      </c>
      <c r="Q69" s="45">
        <f t="shared" si="0"/>
        <v>0</v>
      </c>
      <c r="R69" s="45">
        <f t="shared" si="0"/>
        <v>0</v>
      </c>
      <c r="S69" s="45">
        <f t="shared" si="0"/>
        <v>0</v>
      </c>
      <c r="T69" s="45">
        <f t="shared" si="0"/>
        <v>0</v>
      </c>
    </row>
    <row r="70" spans="1:20">
      <c r="A70" s="420"/>
      <c r="B70" s="53" t="s">
        <v>82</v>
      </c>
      <c r="C70" s="424"/>
      <c r="D70" s="425"/>
      <c r="E70" s="426"/>
      <c r="F70" s="424"/>
      <c r="G70" s="425"/>
      <c r="H70" s="426"/>
      <c r="I70" s="424"/>
      <c r="J70" s="425"/>
      <c r="K70" s="426"/>
      <c r="L70" s="424"/>
      <c r="M70" s="425"/>
      <c r="N70" s="426"/>
      <c r="O70" s="424"/>
      <c r="P70" s="425"/>
      <c r="Q70" s="426"/>
      <c r="R70" s="424"/>
      <c r="S70" s="425"/>
      <c r="T70" s="426"/>
    </row>
    <row r="71" spans="1:20" ht="50.45" customHeight="1">
      <c r="A71" s="412" t="s">
        <v>83</v>
      </c>
      <c r="B71" s="338"/>
      <c r="C71" s="338"/>
      <c r="D71" s="338"/>
      <c r="E71" s="338"/>
      <c r="F71" s="338"/>
      <c r="G71" s="338"/>
      <c r="H71" s="338"/>
      <c r="I71" s="338"/>
      <c r="J71" s="338"/>
      <c r="K71" s="338"/>
      <c r="L71" s="338"/>
      <c r="M71" s="338"/>
      <c r="N71" s="338"/>
      <c r="O71" s="413"/>
      <c r="P71" s="413"/>
      <c r="Q71" s="413"/>
      <c r="R71" s="338"/>
      <c r="S71" s="338"/>
      <c r="T71" s="339"/>
    </row>
    <row r="72" spans="1:20">
      <c r="A72" s="37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</row>
    <row r="73" spans="1:20" ht="15.6">
      <c r="A73" s="55" t="s">
        <v>84</v>
      </c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114"/>
    </row>
    <row r="74" spans="1:20">
      <c r="A74" s="430"/>
      <c r="B74" s="431"/>
      <c r="C74" s="431"/>
      <c r="D74" s="431"/>
      <c r="E74" s="431"/>
      <c r="F74" s="431"/>
      <c r="G74" s="431"/>
      <c r="H74" s="431"/>
      <c r="I74" s="431"/>
      <c r="J74" s="431"/>
      <c r="K74" s="431"/>
      <c r="L74" s="431"/>
      <c r="M74" s="431"/>
      <c r="N74" s="431"/>
      <c r="O74" s="431"/>
      <c r="P74" s="431"/>
      <c r="Q74" s="431"/>
      <c r="R74" s="431"/>
      <c r="S74" s="431"/>
      <c r="T74" s="121"/>
    </row>
    <row r="75" spans="1:20">
      <c r="A75" s="5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115"/>
    </row>
    <row r="76" spans="1:20">
      <c r="A76" s="5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115"/>
    </row>
    <row r="77" spans="1:20">
      <c r="A77" s="5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115"/>
    </row>
    <row r="78" spans="1:20">
      <c r="A78" s="5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115"/>
    </row>
    <row r="79" spans="1:20">
      <c r="A79" s="5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115"/>
    </row>
    <row r="80" spans="1:20">
      <c r="A80" s="5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115"/>
    </row>
    <row r="81" spans="1:20">
      <c r="A81" s="5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115"/>
    </row>
    <row r="82" spans="1:20">
      <c r="A82" s="5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115"/>
    </row>
    <row r="83" spans="1:20">
      <c r="A83" s="5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115"/>
    </row>
    <row r="84" spans="1:20">
      <c r="A84" s="5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115"/>
    </row>
    <row r="85" spans="1:20">
      <c r="A85" s="5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115"/>
    </row>
    <row r="86" spans="1:20">
      <c r="A86" s="5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116"/>
      <c r="T86" s="115"/>
    </row>
    <row r="87" spans="1:20">
      <c r="A87" s="5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115"/>
    </row>
    <row r="88" spans="1:20">
      <c r="A88" s="5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115"/>
    </row>
    <row r="89" spans="1:20">
      <c r="A89" s="5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115"/>
    </row>
    <row r="90" spans="1:20">
      <c r="A90" s="5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115"/>
    </row>
    <row r="91" spans="1:20">
      <c r="A91" s="5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115"/>
    </row>
    <row r="92" spans="1:20">
      <c r="A92" s="5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117"/>
      <c r="T92" s="115"/>
    </row>
    <row r="93" spans="1:20">
      <c r="A93" s="5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115"/>
    </row>
    <row r="94" spans="1:20">
      <c r="A94" s="5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115"/>
    </row>
    <row r="95" spans="1:20">
      <c r="A95" s="5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115"/>
    </row>
    <row r="96" spans="1:20">
      <c r="A96" s="5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115"/>
    </row>
    <row r="97" spans="1:20">
      <c r="A97" s="5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115"/>
    </row>
    <row r="98" spans="1:20">
      <c r="A98" s="5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115"/>
    </row>
    <row r="99" spans="1:20">
      <c r="A99" s="5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115"/>
    </row>
    <row r="100" spans="1:20">
      <c r="A100" s="5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115"/>
    </row>
    <row r="101" spans="1:20">
      <c r="A101" s="5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115"/>
    </row>
    <row r="102" spans="1:20">
      <c r="A102" s="5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115"/>
    </row>
    <row r="103" spans="1:20">
      <c r="A103" s="5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115"/>
    </row>
    <row r="104" spans="1:20">
      <c r="A104" s="5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115"/>
    </row>
    <row r="105" spans="1:20">
      <c r="A105" s="5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115"/>
    </row>
    <row r="106" spans="1:20">
      <c r="A106" s="5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115"/>
    </row>
    <row r="107" spans="1:20">
      <c r="A107" s="5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115"/>
    </row>
    <row r="108" spans="1:20">
      <c r="A108" s="56" t="s">
        <v>85</v>
      </c>
      <c r="B108" s="46"/>
      <c r="C108" s="428"/>
      <c r="D108" s="428"/>
      <c r="E108" s="428"/>
      <c r="F108" s="428"/>
      <c r="G108" s="428"/>
      <c r="H108" s="428"/>
      <c r="I108" s="428"/>
      <c r="J108" s="428"/>
      <c r="K108" s="428"/>
      <c r="L108" s="428"/>
      <c r="M108" s="428"/>
      <c r="N108" s="428"/>
      <c r="O108" s="428"/>
      <c r="P108" s="428"/>
      <c r="Q108" s="428"/>
      <c r="R108" s="428"/>
      <c r="S108" s="428"/>
      <c r="T108" s="115"/>
    </row>
    <row r="109" spans="1:20">
      <c r="A109" s="429"/>
      <c r="B109" s="428"/>
      <c r="C109" s="428"/>
      <c r="D109" s="428"/>
      <c r="E109" s="428"/>
      <c r="F109" s="428"/>
      <c r="G109" s="428"/>
      <c r="H109" s="428"/>
      <c r="I109" s="428"/>
      <c r="J109" s="428"/>
      <c r="K109" s="428"/>
      <c r="L109" s="428"/>
      <c r="M109" s="428"/>
      <c r="N109" s="428"/>
      <c r="O109" s="428"/>
      <c r="P109" s="428"/>
      <c r="Q109" s="428"/>
      <c r="R109" s="428"/>
      <c r="S109" s="428"/>
      <c r="T109" s="115"/>
    </row>
    <row r="110" spans="1:20">
      <c r="A110" s="5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115"/>
    </row>
    <row r="111" spans="1:20">
      <c r="A111" s="5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115"/>
    </row>
    <row r="112" spans="1:20">
      <c r="A112" s="5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117"/>
      <c r="T112" s="115"/>
    </row>
    <row r="113" spans="1:20">
      <c r="A113" s="5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115"/>
    </row>
    <row r="114" spans="1:20">
      <c r="A114" s="5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115"/>
    </row>
    <row r="115" spans="1:20">
      <c r="A115" s="5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115"/>
    </row>
    <row r="116" spans="1:20">
      <c r="A116" s="5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115"/>
    </row>
    <row r="117" spans="1:20">
      <c r="A117" s="5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115"/>
    </row>
    <row r="118" spans="1:20">
      <c r="A118" s="5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115"/>
    </row>
    <row r="119" spans="1:20">
      <c r="A119" s="5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117"/>
      <c r="T119" s="115"/>
    </row>
    <row r="120" spans="1:20">
      <c r="A120" s="5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115"/>
    </row>
    <row r="121" spans="1:20">
      <c r="A121" s="5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115"/>
    </row>
    <row r="122" spans="1:20">
      <c r="A122" s="5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116"/>
      <c r="P122" s="116"/>
      <c r="Q122" s="116"/>
      <c r="S122" s="46"/>
      <c r="T122" s="115"/>
    </row>
    <row r="123" spans="1:20">
      <c r="A123" s="56" t="s">
        <v>86</v>
      </c>
      <c r="B123" s="46"/>
      <c r="C123" s="46"/>
      <c r="D123" s="46"/>
      <c r="E123" s="432"/>
      <c r="F123" s="432"/>
      <c r="G123" s="432"/>
      <c r="H123" s="432"/>
      <c r="I123" s="432"/>
      <c r="J123" s="432"/>
      <c r="K123" s="432"/>
      <c r="L123" s="432"/>
      <c r="M123" s="432"/>
      <c r="N123" s="432"/>
      <c r="O123" s="432"/>
      <c r="P123" s="432"/>
      <c r="Q123" s="432"/>
      <c r="R123" s="432"/>
      <c r="S123" s="432"/>
      <c r="T123" s="115"/>
    </row>
    <row r="124" spans="1:20">
      <c r="A124" s="427"/>
      <c r="B124" s="428"/>
      <c r="C124" s="428"/>
      <c r="D124" s="428"/>
      <c r="E124" s="428"/>
      <c r="F124" s="428"/>
      <c r="G124" s="428"/>
      <c r="H124" s="428"/>
      <c r="I124" s="428"/>
      <c r="J124" s="428"/>
      <c r="K124" s="428"/>
      <c r="L124" s="428"/>
      <c r="M124" s="428"/>
      <c r="N124" s="428"/>
      <c r="O124" s="428"/>
      <c r="P124" s="428"/>
      <c r="Q124" s="428"/>
      <c r="R124" s="428"/>
      <c r="S124" s="428"/>
      <c r="T124" s="115"/>
    </row>
    <row r="125" spans="1:20">
      <c r="A125" s="5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115"/>
    </row>
    <row r="126" spans="1:20">
      <c r="A126" s="5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117"/>
      <c r="T126" s="115"/>
    </row>
    <row r="127" spans="1:20">
      <c r="A127" s="5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115"/>
    </row>
    <row r="128" spans="1:20" ht="15" thickBot="1">
      <c r="A128" s="57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118"/>
      <c r="T128" s="122"/>
    </row>
    <row r="129" spans="1:20">
      <c r="A129" s="68"/>
      <c r="B129" s="67"/>
      <c r="C129" s="67"/>
      <c r="D129" s="67"/>
      <c r="E129" s="67"/>
      <c r="F129" s="67"/>
      <c r="G129" s="67"/>
      <c r="H129" s="67"/>
      <c r="I129" s="414"/>
      <c r="J129" s="414"/>
      <c r="K129" s="414"/>
      <c r="L129" s="414"/>
      <c r="M129" s="414"/>
      <c r="N129" s="414"/>
      <c r="O129" s="414"/>
      <c r="P129" s="414"/>
      <c r="Q129" s="414"/>
      <c r="R129" s="414"/>
      <c r="S129" s="414"/>
      <c r="T129" s="415"/>
    </row>
    <row r="130" spans="1:20" ht="15.75" customHeight="1" thickBot="1">
      <c r="A130" s="433" t="s">
        <v>87</v>
      </c>
      <c r="B130" s="434"/>
      <c r="C130" s="434"/>
      <c r="D130" s="434"/>
      <c r="E130" s="434"/>
      <c r="F130" s="434"/>
      <c r="G130" s="434"/>
      <c r="H130" s="434"/>
      <c r="I130" s="434"/>
      <c r="J130" s="434"/>
      <c r="K130" s="434"/>
      <c r="L130" s="434"/>
      <c r="M130" s="434"/>
      <c r="N130" s="434"/>
      <c r="O130" s="434"/>
      <c r="P130" s="434"/>
      <c r="Q130" s="434"/>
      <c r="R130" s="434"/>
      <c r="S130" s="434"/>
      <c r="T130" s="435"/>
    </row>
    <row r="131" spans="1:20" ht="20.45">
      <c r="A131" s="119" t="s">
        <v>88</v>
      </c>
      <c r="B131" s="382">
        <f>SUM(C69+D69+F69+G69+I69+J69+L69+M69+O69+P69+R69+S69)</f>
        <v>0</v>
      </c>
      <c r="C131" s="383"/>
      <c r="D131" s="383"/>
      <c r="E131" s="384"/>
      <c r="F131" s="385">
        <v>1</v>
      </c>
      <c r="G131" s="386"/>
      <c r="H131" s="120" t="s">
        <v>89</v>
      </c>
      <c r="I131" s="1"/>
      <c r="J131" s="218">
        <v>0.89</v>
      </c>
      <c r="K131" s="401" t="s">
        <v>90</v>
      </c>
      <c r="L131" s="402"/>
      <c r="M131" s="402"/>
      <c r="N131" s="402"/>
      <c r="O131" s="402"/>
      <c r="P131" s="402"/>
      <c r="Q131" s="402"/>
      <c r="R131" s="402"/>
      <c r="S131" s="402"/>
      <c r="T131" s="403"/>
    </row>
    <row r="132" spans="1:20">
      <c r="A132" s="387" t="s">
        <v>91</v>
      </c>
      <c r="B132" s="372">
        <f>SUM(C69+F69+I69+L69+O69+R69)</f>
        <v>0</v>
      </c>
      <c r="C132" s="373"/>
      <c r="D132" s="373"/>
      <c r="E132" s="374"/>
      <c r="F132" s="391" t="e">
        <f>B132/B131</f>
        <v>#DIV/0!</v>
      </c>
      <c r="G132" s="392"/>
      <c r="H132" s="38" t="s">
        <v>92</v>
      </c>
      <c r="I132" s="39"/>
      <c r="J132" s="410">
        <f>B131-B136</f>
        <v>0</v>
      </c>
      <c r="K132" s="404"/>
      <c r="L132" s="405"/>
      <c r="M132" s="405"/>
      <c r="N132" s="405"/>
      <c r="O132" s="405"/>
      <c r="P132" s="405"/>
      <c r="Q132" s="405"/>
      <c r="R132" s="405"/>
      <c r="S132" s="405"/>
      <c r="T132" s="406"/>
    </row>
    <row r="133" spans="1:20">
      <c r="A133" s="387"/>
      <c r="B133" s="388"/>
      <c r="C133" s="389"/>
      <c r="D133" s="389"/>
      <c r="E133" s="390"/>
      <c r="F133" s="393"/>
      <c r="G133" s="394"/>
      <c r="H133" s="40" t="s">
        <v>93</v>
      </c>
      <c r="I133" s="39"/>
      <c r="J133" s="410"/>
      <c r="K133" s="404"/>
      <c r="L133" s="405"/>
      <c r="M133" s="405"/>
      <c r="N133" s="405"/>
      <c r="O133" s="405"/>
      <c r="P133" s="405"/>
      <c r="Q133" s="405"/>
      <c r="R133" s="405"/>
      <c r="S133" s="405"/>
      <c r="T133" s="406"/>
    </row>
    <row r="134" spans="1:20">
      <c r="A134" s="387" t="s">
        <v>94</v>
      </c>
      <c r="B134" s="372">
        <f>SUM(D69+G69+J69+M69+P69+S69)</f>
        <v>0</v>
      </c>
      <c r="C134" s="373"/>
      <c r="D134" s="373"/>
      <c r="E134" s="374"/>
      <c r="F134" s="391" t="e">
        <f>B134/B131</f>
        <v>#DIV/0!</v>
      </c>
      <c r="G134" s="392"/>
      <c r="H134" s="41"/>
      <c r="I134" s="1"/>
      <c r="J134" s="1"/>
      <c r="K134" s="404"/>
      <c r="L134" s="405"/>
      <c r="M134" s="405"/>
      <c r="N134" s="405"/>
      <c r="O134" s="405"/>
      <c r="P134" s="405"/>
      <c r="Q134" s="405"/>
      <c r="R134" s="405"/>
      <c r="S134" s="405"/>
      <c r="T134" s="406"/>
    </row>
    <row r="135" spans="1:20">
      <c r="A135" s="387"/>
      <c r="B135" s="388"/>
      <c r="C135" s="389"/>
      <c r="D135" s="389"/>
      <c r="E135" s="390"/>
      <c r="F135" s="393"/>
      <c r="G135" s="394"/>
      <c r="H135" s="41"/>
      <c r="I135" s="1"/>
      <c r="J135" s="1"/>
      <c r="K135" s="404"/>
      <c r="L135" s="405"/>
      <c r="M135" s="405"/>
      <c r="N135" s="405"/>
      <c r="O135" s="405"/>
      <c r="P135" s="405"/>
      <c r="Q135" s="405"/>
      <c r="R135" s="405"/>
      <c r="S135" s="405"/>
      <c r="T135" s="406"/>
    </row>
    <row r="136" spans="1:20">
      <c r="A136" s="370" t="s">
        <v>95</v>
      </c>
      <c r="B136" s="372">
        <f>SUM(E69+H69+K69+N69+Q69+T69)</f>
        <v>0</v>
      </c>
      <c r="C136" s="373"/>
      <c r="D136" s="373"/>
      <c r="E136" s="374"/>
      <c r="F136" s="378"/>
      <c r="G136" s="379"/>
      <c r="H136" s="41"/>
      <c r="I136" s="1"/>
      <c r="J136" s="1"/>
      <c r="K136" s="404"/>
      <c r="L136" s="405"/>
      <c r="M136" s="405"/>
      <c r="N136" s="405"/>
      <c r="O136" s="405"/>
      <c r="P136" s="405"/>
      <c r="Q136" s="405"/>
      <c r="R136" s="405"/>
      <c r="S136" s="405"/>
      <c r="T136" s="406"/>
    </row>
    <row r="137" spans="1:20">
      <c r="A137" s="371" t="s">
        <v>95</v>
      </c>
      <c r="B137" s="375"/>
      <c r="C137" s="376"/>
      <c r="D137" s="376"/>
      <c r="E137" s="377"/>
      <c r="F137" s="380"/>
      <c r="G137" s="381"/>
      <c r="H137" s="54"/>
      <c r="I137" s="51"/>
      <c r="J137" s="1"/>
      <c r="K137" s="407"/>
      <c r="L137" s="408"/>
      <c r="M137" s="408"/>
      <c r="N137" s="408"/>
      <c r="O137" s="408"/>
      <c r="P137" s="408"/>
      <c r="Q137" s="408"/>
      <c r="R137" s="408"/>
      <c r="S137" s="408"/>
      <c r="T137" s="409"/>
    </row>
    <row r="138" spans="1:20">
      <c r="A138" s="65" t="s">
        <v>96</v>
      </c>
      <c r="B138" s="66"/>
      <c r="C138" s="66"/>
      <c r="D138" s="66"/>
      <c r="E138" s="67"/>
      <c r="F138" s="67"/>
      <c r="G138" s="67"/>
      <c r="H138" s="67"/>
      <c r="I138" s="67"/>
      <c r="J138" s="395" t="s">
        <v>97</v>
      </c>
      <c r="K138" s="396"/>
      <c r="L138" s="396"/>
      <c r="M138" s="396"/>
      <c r="N138" s="396"/>
      <c r="O138" s="396"/>
      <c r="P138" s="396"/>
      <c r="Q138" s="396"/>
      <c r="R138" s="396"/>
      <c r="S138" s="396"/>
      <c r="T138" s="397"/>
    </row>
    <row r="139" spans="1:20" ht="15" thickBot="1">
      <c r="A139" s="69" t="s">
        <v>98</v>
      </c>
      <c r="B139" s="70"/>
      <c r="C139" s="70"/>
      <c r="D139" s="70"/>
      <c r="E139" s="58"/>
      <c r="F139" s="58"/>
      <c r="G139" s="58"/>
      <c r="H139" s="58"/>
      <c r="I139" s="58"/>
      <c r="J139" s="398" t="s">
        <v>99</v>
      </c>
      <c r="K139" s="399"/>
      <c r="L139" s="399"/>
      <c r="M139" s="399"/>
      <c r="N139" s="399"/>
      <c r="O139" s="399"/>
      <c r="P139" s="399"/>
      <c r="Q139" s="399"/>
      <c r="R139" s="399"/>
      <c r="S139" s="399"/>
      <c r="T139" s="400"/>
    </row>
    <row r="140" spans="1:20" ht="49.9" customHeight="1" thickBot="1">
      <c r="A140" s="367" t="s">
        <v>100</v>
      </c>
      <c r="B140" s="368"/>
      <c r="C140" s="368"/>
      <c r="D140" s="368"/>
      <c r="E140" s="368"/>
      <c r="F140" s="368"/>
      <c r="G140" s="368"/>
      <c r="H140" s="368"/>
      <c r="I140" s="368"/>
      <c r="J140" s="368"/>
      <c r="K140" s="368"/>
      <c r="L140" s="368"/>
      <c r="M140" s="368"/>
      <c r="N140" s="368"/>
      <c r="O140" s="368"/>
      <c r="P140" s="368"/>
      <c r="Q140" s="368"/>
      <c r="R140" s="368"/>
      <c r="S140" s="368"/>
      <c r="T140" s="369"/>
    </row>
    <row r="141" spans="1:20">
      <c r="A141" t="s">
        <v>101</v>
      </c>
    </row>
  </sheetData>
  <mergeCells count="59">
    <mergeCell ref="R70:T70"/>
    <mergeCell ref="A74:S74"/>
    <mergeCell ref="C108:S108"/>
    <mergeCell ref="E123:S123"/>
    <mergeCell ref="A130:T130"/>
    <mergeCell ref="Q6:Q7"/>
    <mergeCell ref="O5:Q5"/>
    <mergeCell ref="A71:T71"/>
    <mergeCell ref="I129:T129"/>
    <mergeCell ref="A8:A48"/>
    <mergeCell ref="A49:A68"/>
    <mergeCell ref="A69:A70"/>
    <mergeCell ref="R6:S6"/>
    <mergeCell ref="T6:T7"/>
    <mergeCell ref="C70:E70"/>
    <mergeCell ref="F70:H70"/>
    <mergeCell ref="I70:K70"/>
    <mergeCell ref="L70:N70"/>
    <mergeCell ref="O70:Q70"/>
    <mergeCell ref="A124:S124"/>
    <mergeCell ref="A109:S109"/>
    <mergeCell ref="A140:T140"/>
    <mergeCell ref="A136:A137"/>
    <mergeCell ref="B136:E137"/>
    <mergeCell ref="F136:G137"/>
    <mergeCell ref="B131:E131"/>
    <mergeCell ref="F131:G131"/>
    <mergeCell ref="A132:A133"/>
    <mergeCell ref="B132:E133"/>
    <mergeCell ref="F132:G133"/>
    <mergeCell ref="A134:A135"/>
    <mergeCell ref="B134:E135"/>
    <mergeCell ref="F134:G135"/>
    <mergeCell ref="J138:T138"/>
    <mergeCell ref="J139:T139"/>
    <mergeCell ref="K131:T137"/>
    <mergeCell ref="J132:J133"/>
    <mergeCell ref="I4:T4"/>
    <mergeCell ref="A5:B7"/>
    <mergeCell ref="C5:E5"/>
    <mergeCell ref="F5:H5"/>
    <mergeCell ref="I5:K5"/>
    <mergeCell ref="L5:N5"/>
    <mergeCell ref="R5:T5"/>
    <mergeCell ref="C6:D6"/>
    <mergeCell ref="E6:E7"/>
    <mergeCell ref="F6:G6"/>
    <mergeCell ref="H6:H7"/>
    <mergeCell ref="I6:J6"/>
    <mergeCell ref="K6:K7"/>
    <mergeCell ref="L6:M6"/>
    <mergeCell ref="N6:N7"/>
    <mergeCell ref="O6:P6"/>
    <mergeCell ref="A1:B3"/>
    <mergeCell ref="C1:T1"/>
    <mergeCell ref="C2:T2"/>
    <mergeCell ref="C3:H3"/>
    <mergeCell ref="I3:M3"/>
    <mergeCell ref="R3:T3"/>
  </mergeCells>
  <printOptions horizontalCentered="1" verticalCentered="1"/>
  <pageMargins left="0" right="0" top="0" bottom="0" header="0.31496062992125984" footer="0.31496062992125984"/>
  <pageSetup paperSize="281" scale="65" fitToHeight="0" orientation="portrait" r:id="rId1"/>
  <rowBreaks count="1" manualBreakCount="1">
    <brk id="71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6E108-13A8-4E6E-987B-3EB32C3FEB84}">
  <dimension ref="A1:T141"/>
  <sheetViews>
    <sheetView view="pageBreakPreview" topLeftCell="A95" zoomScale="57" zoomScaleNormal="96" zoomScaleSheetLayoutView="57" workbookViewId="0">
      <selection activeCell="C70" sqref="C70:E70"/>
    </sheetView>
  </sheetViews>
  <sheetFormatPr defaultColWidth="11.42578125" defaultRowHeight="14.45"/>
  <cols>
    <col min="1" max="1" width="18.42578125" customWidth="1"/>
    <col min="2" max="2" width="17.140625" customWidth="1"/>
    <col min="3" max="20" width="5.7109375" customWidth="1"/>
  </cols>
  <sheetData>
    <row r="1" spans="1:20" ht="15.6">
      <c r="A1" s="328"/>
      <c r="B1" s="329"/>
      <c r="C1" s="334" t="s">
        <v>0</v>
      </c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6"/>
    </row>
    <row r="2" spans="1:20" ht="15.6">
      <c r="A2" s="330"/>
      <c r="B2" s="331"/>
      <c r="C2" s="334" t="s">
        <v>1</v>
      </c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  <c r="S2" s="335"/>
      <c r="T2" s="336"/>
    </row>
    <row r="3" spans="1:20" ht="15.6">
      <c r="A3" s="332"/>
      <c r="B3" s="333"/>
      <c r="C3" s="436" t="s">
        <v>102</v>
      </c>
      <c r="D3" s="338"/>
      <c r="E3" s="338"/>
      <c r="F3" s="338"/>
      <c r="G3" s="338"/>
      <c r="H3" s="339"/>
      <c r="I3" s="436" t="s">
        <v>103</v>
      </c>
      <c r="J3" s="338"/>
      <c r="K3" s="338"/>
      <c r="L3" s="338"/>
      <c r="M3" s="339"/>
      <c r="N3" s="64"/>
      <c r="O3" s="64"/>
      <c r="P3" s="64"/>
      <c r="Q3" s="64"/>
      <c r="R3" s="338" t="s">
        <v>104</v>
      </c>
      <c r="S3" s="338"/>
      <c r="T3" s="339"/>
    </row>
    <row r="4" spans="1:20">
      <c r="A4" s="2"/>
      <c r="B4" s="62" t="s">
        <v>5</v>
      </c>
      <c r="C4" s="63"/>
      <c r="D4" s="63"/>
      <c r="E4" s="63"/>
      <c r="F4" s="63"/>
      <c r="G4" s="63"/>
      <c r="H4" s="63"/>
      <c r="I4" s="341" t="s">
        <v>6</v>
      </c>
      <c r="J4" s="341"/>
      <c r="K4" s="341"/>
      <c r="L4" s="341"/>
      <c r="M4" s="341"/>
      <c r="N4" s="341"/>
      <c r="O4" s="341"/>
      <c r="P4" s="341"/>
      <c r="Q4" s="341"/>
      <c r="R4" s="341"/>
      <c r="S4" s="341"/>
      <c r="T4" s="341"/>
    </row>
    <row r="5" spans="1:20" ht="29.25" customHeight="1">
      <c r="A5" s="342" t="s">
        <v>7</v>
      </c>
      <c r="B5" s="343"/>
      <c r="C5" s="348" t="s">
        <v>8</v>
      </c>
      <c r="D5" s="349"/>
      <c r="E5" s="350"/>
      <c r="F5" s="351" t="s">
        <v>9</v>
      </c>
      <c r="G5" s="349"/>
      <c r="H5" s="349"/>
      <c r="I5" s="349" t="s">
        <v>10</v>
      </c>
      <c r="J5" s="349"/>
      <c r="K5" s="349"/>
      <c r="L5" s="349" t="s">
        <v>11</v>
      </c>
      <c r="M5" s="349"/>
      <c r="N5" s="352"/>
      <c r="O5" s="353" t="s">
        <v>12</v>
      </c>
      <c r="P5" s="354"/>
      <c r="Q5" s="355"/>
      <c r="R5" s="353" t="s">
        <v>13</v>
      </c>
      <c r="S5" s="354"/>
      <c r="T5" s="355"/>
    </row>
    <row r="6" spans="1:20">
      <c r="A6" s="344"/>
      <c r="B6" s="345"/>
      <c r="C6" s="356" t="s">
        <v>14</v>
      </c>
      <c r="D6" s="357"/>
      <c r="E6" s="358" t="s">
        <v>15</v>
      </c>
      <c r="F6" s="357" t="s">
        <v>14</v>
      </c>
      <c r="G6" s="357"/>
      <c r="H6" s="360" t="s">
        <v>15</v>
      </c>
      <c r="I6" s="357" t="s">
        <v>14</v>
      </c>
      <c r="J6" s="357"/>
      <c r="K6" s="360" t="s">
        <v>15</v>
      </c>
      <c r="L6" s="357" t="s">
        <v>14</v>
      </c>
      <c r="M6" s="362"/>
      <c r="N6" s="363" t="s">
        <v>15</v>
      </c>
      <c r="O6" s="365" t="s">
        <v>14</v>
      </c>
      <c r="P6" s="366"/>
      <c r="Q6" s="363" t="s">
        <v>15</v>
      </c>
      <c r="R6" s="421" t="s">
        <v>14</v>
      </c>
      <c r="S6" s="357"/>
      <c r="T6" s="422" t="s">
        <v>15</v>
      </c>
    </row>
    <row r="7" spans="1:20">
      <c r="A7" s="346"/>
      <c r="B7" s="347"/>
      <c r="C7" s="3" t="s">
        <v>16</v>
      </c>
      <c r="D7" s="4" t="s">
        <v>17</v>
      </c>
      <c r="E7" s="359"/>
      <c r="F7" s="4" t="s">
        <v>16</v>
      </c>
      <c r="G7" s="4" t="s">
        <v>17</v>
      </c>
      <c r="H7" s="361"/>
      <c r="I7" s="4" t="s">
        <v>16</v>
      </c>
      <c r="J7" s="4" t="s">
        <v>17</v>
      </c>
      <c r="K7" s="361"/>
      <c r="L7" s="4" t="s">
        <v>16</v>
      </c>
      <c r="M7" s="141" t="s">
        <v>17</v>
      </c>
      <c r="N7" s="364"/>
      <c r="O7" s="153" t="s">
        <v>16</v>
      </c>
      <c r="P7" s="154" t="s">
        <v>17</v>
      </c>
      <c r="Q7" s="411"/>
      <c r="R7" s="142" t="s">
        <v>16</v>
      </c>
      <c r="S7" s="4" t="s">
        <v>17</v>
      </c>
      <c r="T7" s="423"/>
    </row>
    <row r="8" spans="1:20" ht="22.9">
      <c r="A8" s="416" t="s">
        <v>18</v>
      </c>
      <c r="B8" s="59" t="s">
        <v>19</v>
      </c>
      <c r="C8" s="5">
        <v>1</v>
      </c>
      <c r="D8" s="6"/>
      <c r="E8" s="7"/>
      <c r="F8" s="92">
        <v>1</v>
      </c>
      <c r="G8" s="6"/>
      <c r="H8" s="7"/>
      <c r="I8" s="8">
        <v>1</v>
      </c>
      <c r="J8" s="93"/>
      <c r="K8" s="43"/>
      <c r="L8" s="42">
        <v>1</v>
      </c>
      <c r="M8" s="9"/>
      <c r="N8" s="143"/>
      <c r="O8" s="155">
        <v>1</v>
      </c>
      <c r="P8" s="156"/>
      <c r="Q8" s="7"/>
      <c r="R8" s="8">
        <v>1</v>
      </c>
      <c r="S8" s="9"/>
      <c r="T8" s="71"/>
    </row>
    <row r="9" spans="1:20" ht="22.9">
      <c r="A9" s="417"/>
      <c r="B9" s="60" t="s">
        <v>20</v>
      </c>
      <c r="C9" s="76">
        <v>1</v>
      </c>
      <c r="D9" s="77"/>
      <c r="E9" s="43"/>
      <c r="F9" s="10"/>
      <c r="G9" s="11">
        <v>1</v>
      </c>
      <c r="H9" s="48"/>
      <c r="I9" s="12">
        <v>1</v>
      </c>
      <c r="J9" s="47"/>
      <c r="K9" s="48"/>
      <c r="L9" s="72"/>
      <c r="M9" s="11">
        <v>1</v>
      </c>
      <c r="N9" s="144"/>
      <c r="O9" s="91">
        <v>1</v>
      </c>
      <c r="P9" s="136"/>
      <c r="Q9" s="48"/>
      <c r="R9" s="12">
        <v>1</v>
      </c>
      <c r="S9" s="11"/>
      <c r="T9" s="71"/>
    </row>
    <row r="10" spans="1:20">
      <c r="A10" s="417"/>
      <c r="B10" s="60" t="s">
        <v>21</v>
      </c>
      <c r="C10" s="78">
        <v>1</v>
      </c>
      <c r="D10" s="74"/>
      <c r="E10" s="43"/>
      <c r="F10" s="10">
        <v>1</v>
      </c>
      <c r="G10" s="11"/>
      <c r="H10" s="48"/>
      <c r="I10" s="12">
        <v>1</v>
      </c>
      <c r="J10" s="47"/>
      <c r="K10" s="48"/>
      <c r="L10" s="72">
        <v>1</v>
      </c>
      <c r="M10" s="11"/>
      <c r="N10" s="144"/>
      <c r="O10" s="91">
        <v>1</v>
      </c>
      <c r="P10" s="136"/>
      <c r="Q10" s="48"/>
      <c r="R10" s="12">
        <v>1</v>
      </c>
      <c r="S10" s="11"/>
      <c r="T10" s="71"/>
    </row>
    <row r="11" spans="1:20">
      <c r="A11" s="417"/>
      <c r="B11" s="60" t="s">
        <v>22</v>
      </c>
      <c r="C11" s="124"/>
      <c r="D11" s="125"/>
      <c r="E11" s="126"/>
      <c r="F11" s="14">
        <v>1</v>
      </c>
      <c r="G11" s="13"/>
      <c r="H11" s="15"/>
      <c r="I11" s="12">
        <v>1</v>
      </c>
      <c r="J11" s="47"/>
      <c r="K11" s="48"/>
      <c r="L11" s="73"/>
      <c r="M11" s="13">
        <v>1</v>
      </c>
      <c r="N11" s="144"/>
      <c r="O11" s="91">
        <v>1</v>
      </c>
      <c r="P11" s="136"/>
      <c r="Q11" s="48"/>
      <c r="R11" s="12">
        <v>1</v>
      </c>
      <c r="S11" s="11"/>
      <c r="T11" s="71"/>
    </row>
    <row r="12" spans="1:20">
      <c r="A12" s="417"/>
      <c r="B12" s="60" t="s">
        <v>23</v>
      </c>
      <c r="C12" s="17">
        <v>1</v>
      </c>
      <c r="D12" s="18"/>
      <c r="E12" s="43"/>
      <c r="F12" s="19">
        <v>1</v>
      </c>
      <c r="G12" s="20"/>
      <c r="H12" s="48"/>
      <c r="I12" s="12">
        <v>1</v>
      </c>
      <c r="J12" s="47"/>
      <c r="K12" s="48"/>
      <c r="L12" s="73">
        <v>1</v>
      </c>
      <c r="M12" s="13"/>
      <c r="N12" s="144"/>
      <c r="O12" s="91">
        <v>1</v>
      </c>
      <c r="P12" s="136"/>
      <c r="Q12" s="48"/>
      <c r="R12" s="12"/>
      <c r="S12" s="11"/>
      <c r="T12" s="12">
        <v>1</v>
      </c>
    </row>
    <row r="13" spans="1:20" ht="45.6">
      <c r="A13" s="417"/>
      <c r="B13" s="60" t="s">
        <v>24</v>
      </c>
      <c r="C13" s="76">
        <v>1</v>
      </c>
      <c r="D13" s="77"/>
      <c r="E13" s="43"/>
      <c r="F13" s="19">
        <v>1</v>
      </c>
      <c r="G13" s="20"/>
      <c r="H13" s="48"/>
      <c r="I13" s="21"/>
      <c r="J13" s="22"/>
      <c r="K13" s="48">
        <v>1</v>
      </c>
      <c r="L13" s="19">
        <v>1</v>
      </c>
      <c r="M13" s="20"/>
      <c r="N13" s="144"/>
      <c r="O13" s="91">
        <v>1</v>
      </c>
      <c r="P13" s="136"/>
      <c r="Q13" s="48"/>
      <c r="R13" s="23"/>
      <c r="S13" s="24"/>
      <c r="T13" s="12">
        <v>1</v>
      </c>
    </row>
    <row r="14" spans="1:20">
      <c r="A14" s="417"/>
      <c r="B14" s="60" t="s">
        <v>25</v>
      </c>
      <c r="C14" s="76">
        <v>1</v>
      </c>
      <c r="D14" s="77"/>
      <c r="E14" s="79"/>
      <c r="F14" s="14">
        <v>1</v>
      </c>
      <c r="G14" s="13"/>
      <c r="H14" s="15"/>
      <c r="I14" s="94"/>
      <c r="J14" s="95"/>
      <c r="K14" s="15">
        <v>1</v>
      </c>
      <c r="L14" s="73">
        <v>1</v>
      </c>
      <c r="M14" s="13"/>
      <c r="N14" s="145"/>
      <c r="O14" s="14">
        <v>1</v>
      </c>
      <c r="P14" s="137"/>
      <c r="Q14" s="15"/>
      <c r="R14" s="96"/>
      <c r="S14" s="20"/>
      <c r="T14" s="12">
        <v>1</v>
      </c>
    </row>
    <row r="15" spans="1:20">
      <c r="A15" s="417"/>
      <c r="B15" s="60" t="s">
        <v>26</v>
      </c>
      <c r="C15" s="80">
        <v>1</v>
      </c>
      <c r="D15" s="81"/>
      <c r="E15" s="90"/>
      <c r="F15" s="14">
        <v>1</v>
      </c>
      <c r="G15" s="13"/>
      <c r="H15" s="15"/>
      <c r="I15" s="94">
        <v>1</v>
      </c>
      <c r="J15" s="95"/>
      <c r="K15" s="15"/>
      <c r="L15" s="73">
        <v>1</v>
      </c>
      <c r="M15" s="13"/>
      <c r="N15" s="145"/>
      <c r="O15" s="14">
        <v>1</v>
      </c>
      <c r="P15" s="137"/>
      <c r="Q15" s="15"/>
      <c r="R15" s="96"/>
      <c r="S15" s="20"/>
      <c r="T15" s="12">
        <v>1</v>
      </c>
    </row>
    <row r="16" spans="1:20" ht="22.9">
      <c r="A16" s="417"/>
      <c r="B16" s="60" t="s">
        <v>27</v>
      </c>
      <c r="C16" s="80">
        <v>1</v>
      </c>
      <c r="D16" s="81"/>
      <c r="E16" s="82"/>
      <c r="F16" s="26"/>
      <c r="G16" s="27"/>
      <c r="H16" s="48">
        <v>1</v>
      </c>
      <c r="I16" s="30">
        <v>1</v>
      </c>
      <c r="J16" s="31"/>
      <c r="K16" s="48"/>
      <c r="L16" s="26"/>
      <c r="M16" s="27"/>
      <c r="N16" s="144">
        <v>1</v>
      </c>
      <c r="O16" s="91"/>
      <c r="P16" s="136"/>
      <c r="Q16" s="48">
        <v>1</v>
      </c>
      <c r="R16" s="23"/>
      <c r="S16" s="24"/>
      <c r="T16" s="12">
        <v>1</v>
      </c>
    </row>
    <row r="17" spans="1:20">
      <c r="A17" s="417"/>
      <c r="B17" s="60" t="s">
        <v>28</v>
      </c>
      <c r="C17" s="80"/>
      <c r="D17" s="81"/>
      <c r="E17" s="43">
        <v>1</v>
      </c>
      <c r="F17" s="26"/>
      <c r="G17" s="27"/>
      <c r="H17" s="48">
        <v>1</v>
      </c>
      <c r="I17" s="30"/>
      <c r="J17" s="31"/>
      <c r="K17" s="48">
        <v>1</v>
      </c>
      <c r="L17" s="26"/>
      <c r="M17" s="27"/>
      <c r="N17" s="144">
        <v>1</v>
      </c>
      <c r="O17" s="91">
        <v>1</v>
      </c>
      <c r="P17" s="136"/>
      <c r="Q17" s="48"/>
      <c r="R17" s="23"/>
      <c r="S17" s="24"/>
      <c r="T17" s="12">
        <v>1</v>
      </c>
    </row>
    <row r="18" spans="1:20">
      <c r="A18" s="417"/>
      <c r="B18" s="60" t="s">
        <v>29</v>
      </c>
      <c r="C18" s="76">
        <v>1</v>
      </c>
      <c r="D18" s="77"/>
      <c r="E18" s="43"/>
      <c r="F18" s="19">
        <v>1</v>
      </c>
      <c r="G18" s="20"/>
      <c r="H18" s="16"/>
      <c r="I18" s="21"/>
      <c r="J18" s="22">
        <v>1</v>
      </c>
      <c r="K18" s="16"/>
      <c r="L18" s="19">
        <v>1</v>
      </c>
      <c r="M18" s="20"/>
      <c r="N18" s="144"/>
      <c r="O18" s="91">
        <v>1</v>
      </c>
      <c r="P18" s="136"/>
      <c r="Q18" s="48"/>
      <c r="R18" s="23"/>
      <c r="S18" s="24"/>
      <c r="T18" s="12">
        <v>1</v>
      </c>
    </row>
    <row r="19" spans="1:20">
      <c r="A19" s="417"/>
      <c r="B19" s="60" t="s">
        <v>30</v>
      </c>
      <c r="C19" s="76">
        <v>1</v>
      </c>
      <c r="D19" s="77"/>
      <c r="E19" s="43"/>
      <c r="F19" s="19"/>
      <c r="G19" s="20"/>
      <c r="H19" s="16">
        <v>1</v>
      </c>
      <c r="I19" s="97"/>
      <c r="J19" s="98"/>
      <c r="K19" s="16">
        <v>1</v>
      </c>
      <c r="L19" s="19"/>
      <c r="M19" s="20"/>
      <c r="N19" s="144">
        <v>1</v>
      </c>
      <c r="O19" s="91"/>
      <c r="P19" s="136"/>
      <c r="Q19" s="48">
        <v>1</v>
      </c>
      <c r="R19" s="23"/>
      <c r="S19" s="24"/>
      <c r="T19" s="12">
        <v>1</v>
      </c>
    </row>
    <row r="20" spans="1:20">
      <c r="A20" s="417"/>
      <c r="B20" s="60" t="s">
        <v>31</v>
      </c>
      <c r="C20" s="76">
        <v>1</v>
      </c>
      <c r="D20" s="77"/>
      <c r="E20" s="43"/>
      <c r="F20" s="19"/>
      <c r="G20" s="20"/>
      <c r="H20" s="16">
        <v>1</v>
      </c>
      <c r="I20" s="97"/>
      <c r="J20" s="98"/>
      <c r="K20" s="16">
        <v>1</v>
      </c>
      <c r="L20" s="19">
        <v>1</v>
      </c>
      <c r="M20" s="20"/>
      <c r="N20" s="144"/>
      <c r="O20" s="91"/>
      <c r="P20" s="136"/>
      <c r="Q20" s="48">
        <v>1</v>
      </c>
      <c r="R20" s="23"/>
      <c r="S20" s="24"/>
      <c r="T20" s="12">
        <v>1</v>
      </c>
    </row>
    <row r="21" spans="1:20" ht="22.9">
      <c r="A21" s="417"/>
      <c r="B21" s="60" t="s">
        <v>32</v>
      </c>
      <c r="C21" s="76">
        <v>1</v>
      </c>
      <c r="D21" s="77"/>
      <c r="E21" s="43"/>
      <c r="F21" s="19">
        <v>1</v>
      </c>
      <c r="G21" s="20"/>
      <c r="H21" s="16"/>
      <c r="I21" s="97"/>
      <c r="J21" s="98"/>
      <c r="K21" s="16">
        <v>1</v>
      </c>
      <c r="L21" s="19"/>
      <c r="M21" s="20"/>
      <c r="N21" s="144">
        <v>1</v>
      </c>
      <c r="O21" s="91"/>
      <c r="P21" s="136"/>
      <c r="Q21" s="48">
        <v>1</v>
      </c>
      <c r="R21" s="23"/>
      <c r="S21" s="24"/>
      <c r="T21" s="12">
        <v>1</v>
      </c>
    </row>
    <row r="22" spans="1:20" ht="22.9">
      <c r="A22" s="417"/>
      <c r="B22" s="60" t="s">
        <v>33</v>
      </c>
      <c r="C22" s="76"/>
      <c r="D22" s="77">
        <v>1</v>
      </c>
      <c r="E22" s="48"/>
      <c r="F22" s="26"/>
      <c r="G22" s="27">
        <v>1</v>
      </c>
      <c r="H22" s="48"/>
      <c r="I22" s="30">
        <v>1</v>
      </c>
      <c r="J22" s="31"/>
      <c r="K22" s="28"/>
      <c r="L22" s="26">
        <v>1</v>
      </c>
      <c r="M22" s="27"/>
      <c r="N22" s="146"/>
      <c r="O22" s="157">
        <v>1</v>
      </c>
      <c r="P22" s="138"/>
      <c r="Q22" s="28"/>
      <c r="R22" s="96"/>
      <c r="S22" s="20"/>
      <c r="T22" s="12">
        <v>1</v>
      </c>
    </row>
    <row r="23" spans="1:20">
      <c r="A23" s="417"/>
      <c r="B23" s="60" t="s">
        <v>34</v>
      </c>
      <c r="C23" s="76">
        <v>1</v>
      </c>
      <c r="D23" s="77"/>
      <c r="E23" s="43"/>
      <c r="F23" s="26">
        <v>1</v>
      </c>
      <c r="G23" s="27"/>
      <c r="H23" s="48"/>
      <c r="I23" s="30"/>
      <c r="J23" s="31"/>
      <c r="K23" s="28">
        <v>1</v>
      </c>
      <c r="L23" s="26">
        <v>1</v>
      </c>
      <c r="M23" s="27"/>
      <c r="N23" s="146"/>
      <c r="O23" s="157">
        <v>1</v>
      </c>
      <c r="P23" s="138"/>
      <c r="Q23" s="28"/>
      <c r="R23" s="29"/>
      <c r="S23" s="25"/>
      <c r="T23" s="12">
        <v>1</v>
      </c>
    </row>
    <row r="24" spans="1:20">
      <c r="A24" s="417"/>
      <c r="B24" s="60" t="s">
        <v>35</v>
      </c>
      <c r="C24" s="76">
        <v>1</v>
      </c>
      <c r="D24" s="77"/>
      <c r="E24" s="43"/>
      <c r="F24" s="26">
        <v>1</v>
      </c>
      <c r="G24" s="27"/>
      <c r="H24" s="48"/>
      <c r="I24" s="30">
        <v>1</v>
      </c>
      <c r="J24" s="31"/>
      <c r="K24" s="28"/>
      <c r="L24" s="26">
        <v>1</v>
      </c>
      <c r="M24" s="27"/>
      <c r="N24" s="146"/>
      <c r="O24" s="157">
        <v>1</v>
      </c>
      <c r="P24" s="138"/>
      <c r="Q24" s="28"/>
      <c r="R24" s="29"/>
      <c r="S24" s="25"/>
      <c r="T24" s="12">
        <v>1</v>
      </c>
    </row>
    <row r="25" spans="1:20">
      <c r="A25" s="417"/>
      <c r="B25" s="60" t="s">
        <v>36</v>
      </c>
      <c r="C25" s="76">
        <v>1</v>
      </c>
      <c r="D25" s="77"/>
      <c r="E25" s="43"/>
      <c r="F25" s="26"/>
      <c r="G25" s="27"/>
      <c r="H25" s="28">
        <v>1</v>
      </c>
      <c r="I25" s="30"/>
      <c r="J25" s="31"/>
      <c r="K25" s="28">
        <v>1</v>
      </c>
      <c r="L25" s="26"/>
      <c r="M25" s="27"/>
      <c r="N25" s="144">
        <v>1</v>
      </c>
      <c r="O25" s="91"/>
      <c r="P25" s="136"/>
      <c r="Q25" s="48">
        <v>1</v>
      </c>
      <c r="R25" s="29"/>
      <c r="S25" s="25"/>
      <c r="T25" s="12">
        <v>1</v>
      </c>
    </row>
    <row r="26" spans="1:20">
      <c r="A26" s="417"/>
      <c r="B26" s="60" t="s">
        <v>37</v>
      </c>
      <c r="C26" s="76">
        <v>1</v>
      </c>
      <c r="D26" s="77"/>
      <c r="E26" s="43"/>
      <c r="F26" s="26">
        <v>1</v>
      </c>
      <c r="G26" s="27"/>
      <c r="H26" s="28"/>
      <c r="I26" s="30"/>
      <c r="J26" s="31"/>
      <c r="K26" s="28">
        <v>1</v>
      </c>
      <c r="L26" s="26"/>
      <c r="M26" s="27"/>
      <c r="N26" s="144">
        <v>1</v>
      </c>
      <c r="O26" s="91">
        <v>1</v>
      </c>
      <c r="P26" s="136"/>
      <c r="Q26" s="48"/>
      <c r="R26" s="29"/>
      <c r="S26" s="25"/>
      <c r="T26" s="12">
        <v>1</v>
      </c>
    </row>
    <row r="27" spans="1:20">
      <c r="A27" s="417"/>
      <c r="B27" s="60" t="s">
        <v>38</v>
      </c>
      <c r="C27" s="76">
        <v>1</v>
      </c>
      <c r="D27" s="77"/>
      <c r="E27" s="43"/>
      <c r="F27" s="26">
        <v>1</v>
      </c>
      <c r="G27" s="27"/>
      <c r="H27" s="28"/>
      <c r="I27" s="30">
        <v>1</v>
      </c>
      <c r="J27" s="31"/>
      <c r="K27" s="28"/>
      <c r="L27" s="26"/>
      <c r="M27" s="27"/>
      <c r="N27" s="144">
        <v>1</v>
      </c>
      <c r="O27" s="91">
        <v>1</v>
      </c>
      <c r="P27" s="136"/>
      <c r="Q27" s="48"/>
      <c r="R27" s="29"/>
      <c r="S27" s="25"/>
      <c r="T27" s="12">
        <v>1</v>
      </c>
    </row>
    <row r="28" spans="1:20">
      <c r="A28" s="417"/>
      <c r="B28" s="60" t="s">
        <v>39</v>
      </c>
      <c r="C28" s="76">
        <v>1</v>
      </c>
      <c r="D28" s="77"/>
      <c r="E28" s="43"/>
      <c r="F28" s="26">
        <v>1</v>
      </c>
      <c r="G28" s="27"/>
      <c r="H28" s="28"/>
      <c r="I28" s="130"/>
      <c r="J28" s="131"/>
      <c r="K28" s="129"/>
      <c r="L28" s="127"/>
      <c r="M28" s="128"/>
      <c r="N28" s="147"/>
      <c r="O28" s="133"/>
      <c r="P28" s="134"/>
      <c r="Q28" s="172"/>
      <c r="R28" s="133"/>
      <c r="S28" s="134"/>
      <c r="T28" s="172"/>
    </row>
    <row r="29" spans="1:20">
      <c r="A29" s="417"/>
      <c r="B29" s="60" t="s">
        <v>40</v>
      </c>
      <c r="C29" s="76"/>
      <c r="D29" s="77"/>
      <c r="E29" s="43">
        <v>1</v>
      </c>
      <c r="F29" s="127"/>
      <c r="G29" s="128"/>
      <c r="H29" s="129"/>
      <c r="I29" s="130"/>
      <c r="J29" s="131"/>
      <c r="K29" s="129"/>
      <c r="L29" s="127"/>
      <c r="M29" s="128"/>
      <c r="N29" s="147"/>
      <c r="O29" s="158"/>
      <c r="P29" s="139"/>
      <c r="Q29" s="132"/>
      <c r="R29" s="133"/>
      <c r="S29" s="134"/>
      <c r="T29" s="172"/>
    </row>
    <row r="30" spans="1:20" ht="34.15">
      <c r="A30" s="417"/>
      <c r="B30" s="60" t="s">
        <v>41</v>
      </c>
      <c r="C30" s="76">
        <v>1</v>
      </c>
      <c r="D30" s="77"/>
      <c r="E30" s="43"/>
      <c r="F30" s="26">
        <v>1</v>
      </c>
      <c r="G30" s="27"/>
      <c r="H30" s="28"/>
      <c r="I30" s="30">
        <v>1</v>
      </c>
      <c r="J30" s="31"/>
      <c r="K30" s="28"/>
      <c r="L30" s="26">
        <v>1</v>
      </c>
      <c r="M30" s="27"/>
      <c r="N30" s="144"/>
      <c r="O30" s="91">
        <v>1</v>
      </c>
      <c r="P30" s="136"/>
      <c r="Q30" s="48"/>
      <c r="R30" s="29"/>
      <c r="S30" s="25"/>
      <c r="T30" s="12">
        <v>1</v>
      </c>
    </row>
    <row r="31" spans="1:20">
      <c r="A31" s="417"/>
      <c r="B31" s="60" t="s">
        <v>42</v>
      </c>
      <c r="C31" s="76">
        <v>1</v>
      </c>
      <c r="D31" s="77"/>
      <c r="E31" s="43"/>
      <c r="F31" s="26">
        <v>1</v>
      </c>
      <c r="G31" s="27"/>
      <c r="H31" s="28"/>
      <c r="I31" s="30"/>
      <c r="J31" s="31"/>
      <c r="K31" s="28">
        <v>1</v>
      </c>
      <c r="L31" s="26">
        <v>1</v>
      </c>
      <c r="M31" s="27"/>
      <c r="N31" s="144"/>
      <c r="O31" s="158"/>
      <c r="P31" s="139"/>
      <c r="Q31" s="132"/>
      <c r="R31" s="133"/>
      <c r="S31" s="134"/>
      <c r="T31" s="172"/>
    </row>
    <row r="32" spans="1:20" ht="34.15">
      <c r="A32" s="417"/>
      <c r="B32" s="60" t="s">
        <v>43</v>
      </c>
      <c r="C32" s="76">
        <v>1</v>
      </c>
      <c r="D32" s="77"/>
      <c r="E32" s="48"/>
      <c r="F32" s="26">
        <v>1</v>
      </c>
      <c r="G32" s="27"/>
      <c r="H32" s="28"/>
      <c r="I32" s="30">
        <v>1</v>
      </c>
      <c r="J32" s="31"/>
      <c r="K32" s="28"/>
      <c r="L32" s="26">
        <v>1</v>
      </c>
      <c r="M32" s="27"/>
      <c r="N32" s="144"/>
      <c r="O32" s="91">
        <v>1</v>
      </c>
      <c r="P32" s="136"/>
      <c r="Q32" s="48"/>
      <c r="R32" s="29"/>
      <c r="S32" s="25"/>
      <c r="T32" s="12">
        <v>1</v>
      </c>
    </row>
    <row r="33" spans="1:20">
      <c r="A33" s="417"/>
      <c r="B33" s="60" t="s">
        <v>44</v>
      </c>
      <c r="C33" s="76"/>
      <c r="D33" s="77"/>
      <c r="E33" s="48">
        <v>1</v>
      </c>
      <c r="F33" s="26"/>
      <c r="G33" s="27"/>
      <c r="H33" s="28">
        <v>1</v>
      </c>
      <c r="I33" s="30"/>
      <c r="J33" s="31"/>
      <c r="K33" s="28">
        <v>1</v>
      </c>
      <c r="L33" s="26">
        <v>1</v>
      </c>
      <c r="M33" s="27"/>
      <c r="N33" s="144"/>
      <c r="O33" s="91"/>
      <c r="P33" s="136"/>
      <c r="Q33" s="48">
        <v>1</v>
      </c>
      <c r="R33" s="29"/>
      <c r="S33" s="25"/>
      <c r="T33" s="12">
        <v>1</v>
      </c>
    </row>
    <row r="34" spans="1:20">
      <c r="A34" s="417"/>
      <c r="B34" s="60" t="s">
        <v>45</v>
      </c>
      <c r="C34" s="76">
        <v>1</v>
      </c>
      <c r="D34" s="77"/>
      <c r="E34" s="48"/>
      <c r="F34" s="26">
        <v>1</v>
      </c>
      <c r="G34" s="27"/>
      <c r="H34" s="28"/>
      <c r="I34" s="30"/>
      <c r="J34" s="31"/>
      <c r="K34" s="28">
        <v>1</v>
      </c>
      <c r="L34" s="26"/>
      <c r="M34" s="27"/>
      <c r="N34" s="144">
        <v>1</v>
      </c>
      <c r="O34" s="91"/>
      <c r="P34" s="136"/>
      <c r="Q34" s="48">
        <v>1</v>
      </c>
      <c r="R34" s="29"/>
      <c r="S34" s="25"/>
      <c r="T34" s="12">
        <v>1</v>
      </c>
    </row>
    <row r="35" spans="1:20">
      <c r="A35" s="417"/>
      <c r="B35" s="60" t="s">
        <v>46</v>
      </c>
      <c r="C35" s="76">
        <v>1</v>
      </c>
      <c r="D35" s="77"/>
      <c r="E35" s="48"/>
      <c r="F35" s="127"/>
      <c r="G35" s="128"/>
      <c r="H35" s="129"/>
      <c r="I35" s="130"/>
      <c r="J35" s="131"/>
      <c r="K35" s="129"/>
      <c r="L35" s="127"/>
      <c r="M35" s="128"/>
      <c r="N35" s="147"/>
      <c r="O35" s="158"/>
      <c r="P35" s="139"/>
      <c r="Q35" s="132"/>
      <c r="R35" s="133"/>
      <c r="S35" s="134"/>
      <c r="T35" s="129"/>
    </row>
    <row r="36" spans="1:20">
      <c r="A36" s="417"/>
      <c r="B36" s="60" t="s">
        <v>47</v>
      </c>
      <c r="C36" s="76"/>
      <c r="D36" s="77"/>
      <c r="E36" s="48">
        <v>1</v>
      </c>
      <c r="F36" s="26"/>
      <c r="G36" s="27"/>
      <c r="H36" s="28">
        <v>1</v>
      </c>
      <c r="I36" s="30">
        <v>1</v>
      </c>
      <c r="J36" s="31"/>
      <c r="K36" s="28"/>
      <c r="L36" s="26"/>
      <c r="M36" s="27"/>
      <c r="N36" s="144">
        <v>1</v>
      </c>
      <c r="O36" s="91"/>
      <c r="P36" s="136"/>
      <c r="Q36" s="48">
        <v>1</v>
      </c>
      <c r="R36" s="29"/>
      <c r="S36" s="25"/>
      <c r="T36" s="12">
        <v>1</v>
      </c>
    </row>
    <row r="37" spans="1:20">
      <c r="A37" s="417"/>
      <c r="B37" s="60" t="s">
        <v>48</v>
      </c>
      <c r="C37" s="76">
        <v>1</v>
      </c>
      <c r="D37" s="77"/>
      <c r="E37" s="48"/>
      <c r="F37" s="26"/>
      <c r="G37" s="27"/>
      <c r="H37" s="28">
        <v>1</v>
      </c>
      <c r="I37" s="30"/>
      <c r="J37" s="31"/>
      <c r="K37" s="28">
        <v>1</v>
      </c>
      <c r="L37" s="26"/>
      <c r="M37" s="27"/>
      <c r="N37" s="144">
        <v>1</v>
      </c>
      <c r="O37" s="91"/>
      <c r="P37" s="136"/>
      <c r="Q37" s="48">
        <v>1</v>
      </c>
      <c r="R37" s="29"/>
      <c r="S37" s="25"/>
      <c r="T37" s="12">
        <v>1</v>
      </c>
    </row>
    <row r="38" spans="1:20">
      <c r="A38" s="417"/>
      <c r="B38" s="60" t="s">
        <v>49</v>
      </c>
      <c r="C38" s="76"/>
      <c r="D38" s="77"/>
      <c r="E38" s="48">
        <v>1</v>
      </c>
      <c r="F38" s="26"/>
      <c r="G38" s="27"/>
      <c r="H38" s="28">
        <v>1</v>
      </c>
      <c r="I38" s="30"/>
      <c r="J38" s="31"/>
      <c r="K38" s="28">
        <v>1</v>
      </c>
      <c r="L38" s="26"/>
      <c r="M38" s="27"/>
      <c r="N38" s="144">
        <v>1</v>
      </c>
      <c r="O38" s="91"/>
      <c r="P38" s="136"/>
      <c r="Q38" s="48">
        <v>1</v>
      </c>
      <c r="R38" s="29"/>
      <c r="S38" s="25"/>
      <c r="T38" s="12">
        <v>1</v>
      </c>
    </row>
    <row r="39" spans="1:20">
      <c r="A39" s="417"/>
      <c r="B39" s="60" t="s">
        <v>50</v>
      </c>
      <c r="C39" s="76"/>
      <c r="D39" s="77">
        <v>1</v>
      </c>
      <c r="E39" s="48"/>
      <c r="F39" s="26"/>
      <c r="G39" s="27">
        <v>1</v>
      </c>
      <c r="H39" s="28"/>
      <c r="I39" s="30"/>
      <c r="J39" s="31">
        <v>1</v>
      </c>
      <c r="K39" s="28"/>
      <c r="L39" s="26"/>
      <c r="M39" s="27">
        <v>1</v>
      </c>
      <c r="N39" s="146"/>
      <c r="O39" s="157"/>
      <c r="P39" s="138">
        <v>1</v>
      </c>
      <c r="Q39" s="28"/>
      <c r="R39" s="29"/>
      <c r="S39" s="25">
        <v>1</v>
      </c>
      <c r="T39" s="28"/>
    </row>
    <row r="40" spans="1:20" ht="22.9">
      <c r="A40" s="417"/>
      <c r="B40" s="60" t="s">
        <v>51</v>
      </c>
      <c r="C40" s="76"/>
      <c r="D40" s="77"/>
      <c r="E40" s="48">
        <v>1</v>
      </c>
      <c r="F40" s="26">
        <v>1</v>
      </c>
      <c r="G40" s="27"/>
      <c r="H40" s="28"/>
      <c r="I40" s="30">
        <v>1</v>
      </c>
      <c r="J40" s="31"/>
      <c r="K40" s="28"/>
      <c r="L40" s="26">
        <v>1</v>
      </c>
      <c r="M40" s="27"/>
      <c r="N40" s="146"/>
      <c r="O40" s="157"/>
      <c r="P40" s="138"/>
      <c r="Q40" s="28">
        <v>1</v>
      </c>
      <c r="R40" s="29"/>
      <c r="S40" s="25"/>
      <c r="T40" s="135">
        <v>1</v>
      </c>
    </row>
    <row r="41" spans="1:20">
      <c r="A41" s="417"/>
      <c r="B41" s="60" t="s">
        <v>52</v>
      </c>
      <c r="C41" s="76">
        <v>1</v>
      </c>
      <c r="D41" s="77"/>
      <c r="E41" s="48"/>
      <c r="F41" s="26">
        <v>1</v>
      </c>
      <c r="G41" s="27"/>
      <c r="H41" s="28"/>
      <c r="I41" s="30">
        <v>1</v>
      </c>
      <c r="J41" s="31"/>
      <c r="K41" s="28"/>
      <c r="L41" s="26">
        <v>1</v>
      </c>
      <c r="M41" s="27"/>
      <c r="N41" s="146"/>
      <c r="O41" s="157">
        <v>1</v>
      </c>
      <c r="P41" s="138"/>
      <c r="Q41" s="28"/>
      <c r="R41" s="29">
        <v>1</v>
      </c>
      <c r="S41" s="25"/>
      <c r="T41" s="71"/>
    </row>
    <row r="42" spans="1:20">
      <c r="A42" s="417"/>
      <c r="B42" s="60" t="s">
        <v>53</v>
      </c>
      <c r="C42" s="76">
        <v>1</v>
      </c>
      <c r="D42" s="77"/>
      <c r="E42" s="48"/>
      <c r="F42" s="26">
        <v>1</v>
      </c>
      <c r="G42" s="27"/>
      <c r="H42" s="28"/>
      <c r="I42" s="30">
        <v>1</v>
      </c>
      <c r="J42" s="31"/>
      <c r="K42" s="28"/>
      <c r="L42" s="26">
        <v>1</v>
      </c>
      <c r="M42" s="27"/>
      <c r="N42" s="146"/>
      <c r="O42" s="157">
        <v>1</v>
      </c>
      <c r="P42" s="138"/>
      <c r="Q42" s="28"/>
      <c r="R42" s="29"/>
      <c r="S42" s="25"/>
      <c r="T42" s="71">
        <v>1</v>
      </c>
    </row>
    <row r="43" spans="1:20" ht="22.9">
      <c r="A43" s="417"/>
      <c r="B43" s="60" t="s">
        <v>54</v>
      </c>
      <c r="C43" s="76">
        <v>1</v>
      </c>
      <c r="D43" s="77"/>
      <c r="E43" s="48"/>
      <c r="F43" s="26">
        <v>1</v>
      </c>
      <c r="G43" s="27"/>
      <c r="H43" s="48"/>
      <c r="I43" s="30">
        <v>1</v>
      </c>
      <c r="J43" s="31"/>
      <c r="K43" s="48"/>
      <c r="L43" s="26">
        <v>1</v>
      </c>
      <c r="M43" s="27"/>
      <c r="N43" s="144"/>
      <c r="O43" s="91">
        <v>1</v>
      </c>
      <c r="P43" s="136"/>
      <c r="Q43" s="48"/>
      <c r="R43" s="29"/>
      <c r="S43" s="25"/>
      <c r="T43" s="71">
        <v>1</v>
      </c>
    </row>
    <row r="44" spans="1:20">
      <c r="A44" s="417"/>
      <c r="B44" s="60" t="s">
        <v>55</v>
      </c>
      <c r="C44" s="83"/>
      <c r="D44" s="84">
        <v>1</v>
      </c>
      <c r="E44" s="85"/>
      <c r="F44" s="26"/>
      <c r="G44" s="27">
        <v>1</v>
      </c>
      <c r="H44" s="28"/>
      <c r="I44" s="30">
        <v>1</v>
      </c>
      <c r="J44" s="31"/>
      <c r="K44" s="28"/>
      <c r="L44" s="26"/>
      <c r="M44" s="27">
        <v>1</v>
      </c>
      <c r="N44" s="146"/>
      <c r="O44" s="157">
        <v>1</v>
      </c>
      <c r="P44" s="138"/>
      <c r="Q44" s="28"/>
      <c r="R44" s="29"/>
      <c r="S44" s="25"/>
      <c r="T44" s="28">
        <v>1</v>
      </c>
    </row>
    <row r="45" spans="1:20" ht="22.9">
      <c r="A45" s="417"/>
      <c r="B45" s="60" t="s">
        <v>56</v>
      </c>
      <c r="C45" s="163"/>
      <c r="D45" s="164"/>
      <c r="E45" s="165"/>
      <c r="F45" s="166"/>
      <c r="G45" s="167"/>
      <c r="H45" s="168"/>
      <c r="I45" s="130"/>
      <c r="J45" s="131"/>
      <c r="K45" s="168"/>
      <c r="L45" s="166"/>
      <c r="M45" s="167"/>
      <c r="N45" s="169"/>
      <c r="O45" s="170"/>
      <c r="P45" s="171"/>
      <c r="Q45" s="129"/>
      <c r="R45" s="35">
        <v>1</v>
      </c>
      <c r="S45" s="36"/>
      <c r="T45" s="32"/>
    </row>
    <row r="46" spans="1:20">
      <c r="A46" s="417"/>
      <c r="B46" s="60" t="s">
        <v>57</v>
      </c>
      <c r="C46" s="163"/>
      <c r="D46" s="164"/>
      <c r="E46" s="165"/>
      <c r="F46" s="166"/>
      <c r="G46" s="167"/>
      <c r="H46" s="168"/>
      <c r="I46" s="130"/>
      <c r="J46" s="131"/>
      <c r="K46" s="168"/>
      <c r="L46" s="166"/>
      <c r="M46" s="167"/>
      <c r="N46" s="169"/>
      <c r="O46" s="170"/>
      <c r="P46" s="171"/>
      <c r="Q46" s="129"/>
      <c r="R46" s="35"/>
      <c r="S46" s="36"/>
      <c r="T46" s="32">
        <v>1</v>
      </c>
    </row>
    <row r="47" spans="1:20">
      <c r="A47" s="417"/>
      <c r="B47" s="60" t="s">
        <v>58</v>
      </c>
      <c r="C47" s="83">
        <v>1</v>
      </c>
      <c r="D47" s="84"/>
      <c r="E47" s="85"/>
      <c r="F47" s="33">
        <v>1</v>
      </c>
      <c r="G47" s="34"/>
      <c r="H47" s="32"/>
      <c r="I47" s="30">
        <v>1</v>
      </c>
      <c r="J47" s="31"/>
      <c r="K47" s="32"/>
      <c r="L47" s="33">
        <v>1</v>
      </c>
      <c r="M47" s="34"/>
      <c r="N47" s="148"/>
      <c r="O47" s="157">
        <v>1</v>
      </c>
      <c r="P47" s="140"/>
      <c r="Q47" s="28"/>
      <c r="R47" s="35"/>
      <c r="S47" s="36"/>
      <c r="T47" s="32">
        <v>1</v>
      </c>
    </row>
    <row r="48" spans="1:20">
      <c r="A48" s="417"/>
      <c r="B48" s="61" t="s">
        <v>59</v>
      </c>
      <c r="C48" s="86">
        <v>1</v>
      </c>
      <c r="D48" s="87"/>
      <c r="E48" s="44"/>
      <c r="F48" s="33">
        <v>1</v>
      </c>
      <c r="G48" s="34"/>
      <c r="H48" s="32"/>
      <c r="I48" s="30">
        <v>1</v>
      </c>
      <c r="J48" s="31"/>
      <c r="K48" s="32"/>
      <c r="L48" s="33">
        <v>1</v>
      </c>
      <c r="M48" s="34"/>
      <c r="N48" s="148"/>
      <c r="O48" s="173"/>
      <c r="P48" s="140">
        <v>1</v>
      </c>
      <c r="Q48" s="32"/>
      <c r="R48" s="35">
        <v>1</v>
      </c>
      <c r="S48" s="36"/>
      <c r="T48" s="32"/>
    </row>
    <row r="49" spans="1:20" ht="22.9">
      <c r="A49" s="416" t="s">
        <v>60</v>
      </c>
      <c r="B49" s="59" t="s">
        <v>61</v>
      </c>
      <c r="C49" s="88">
        <v>1</v>
      </c>
      <c r="D49" s="89"/>
      <c r="E49" s="7"/>
      <c r="F49" s="175"/>
      <c r="G49" s="176"/>
      <c r="H49" s="177"/>
      <c r="I49" s="178"/>
      <c r="J49" s="179"/>
      <c r="K49" s="177"/>
      <c r="L49" s="175"/>
      <c r="M49" s="176"/>
      <c r="N49" s="180"/>
      <c r="O49" s="181"/>
      <c r="P49" s="182"/>
      <c r="Q49" s="183"/>
      <c r="R49" s="184"/>
      <c r="S49" s="185"/>
      <c r="T49" s="186"/>
    </row>
    <row r="50" spans="1:20" ht="24">
      <c r="A50" s="417"/>
      <c r="B50" s="75" t="s">
        <v>62</v>
      </c>
      <c r="C50" s="76">
        <v>1</v>
      </c>
      <c r="D50" s="77"/>
      <c r="E50" s="43"/>
      <c r="F50" s="187"/>
      <c r="G50" s="188"/>
      <c r="H50" s="132"/>
      <c r="I50" s="189"/>
      <c r="J50" s="190"/>
      <c r="K50" s="132"/>
      <c r="L50" s="187"/>
      <c r="M50" s="188"/>
      <c r="N50" s="147"/>
      <c r="O50" s="158"/>
      <c r="P50" s="139"/>
      <c r="Q50" s="132"/>
      <c r="R50" s="191"/>
      <c r="S50" s="192"/>
      <c r="T50" s="172"/>
    </row>
    <row r="51" spans="1:20">
      <c r="A51" s="417"/>
      <c r="B51" s="60" t="s">
        <v>63</v>
      </c>
      <c r="C51" s="193"/>
      <c r="D51" s="194"/>
      <c r="E51" s="195"/>
      <c r="F51" s="196"/>
      <c r="G51" s="197"/>
      <c r="H51" s="198"/>
      <c r="I51" s="199"/>
      <c r="J51" s="200"/>
      <c r="K51" s="198"/>
      <c r="L51" s="14">
        <v>1</v>
      </c>
      <c r="M51" s="13"/>
      <c r="N51" s="145"/>
      <c r="O51" s="196"/>
      <c r="P51" s="201"/>
      <c r="Q51" s="198"/>
      <c r="R51" s="202"/>
      <c r="S51" s="188"/>
      <c r="T51" s="203"/>
    </row>
    <row r="52" spans="1:20">
      <c r="A52" s="417"/>
      <c r="B52" s="60" t="s">
        <v>64</v>
      </c>
      <c r="C52" s="193"/>
      <c r="D52" s="194"/>
      <c r="E52" s="195"/>
      <c r="F52" s="196"/>
      <c r="G52" s="197"/>
      <c r="H52" s="198"/>
      <c r="I52" s="199"/>
      <c r="J52" s="200"/>
      <c r="K52" s="198"/>
      <c r="L52" s="14">
        <v>1</v>
      </c>
      <c r="M52" s="13"/>
      <c r="N52" s="145"/>
      <c r="O52" s="196"/>
      <c r="P52" s="201"/>
      <c r="Q52" s="198"/>
      <c r="R52" s="202"/>
      <c r="S52" s="188"/>
      <c r="T52" s="203"/>
    </row>
    <row r="53" spans="1:20" ht="22.9">
      <c r="A53" s="417"/>
      <c r="B53" s="60" t="s">
        <v>65</v>
      </c>
      <c r="C53" s="80">
        <v>1</v>
      </c>
      <c r="D53" s="81"/>
      <c r="E53" s="90"/>
      <c r="F53" s="26"/>
      <c r="G53" s="27"/>
      <c r="H53" s="28">
        <v>1</v>
      </c>
      <c r="I53" s="99"/>
      <c r="J53" s="100"/>
      <c r="K53" s="28">
        <v>1</v>
      </c>
      <c r="L53" s="26"/>
      <c r="M53" s="27"/>
      <c r="N53" s="146">
        <v>1</v>
      </c>
      <c r="O53" s="157"/>
      <c r="P53" s="138"/>
      <c r="Q53" s="28">
        <v>1</v>
      </c>
      <c r="R53" s="29"/>
      <c r="S53" s="25"/>
      <c r="T53" s="28">
        <v>1</v>
      </c>
    </row>
    <row r="54" spans="1:20" ht="22.9">
      <c r="A54" s="417"/>
      <c r="B54" s="60" t="s">
        <v>66</v>
      </c>
      <c r="C54" s="76">
        <v>1</v>
      </c>
      <c r="D54" s="77"/>
      <c r="E54" s="48"/>
      <c r="F54" s="127"/>
      <c r="G54" s="128"/>
      <c r="H54" s="129"/>
      <c r="I54" s="130"/>
      <c r="J54" s="131"/>
      <c r="K54" s="129"/>
      <c r="L54" s="127"/>
      <c r="M54" s="128"/>
      <c r="N54" s="204"/>
      <c r="O54" s="170"/>
      <c r="P54" s="205"/>
      <c r="Q54" s="129"/>
      <c r="R54" s="133"/>
      <c r="S54" s="134"/>
      <c r="T54" s="129"/>
    </row>
    <row r="55" spans="1:20">
      <c r="A55" s="417"/>
      <c r="B55" s="60" t="s">
        <v>67</v>
      </c>
      <c r="C55" s="76">
        <v>1</v>
      </c>
      <c r="D55" s="77"/>
      <c r="E55" s="43"/>
      <c r="F55" s="187"/>
      <c r="G55" s="188"/>
      <c r="H55" s="132"/>
      <c r="I55" s="189"/>
      <c r="J55" s="190"/>
      <c r="K55" s="132"/>
      <c r="L55" s="187"/>
      <c r="M55" s="188"/>
      <c r="N55" s="147"/>
      <c r="O55" s="158"/>
      <c r="P55" s="139"/>
      <c r="Q55" s="132"/>
      <c r="R55" s="191"/>
      <c r="S55" s="192"/>
      <c r="T55" s="172"/>
    </row>
    <row r="56" spans="1:20">
      <c r="A56" s="417"/>
      <c r="B56" s="60" t="s">
        <v>68</v>
      </c>
      <c r="C56" s="76"/>
      <c r="D56" s="77"/>
      <c r="E56" s="43">
        <v>1</v>
      </c>
      <c r="F56" s="127"/>
      <c r="G56" s="128"/>
      <c r="H56" s="129"/>
      <c r="I56" s="130"/>
      <c r="J56" s="131"/>
      <c r="K56" s="129"/>
      <c r="L56" s="127"/>
      <c r="M56" s="128"/>
      <c r="N56" s="147"/>
      <c r="O56" s="158"/>
      <c r="P56" s="139"/>
      <c r="Q56" s="132"/>
      <c r="R56" s="133"/>
      <c r="S56" s="134"/>
      <c r="T56" s="172"/>
    </row>
    <row r="57" spans="1:20">
      <c r="A57" s="417"/>
      <c r="B57" s="60" t="s">
        <v>69</v>
      </c>
      <c r="C57" s="76">
        <v>1</v>
      </c>
      <c r="D57" s="77"/>
      <c r="E57" s="43"/>
      <c r="F57" s="26"/>
      <c r="G57" s="27"/>
      <c r="H57" s="28">
        <v>1</v>
      </c>
      <c r="I57" s="30"/>
      <c r="J57" s="31"/>
      <c r="K57" s="28">
        <v>1</v>
      </c>
      <c r="L57" s="26"/>
      <c r="M57" s="27"/>
      <c r="N57" s="144">
        <v>1</v>
      </c>
      <c r="O57" s="91"/>
      <c r="P57" s="136"/>
      <c r="Q57" s="48">
        <v>1</v>
      </c>
      <c r="R57" s="29"/>
      <c r="S57" s="25"/>
      <c r="T57" s="71">
        <v>1</v>
      </c>
    </row>
    <row r="58" spans="1:20" ht="22.9">
      <c r="A58" s="417"/>
      <c r="B58" s="60" t="s">
        <v>70</v>
      </c>
      <c r="C58" s="76">
        <v>1</v>
      </c>
      <c r="D58" s="77"/>
      <c r="E58" s="43"/>
      <c r="F58" s="26"/>
      <c r="G58" s="27"/>
      <c r="H58" s="28">
        <v>1</v>
      </c>
      <c r="I58" s="130"/>
      <c r="J58" s="131"/>
      <c r="K58" s="129"/>
      <c r="L58" s="127"/>
      <c r="M58" s="128"/>
      <c r="N58" s="147"/>
      <c r="O58" s="91">
        <v>1</v>
      </c>
      <c r="P58" s="136"/>
      <c r="Q58" s="48"/>
      <c r="R58" s="133"/>
      <c r="S58" s="134"/>
      <c r="T58" s="172"/>
    </row>
    <row r="59" spans="1:20">
      <c r="A59" s="417"/>
      <c r="B59" s="60" t="s">
        <v>71</v>
      </c>
      <c r="C59" s="91"/>
      <c r="D59" s="77"/>
      <c r="E59" s="43">
        <v>1</v>
      </c>
      <c r="F59" s="26"/>
      <c r="G59" s="27">
        <v>1</v>
      </c>
      <c r="H59" s="28"/>
      <c r="I59" s="101"/>
      <c r="J59" s="102"/>
      <c r="K59" s="28">
        <v>1</v>
      </c>
      <c r="L59" s="26"/>
      <c r="M59" s="27"/>
      <c r="N59" s="144">
        <v>1</v>
      </c>
      <c r="O59" s="91">
        <v>1</v>
      </c>
      <c r="P59" s="136"/>
      <c r="Q59" s="48"/>
      <c r="R59" s="29"/>
      <c r="S59" s="25"/>
      <c r="T59" s="71">
        <v>1</v>
      </c>
    </row>
    <row r="60" spans="1:20">
      <c r="A60" s="417"/>
      <c r="B60" s="60" t="s">
        <v>72</v>
      </c>
      <c r="C60" s="91"/>
      <c r="D60" s="77"/>
      <c r="E60" s="48">
        <v>1</v>
      </c>
      <c r="F60" s="103"/>
      <c r="G60" s="104"/>
      <c r="H60" s="48">
        <v>1</v>
      </c>
      <c r="I60" s="103"/>
      <c r="J60" s="104"/>
      <c r="K60" s="48">
        <v>1</v>
      </c>
      <c r="L60" s="103">
        <v>1</v>
      </c>
      <c r="M60" s="104"/>
      <c r="N60" s="144"/>
      <c r="O60" s="91"/>
      <c r="P60" s="136"/>
      <c r="Q60" s="48">
        <v>1</v>
      </c>
      <c r="R60" s="29"/>
      <c r="S60" s="25"/>
      <c r="T60" s="71">
        <v>1</v>
      </c>
    </row>
    <row r="61" spans="1:20">
      <c r="A61" s="417"/>
      <c r="B61" s="60" t="s">
        <v>73</v>
      </c>
      <c r="C61" s="91"/>
      <c r="D61" s="77"/>
      <c r="E61" s="48">
        <v>1</v>
      </c>
      <c r="F61" s="103"/>
      <c r="G61" s="104"/>
      <c r="H61" s="48">
        <v>1</v>
      </c>
      <c r="I61" s="103"/>
      <c r="J61" s="104"/>
      <c r="K61" s="48"/>
      <c r="L61" s="103"/>
      <c r="M61" s="104"/>
      <c r="N61" s="144">
        <v>1</v>
      </c>
      <c r="O61" s="91"/>
      <c r="P61" s="136"/>
      <c r="Q61" s="48">
        <v>1</v>
      </c>
      <c r="R61" s="29"/>
      <c r="S61" s="25"/>
      <c r="T61" s="71">
        <v>1</v>
      </c>
    </row>
    <row r="62" spans="1:20" ht="15" customHeight="1">
      <c r="A62" s="417"/>
      <c r="B62" s="60" t="s">
        <v>74</v>
      </c>
      <c r="C62" s="91">
        <v>1</v>
      </c>
      <c r="D62" s="77"/>
      <c r="E62" s="48"/>
      <c r="F62" s="103"/>
      <c r="G62" s="104"/>
      <c r="H62" s="48">
        <v>1</v>
      </c>
      <c r="I62" s="206"/>
      <c r="J62" s="207"/>
      <c r="K62" s="132"/>
      <c r="L62" s="206"/>
      <c r="M62" s="207"/>
      <c r="N62" s="147"/>
      <c r="O62" s="158"/>
      <c r="P62" s="139"/>
      <c r="Q62" s="132"/>
      <c r="R62" s="133"/>
      <c r="S62" s="134"/>
      <c r="T62" s="172"/>
    </row>
    <row r="63" spans="1:20" ht="24.75" customHeight="1">
      <c r="A63" s="417"/>
      <c r="B63" s="60" t="s">
        <v>75</v>
      </c>
      <c r="C63" s="91">
        <v>1</v>
      </c>
      <c r="D63" s="77"/>
      <c r="E63" s="48"/>
      <c r="F63" s="103"/>
      <c r="G63" s="104"/>
      <c r="H63" s="48">
        <v>1</v>
      </c>
      <c r="I63" s="103"/>
      <c r="J63" s="104"/>
      <c r="K63" s="48">
        <v>1</v>
      </c>
      <c r="L63" s="103"/>
      <c r="M63" s="104"/>
      <c r="N63" s="144">
        <v>1</v>
      </c>
      <c r="O63" s="91"/>
      <c r="P63" s="136"/>
      <c r="Q63" s="48">
        <v>1</v>
      </c>
      <c r="R63" s="29"/>
      <c r="S63" s="25"/>
      <c r="T63" s="71">
        <v>1</v>
      </c>
    </row>
    <row r="64" spans="1:20" ht="24.75" customHeight="1">
      <c r="A64" s="417"/>
      <c r="B64" s="60" t="s">
        <v>76</v>
      </c>
      <c r="C64" s="91"/>
      <c r="D64" s="77"/>
      <c r="E64" s="48">
        <v>1</v>
      </c>
      <c r="F64" s="103"/>
      <c r="G64" s="104"/>
      <c r="H64" s="48">
        <v>1</v>
      </c>
      <c r="I64" s="103"/>
      <c r="J64" s="104"/>
      <c r="K64" s="48">
        <v>1</v>
      </c>
      <c r="L64" s="103"/>
      <c r="M64" s="150"/>
      <c r="N64" s="151">
        <v>1</v>
      </c>
      <c r="O64" s="161"/>
      <c r="P64" s="152">
        <v>1</v>
      </c>
      <c r="Q64" s="162"/>
      <c r="R64" s="35"/>
      <c r="S64" s="36"/>
      <c r="T64" s="71">
        <v>1</v>
      </c>
    </row>
    <row r="65" spans="1:20" ht="24.75" customHeight="1">
      <c r="A65" s="417"/>
      <c r="B65" s="60" t="s">
        <v>77</v>
      </c>
      <c r="C65" s="158"/>
      <c r="D65" s="149"/>
      <c r="E65" s="132"/>
      <c r="F65" s="206"/>
      <c r="G65" s="207"/>
      <c r="H65" s="132"/>
      <c r="I65" s="206"/>
      <c r="J65" s="207"/>
      <c r="K65" s="132"/>
      <c r="L65" s="206"/>
      <c r="M65" s="208"/>
      <c r="N65" s="209"/>
      <c r="O65" s="161">
        <v>1</v>
      </c>
      <c r="P65" s="152"/>
      <c r="Q65" s="162"/>
      <c r="R65" s="210"/>
      <c r="S65" s="211"/>
      <c r="T65" s="172"/>
    </row>
    <row r="66" spans="1:20" ht="24.75" customHeight="1">
      <c r="A66" s="417"/>
      <c r="B66" s="60" t="s">
        <v>78</v>
      </c>
      <c r="C66" s="158"/>
      <c r="D66" s="149"/>
      <c r="E66" s="132"/>
      <c r="F66" s="206"/>
      <c r="G66" s="207"/>
      <c r="H66" s="132"/>
      <c r="I66" s="206"/>
      <c r="J66" s="207"/>
      <c r="K66" s="132"/>
      <c r="L66" s="206"/>
      <c r="M66" s="208"/>
      <c r="N66" s="209"/>
      <c r="O66" s="161">
        <v>1</v>
      </c>
      <c r="P66" s="152"/>
      <c r="Q66" s="162"/>
      <c r="R66" s="210"/>
      <c r="S66" s="211"/>
      <c r="T66" s="172"/>
    </row>
    <row r="67" spans="1:20" ht="24.75" customHeight="1">
      <c r="A67" s="417"/>
      <c r="B67" s="60" t="s">
        <v>79</v>
      </c>
      <c r="C67" s="158"/>
      <c r="D67" s="149"/>
      <c r="E67" s="132"/>
      <c r="F67" s="206"/>
      <c r="G67" s="207"/>
      <c r="H67" s="132"/>
      <c r="I67" s="206"/>
      <c r="J67" s="207"/>
      <c r="K67" s="132"/>
      <c r="L67" s="206"/>
      <c r="M67" s="208"/>
      <c r="N67" s="209"/>
      <c r="O67" s="161">
        <v>1</v>
      </c>
      <c r="P67" s="152"/>
      <c r="Q67" s="162"/>
      <c r="R67" s="210"/>
      <c r="S67" s="211"/>
      <c r="T67" s="172"/>
    </row>
    <row r="68" spans="1:20">
      <c r="A68" s="418"/>
      <c r="B68" s="174" t="s">
        <v>80</v>
      </c>
      <c r="C68" s="159"/>
      <c r="D68" s="123"/>
      <c r="E68" s="160">
        <v>1</v>
      </c>
      <c r="F68" s="212"/>
      <c r="G68" s="213"/>
      <c r="H68" s="214"/>
      <c r="I68" s="212"/>
      <c r="J68" s="213"/>
      <c r="K68" s="214"/>
      <c r="L68" s="212"/>
      <c r="M68" s="213"/>
      <c r="N68" s="215"/>
      <c r="O68" s="216"/>
      <c r="P68" s="217"/>
      <c r="Q68" s="214"/>
      <c r="R68" s="212"/>
      <c r="S68" s="213"/>
      <c r="T68" s="214"/>
    </row>
    <row r="69" spans="1:20">
      <c r="A69" s="419" t="s">
        <v>81</v>
      </c>
      <c r="B69" s="52" t="s">
        <v>81</v>
      </c>
      <c r="C69" s="49">
        <f>SUM(C8:C68)</f>
        <v>38</v>
      </c>
      <c r="D69" s="49">
        <f>SUM(D8:D68)</f>
        <v>3</v>
      </c>
      <c r="E69" s="45">
        <f>SUM(E8:E68)</f>
        <v>12</v>
      </c>
      <c r="F69" s="45">
        <f t="shared" ref="F69:T69" si="0">SUM(F8:F68)</f>
        <v>24</v>
      </c>
      <c r="G69" s="45">
        <f t="shared" si="0"/>
        <v>5</v>
      </c>
      <c r="H69" s="45">
        <f t="shared" si="0"/>
        <v>17</v>
      </c>
      <c r="I69" s="45">
        <f t="shared" si="0"/>
        <v>20</v>
      </c>
      <c r="J69" s="45">
        <f t="shared" si="0"/>
        <v>2</v>
      </c>
      <c r="K69" s="45">
        <f t="shared" si="0"/>
        <v>20</v>
      </c>
      <c r="L69" s="45">
        <f t="shared" si="0"/>
        <v>24</v>
      </c>
      <c r="M69" s="45">
        <f t="shared" si="0"/>
        <v>4</v>
      </c>
      <c r="N69" s="45">
        <f t="shared" si="0"/>
        <v>17</v>
      </c>
      <c r="O69" s="45">
        <f t="shared" si="0"/>
        <v>27</v>
      </c>
      <c r="P69" s="45">
        <f t="shared" si="0"/>
        <v>3</v>
      </c>
      <c r="Q69" s="45">
        <f t="shared" si="0"/>
        <v>16</v>
      </c>
      <c r="R69" s="45">
        <f t="shared" si="0"/>
        <v>7</v>
      </c>
      <c r="S69" s="45">
        <f t="shared" si="0"/>
        <v>1</v>
      </c>
      <c r="T69" s="45">
        <f t="shared" si="0"/>
        <v>36</v>
      </c>
    </row>
    <row r="70" spans="1:20">
      <c r="A70" s="420"/>
      <c r="B70" s="53" t="s">
        <v>82</v>
      </c>
      <c r="C70" s="424"/>
      <c r="D70" s="425"/>
      <c r="E70" s="426"/>
      <c r="F70" s="424"/>
      <c r="G70" s="425"/>
      <c r="H70" s="426"/>
      <c r="I70" s="424"/>
      <c r="J70" s="425"/>
      <c r="K70" s="426"/>
      <c r="L70" s="424"/>
      <c r="M70" s="425"/>
      <c r="N70" s="426"/>
      <c r="O70" s="424"/>
      <c r="P70" s="425"/>
      <c r="Q70" s="426"/>
      <c r="R70" s="424"/>
      <c r="S70" s="425"/>
      <c r="T70" s="426"/>
    </row>
    <row r="71" spans="1:20" ht="50.45" customHeight="1">
      <c r="A71" s="367" t="s">
        <v>105</v>
      </c>
      <c r="B71" s="338"/>
      <c r="C71" s="338"/>
      <c r="D71" s="338"/>
      <c r="E71" s="338"/>
      <c r="F71" s="338"/>
      <c r="G71" s="338"/>
      <c r="H71" s="338"/>
      <c r="I71" s="338"/>
      <c r="J71" s="338"/>
      <c r="K71" s="338"/>
      <c r="L71" s="338"/>
      <c r="M71" s="338"/>
      <c r="N71" s="338"/>
      <c r="O71" s="413"/>
      <c r="P71" s="413"/>
      <c r="Q71" s="413"/>
      <c r="R71" s="338"/>
      <c r="S71" s="338"/>
      <c r="T71" s="339"/>
    </row>
    <row r="72" spans="1:20">
      <c r="A72" s="37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</row>
    <row r="73" spans="1:20" ht="15.6">
      <c r="A73" s="55" t="s">
        <v>106</v>
      </c>
      <c r="B73" s="67" t="s">
        <v>107</v>
      </c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114"/>
    </row>
    <row r="74" spans="1:20">
      <c r="A74" s="430" t="s">
        <v>108</v>
      </c>
      <c r="B74" s="431"/>
      <c r="C74" s="431"/>
      <c r="D74" s="431"/>
      <c r="E74" s="431"/>
      <c r="F74" s="431"/>
      <c r="G74" s="431"/>
      <c r="H74" s="431"/>
      <c r="I74" s="431"/>
      <c r="J74" s="431"/>
      <c r="K74" s="431"/>
      <c r="L74" s="431"/>
      <c r="M74" s="431"/>
      <c r="N74" s="431"/>
      <c r="O74" s="431"/>
      <c r="P74" s="431"/>
      <c r="Q74" s="431"/>
      <c r="R74" s="431"/>
      <c r="S74" s="431"/>
      <c r="T74" s="121"/>
    </row>
    <row r="75" spans="1:20">
      <c r="A75" s="5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115"/>
    </row>
    <row r="76" spans="1:20">
      <c r="A76" s="5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115"/>
    </row>
    <row r="77" spans="1:20">
      <c r="A77" s="5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115"/>
    </row>
    <row r="78" spans="1:20">
      <c r="A78" s="5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115"/>
    </row>
    <row r="79" spans="1:20">
      <c r="A79" s="5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115"/>
    </row>
    <row r="80" spans="1:20">
      <c r="A80" s="5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115"/>
    </row>
    <row r="81" spans="1:20">
      <c r="A81" s="5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115"/>
    </row>
    <row r="82" spans="1:20">
      <c r="A82" s="5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115"/>
    </row>
    <row r="83" spans="1:20">
      <c r="A83" s="5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115"/>
    </row>
    <row r="84" spans="1:20">
      <c r="A84" s="5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115"/>
    </row>
    <row r="85" spans="1:20">
      <c r="A85" s="5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115"/>
    </row>
    <row r="86" spans="1:20">
      <c r="A86" s="5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116"/>
      <c r="T86" s="115"/>
    </row>
    <row r="87" spans="1:20">
      <c r="A87" s="5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115"/>
    </row>
    <row r="88" spans="1:20">
      <c r="A88" s="5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115"/>
    </row>
    <row r="89" spans="1:20">
      <c r="A89" s="5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115"/>
    </row>
    <row r="90" spans="1:20">
      <c r="A90" s="5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115"/>
    </row>
    <row r="91" spans="1:20">
      <c r="A91" s="5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115"/>
    </row>
    <row r="92" spans="1:20">
      <c r="A92" s="5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117"/>
      <c r="T92" s="115"/>
    </row>
    <row r="93" spans="1:20">
      <c r="A93" s="5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115"/>
    </row>
    <row r="94" spans="1:20">
      <c r="A94" s="5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115"/>
    </row>
    <row r="95" spans="1:20">
      <c r="A95" s="5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115"/>
    </row>
    <row r="96" spans="1:20">
      <c r="A96" s="5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115"/>
    </row>
    <row r="97" spans="1:20">
      <c r="A97" s="5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115"/>
    </row>
    <row r="98" spans="1:20">
      <c r="A98" s="5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115"/>
    </row>
    <row r="99" spans="1:20">
      <c r="A99" s="5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115"/>
    </row>
    <row r="100" spans="1:20">
      <c r="A100" s="5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115"/>
    </row>
    <row r="101" spans="1:20">
      <c r="A101" s="5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115"/>
    </row>
    <row r="102" spans="1:20">
      <c r="A102" s="5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115"/>
    </row>
    <row r="103" spans="1:20">
      <c r="A103" s="5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115"/>
    </row>
    <row r="104" spans="1:20">
      <c r="A104" s="5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115"/>
    </row>
    <row r="105" spans="1:20">
      <c r="A105" s="5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115"/>
    </row>
    <row r="106" spans="1:20">
      <c r="A106" s="5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115"/>
    </row>
    <row r="107" spans="1:20">
      <c r="A107" s="5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115"/>
    </row>
    <row r="108" spans="1:20">
      <c r="A108" s="56" t="s">
        <v>85</v>
      </c>
      <c r="B108" s="46"/>
      <c r="C108" s="428" t="s">
        <v>109</v>
      </c>
      <c r="D108" s="428"/>
      <c r="E108" s="428"/>
      <c r="F108" s="428"/>
      <c r="G108" s="428"/>
      <c r="H108" s="428"/>
      <c r="I108" s="428"/>
      <c r="J108" s="428"/>
      <c r="K108" s="428"/>
      <c r="L108" s="428"/>
      <c r="M108" s="428"/>
      <c r="N108" s="428"/>
      <c r="O108" s="428"/>
      <c r="P108" s="428"/>
      <c r="Q108" s="428"/>
      <c r="R108" s="428"/>
      <c r="S108" s="428"/>
      <c r="T108" s="115"/>
    </row>
    <row r="109" spans="1:20">
      <c r="A109" s="429" t="s">
        <v>110</v>
      </c>
      <c r="B109" s="428"/>
      <c r="C109" s="428"/>
      <c r="D109" s="428"/>
      <c r="E109" s="428"/>
      <c r="F109" s="428"/>
      <c r="G109" s="428"/>
      <c r="H109" s="428"/>
      <c r="I109" s="428"/>
      <c r="J109" s="428"/>
      <c r="K109" s="428"/>
      <c r="L109" s="428"/>
      <c r="M109" s="428"/>
      <c r="N109" s="428"/>
      <c r="O109" s="428"/>
      <c r="P109" s="428"/>
      <c r="Q109" s="428"/>
      <c r="R109" s="428"/>
      <c r="S109" s="428"/>
      <c r="T109" s="115"/>
    </row>
    <row r="110" spans="1:20">
      <c r="A110" s="5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115"/>
    </row>
    <row r="111" spans="1:20">
      <c r="A111" s="5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115"/>
    </row>
    <row r="112" spans="1:20">
      <c r="A112" s="5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117"/>
      <c r="T112" s="115"/>
    </row>
    <row r="113" spans="1:20">
      <c r="A113" s="5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115"/>
    </row>
    <row r="114" spans="1:20">
      <c r="A114" s="5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115"/>
    </row>
    <row r="115" spans="1:20">
      <c r="A115" s="5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115"/>
    </row>
    <row r="116" spans="1:20">
      <c r="A116" s="5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115"/>
    </row>
    <row r="117" spans="1:20">
      <c r="A117" s="5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115"/>
    </row>
    <row r="118" spans="1:20">
      <c r="A118" s="5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115"/>
    </row>
    <row r="119" spans="1:20">
      <c r="A119" s="5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117"/>
      <c r="T119" s="115"/>
    </row>
    <row r="120" spans="1:20">
      <c r="A120" s="5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115"/>
    </row>
    <row r="121" spans="1:20">
      <c r="A121" s="5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115"/>
    </row>
    <row r="122" spans="1:20">
      <c r="A122" s="5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116"/>
      <c r="P122" s="116"/>
      <c r="Q122" s="116"/>
      <c r="S122" s="46"/>
      <c r="T122" s="115"/>
    </row>
    <row r="123" spans="1:20">
      <c r="A123" s="56" t="s">
        <v>86</v>
      </c>
      <c r="B123" s="46"/>
      <c r="C123" s="46"/>
      <c r="D123" s="46"/>
      <c r="E123" s="432" t="s">
        <v>111</v>
      </c>
      <c r="F123" s="432"/>
      <c r="G123" s="432"/>
      <c r="H123" s="432"/>
      <c r="I123" s="432"/>
      <c r="J123" s="432"/>
      <c r="K123" s="432"/>
      <c r="L123" s="432"/>
      <c r="M123" s="432"/>
      <c r="N123" s="432"/>
      <c r="O123" s="432"/>
      <c r="P123" s="432"/>
      <c r="Q123" s="432"/>
      <c r="R123" s="432"/>
      <c r="S123" s="432"/>
      <c r="T123" s="115"/>
    </row>
    <row r="124" spans="1:20">
      <c r="A124" s="427" t="s">
        <v>112</v>
      </c>
      <c r="B124" s="428"/>
      <c r="C124" s="428"/>
      <c r="D124" s="428"/>
      <c r="E124" s="428"/>
      <c r="F124" s="428"/>
      <c r="G124" s="428"/>
      <c r="H124" s="428"/>
      <c r="I124" s="428"/>
      <c r="J124" s="428"/>
      <c r="K124" s="428"/>
      <c r="L124" s="428"/>
      <c r="M124" s="428"/>
      <c r="N124" s="428"/>
      <c r="O124" s="428"/>
      <c r="P124" s="428"/>
      <c r="Q124" s="428"/>
      <c r="R124" s="428"/>
      <c r="S124" s="428"/>
      <c r="T124" s="115"/>
    </row>
    <row r="125" spans="1:20">
      <c r="A125" s="5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115"/>
    </row>
    <row r="126" spans="1:20">
      <c r="A126" s="5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117"/>
      <c r="T126" s="115"/>
    </row>
    <row r="127" spans="1:20">
      <c r="A127" s="5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115"/>
    </row>
    <row r="128" spans="1:20">
      <c r="A128" s="57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118"/>
      <c r="T128" s="122"/>
    </row>
    <row r="129" spans="1:20">
      <c r="A129" s="68"/>
      <c r="B129" s="67"/>
      <c r="C129" s="67"/>
      <c r="D129" s="67"/>
      <c r="E129" s="67"/>
      <c r="F129" s="67"/>
      <c r="G129" s="67"/>
      <c r="H129" s="67"/>
      <c r="I129" s="414"/>
      <c r="J129" s="414"/>
      <c r="K129" s="414"/>
      <c r="L129" s="414"/>
      <c r="M129" s="414"/>
      <c r="N129" s="414"/>
      <c r="O129" s="414"/>
      <c r="P129" s="414"/>
      <c r="Q129" s="414"/>
      <c r="R129" s="414"/>
      <c r="S129" s="414"/>
      <c r="T129" s="415"/>
    </row>
    <row r="130" spans="1:20" ht="15.75" customHeight="1">
      <c r="A130" s="433" t="s">
        <v>87</v>
      </c>
      <c r="B130" s="434"/>
      <c r="C130" s="434"/>
      <c r="D130" s="434"/>
      <c r="E130" s="434"/>
      <c r="F130" s="434"/>
      <c r="G130" s="434"/>
      <c r="H130" s="434"/>
      <c r="I130" s="434"/>
      <c r="J130" s="434"/>
      <c r="K130" s="434"/>
      <c r="L130" s="434"/>
      <c r="M130" s="434"/>
      <c r="N130" s="434"/>
      <c r="O130" s="434"/>
      <c r="P130" s="434"/>
      <c r="Q130" s="434"/>
      <c r="R130" s="434"/>
      <c r="S130" s="434"/>
      <c r="T130" s="435"/>
    </row>
    <row r="131" spans="1:20" ht="20.45">
      <c r="A131" s="119" t="s">
        <v>88</v>
      </c>
      <c r="B131" s="382">
        <f>SUM(C69+D69+F69+G69+I69+J69+L69+M69+O69+P69+R69+S69)</f>
        <v>158</v>
      </c>
      <c r="C131" s="383"/>
      <c r="D131" s="383"/>
      <c r="E131" s="384"/>
      <c r="F131" s="385">
        <v>1</v>
      </c>
      <c r="G131" s="386"/>
      <c r="H131" s="120" t="s">
        <v>89</v>
      </c>
      <c r="I131" s="1"/>
      <c r="J131" s="218">
        <v>0.89</v>
      </c>
      <c r="K131" s="401" t="s">
        <v>90</v>
      </c>
      <c r="L131" s="402"/>
      <c r="M131" s="402"/>
      <c r="N131" s="402"/>
      <c r="O131" s="402"/>
      <c r="P131" s="402"/>
      <c r="Q131" s="402"/>
      <c r="R131" s="402"/>
      <c r="S131" s="402"/>
      <c r="T131" s="403"/>
    </row>
    <row r="132" spans="1:20">
      <c r="A132" s="387" t="s">
        <v>91</v>
      </c>
      <c r="B132" s="372">
        <f>SUM(C69+F69+I69+L69+O69+R69)</f>
        <v>140</v>
      </c>
      <c r="C132" s="373"/>
      <c r="D132" s="373"/>
      <c r="E132" s="374"/>
      <c r="F132" s="391">
        <f>B132/B131</f>
        <v>0.88607594936708856</v>
      </c>
      <c r="G132" s="392"/>
      <c r="H132" s="38" t="s">
        <v>92</v>
      </c>
      <c r="I132" s="39"/>
      <c r="J132" s="410">
        <f>B131-B136</f>
        <v>40</v>
      </c>
      <c r="K132" s="404"/>
      <c r="L132" s="405"/>
      <c r="M132" s="405"/>
      <c r="N132" s="405"/>
      <c r="O132" s="405"/>
      <c r="P132" s="405"/>
      <c r="Q132" s="405"/>
      <c r="R132" s="405"/>
      <c r="S132" s="405"/>
      <c r="T132" s="406"/>
    </row>
    <row r="133" spans="1:20">
      <c r="A133" s="387"/>
      <c r="B133" s="388"/>
      <c r="C133" s="389"/>
      <c r="D133" s="389"/>
      <c r="E133" s="390"/>
      <c r="F133" s="393"/>
      <c r="G133" s="394"/>
      <c r="H133" s="40" t="s">
        <v>93</v>
      </c>
      <c r="I133" s="39"/>
      <c r="J133" s="410"/>
      <c r="K133" s="404"/>
      <c r="L133" s="405"/>
      <c r="M133" s="405"/>
      <c r="N133" s="405"/>
      <c r="O133" s="405"/>
      <c r="P133" s="405"/>
      <c r="Q133" s="405"/>
      <c r="R133" s="405"/>
      <c r="S133" s="405"/>
      <c r="T133" s="406"/>
    </row>
    <row r="134" spans="1:20">
      <c r="A134" s="387" t="s">
        <v>94</v>
      </c>
      <c r="B134" s="372">
        <f>SUM(D69+G69+J69+M69+P69+S69)</f>
        <v>18</v>
      </c>
      <c r="C134" s="373"/>
      <c r="D134" s="373"/>
      <c r="E134" s="374"/>
      <c r="F134" s="391">
        <f>B134/B131</f>
        <v>0.11392405063291139</v>
      </c>
      <c r="G134" s="392"/>
      <c r="H134" s="41"/>
      <c r="I134" s="1"/>
      <c r="J134" s="1"/>
      <c r="K134" s="404"/>
      <c r="L134" s="405"/>
      <c r="M134" s="405"/>
      <c r="N134" s="405"/>
      <c r="O134" s="405"/>
      <c r="P134" s="405"/>
      <c r="Q134" s="405"/>
      <c r="R134" s="405"/>
      <c r="S134" s="405"/>
      <c r="T134" s="406"/>
    </row>
    <row r="135" spans="1:20">
      <c r="A135" s="387"/>
      <c r="B135" s="388"/>
      <c r="C135" s="389"/>
      <c r="D135" s="389"/>
      <c r="E135" s="390"/>
      <c r="F135" s="393"/>
      <c r="G135" s="394"/>
      <c r="H135" s="41"/>
      <c r="I135" s="1"/>
      <c r="J135" s="1"/>
      <c r="K135" s="404"/>
      <c r="L135" s="405"/>
      <c r="M135" s="405"/>
      <c r="N135" s="405"/>
      <c r="O135" s="405"/>
      <c r="P135" s="405"/>
      <c r="Q135" s="405"/>
      <c r="R135" s="405"/>
      <c r="S135" s="405"/>
      <c r="T135" s="406"/>
    </row>
    <row r="136" spans="1:20">
      <c r="A136" s="370" t="s">
        <v>95</v>
      </c>
      <c r="B136" s="372">
        <f>SUM(E69+H69+K69+N69+Q69+T69)</f>
        <v>118</v>
      </c>
      <c r="C136" s="373"/>
      <c r="D136" s="373"/>
      <c r="E136" s="374"/>
      <c r="F136" s="378"/>
      <c r="G136" s="379"/>
      <c r="H136" s="41"/>
      <c r="I136" s="1"/>
      <c r="J136" s="1"/>
      <c r="K136" s="404"/>
      <c r="L136" s="405"/>
      <c r="M136" s="405"/>
      <c r="N136" s="405"/>
      <c r="O136" s="405"/>
      <c r="P136" s="405"/>
      <c r="Q136" s="405"/>
      <c r="R136" s="405"/>
      <c r="S136" s="405"/>
      <c r="T136" s="406"/>
    </row>
    <row r="137" spans="1:20">
      <c r="A137" s="371" t="s">
        <v>95</v>
      </c>
      <c r="B137" s="375"/>
      <c r="C137" s="376"/>
      <c r="D137" s="376"/>
      <c r="E137" s="377"/>
      <c r="F137" s="380"/>
      <c r="G137" s="381"/>
      <c r="H137" s="54"/>
      <c r="I137" s="51"/>
      <c r="J137" s="1"/>
      <c r="K137" s="407"/>
      <c r="L137" s="408"/>
      <c r="M137" s="408"/>
      <c r="N137" s="408"/>
      <c r="O137" s="408"/>
      <c r="P137" s="408"/>
      <c r="Q137" s="408"/>
      <c r="R137" s="408"/>
      <c r="S137" s="408"/>
      <c r="T137" s="409"/>
    </row>
    <row r="138" spans="1:20">
      <c r="A138" s="65" t="s">
        <v>96</v>
      </c>
      <c r="B138" s="66"/>
      <c r="C138" s="66"/>
      <c r="D138" s="66"/>
      <c r="E138" s="67"/>
      <c r="F138" s="67"/>
      <c r="G138" s="67"/>
      <c r="H138" s="67"/>
      <c r="I138" s="67"/>
      <c r="J138" s="395" t="s">
        <v>97</v>
      </c>
      <c r="K138" s="396"/>
      <c r="L138" s="396"/>
      <c r="M138" s="396"/>
      <c r="N138" s="396"/>
      <c r="O138" s="396"/>
      <c r="P138" s="396"/>
      <c r="Q138" s="396"/>
      <c r="R138" s="396"/>
      <c r="S138" s="396"/>
      <c r="T138" s="397"/>
    </row>
    <row r="139" spans="1:20">
      <c r="A139" s="69" t="s">
        <v>98</v>
      </c>
      <c r="B139" s="70"/>
      <c r="C139" s="70"/>
      <c r="D139" s="70"/>
      <c r="E139" s="58"/>
      <c r="F139" s="58"/>
      <c r="G139" s="58"/>
      <c r="H139" s="58"/>
      <c r="I139" s="58"/>
      <c r="J139" s="398" t="s">
        <v>99</v>
      </c>
      <c r="K139" s="399"/>
      <c r="L139" s="399"/>
      <c r="M139" s="399"/>
      <c r="N139" s="399"/>
      <c r="O139" s="399"/>
      <c r="P139" s="399"/>
      <c r="Q139" s="399"/>
      <c r="R139" s="399"/>
      <c r="S139" s="399"/>
      <c r="T139" s="400"/>
    </row>
    <row r="140" spans="1:20" ht="49.9" customHeight="1">
      <c r="A140" s="367" t="s">
        <v>100</v>
      </c>
      <c r="B140" s="368"/>
      <c r="C140" s="368"/>
      <c r="D140" s="368"/>
      <c r="E140" s="368"/>
      <c r="F140" s="368"/>
      <c r="G140" s="368"/>
      <c r="H140" s="368"/>
      <c r="I140" s="368"/>
      <c r="J140" s="368"/>
      <c r="K140" s="368"/>
      <c r="L140" s="368"/>
      <c r="M140" s="368"/>
      <c r="N140" s="368"/>
      <c r="O140" s="368"/>
      <c r="P140" s="368"/>
      <c r="Q140" s="368"/>
      <c r="R140" s="368"/>
      <c r="S140" s="368"/>
      <c r="T140" s="369"/>
    </row>
    <row r="141" spans="1:20">
      <c r="A141" t="s">
        <v>101</v>
      </c>
    </row>
  </sheetData>
  <mergeCells count="59">
    <mergeCell ref="J138:T138"/>
    <mergeCell ref="J139:T139"/>
    <mergeCell ref="A140:T140"/>
    <mergeCell ref="A134:A135"/>
    <mergeCell ref="B134:E135"/>
    <mergeCell ref="F134:G135"/>
    <mergeCell ref="A136:A137"/>
    <mergeCell ref="B136:E137"/>
    <mergeCell ref="F136:G137"/>
    <mergeCell ref="A124:S124"/>
    <mergeCell ref="I129:T129"/>
    <mergeCell ref="A130:T130"/>
    <mergeCell ref="B131:E131"/>
    <mergeCell ref="F131:G131"/>
    <mergeCell ref="K131:T137"/>
    <mergeCell ref="A132:A133"/>
    <mergeCell ref="B132:E133"/>
    <mergeCell ref="F132:G133"/>
    <mergeCell ref="J132:J133"/>
    <mergeCell ref="E123:S123"/>
    <mergeCell ref="A69:A70"/>
    <mergeCell ref="C70:E70"/>
    <mergeCell ref="F70:H70"/>
    <mergeCell ref="I70:K70"/>
    <mergeCell ref="L70:N70"/>
    <mergeCell ref="O70:Q70"/>
    <mergeCell ref="R70:T70"/>
    <mergeCell ref="A71:T71"/>
    <mergeCell ref="A74:S74"/>
    <mergeCell ref="C108:S108"/>
    <mergeCell ref="A109:S109"/>
    <mergeCell ref="A49:A68"/>
    <mergeCell ref="F6:G6"/>
    <mergeCell ref="H6:H7"/>
    <mergeCell ref="I6:J6"/>
    <mergeCell ref="K6:K7"/>
    <mergeCell ref="A8:A48"/>
    <mergeCell ref="I4:T4"/>
    <mergeCell ref="A5:B7"/>
    <mergeCell ref="C5:E5"/>
    <mergeCell ref="F5:H5"/>
    <mergeCell ref="I5:K5"/>
    <mergeCell ref="L5:N5"/>
    <mergeCell ref="O5:Q5"/>
    <mergeCell ref="R5:T5"/>
    <mergeCell ref="C6:D6"/>
    <mergeCell ref="E6:E7"/>
    <mergeCell ref="O6:P6"/>
    <mergeCell ref="Q6:Q7"/>
    <mergeCell ref="R6:S6"/>
    <mergeCell ref="T6:T7"/>
    <mergeCell ref="L6:M6"/>
    <mergeCell ref="N6:N7"/>
    <mergeCell ref="A1:B3"/>
    <mergeCell ref="C1:T1"/>
    <mergeCell ref="C2:T2"/>
    <mergeCell ref="C3:H3"/>
    <mergeCell ref="I3:M3"/>
    <mergeCell ref="R3:T3"/>
  </mergeCells>
  <printOptions horizontalCentered="1" verticalCentered="1"/>
  <pageMargins left="0" right="0" top="0" bottom="0" header="0.31496062992125984" footer="0.31496062992125984"/>
  <pageSetup paperSize="281" scale="65" fitToHeight="0" orientation="portrait" r:id="rId1"/>
  <rowBreaks count="1" manualBreakCount="1">
    <brk id="71" max="1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1B216-7327-4AAF-BD6F-C2D252F035FF}">
  <dimension ref="A1:T141"/>
  <sheetViews>
    <sheetView view="pageBreakPreview" topLeftCell="A66" zoomScale="57" zoomScaleNormal="96" zoomScaleSheetLayoutView="57" workbookViewId="0">
      <selection activeCell="A71" sqref="A71:T71"/>
    </sheetView>
  </sheetViews>
  <sheetFormatPr defaultColWidth="11.42578125" defaultRowHeight="14.45"/>
  <cols>
    <col min="1" max="1" width="18.42578125" customWidth="1"/>
    <col min="2" max="2" width="17.140625" customWidth="1"/>
    <col min="3" max="20" width="5.7109375" customWidth="1"/>
  </cols>
  <sheetData>
    <row r="1" spans="1:20" ht="15.6">
      <c r="A1" s="328"/>
      <c r="B1" s="329"/>
      <c r="C1" s="334" t="s">
        <v>0</v>
      </c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6"/>
    </row>
    <row r="2" spans="1:20" ht="15.6">
      <c r="A2" s="330"/>
      <c r="B2" s="331"/>
      <c r="C2" s="334" t="s">
        <v>1</v>
      </c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  <c r="S2" s="335"/>
      <c r="T2" s="336"/>
    </row>
    <row r="3" spans="1:20" ht="15.6">
      <c r="A3" s="332"/>
      <c r="B3" s="333"/>
      <c r="C3" s="337" t="s">
        <v>2</v>
      </c>
      <c r="D3" s="338"/>
      <c r="E3" s="338"/>
      <c r="F3" s="338"/>
      <c r="G3" s="338"/>
      <c r="H3" s="339"/>
      <c r="I3" s="337" t="s">
        <v>3</v>
      </c>
      <c r="J3" s="338"/>
      <c r="K3" s="338"/>
      <c r="L3" s="338"/>
      <c r="M3" s="339"/>
      <c r="N3" s="64"/>
      <c r="O3" s="64"/>
      <c r="P3" s="64"/>
      <c r="Q3" s="64"/>
      <c r="R3" s="340" t="s">
        <v>4</v>
      </c>
      <c r="S3" s="338"/>
      <c r="T3" s="339"/>
    </row>
    <row r="4" spans="1:20">
      <c r="A4" s="2"/>
      <c r="B4" s="62" t="s">
        <v>5</v>
      </c>
      <c r="C4" s="63"/>
      <c r="D4" s="63"/>
      <c r="E4" s="63"/>
      <c r="F4" s="63"/>
      <c r="G4" s="63"/>
      <c r="H4" s="63"/>
      <c r="I4" s="341" t="s">
        <v>6</v>
      </c>
      <c r="J4" s="341"/>
      <c r="K4" s="341"/>
      <c r="L4" s="341"/>
      <c r="M4" s="341"/>
      <c r="N4" s="341"/>
      <c r="O4" s="341"/>
      <c r="P4" s="341"/>
      <c r="Q4" s="341"/>
      <c r="R4" s="341"/>
      <c r="S4" s="341"/>
      <c r="T4" s="341"/>
    </row>
    <row r="5" spans="1:20" ht="29.25" customHeight="1">
      <c r="A5" s="342" t="s">
        <v>7</v>
      </c>
      <c r="B5" s="343"/>
      <c r="C5" s="348" t="s">
        <v>8</v>
      </c>
      <c r="D5" s="349"/>
      <c r="E5" s="350"/>
      <c r="F5" s="351" t="s">
        <v>9</v>
      </c>
      <c r="G5" s="349"/>
      <c r="H5" s="349"/>
      <c r="I5" s="349" t="s">
        <v>10</v>
      </c>
      <c r="J5" s="349"/>
      <c r="K5" s="349"/>
      <c r="L5" s="349" t="s">
        <v>11</v>
      </c>
      <c r="M5" s="349"/>
      <c r="N5" s="352"/>
      <c r="O5" s="353" t="s">
        <v>12</v>
      </c>
      <c r="P5" s="354"/>
      <c r="Q5" s="355"/>
      <c r="R5" s="353" t="s">
        <v>13</v>
      </c>
      <c r="S5" s="354"/>
      <c r="T5" s="355"/>
    </row>
    <row r="6" spans="1:20">
      <c r="A6" s="344"/>
      <c r="B6" s="345"/>
      <c r="C6" s="356" t="s">
        <v>14</v>
      </c>
      <c r="D6" s="357"/>
      <c r="E6" s="358" t="s">
        <v>15</v>
      </c>
      <c r="F6" s="357" t="s">
        <v>14</v>
      </c>
      <c r="G6" s="357"/>
      <c r="H6" s="360" t="s">
        <v>15</v>
      </c>
      <c r="I6" s="357" t="s">
        <v>14</v>
      </c>
      <c r="J6" s="357"/>
      <c r="K6" s="360" t="s">
        <v>15</v>
      </c>
      <c r="L6" s="357" t="s">
        <v>14</v>
      </c>
      <c r="M6" s="362"/>
      <c r="N6" s="363" t="s">
        <v>15</v>
      </c>
      <c r="O6" s="365" t="s">
        <v>14</v>
      </c>
      <c r="P6" s="366"/>
      <c r="Q6" s="363" t="s">
        <v>15</v>
      </c>
      <c r="R6" s="421" t="s">
        <v>14</v>
      </c>
      <c r="S6" s="357"/>
      <c r="T6" s="422" t="s">
        <v>15</v>
      </c>
    </row>
    <row r="7" spans="1:20">
      <c r="A7" s="346"/>
      <c r="B7" s="347"/>
      <c r="C7" s="3" t="s">
        <v>16</v>
      </c>
      <c r="D7" s="4" t="s">
        <v>17</v>
      </c>
      <c r="E7" s="359"/>
      <c r="F7" s="4" t="s">
        <v>16</v>
      </c>
      <c r="G7" s="4" t="s">
        <v>17</v>
      </c>
      <c r="H7" s="361"/>
      <c r="I7" s="4" t="s">
        <v>16</v>
      </c>
      <c r="J7" s="4" t="s">
        <v>17</v>
      </c>
      <c r="K7" s="361"/>
      <c r="L7" s="4" t="s">
        <v>16</v>
      </c>
      <c r="M7" s="141" t="s">
        <v>17</v>
      </c>
      <c r="N7" s="364"/>
      <c r="O7" s="153" t="s">
        <v>16</v>
      </c>
      <c r="P7" s="154" t="s">
        <v>17</v>
      </c>
      <c r="Q7" s="411"/>
      <c r="R7" s="142" t="s">
        <v>16</v>
      </c>
      <c r="S7" s="4" t="s">
        <v>17</v>
      </c>
      <c r="T7" s="423"/>
    </row>
    <row r="8" spans="1:20" ht="22.9">
      <c r="A8" s="416" t="s">
        <v>18</v>
      </c>
      <c r="B8" s="59" t="s">
        <v>19</v>
      </c>
      <c r="C8" s="5">
        <v>1</v>
      </c>
      <c r="D8" s="6"/>
      <c r="E8" s="7"/>
      <c r="F8" s="92">
        <v>1</v>
      </c>
      <c r="G8" s="6"/>
      <c r="H8" s="7"/>
      <c r="I8" s="8">
        <v>1</v>
      </c>
      <c r="J8" s="93"/>
      <c r="K8" s="43"/>
      <c r="L8" s="42">
        <v>1</v>
      </c>
      <c r="M8" s="9"/>
      <c r="N8" s="143"/>
      <c r="O8" s="155">
        <v>1</v>
      </c>
      <c r="P8" s="156"/>
      <c r="Q8" s="7"/>
      <c r="R8" s="8"/>
      <c r="S8" s="9"/>
      <c r="T8" s="71">
        <v>1</v>
      </c>
    </row>
    <row r="9" spans="1:20" ht="22.9">
      <c r="A9" s="417"/>
      <c r="B9" s="60" t="s">
        <v>20</v>
      </c>
      <c r="C9" s="76">
        <v>1</v>
      </c>
      <c r="D9" s="77"/>
      <c r="E9" s="43"/>
      <c r="F9" s="10"/>
      <c r="G9" s="11">
        <v>1</v>
      </c>
      <c r="H9" s="48"/>
      <c r="I9" s="12"/>
      <c r="J9" s="47">
        <v>1</v>
      </c>
      <c r="K9" s="48"/>
      <c r="L9" s="72">
        <v>1</v>
      </c>
      <c r="M9" s="11"/>
      <c r="N9" s="144"/>
      <c r="O9" s="91">
        <v>1</v>
      </c>
      <c r="P9" s="136"/>
      <c r="Q9" s="48"/>
      <c r="R9" s="12">
        <v>1</v>
      </c>
      <c r="S9" s="11"/>
      <c r="T9" s="71"/>
    </row>
    <row r="10" spans="1:20">
      <c r="A10" s="417"/>
      <c r="B10" s="60" t="s">
        <v>21</v>
      </c>
      <c r="C10" s="78">
        <v>1</v>
      </c>
      <c r="D10" s="74"/>
      <c r="E10" s="43"/>
      <c r="F10" s="10">
        <v>1</v>
      </c>
      <c r="G10" s="11"/>
      <c r="H10" s="48"/>
      <c r="I10" s="12">
        <v>1</v>
      </c>
      <c r="J10" s="47"/>
      <c r="K10" s="48"/>
      <c r="L10" s="72">
        <v>1</v>
      </c>
      <c r="M10" s="11"/>
      <c r="N10" s="144"/>
      <c r="O10" s="91">
        <v>1</v>
      </c>
      <c r="P10" s="136"/>
      <c r="Q10" s="48"/>
      <c r="R10" s="12">
        <v>1</v>
      </c>
      <c r="S10" s="11"/>
      <c r="T10" s="71"/>
    </row>
    <row r="11" spans="1:20">
      <c r="A11" s="417"/>
      <c r="B11" s="60" t="s">
        <v>22</v>
      </c>
      <c r="C11" s="124"/>
      <c r="D11" s="125"/>
      <c r="E11" s="126">
        <v>1</v>
      </c>
      <c r="F11" s="14">
        <v>1</v>
      </c>
      <c r="G11" s="13"/>
      <c r="H11" s="15"/>
      <c r="I11" s="12">
        <v>1</v>
      </c>
      <c r="J11" s="47"/>
      <c r="K11" s="48"/>
      <c r="L11" s="73">
        <v>1</v>
      </c>
      <c r="M11" s="13"/>
      <c r="N11" s="144"/>
      <c r="O11" s="91">
        <v>1</v>
      </c>
      <c r="P11" s="136"/>
      <c r="Q11" s="48"/>
      <c r="R11" s="12">
        <v>1</v>
      </c>
      <c r="S11" s="11"/>
      <c r="T11" s="71"/>
    </row>
    <row r="12" spans="1:20">
      <c r="A12" s="417"/>
      <c r="B12" s="60" t="s">
        <v>23</v>
      </c>
      <c r="C12" s="17">
        <v>1</v>
      </c>
      <c r="D12" s="18"/>
      <c r="E12" s="43"/>
      <c r="F12" s="19">
        <v>1</v>
      </c>
      <c r="G12" s="20"/>
      <c r="H12" s="48"/>
      <c r="I12" s="12">
        <v>1</v>
      </c>
      <c r="J12" s="47"/>
      <c r="K12" s="48"/>
      <c r="L12" s="73"/>
      <c r="M12" s="13"/>
      <c r="N12" s="144">
        <v>1</v>
      </c>
      <c r="O12" s="91">
        <v>1</v>
      </c>
      <c r="P12" s="136"/>
      <c r="Q12" s="48"/>
      <c r="R12" s="12">
        <v>1</v>
      </c>
      <c r="S12" s="11"/>
      <c r="T12" s="71"/>
    </row>
    <row r="13" spans="1:20" ht="42" customHeight="1">
      <c r="A13" s="417"/>
      <c r="B13" s="60" t="s">
        <v>24</v>
      </c>
      <c r="C13" s="76">
        <v>1</v>
      </c>
      <c r="D13" s="77"/>
      <c r="E13" s="43"/>
      <c r="F13" s="19">
        <v>1</v>
      </c>
      <c r="G13" s="20"/>
      <c r="H13" s="48"/>
      <c r="I13" s="21"/>
      <c r="J13" s="22"/>
      <c r="K13" s="48"/>
      <c r="L13" s="19">
        <v>1</v>
      </c>
      <c r="M13" s="20"/>
      <c r="N13" s="144"/>
      <c r="O13" s="91">
        <v>1</v>
      </c>
      <c r="P13" s="136"/>
      <c r="Q13" s="48"/>
      <c r="R13" s="23"/>
      <c r="S13" s="24"/>
      <c r="T13" s="71">
        <v>1</v>
      </c>
    </row>
    <row r="14" spans="1:20">
      <c r="A14" s="417"/>
      <c r="B14" s="60" t="s">
        <v>25</v>
      </c>
      <c r="C14" s="76">
        <v>1</v>
      </c>
      <c r="D14" s="77"/>
      <c r="E14" s="79"/>
      <c r="F14" s="14"/>
      <c r="G14" s="13"/>
      <c r="H14" s="15">
        <v>1</v>
      </c>
      <c r="I14" s="94">
        <v>1</v>
      </c>
      <c r="J14" s="95"/>
      <c r="K14" s="15"/>
      <c r="L14" s="73">
        <v>1</v>
      </c>
      <c r="M14" s="13"/>
      <c r="N14" s="145"/>
      <c r="O14" s="14">
        <v>1</v>
      </c>
      <c r="P14" s="137"/>
      <c r="Q14" s="15"/>
      <c r="R14" s="96"/>
      <c r="S14" s="20"/>
      <c r="T14" s="71">
        <v>1</v>
      </c>
    </row>
    <row r="15" spans="1:20">
      <c r="A15" s="417"/>
      <c r="B15" s="60" t="s">
        <v>26</v>
      </c>
      <c r="C15" s="80">
        <v>1</v>
      </c>
      <c r="D15" s="81"/>
      <c r="E15" s="90"/>
      <c r="F15" s="14">
        <v>1</v>
      </c>
      <c r="G15" s="13"/>
      <c r="H15" s="15"/>
      <c r="I15" s="94"/>
      <c r="J15" s="95"/>
      <c r="K15" s="15">
        <v>1</v>
      </c>
      <c r="L15" s="73">
        <v>1</v>
      </c>
      <c r="M15" s="13"/>
      <c r="N15" s="145"/>
      <c r="O15" s="14">
        <v>1</v>
      </c>
      <c r="P15" s="137"/>
      <c r="Q15" s="15"/>
      <c r="R15" s="96">
        <v>1</v>
      </c>
      <c r="S15" s="20"/>
      <c r="T15" s="71"/>
    </row>
    <row r="16" spans="1:20" ht="22.9">
      <c r="A16" s="417"/>
      <c r="B16" s="60" t="s">
        <v>27</v>
      </c>
      <c r="C16" s="80">
        <v>1</v>
      </c>
      <c r="D16" s="81"/>
      <c r="E16" s="82"/>
      <c r="F16" s="26"/>
      <c r="G16" s="27"/>
      <c r="H16" s="48">
        <v>1</v>
      </c>
      <c r="I16" s="30">
        <v>1</v>
      </c>
      <c r="J16" s="31"/>
      <c r="K16" s="48"/>
      <c r="L16" s="26"/>
      <c r="M16" s="27"/>
      <c r="N16" s="144">
        <v>1</v>
      </c>
      <c r="O16" s="91"/>
      <c r="P16" s="136">
        <v>1</v>
      </c>
      <c r="Q16" s="48"/>
      <c r="R16" s="23"/>
      <c r="S16" s="24"/>
      <c r="T16" s="71">
        <v>1</v>
      </c>
    </row>
    <row r="17" spans="1:20">
      <c r="A17" s="417"/>
      <c r="B17" s="60" t="s">
        <v>28</v>
      </c>
      <c r="C17" s="80"/>
      <c r="D17" s="81"/>
      <c r="E17" s="126">
        <v>1</v>
      </c>
      <c r="F17" s="26"/>
      <c r="G17" s="27"/>
      <c r="H17" s="48">
        <v>1</v>
      </c>
      <c r="I17" s="30">
        <v>1</v>
      </c>
      <c r="J17" s="31"/>
      <c r="K17" s="48"/>
      <c r="L17" s="26"/>
      <c r="M17" s="27"/>
      <c r="N17" s="144">
        <v>1</v>
      </c>
      <c r="O17" s="91">
        <v>1</v>
      </c>
      <c r="P17" s="136"/>
      <c r="Q17" s="48"/>
      <c r="R17" s="23"/>
      <c r="S17" s="24"/>
      <c r="T17" s="71">
        <v>1</v>
      </c>
    </row>
    <row r="18" spans="1:20">
      <c r="A18" s="417"/>
      <c r="B18" s="60" t="s">
        <v>29</v>
      </c>
      <c r="C18" s="76">
        <v>1</v>
      </c>
      <c r="D18" s="77"/>
      <c r="E18" s="43"/>
      <c r="F18" s="19">
        <v>1</v>
      </c>
      <c r="G18" s="20"/>
      <c r="H18" s="16"/>
      <c r="I18" s="21"/>
      <c r="J18" s="22"/>
      <c r="K18" s="16">
        <v>1</v>
      </c>
      <c r="L18" s="19"/>
      <c r="M18" s="20"/>
      <c r="N18" s="144">
        <v>1</v>
      </c>
      <c r="O18" s="91">
        <v>1</v>
      </c>
      <c r="P18" s="136"/>
      <c r="Q18" s="48"/>
      <c r="R18" s="23"/>
      <c r="S18" s="24"/>
      <c r="T18" s="71">
        <v>1</v>
      </c>
    </row>
    <row r="19" spans="1:20">
      <c r="A19" s="417"/>
      <c r="B19" s="60" t="s">
        <v>30</v>
      </c>
      <c r="C19" s="76"/>
      <c r="D19" s="77">
        <v>1</v>
      </c>
      <c r="E19" s="43"/>
      <c r="F19" s="19"/>
      <c r="G19" s="20"/>
      <c r="H19" s="16">
        <v>1</v>
      </c>
      <c r="I19" s="97"/>
      <c r="J19" s="98">
        <v>1</v>
      </c>
      <c r="K19" s="16"/>
      <c r="L19" s="19"/>
      <c r="M19" s="20"/>
      <c r="N19" s="144">
        <v>1</v>
      </c>
      <c r="O19" s="91"/>
      <c r="P19" s="136"/>
      <c r="Q19" s="48">
        <v>1</v>
      </c>
      <c r="R19" s="23"/>
      <c r="S19" s="24"/>
      <c r="T19" s="71">
        <v>1</v>
      </c>
    </row>
    <row r="20" spans="1:20">
      <c r="A20" s="417"/>
      <c r="B20" s="60" t="s">
        <v>31</v>
      </c>
      <c r="C20" s="76">
        <v>1</v>
      </c>
      <c r="D20" s="77"/>
      <c r="E20" s="43"/>
      <c r="F20" s="19">
        <v>1</v>
      </c>
      <c r="G20" s="20"/>
      <c r="H20" s="16"/>
      <c r="I20" s="97"/>
      <c r="J20" s="98"/>
      <c r="K20" s="16">
        <v>1</v>
      </c>
      <c r="L20" s="19">
        <v>1</v>
      </c>
      <c r="M20" s="20"/>
      <c r="N20" s="144"/>
      <c r="O20" s="91"/>
      <c r="P20" s="136"/>
      <c r="Q20" s="48">
        <v>1</v>
      </c>
      <c r="R20" s="23"/>
      <c r="S20" s="24"/>
      <c r="T20" s="71">
        <v>1</v>
      </c>
    </row>
    <row r="21" spans="1:20" ht="22.9">
      <c r="A21" s="417"/>
      <c r="B21" s="60" t="s">
        <v>32</v>
      </c>
      <c r="C21" s="76"/>
      <c r="D21" s="77"/>
      <c r="E21" s="126">
        <v>1</v>
      </c>
      <c r="F21" s="19">
        <v>1</v>
      </c>
      <c r="G21" s="20"/>
      <c r="H21" s="16"/>
      <c r="I21" s="97"/>
      <c r="J21" s="98"/>
      <c r="K21" s="16">
        <v>1</v>
      </c>
      <c r="L21" s="19"/>
      <c r="M21" s="20"/>
      <c r="N21" s="144">
        <v>1</v>
      </c>
      <c r="O21" s="91"/>
      <c r="P21" s="136">
        <v>1</v>
      </c>
      <c r="Q21" s="48"/>
      <c r="R21" s="23"/>
      <c r="S21" s="24"/>
      <c r="T21" s="71">
        <v>1</v>
      </c>
    </row>
    <row r="22" spans="1:20" ht="22.9">
      <c r="A22" s="417"/>
      <c r="B22" s="60" t="s">
        <v>33</v>
      </c>
      <c r="C22" s="76"/>
      <c r="D22" s="77">
        <v>1</v>
      </c>
      <c r="E22" s="48"/>
      <c r="F22" s="26"/>
      <c r="G22" s="27">
        <v>1</v>
      </c>
      <c r="H22" s="48"/>
      <c r="I22" s="30">
        <v>1</v>
      </c>
      <c r="J22" s="31"/>
      <c r="K22" s="28"/>
      <c r="L22" s="26">
        <v>1</v>
      </c>
      <c r="M22" s="27"/>
      <c r="N22" s="146"/>
      <c r="O22" s="157">
        <v>1</v>
      </c>
      <c r="P22" s="138"/>
      <c r="Q22" s="28"/>
      <c r="R22" s="96"/>
      <c r="S22" s="20"/>
      <c r="T22" s="71">
        <v>1</v>
      </c>
    </row>
    <row r="23" spans="1:20">
      <c r="A23" s="417"/>
      <c r="B23" s="60" t="s">
        <v>34</v>
      </c>
      <c r="C23" s="76">
        <v>1</v>
      </c>
      <c r="D23" s="77"/>
      <c r="E23" s="43"/>
      <c r="F23" s="26">
        <v>1</v>
      </c>
      <c r="G23" s="27"/>
      <c r="H23" s="48"/>
      <c r="I23" s="30"/>
      <c r="J23" s="31"/>
      <c r="K23" s="28">
        <v>1</v>
      </c>
      <c r="L23" s="26">
        <v>1</v>
      </c>
      <c r="M23" s="27"/>
      <c r="N23" s="146"/>
      <c r="O23" s="157">
        <v>1</v>
      </c>
      <c r="P23" s="138"/>
      <c r="Q23" s="28"/>
      <c r="R23" s="29"/>
      <c r="S23" s="25"/>
      <c r="T23" s="71">
        <v>1</v>
      </c>
    </row>
    <row r="24" spans="1:20">
      <c r="A24" s="417"/>
      <c r="B24" s="60" t="s">
        <v>35</v>
      </c>
      <c r="C24" s="76">
        <v>1</v>
      </c>
      <c r="D24" s="77"/>
      <c r="E24" s="43"/>
      <c r="F24" s="26">
        <v>1</v>
      </c>
      <c r="G24" s="27"/>
      <c r="H24" s="48"/>
      <c r="I24" s="30">
        <v>1</v>
      </c>
      <c r="J24" s="31"/>
      <c r="K24" s="28"/>
      <c r="L24" s="26">
        <v>1</v>
      </c>
      <c r="M24" s="27"/>
      <c r="N24" s="146"/>
      <c r="O24" s="157">
        <v>1</v>
      </c>
      <c r="P24" s="138"/>
      <c r="Q24" s="28"/>
      <c r="R24" s="29"/>
      <c r="S24" s="25"/>
      <c r="T24" s="71">
        <v>1</v>
      </c>
    </row>
    <row r="25" spans="1:20">
      <c r="A25" s="417"/>
      <c r="B25" s="60" t="s">
        <v>36</v>
      </c>
      <c r="C25" s="76">
        <v>1</v>
      </c>
      <c r="D25" s="77"/>
      <c r="E25" s="43"/>
      <c r="F25" s="26">
        <v>1</v>
      </c>
      <c r="G25" s="27"/>
      <c r="H25" s="28"/>
      <c r="I25" s="30"/>
      <c r="J25" s="31"/>
      <c r="K25" s="28">
        <v>1</v>
      </c>
      <c r="L25" s="26"/>
      <c r="M25" s="27"/>
      <c r="N25" s="144">
        <v>1</v>
      </c>
      <c r="O25" s="91"/>
      <c r="P25" s="136"/>
      <c r="Q25" s="48">
        <v>1</v>
      </c>
      <c r="R25" s="29"/>
      <c r="S25" s="25"/>
      <c r="T25" s="71">
        <v>1</v>
      </c>
    </row>
    <row r="26" spans="1:20">
      <c r="A26" s="417"/>
      <c r="B26" s="60" t="s">
        <v>37</v>
      </c>
      <c r="C26" s="76">
        <v>1</v>
      </c>
      <c r="D26" s="77"/>
      <c r="E26" s="43"/>
      <c r="F26" s="26">
        <v>1</v>
      </c>
      <c r="G26" s="27"/>
      <c r="H26" s="28"/>
      <c r="I26" s="30"/>
      <c r="J26" s="31"/>
      <c r="K26" s="28">
        <v>1</v>
      </c>
      <c r="L26" s="26"/>
      <c r="M26" s="27">
        <v>1</v>
      </c>
      <c r="N26" s="144"/>
      <c r="O26" s="91">
        <v>1</v>
      </c>
      <c r="P26" s="136"/>
      <c r="Q26" s="48"/>
      <c r="R26" s="29"/>
      <c r="S26" s="25"/>
      <c r="T26" s="71">
        <v>1</v>
      </c>
    </row>
    <row r="27" spans="1:20">
      <c r="A27" s="417"/>
      <c r="B27" s="60" t="s">
        <v>38</v>
      </c>
      <c r="C27" s="76">
        <v>1</v>
      </c>
      <c r="D27" s="77"/>
      <c r="E27" s="43"/>
      <c r="F27" s="26">
        <v>1</v>
      </c>
      <c r="G27" s="27"/>
      <c r="H27" s="28"/>
      <c r="I27" s="30">
        <v>1</v>
      </c>
      <c r="J27" s="31"/>
      <c r="K27" s="28"/>
      <c r="L27" s="26"/>
      <c r="M27" s="27"/>
      <c r="N27" s="144">
        <v>1</v>
      </c>
      <c r="O27" s="91">
        <v>1</v>
      </c>
      <c r="P27" s="136"/>
      <c r="Q27" s="48"/>
      <c r="R27" s="29"/>
      <c r="S27" s="25"/>
      <c r="T27" s="71">
        <v>1</v>
      </c>
    </row>
    <row r="28" spans="1:20">
      <c r="A28" s="417"/>
      <c r="B28" s="60" t="s">
        <v>39</v>
      </c>
      <c r="C28" s="76"/>
      <c r="D28" s="77"/>
      <c r="E28" s="126">
        <v>1</v>
      </c>
      <c r="F28" s="26">
        <v>1</v>
      </c>
      <c r="G28" s="27"/>
      <c r="H28" s="28"/>
      <c r="I28" s="130"/>
      <c r="J28" s="131"/>
      <c r="K28" s="129"/>
      <c r="L28" s="127"/>
      <c r="M28" s="128"/>
      <c r="N28" s="172"/>
      <c r="O28" s="133"/>
      <c r="P28" s="134"/>
      <c r="Q28" s="172"/>
      <c r="R28" s="133"/>
      <c r="S28" s="134"/>
      <c r="T28" s="172">
        <v>1</v>
      </c>
    </row>
    <row r="29" spans="1:20">
      <c r="A29" s="417"/>
      <c r="B29" s="60" t="s">
        <v>40</v>
      </c>
      <c r="C29" s="76"/>
      <c r="D29" s="77"/>
      <c r="E29" s="126">
        <v>1</v>
      </c>
      <c r="F29" s="127"/>
      <c r="G29" s="128"/>
      <c r="H29" s="129"/>
      <c r="I29" s="130"/>
      <c r="J29" s="131"/>
      <c r="K29" s="129"/>
      <c r="L29" s="127"/>
      <c r="M29" s="128"/>
      <c r="N29" s="147"/>
      <c r="O29" s="158"/>
      <c r="P29" s="139"/>
      <c r="Q29" s="132"/>
      <c r="R29" s="133"/>
      <c r="S29" s="134"/>
      <c r="T29" s="172">
        <v>1</v>
      </c>
    </row>
    <row r="30" spans="1:20" ht="34.15">
      <c r="A30" s="417"/>
      <c r="B30" s="60" t="s">
        <v>41</v>
      </c>
      <c r="C30" s="76">
        <v>1</v>
      </c>
      <c r="D30" s="77"/>
      <c r="E30" s="43"/>
      <c r="F30" s="26">
        <v>1</v>
      </c>
      <c r="G30" s="27"/>
      <c r="H30" s="28"/>
      <c r="I30" s="30">
        <v>1</v>
      </c>
      <c r="J30" s="31"/>
      <c r="K30" s="28"/>
      <c r="L30" s="26">
        <v>1</v>
      </c>
      <c r="M30" s="27"/>
      <c r="N30" s="144"/>
      <c r="O30" s="91">
        <v>1</v>
      </c>
      <c r="P30" s="136"/>
      <c r="Q30" s="48"/>
      <c r="R30" s="29"/>
      <c r="S30" s="25"/>
      <c r="T30" s="12">
        <v>1</v>
      </c>
    </row>
    <row r="31" spans="1:20">
      <c r="A31" s="417"/>
      <c r="B31" s="60" t="s">
        <v>42</v>
      </c>
      <c r="C31" s="76">
        <v>1</v>
      </c>
      <c r="D31" s="77"/>
      <c r="E31" s="43"/>
      <c r="F31" s="26">
        <v>1</v>
      </c>
      <c r="G31" s="27"/>
      <c r="H31" s="28"/>
      <c r="I31" s="30"/>
      <c r="J31" s="31"/>
      <c r="K31" s="28">
        <v>1</v>
      </c>
      <c r="L31" s="26">
        <v>1</v>
      </c>
      <c r="M31" s="27"/>
      <c r="N31" s="144"/>
      <c r="O31" s="158"/>
      <c r="P31" s="139"/>
      <c r="Q31" s="132"/>
      <c r="R31" s="133"/>
      <c r="S31" s="134"/>
      <c r="T31" s="172">
        <v>1</v>
      </c>
    </row>
    <row r="32" spans="1:20" ht="34.15">
      <c r="A32" s="417"/>
      <c r="B32" s="60" t="s">
        <v>43</v>
      </c>
      <c r="C32" s="76"/>
      <c r="D32" s="77">
        <v>1</v>
      </c>
      <c r="E32" s="48"/>
      <c r="F32" s="26">
        <v>1</v>
      </c>
      <c r="G32" s="27"/>
      <c r="H32" s="28"/>
      <c r="I32" s="30"/>
      <c r="J32" s="31">
        <v>1</v>
      </c>
      <c r="K32" s="28"/>
      <c r="L32" s="26">
        <v>1</v>
      </c>
      <c r="M32" s="27"/>
      <c r="N32" s="144"/>
      <c r="O32" s="91"/>
      <c r="P32" s="136">
        <v>1</v>
      </c>
      <c r="Q32" s="48"/>
      <c r="R32" s="29"/>
      <c r="S32" s="25"/>
      <c r="T32" s="12">
        <v>1</v>
      </c>
    </row>
    <row r="33" spans="1:20">
      <c r="A33" s="417"/>
      <c r="B33" s="60" t="s">
        <v>44</v>
      </c>
      <c r="C33" s="76"/>
      <c r="D33" s="77"/>
      <c r="E33" s="126">
        <v>1</v>
      </c>
      <c r="F33" s="26"/>
      <c r="G33" s="27"/>
      <c r="H33" s="28">
        <v>1</v>
      </c>
      <c r="I33" s="30"/>
      <c r="J33" s="31"/>
      <c r="K33" s="28">
        <v>1</v>
      </c>
      <c r="L33" s="26">
        <v>1</v>
      </c>
      <c r="M33" s="27"/>
      <c r="N33" s="144"/>
      <c r="O33" s="91"/>
      <c r="P33" s="136"/>
      <c r="Q33" s="48">
        <v>1</v>
      </c>
      <c r="R33" s="29"/>
      <c r="S33" s="25"/>
      <c r="T33" s="12">
        <v>1</v>
      </c>
    </row>
    <row r="34" spans="1:20">
      <c r="A34" s="417"/>
      <c r="B34" s="60" t="s">
        <v>45</v>
      </c>
      <c r="C34" s="76">
        <v>1</v>
      </c>
      <c r="D34" s="77"/>
      <c r="E34" s="48"/>
      <c r="F34" s="26">
        <v>1</v>
      </c>
      <c r="G34" s="27"/>
      <c r="H34" s="28"/>
      <c r="I34" s="30"/>
      <c r="J34" s="31"/>
      <c r="K34" s="28">
        <v>1</v>
      </c>
      <c r="L34" s="26"/>
      <c r="M34" s="27"/>
      <c r="N34" s="144">
        <v>1</v>
      </c>
      <c r="O34" s="91"/>
      <c r="P34" s="136"/>
      <c r="Q34" s="48">
        <v>1</v>
      </c>
      <c r="R34" s="29"/>
      <c r="S34" s="25"/>
      <c r="T34" s="12">
        <v>1</v>
      </c>
    </row>
    <row r="35" spans="1:20">
      <c r="A35" s="417"/>
      <c r="B35" s="60" t="s">
        <v>46</v>
      </c>
      <c r="C35" s="76"/>
      <c r="D35" s="77">
        <v>1</v>
      </c>
      <c r="E35" s="48"/>
      <c r="F35" s="127"/>
      <c r="G35" s="128"/>
      <c r="H35" s="129"/>
      <c r="I35" s="130"/>
      <c r="J35" s="131"/>
      <c r="K35" s="129"/>
      <c r="L35" s="127"/>
      <c r="M35" s="128"/>
      <c r="N35" s="147"/>
      <c r="O35" s="158"/>
      <c r="P35" s="139"/>
      <c r="Q35" s="132"/>
      <c r="R35" s="133"/>
      <c r="S35" s="134"/>
      <c r="T35" s="129">
        <v>1</v>
      </c>
    </row>
    <row r="36" spans="1:20">
      <c r="A36" s="417"/>
      <c r="B36" s="60" t="s">
        <v>47</v>
      </c>
      <c r="C36" s="76"/>
      <c r="D36" s="77"/>
      <c r="E36" s="126">
        <v>1</v>
      </c>
      <c r="F36" s="26"/>
      <c r="G36" s="27"/>
      <c r="H36" s="28">
        <v>1</v>
      </c>
      <c r="I36" s="30">
        <v>1</v>
      </c>
      <c r="J36" s="31"/>
      <c r="K36" s="28"/>
      <c r="L36" s="26"/>
      <c r="M36" s="27"/>
      <c r="N36" s="144">
        <v>1</v>
      </c>
      <c r="O36" s="91"/>
      <c r="P36" s="136"/>
      <c r="Q36" s="48">
        <v>1</v>
      </c>
      <c r="R36" s="29"/>
      <c r="S36" s="25"/>
      <c r="T36" s="12">
        <v>1</v>
      </c>
    </row>
    <row r="37" spans="1:20">
      <c r="A37" s="417"/>
      <c r="B37" s="60" t="s">
        <v>48</v>
      </c>
      <c r="C37" s="76"/>
      <c r="D37" s="77">
        <v>1</v>
      </c>
      <c r="E37" s="48"/>
      <c r="F37" s="26"/>
      <c r="G37" s="27"/>
      <c r="H37" s="28">
        <v>1</v>
      </c>
      <c r="I37" s="30"/>
      <c r="J37" s="31"/>
      <c r="K37" s="28">
        <v>1</v>
      </c>
      <c r="L37" s="26"/>
      <c r="M37" s="27"/>
      <c r="N37" s="144">
        <v>1</v>
      </c>
      <c r="O37" s="91"/>
      <c r="P37" s="136"/>
      <c r="Q37" s="48">
        <v>1</v>
      </c>
      <c r="R37" s="29"/>
      <c r="S37" s="25"/>
      <c r="T37" s="12">
        <v>1</v>
      </c>
    </row>
    <row r="38" spans="1:20">
      <c r="A38" s="417"/>
      <c r="B38" s="60" t="s">
        <v>49</v>
      </c>
      <c r="C38" s="76"/>
      <c r="D38" s="77"/>
      <c r="E38" s="126">
        <v>1</v>
      </c>
      <c r="F38" s="26"/>
      <c r="G38" s="27"/>
      <c r="H38" s="28">
        <v>1</v>
      </c>
      <c r="I38" s="30"/>
      <c r="J38" s="31"/>
      <c r="K38" s="28">
        <v>1</v>
      </c>
      <c r="L38" s="26"/>
      <c r="M38" s="27"/>
      <c r="N38" s="144">
        <v>1</v>
      </c>
      <c r="O38" s="91"/>
      <c r="P38" s="136"/>
      <c r="Q38" s="48">
        <v>1</v>
      </c>
      <c r="R38" s="29"/>
      <c r="S38" s="25"/>
      <c r="T38" s="12">
        <v>1</v>
      </c>
    </row>
    <row r="39" spans="1:20">
      <c r="A39" s="417"/>
      <c r="B39" s="60" t="s">
        <v>50</v>
      </c>
      <c r="C39" s="76"/>
      <c r="D39" s="77">
        <v>1</v>
      </c>
      <c r="E39" s="48"/>
      <c r="F39" s="26"/>
      <c r="G39" s="27">
        <v>1</v>
      </c>
      <c r="H39" s="28"/>
      <c r="I39" s="30"/>
      <c r="J39" s="31">
        <v>1</v>
      </c>
      <c r="K39" s="28"/>
      <c r="L39" s="26"/>
      <c r="M39" s="27">
        <v>1</v>
      </c>
      <c r="N39" s="146"/>
      <c r="O39" s="157"/>
      <c r="P39" s="138">
        <v>1</v>
      </c>
      <c r="Q39" s="28"/>
      <c r="R39" s="29"/>
      <c r="S39" s="25">
        <v>1</v>
      </c>
      <c r="T39" s="28"/>
    </row>
    <row r="40" spans="1:20" ht="22.9">
      <c r="A40" s="417"/>
      <c r="B40" s="60" t="s">
        <v>51</v>
      </c>
      <c r="C40" s="76"/>
      <c r="D40" s="77"/>
      <c r="E40" s="126">
        <v>1</v>
      </c>
      <c r="F40" s="26">
        <v>1</v>
      </c>
      <c r="G40" s="27"/>
      <c r="H40" s="28"/>
      <c r="I40" s="30"/>
      <c r="J40" s="31"/>
      <c r="K40" s="28">
        <v>1</v>
      </c>
      <c r="L40" s="26"/>
      <c r="M40" s="27"/>
      <c r="N40" s="146">
        <v>1</v>
      </c>
      <c r="O40" s="157"/>
      <c r="P40" s="138"/>
      <c r="Q40" s="28">
        <v>1</v>
      </c>
      <c r="R40" s="29"/>
      <c r="S40" s="25"/>
      <c r="T40" s="135">
        <v>1</v>
      </c>
    </row>
    <row r="41" spans="1:20">
      <c r="A41" s="417"/>
      <c r="B41" s="60" t="s">
        <v>52</v>
      </c>
      <c r="C41" s="76">
        <v>1</v>
      </c>
      <c r="D41" s="77"/>
      <c r="E41" s="48"/>
      <c r="F41" s="26"/>
      <c r="G41" s="27">
        <v>1</v>
      </c>
      <c r="H41" s="28"/>
      <c r="I41" s="30">
        <v>1</v>
      </c>
      <c r="J41" s="31"/>
      <c r="K41" s="28"/>
      <c r="L41" s="26">
        <v>1</v>
      </c>
      <c r="M41" s="27"/>
      <c r="N41" s="146"/>
      <c r="O41" s="157">
        <v>1</v>
      </c>
      <c r="P41" s="138"/>
      <c r="Q41" s="28"/>
      <c r="R41" s="29"/>
      <c r="S41" s="25"/>
      <c r="T41" s="71">
        <v>1</v>
      </c>
    </row>
    <row r="42" spans="1:20">
      <c r="A42" s="417"/>
      <c r="B42" s="60" t="s">
        <v>53</v>
      </c>
      <c r="C42" s="76"/>
      <c r="D42" s="77"/>
      <c r="E42" s="126">
        <v>1</v>
      </c>
      <c r="F42" s="26">
        <v>1</v>
      </c>
      <c r="G42" s="27"/>
      <c r="H42" s="28"/>
      <c r="I42" s="30">
        <v>1</v>
      </c>
      <c r="J42" s="31"/>
      <c r="K42" s="28"/>
      <c r="L42" s="26">
        <v>1</v>
      </c>
      <c r="M42" s="27"/>
      <c r="N42" s="146"/>
      <c r="O42" s="157">
        <v>1</v>
      </c>
      <c r="P42" s="138"/>
      <c r="Q42" s="28"/>
      <c r="R42" s="29"/>
      <c r="S42" s="25"/>
      <c r="T42" s="71">
        <v>1</v>
      </c>
    </row>
    <row r="43" spans="1:20" ht="22.9">
      <c r="A43" s="417"/>
      <c r="B43" s="60" t="s">
        <v>54</v>
      </c>
      <c r="C43" s="76">
        <v>1</v>
      </c>
      <c r="D43" s="77"/>
      <c r="E43" s="48"/>
      <c r="F43" s="26"/>
      <c r="G43" s="27">
        <v>1</v>
      </c>
      <c r="H43" s="48"/>
      <c r="I43" s="30"/>
      <c r="J43" s="31">
        <v>1</v>
      </c>
      <c r="K43" s="48"/>
      <c r="L43" s="26"/>
      <c r="M43" s="27">
        <v>1</v>
      </c>
      <c r="N43" s="144"/>
      <c r="O43" s="91">
        <v>1</v>
      </c>
      <c r="P43" s="136"/>
      <c r="Q43" s="48"/>
      <c r="R43" s="29"/>
      <c r="S43" s="25"/>
      <c r="T43" s="71">
        <v>1</v>
      </c>
    </row>
    <row r="44" spans="1:20">
      <c r="A44" s="417"/>
      <c r="B44" s="60" t="s">
        <v>55</v>
      </c>
      <c r="C44" s="83">
        <v>1</v>
      </c>
      <c r="D44" s="84"/>
      <c r="E44" s="85"/>
      <c r="F44" s="26">
        <v>1</v>
      </c>
      <c r="G44" s="27"/>
      <c r="H44" s="28"/>
      <c r="I44" s="30">
        <v>1</v>
      </c>
      <c r="J44" s="31"/>
      <c r="K44" s="28"/>
      <c r="L44" s="26">
        <v>1</v>
      </c>
      <c r="M44" s="27"/>
      <c r="N44" s="146"/>
      <c r="O44" s="157">
        <v>1</v>
      </c>
      <c r="P44" s="138"/>
      <c r="Q44" s="28"/>
      <c r="R44" s="29"/>
      <c r="S44" s="25"/>
      <c r="T44" s="28">
        <v>1</v>
      </c>
    </row>
    <row r="45" spans="1:20" ht="22.9">
      <c r="A45" s="417"/>
      <c r="B45" s="60" t="s">
        <v>56</v>
      </c>
      <c r="C45" s="163"/>
      <c r="D45" s="164"/>
      <c r="E45" s="126">
        <v>1</v>
      </c>
      <c r="F45" s="166"/>
      <c r="G45" s="167"/>
      <c r="H45" s="168"/>
      <c r="I45" s="130"/>
      <c r="J45" s="131"/>
      <c r="K45" s="168"/>
      <c r="L45" s="166"/>
      <c r="M45" s="167"/>
      <c r="N45" s="169"/>
      <c r="O45" s="157">
        <v>1</v>
      </c>
      <c r="P45" s="138"/>
      <c r="Q45" s="28"/>
      <c r="R45" s="35"/>
      <c r="S45" s="36"/>
      <c r="T45" s="32">
        <v>1</v>
      </c>
    </row>
    <row r="46" spans="1:20">
      <c r="A46" s="417"/>
      <c r="B46" s="60" t="s">
        <v>57</v>
      </c>
      <c r="C46" s="163"/>
      <c r="D46" s="164"/>
      <c r="E46" s="126">
        <v>1</v>
      </c>
      <c r="F46" s="166"/>
      <c r="G46" s="167"/>
      <c r="H46" s="168"/>
      <c r="I46" s="130"/>
      <c r="J46" s="131"/>
      <c r="K46" s="168"/>
      <c r="L46" s="166"/>
      <c r="M46" s="167"/>
      <c r="N46" s="169"/>
      <c r="O46" s="157">
        <v>1</v>
      </c>
      <c r="P46" s="138"/>
      <c r="Q46" s="28"/>
      <c r="R46" s="35"/>
      <c r="S46" s="36"/>
      <c r="T46" s="32">
        <v>1</v>
      </c>
    </row>
    <row r="47" spans="1:20">
      <c r="A47" s="417"/>
      <c r="B47" s="60" t="s">
        <v>58</v>
      </c>
      <c r="C47" s="83">
        <v>1</v>
      </c>
      <c r="D47" s="84"/>
      <c r="E47" s="85"/>
      <c r="F47" s="33">
        <v>1</v>
      </c>
      <c r="G47" s="34"/>
      <c r="H47" s="32"/>
      <c r="I47" s="30">
        <v>1</v>
      </c>
      <c r="J47" s="31"/>
      <c r="K47" s="32"/>
      <c r="L47" s="33">
        <v>1</v>
      </c>
      <c r="M47" s="34"/>
      <c r="N47" s="148"/>
      <c r="O47" s="157">
        <v>1</v>
      </c>
      <c r="P47" s="140"/>
      <c r="Q47" s="28"/>
      <c r="R47" s="35"/>
      <c r="S47" s="36"/>
      <c r="T47" s="32">
        <v>1</v>
      </c>
    </row>
    <row r="48" spans="1:20">
      <c r="A48" s="417"/>
      <c r="B48" s="61" t="s">
        <v>59</v>
      </c>
      <c r="C48" s="86"/>
      <c r="D48" s="87">
        <v>1</v>
      </c>
      <c r="E48" s="44"/>
      <c r="F48" s="33">
        <v>1</v>
      </c>
      <c r="G48" s="34"/>
      <c r="H48" s="32"/>
      <c r="I48" s="30">
        <v>1</v>
      </c>
      <c r="J48" s="31"/>
      <c r="K48" s="32"/>
      <c r="L48" s="33">
        <v>1</v>
      </c>
      <c r="M48" s="34"/>
      <c r="N48" s="148"/>
      <c r="O48" s="173">
        <v>1</v>
      </c>
      <c r="P48" s="140"/>
      <c r="Q48" s="32"/>
      <c r="R48" s="35">
        <v>1</v>
      </c>
      <c r="S48" s="36"/>
      <c r="T48" s="32"/>
    </row>
    <row r="49" spans="1:20" ht="22.9">
      <c r="A49" s="416" t="s">
        <v>60</v>
      </c>
      <c r="B49" s="59" t="s">
        <v>61</v>
      </c>
      <c r="C49" s="88">
        <v>1</v>
      </c>
      <c r="D49" s="89"/>
      <c r="E49" s="7"/>
      <c r="F49" s="175"/>
      <c r="G49" s="176"/>
      <c r="H49" s="177"/>
      <c r="I49" s="178"/>
      <c r="J49" s="179"/>
      <c r="K49" s="177"/>
      <c r="L49" s="175"/>
      <c r="M49" s="176"/>
      <c r="N49" s="180"/>
      <c r="O49" s="181"/>
      <c r="P49" s="182"/>
      <c r="Q49" s="183"/>
      <c r="R49" s="184"/>
      <c r="S49" s="185"/>
      <c r="T49" s="186"/>
    </row>
    <row r="50" spans="1:20" ht="24">
      <c r="A50" s="417"/>
      <c r="B50" s="75" t="s">
        <v>62</v>
      </c>
      <c r="C50" s="76">
        <v>1</v>
      </c>
      <c r="D50" s="77"/>
      <c r="E50" s="43"/>
      <c r="F50" s="187"/>
      <c r="G50" s="188"/>
      <c r="H50" s="132"/>
      <c r="I50" s="189"/>
      <c r="J50" s="190"/>
      <c r="K50" s="132"/>
      <c r="L50" s="187"/>
      <c r="M50" s="188"/>
      <c r="N50" s="147"/>
      <c r="O50" s="158"/>
      <c r="P50" s="139"/>
      <c r="Q50" s="132"/>
      <c r="R50" s="191"/>
      <c r="S50" s="192"/>
      <c r="T50" s="172"/>
    </row>
    <row r="51" spans="1:20">
      <c r="A51" s="417"/>
      <c r="B51" s="60" t="s">
        <v>63</v>
      </c>
      <c r="C51" s="193"/>
      <c r="D51" s="194"/>
      <c r="E51" s="126">
        <v>1</v>
      </c>
      <c r="F51" s="196"/>
      <c r="G51" s="197"/>
      <c r="H51" s="198"/>
      <c r="I51" s="199"/>
      <c r="J51" s="200"/>
      <c r="K51" s="198"/>
      <c r="L51" s="14"/>
      <c r="M51" s="13">
        <v>1</v>
      </c>
      <c r="N51" s="145"/>
      <c r="O51" s="196"/>
      <c r="P51" s="201"/>
      <c r="Q51" s="198"/>
      <c r="R51" s="202"/>
      <c r="S51" s="188"/>
      <c r="T51" s="203"/>
    </row>
    <row r="52" spans="1:20">
      <c r="A52" s="417"/>
      <c r="B52" s="60" t="s">
        <v>64</v>
      </c>
      <c r="C52" s="193"/>
      <c r="D52" s="194"/>
      <c r="E52" s="126">
        <v>1</v>
      </c>
      <c r="F52" s="196"/>
      <c r="G52" s="197"/>
      <c r="H52" s="198"/>
      <c r="I52" s="199"/>
      <c r="J52" s="200"/>
      <c r="K52" s="198"/>
      <c r="L52" s="14">
        <v>1</v>
      </c>
      <c r="M52" s="13"/>
      <c r="N52" s="145"/>
      <c r="O52" s="196"/>
      <c r="P52" s="201"/>
      <c r="Q52" s="198"/>
      <c r="R52" s="202"/>
      <c r="S52" s="188"/>
      <c r="T52" s="203"/>
    </row>
    <row r="53" spans="1:20" ht="22.9">
      <c r="A53" s="417"/>
      <c r="B53" s="60" t="s">
        <v>65</v>
      </c>
      <c r="C53" s="80"/>
      <c r="D53" s="81">
        <v>1</v>
      </c>
      <c r="E53" s="90"/>
      <c r="F53" s="26"/>
      <c r="G53" s="27"/>
      <c r="H53" s="28">
        <v>1</v>
      </c>
      <c r="I53" s="99"/>
      <c r="J53" s="100"/>
      <c r="K53" s="132"/>
      <c r="L53" s="26"/>
      <c r="M53" s="27"/>
      <c r="N53" s="146">
        <v>1</v>
      </c>
      <c r="O53" s="157"/>
      <c r="P53" s="138"/>
      <c r="Q53" s="28">
        <v>1</v>
      </c>
      <c r="R53" s="29"/>
      <c r="S53" s="25"/>
      <c r="T53" s="28">
        <v>1</v>
      </c>
    </row>
    <row r="54" spans="1:20" ht="22.9">
      <c r="A54" s="417"/>
      <c r="B54" s="60" t="s">
        <v>66</v>
      </c>
      <c r="C54" s="76"/>
      <c r="D54" s="77">
        <v>1</v>
      </c>
      <c r="E54" s="48"/>
      <c r="F54" s="127"/>
      <c r="G54" s="128"/>
      <c r="H54" s="129"/>
      <c r="I54" s="130"/>
      <c r="J54" s="131"/>
      <c r="K54" s="132"/>
      <c r="L54" s="127"/>
      <c r="M54" s="128"/>
      <c r="N54" s="204"/>
      <c r="O54" s="170"/>
      <c r="P54" s="205"/>
      <c r="Q54" s="129"/>
      <c r="R54" s="133"/>
      <c r="S54" s="134"/>
      <c r="T54" s="129"/>
    </row>
    <row r="55" spans="1:20">
      <c r="A55" s="417"/>
      <c r="B55" s="60" t="s">
        <v>67</v>
      </c>
      <c r="C55" s="76">
        <v>1</v>
      </c>
      <c r="D55" s="77"/>
      <c r="E55" s="43"/>
      <c r="F55" s="187"/>
      <c r="G55" s="188"/>
      <c r="H55" s="132"/>
      <c r="I55" s="189"/>
      <c r="J55" s="190"/>
      <c r="K55" s="132"/>
      <c r="L55" s="187"/>
      <c r="M55" s="188"/>
      <c r="N55" s="147"/>
      <c r="O55" s="158"/>
      <c r="P55" s="139"/>
      <c r="Q55" s="132"/>
      <c r="R55" s="191"/>
      <c r="S55" s="192"/>
      <c r="T55" s="172"/>
    </row>
    <row r="56" spans="1:20">
      <c r="A56" s="417"/>
      <c r="B56" s="60" t="s">
        <v>68</v>
      </c>
      <c r="C56" s="76">
        <v>1</v>
      </c>
      <c r="D56" s="77"/>
      <c r="E56" s="43"/>
      <c r="F56" s="127"/>
      <c r="G56" s="128"/>
      <c r="H56" s="129"/>
      <c r="I56" s="130"/>
      <c r="J56" s="131"/>
      <c r="K56" s="132"/>
      <c r="L56" s="127"/>
      <c r="M56" s="128"/>
      <c r="N56" s="147"/>
      <c r="O56" s="158"/>
      <c r="P56" s="139"/>
      <c r="Q56" s="132"/>
      <c r="R56" s="133"/>
      <c r="S56" s="134"/>
      <c r="T56" s="172"/>
    </row>
    <row r="57" spans="1:20">
      <c r="A57" s="417"/>
      <c r="B57" s="60" t="s">
        <v>69</v>
      </c>
      <c r="C57" s="76"/>
      <c r="D57" s="77">
        <v>1</v>
      </c>
      <c r="E57" s="43"/>
      <c r="F57" s="26">
        <v>1</v>
      </c>
      <c r="G57" s="27"/>
      <c r="H57" s="28"/>
      <c r="I57" s="30"/>
      <c r="J57" s="31"/>
      <c r="K57" s="132"/>
      <c r="L57" s="26"/>
      <c r="M57" s="27"/>
      <c r="N57" s="144">
        <v>1</v>
      </c>
      <c r="O57" s="91"/>
      <c r="P57" s="136"/>
      <c r="Q57" s="48">
        <v>1</v>
      </c>
      <c r="R57" s="29"/>
      <c r="S57" s="25"/>
      <c r="T57" s="71">
        <v>1</v>
      </c>
    </row>
    <row r="58" spans="1:20" ht="22.9">
      <c r="A58" s="417"/>
      <c r="B58" s="60" t="s">
        <v>70</v>
      </c>
      <c r="C58" s="76">
        <v>1</v>
      </c>
      <c r="D58" s="77"/>
      <c r="E58" s="43"/>
      <c r="F58" s="26">
        <v>1</v>
      </c>
      <c r="G58" s="27"/>
      <c r="H58" s="28"/>
      <c r="I58" s="130"/>
      <c r="J58" s="131"/>
      <c r="K58" s="132"/>
      <c r="L58" s="127"/>
      <c r="M58" s="128"/>
      <c r="N58" s="147"/>
      <c r="O58" s="91">
        <v>1</v>
      </c>
      <c r="P58" s="136"/>
      <c r="Q58" s="48"/>
      <c r="R58" s="133"/>
      <c r="S58" s="134"/>
      <c r="T58" s="172"/>
    </row>
    <row r="59" spans="1:20">
      <c r="A59" s="417"/>
      <c r="B59" s="60" t="s">
        <v>71</v>
      </c>
      <c r="C59" s="91">
        <v>1</v>
      </c>
      <c r="D59" s="77"/>
      <c r="E59" s="43"/>
      <c r="F59" s="26">
        <v>1</v>
      </c>
      <c r="G59" s="27"/>
      <c r="H59" s="28"/>
      <c r="I59" s="101"/>
      <c r="J59" s="102"/>
      <c r="K59" s="132"/>
      <c r="L59" s="26">
        <v>1</v>
      </c>
      <c r="M59" s="27"/>
      <c r="N59" s="144"/>
      <c r="O59" s="91">
        <v>1</v>
      </c>
      <c r="P59" s="136"/>
      <c r="Q59" s="48"/>
      <c r="R59" s="29"/>
      <c r="S59" s="25"/>
      <c r="T59" s="71">
        <v>1</v>
      </c>
    </row>
    <row r="60" spans="1:20">
      <c r="A60" s="417"/>
      <c r="B60" s="60" t="s">
        <v>72</v>
      </c>
      <c r="C60" s="147"/>
      <c r="D60" s="147"/>
      <c r="E60" s="126">
        <v>1</v>
      </c>
      <c r="F60" s="147"/>
      <c r="G60" s="147"/>
      <c r="H60" s="132"/>
      <c r="I60" s="147"/>
      <c r="J60" s="147"/>
      <c r="K60" s="132"/>
      <c r="L60" s="26">
        <v>1</v>
      </c>
      <c r="M60" s="27"/>
      <c r="N60" s="144"/>
      <c r="O60" s="147"/>
      <c r="P60" s="147"/>
      <c r="Q60" s="132"/>
      <c r="R60" s="147"/>
      <c r="S60" s="147"/>
      <c r="T60" s="132"/>
    </row>
    <row r="61" spans="1:20">
      <c r="A61" s="417"/>
      <c r="B61" s="60" t="s">
        <v>73</v>
      </c>
      <c r="C61" s="91"/>
      <c r="D61" s="77"/>
      <c r="E61" s="126">
        <v>1</v>
      </c>
      <c r="F61" s="103"/>
      <c r="G61" s="104"/>
      <c r="H61" s="48">
        <v>1</v>
      </c>
      <c r="I61" s="103"/>
      <c r="J61" s="104"/>
      <c r="K61" s="132"/>
      <c r="L61" s="103"/>
      <c r="M61" s="104"/>
      <c r="N61" s="144">
        <v>1</v>
      </c>
      <c r="O61" s="91"/>
      <c r="P61" s="136"/>
      <c r="Q61" s="48">
        <v>1</v>
      </c>
      <c r="R61" s="29"/>
      <c r="S61" s="25"/>
      <c r="T61" s="71">
        <v>1</v>
      </c>
    </row>
    <row r="62" spans="1:20" ht="15" customHeight="1">
      <c r="A62" s="417"/>
      <c r="B62" s="60" t="s">
        <v>74</v>
      </c>
      <c r="C62" s="91">
        <v>1</v>
      </c>
      <c r="D62" s="77"/>
      <c r="E62" s="48"/>
      <c r="F62" s="103"/>
      <c r="G62" s="104"/>
      <c r="H62" s="48">
        <v>1</v>
      </c>
      <c r="I62" s="206"/>
      <c r="J62" s="207"/>
      <c r="K62" s="132"/>
      <c r="L62" s="206"/>
      <c r="M62" s="207"/>
      <c r="N62" s="147"/>
      <c r="O62" s="158"/>
      <c r="P62" s="139"/>
      <c r="Q62" s="132"/>
      <c r="R62" s="133"/>
      <c r="S62" s="134"/>
      <c r="T62" s="172"/>
    </row>
    <row r="63" spans="1:20" ht="24.75" customHeight="1">
      <c r="A63" s="417"/>
      <c r="B63" s="60" t="s">
        <v>75</v>
      </c>
      <c r="C63" s="91">
        <v>1</v>
      </c>
      <c r="D63" s="77"/>
      <c r="E63" s="48"/>
      <c r="F63" s="103"/>
      <c r="G63" s="104"/>
      <c r="H63" s="48">
        <v>1</v>
      </c>
      <c r="I63" s="103"/>
      <c r="J63" s="104"/>
      <c r="K63" s="132"/>
      <c r="L63" s="103"/>
      <c r="M63" s="104"/>
      <c r="N63" s="144">
        <v>1</v>
      </c>
      <c r="O63" s="91"/>
      <c r="P63" s="136"/>
      <c r="Q63" s="48">
        <v>1</v>
      </c>
      <c r="R63" s="29"/>
      <c r="S63" s="25"/>
      <c r="T63" s="71">
        <v>1</v>
      </c>
    </row>
    <row r="64" spans="1:20" ht="24.75" customHeight="1">
      <c r="A64" s="417"/>
      <c r="B64" s="60" t="s">
        <v>76</v>
      </c>
      <c r="C64" s="91"/>
      <c r="D64" s="77"/>
      <c r="E64" s="126">
        <v>1</v>
      </c>
      <c r="F64" s="103"/>
      <c r="G64" s="104"/>
      <c r="H64" s="48">
        <v>1</v>
      </c>
      <c r="I64" s="103"/>
      <c r="J64" s="104"/>
      <c r="K64" s="132"/>
      <c r="L64" s="103"/>
      <c r="M64" s="150"/>
      <c r="N64" s="151">
        <v>1</v>
      </c>
      <c r="O64" s="161">
        <v>1</v>
      </c>
      <c r="P64" s="152"/>
      <c r="Q64" s="162"/>
      <c r="R64" s="35"/>
      <c r="S64" s="36"/>
      <c r="T64" s="71">
        <v>1</v>
      </c>
    </row>
    <row r="65" spans="1:20" ht="24.75" customHeight="1">
      <c r="A65" s="417"/>
      <c r="B65" s="60" t="s">
        <v>77</v>
      </c>
      <c r="C65" s="158"/>
      <c r="D65" s="149"/>
      <c r="E65" s="126">
        <v>1</v>
      </c>
      <c r="F65" s="206"/>
      <c r="G65" s="207"/>
      <c r="H65" s="132"/>
      <c r="I65" s="206"/>
      <c r="J65" s="207"/>
      <c r="K65" s="132"/>
      <c r="L65" s="206"/>
      <c r="M65" s="208"/>
      <c r="N65" s="209"/>
      <c r="O65" s="161">
        <v>1</v>
      </c>
      <c r="P65" s="152"/>
      <c r="Q65" s="162"/>
      <c r="R65" s="210"/>
      <c r="S65" s="211"/>
      <c r="T65" s="172"/>
    </row>
    <row r="66" spans="1:20" ht="24.75" customHeight="1">
      <c r="A66" s="417"/>
      <c r="B66" s="60" t="s">
        <v>78</v>
      </c>
      <c r="C66" s="158"/>
      <c r="D66" s="149"/>
      <c r="E66" s="126">
        <v>1</v>
      </c>
      <c r="F66" s="206"/>
      <c r="G66" s="207"/>
      <c r="H66" s="132"/>
      <c r="I66" s="206"/>
      <c r="J66" s="207"/>
      <c r="K66" s="132"/>
      <c r="L66" s="206"/>
      <c r="M66" s="208"/>
      <c r="N66" s="209"/>
      <c r="O66" s="161">
        <v>1</v>
      </c>
      <c r="P66" s="152"/>
      <c r="Q66" s="162"/>
      <c r="R66" s="210"/>
      <c r="S66" s="211"/>
      <c r="T66" s="172"/>
    </row>
    <row r="67" spans="1:20" ht="24.75" customHeight="1">
      <c r="A67" s="417"/>
      <c r="B67" s="60" t="s">
        <v>79</v>
      </c>
      <c r="C67" s="158"/>
      <c r="D67" s="149"/>
      <c r="E67" s="126">
        <v>1</v>
      </c>
      <c r="F67" s="206"/>
      <c r="G67" s="207"/>
      <c r="H67" s="132"/>
      <c r="I67" s="206"/>
      <c r="J67" s="207"/>
      <c r="K67" s="132"/>
      <c r="L67" s="206"/>
      <c r="M67" s="208"/>
      <c r="N67" s="209"/>
      <c r="O67" s="161">
        <v>1</v>
      </c>
      <c r="P67" s="152"/>
      <c r="Q67" s="162"/>
      <c r="R67" s="210"/>
      <c r="S67" s="211"/>
      <c r="T67" s="172"/>
    </row>
    <row r="68" spans="1:20">
      <c r="A68" s="418"/>
      <c r="B68" s="174" t="s">
        <v>80</v>
      </c>
      <c r="C68" s="159"/>
      <c r="D68" s="123"/>
      <c r="E68" s="126">
        <v>1</v>
      </c>
      <c r="F68" s="212"/>
      <c r="G68" s="213"/>
      <c r="H68" s="214"/>
      <c r="I68" s="212"/>
      <c r="J68" s="213"/>
      <c r="K68" s="214"/>
      <c r="L68" s="212"/>
      <c r="M68" s="213"/>
      <c r="N68" s="215"/>
      <c r="O68" s="216"/>
      <c r="P68" s="217"/>
      <c r="Q68" s="214"/>
      <c r="R68" s="212"/>
      <c r="S68" s="213"/>
      <c r="T68" s="214"/>
    </row>
    <row r="69" spans="1:20">
      <c r="A69" s="419" t="s">
        <v>81</v>
      </c>
      <c r="B69" s="52" t="s">
        <v>81</v>
      </c>
      <c r="C69" s="49">
        <f>SUM(C8:C68)</f>
        <v>30</v>
      </c>
      <c r="D69" s="49">
        <f>SUM(D8:D68)</f>
        <v>10</v>
      </c>
      <c r="E69" s="45">
        <f>SUM(E8:E68)</f>
        <v>21</v>
      </c>
      <c r="F69" s="45">
        <f t="shared" ref="F69:T69" si="0">SUM(F8:F68)</f>
        <v>27</v>
      </c>
      <c r="G69" s="45">
        <f t="shared" si="0"/>
        <v>5</v>
      </c>
      <c r="H69" s="45">
        <f t="shared" si="0"/>
        <v>13</v>
      </c>
      <c r="I69" s="45">
        <f t="shared" si="0"/>
        <v>17</v>
      </c>
      <c r="J69" s="45">
        <f t="shared" si="0"/>
        <v>5</v>
      </c>
      <c r="K69" s="45">
        <f t="shared" si="0"/>
        <v>13</v>
      </c>
      <c r="L69" s="45">
        <f t="shared" si="0"/>
        <v>23</v>
      </c>
      <c r="M69" s="45">
        <f t="shared" si="0"/>
        <v>4</v>
      </c>
      <c r="N69" s="45">
        <f t="shared" si="0"/>
        <v>18</v>
      </c>
      <c r="O69" s="220">
        <f t="shared" si="0"/>
        <v>30</v>
      </c>
      <c r="P69" s="220">
        <f t="shared" si="0"/>
        <v>4</v>
      </c>
      <c r="Q69" s="45">
        <f t="shared" si="0"/>
        <v>13</v>
      </c>
      <c r="R69" s="45">
        <f t="shared" si="0"/>
        <v>6</v>
      </c>
      <c r="S69" s="45">
        <f t="shared" si="0"/>
        <v>1</v>
      </c>
      <c r="T69" s="45">
        <f t="shared" si="0"/>
        <v>40</v>
      </c>
    </row>
    <row r="70" spans="1:20">
      <c r="A70" s="420"/>
      <c r="B70" s="53" t="s">
        <v>82</v>
      </c>
      <c r="C70" s="221">
        <f>E70/C69</f>
        <v>1.0333333333333334</v>
      </c>
      <c r="D70" s="222"/>
      <c r="E70" s="219">
        <f>D69+E69</f>
        <v>31</v>
      </c>
      <c r="F70" s="439">
        <f>G69/F69</f>
        <v>0.18518518518518517</v>
      </c>
      <c r="G70" s="440"/>
      <c r="H70" s="441"/>
      <c r="I70" s="439">
        <f>J69/I69</f>
        <v>0.29411764705882354</v>
      </c>
      <c r="J70" s="440"/>
      <c r="K70" s="441"/>
      <c r="L70" s="439">
        <f>M69/L69</f>
        <v>0.17391304347826086</v>
      </c>
      <c r="M70" s="440"/>
      <c r="N70" s="440"/>
      <c r="O70" s="437">
        <f>Q70/O69</f>
        <v>0.56666666666666665</v>
      </c>
      <c r="P70" s="438"/>
      <c r="Q70" s="219">
        <f>Q69+P69</f>
        <v>17</v>
      </c>
      <c r="R70" s="424"/>
      <c r="S70" s="425"/>
      <c r="T70" s="426"/>
    </row>
    <row r="71" spans="1:20" ht="50.45" customHeight="1">
      <c r="A71" s="412" t="s">
        <v>83</v>
      </c>
      <c r="B71" s="338"/>
      <c r="C71" s="338"/>
      <c r="D71" s="338"/>
      <c r="E71" s="338"/>
      <c r="F71" s="338"/>
      <c r="G71" s="338"/>
      <c r="H71" s="338"/>
      <c r="I71" s="338"/>
      <c r="J71" s="338"/>
      <c r="K71" s="338"/>
      <c r="L71" s="338"/>
      <c r="M71" s="338"/>
      <c r="N71" s="338"/>
      <c r="O71" s="413"/>
      <c r="P71" s="413"/>
      <c r="Q71" s="413"/>
      <c r="R71" s="338"/>
      <c r="S71" s="338"/>
      <c r="T71" s="339"/>
    </row>
    <row r="72" spans="1:20">
      <c r="A72" s="37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</row>
    <row r="73" spans="1:20" ht="15.6">
      <c r="A73" s="55" t="s">
        <v>84</v>
      </c>
      <c r="B73" s="67" t="s">
        <v>113</v>
      </c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114"/>
    </row>
    <row r="74" spans="1:20">
      <c r="A74" s="430"/>
      <c r="B74" s="431"/>
      <c r="C74" s="431"/>
      <c r="D74" s="431"/>
      <c r="E74" s="431"/>
      <c r="F74" s="431"/>
      <c r="G74" s="431"/>
      <c r="H74" s="431"/>
      <c r="I74" s="431"/>
      <c r="J74" s="431"/>
      <c r="K74" s="431"/>
      <c r="L74" s="431"/>
      <c r="M74" s="431"/>
      <c r="N74" s="431"/>
      <c r="O74" s="431"/>
      <c r="P74" s="431"/>
      <c r="Q74" s="431"/>
      <c r="R74" s="431"/>
      <c r="S74" s="431"/>
      <c r="T74" s="121"/>
    </row>
    <row r="75" spans="1:20">
      <c r="A75" s="5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115"/>
    </row>
    <row r="76" spans="1:20">
      <c r="A76" s="5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115"/>
    </row>
    <row r="77" spans="1:20">
      <c r="A77" s="5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115"/>
    </row>
    <row r="78" spans="1:20">
      <c r="A78" s="5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115"/>
    </row>
    <row r="79" spans="1:20">
      <c r="A79" s="5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115"/>
    </row>
    <row r="80" spans="1:20">
      <c r="A80" s="5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115"/>
    </row>
    <row r="81" spans="1:20">
      <c r="A81" s="5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115"/>
    </row>
    <row r="82" spans="1:20">
      <c r="A82" s="5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115"/>
    </row>
    <row r="83" spans="1:20">
      <c r="A83" s="5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115"/>
    </row>
    <row r="84" spans="1:20">
      <c r="A84" s="5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115"/>
    </row>
    <row r="85" spans="1:20">
      <c r="A85" s="5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115"/>
    </row>
    <row r="86" spans="1:20">
      <c r="A86" s="5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116"/>
      <c r="T86" s="115"/>
    </row>
    <row r="87" spans="1:20">
      <c r="A87" s="5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115"/>
    </row>
    <row r="88" spans="1:20">
      <c r="A88" s="5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115"/>
    </row>
    <row r="89" spans="1:20">
      <c r="A89" s="5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115"/>
    </row>
    <row r="90" spans="1:20">
      <c r="A90" s="5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115"/>
    </row>
    <row r="91" spans="1:20">
      <c r="A91" s="5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115"/>
    </row>
    <row r="92" spans="1:20">
      <c r="A92" s="5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117"/>
      <c r="T92" s="115"/>
    </row>
    <row r="93" spans="1:20">
      <c r="A93" s="5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115"/>
    </row>
    <row r="94" spans="1:20">
      <c r="A94" s="5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115"/>
    </row>
    <row r="95" spans="1:20">
      <c r="A95" s="5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115"/>
    </row>
    <row r="96" spans="1:20">
      <c r="A96" s="5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115"/>
    </row>
    <row r="97" spans="1:20">
      <c r="A97" s="5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115"/>
    </row>
    <row r="98" spans="1:20">
      <c r="A98" s="5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115"/>
    </row>
    <row r="99" spans="1:20">
      <c r="A99" s="5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115"/>
    </row>
    <row r="100" spans="1:20">
      <c r="A100" s="5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115"/>
    </row>
    <row r="101" spans="1:20">
      <c r="A101" s="5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115"/>
    </row>
    <row r="102" spans="1:20">
      <c r="A102" s="5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115"/>
    </row>
    <row r="103" spans="1:20">
      <c r="A103" s="5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115"/>
    </row>
    <row r="104" spans="1:20">
      <c r="A104" s="5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115"/>
    </row>
    <row r="105" spans="1:20">
      <c r="A105" s="5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115"/>
    </row>
    <row r="106" spans="1:20">
      <c r="A106" s="5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115"/>
    </row>
    <row r="107" spans="1:20">
      <c r="A107" s="5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115"/>
    </row>
    <row r="108" spans="1:20">
      <c r="A108" s="56" t="s">
        <v>85</v>
      </c>
      <c r="B108" s="46"/>
      <c r="C108" s="428" t="s">
        <v>114</v>
      </c>
      <c r="D108" s="428"/>
      <c r="E108" s="428"/>
      <c r="F108" s="428"/>
      <c r="G108" s="428"/>
      <c r="H108" s="428"/>
      <c r="I108" s="428"/>
      <c r="J108" s="428"/>
      <c r="K108" s="428"/>
      <c r="L108" s="428"/>
      <c r="M108" s="428"/>
      <c r="N108" s="428"/>
      <c r="O108" s="428"/>
      <c r="P108" s="428"/>
      <c r="Q108" s="428"/>
      <c r="R108" s="428"/>
      <c r="S108" s="428"/>
      <c r="T108" s="115"/>
    </row>
    <row r="109" spans="1:20">
      <c r="A109" s="429"/>
      <c r="B109" s="428"/>
      <c r="C109" s="428"/>
      <c r="D109" s="428"/>
      <c r="E109" s="428"/>
      <c r="F109" s="428"/>
      <c r="G109" s="428"/>
      <c r="H109" s="428"/>
      <c r="I109" s="428"/>
      <c r="J109" s="428"/>
      <c r="K109" s="428"/>
      <c r="L109" s="428"/>
      <c r="M109" s="428"/>
      <c r="N109" s="428"/>
      <c r="O109" s="428"/>
      <c r="P109" s="428"/>
      <c r="Q109" s="428"/>
      <c r="R109" s="428"/>
      <c r="S109" s="428"/>
      <c r="T109" s="115"/>
    </row>
    <row r="110" spans="1:20">
      <c r="A110" s="5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115"/>
    </row>
    <row r="111" spans="1:20">
      <c r="A111" s="5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115"/>
    </row>
    <row r="112" spans="1:20">
      <c r="A112" s="5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117"/>
      <c r="T112" s="115"/>
    </row>
    <row r="113" spans="1:20">
      <c r="A113" s="5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115"/>
    </row>
    <row r="114" spans="1:20">
      <c r="A114" s="5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115"/>
    </row>
    <row r="115" spans="1:20">
      <c r="A115" s="5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115"/>
    </row>
    <row r="116" spans="1:20">
      <c r="A116" s="5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115"/>
    </row>
    <row r="117" spans="1:20">
      <c r="A117" s="5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115"/>
    </row>
    <row r="118" spans="1:20">
      <c r="A118" s="5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115"/>
    </row>
    <row r="119" spans="1:20">
      <c r="A119" s="5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117"/>
      <c r="T119" s="115"/>
    </row>
    <row r="120" spans="1:20">
      <c r="A120" s="5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115"/>
    </row>
    <row r="121" spans="1:20">
      <c r="A121" s="5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115"/>
    </row>
    <row r="122" spans="1:20">
      <c r="A122" s="5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116"/>
      <c r="P122" s="116"/>
      <c r="Q122" s="116"/>
      <c r="S122" s="46"/>
      <c r="T122" s="115"/>
    </row>
    <row r="123" spans="1:20">
      <c r="A123" s="56" t="s">
        <v>86</v>
      </c>
      <c r="B123" s="46"/>
      <c r="C123" s="46"/>
      <c r="D123" s="46"/>
      <c r="E123" s="432" t="s">
        <v>115</v>
      </c>
      <c r="F123" s="432"/>
      <c r="G123" s="432"/>
      <c r="H123" s="432"/>
      <c r="I123" s="432"/>
      <c r="J123" s="432"/>
      <c r="K123" s="432"/>
      <c r="L123" s="432"/>
      <c r="M123" s="432"/>
      <c r="N123" s="432"/>
      <c r="O123" s="432"/>
      <c r="P123" s="432"/>
      <c r="Q123" s="432"/>
      <c r="R123" s="432"/>
      <c r="S123" s="432"/>
      <c r="T123" s="115"/>
    </row>
    <row r="124" spans="1:20">
      <c r="A124" s="427" t="s">
        <v>116</v>
      </c>
      <c r="B124" s="428"/>
      <c r="C124" s="428"/>
      <c r="D124" s="428"/>
      <c r="E124" s="428"/>
      <c r="F124" s="428"/>
      <c r="G124" s="428"/>
      <c r="H124" s="428"/>
      <c r="I124" s="428"/>
      <c r="J124" s="428"/>
      <c r="K124" s="428"/>
      <c r="L124" s="428"/>
      <c r="M124" s="428"/>
      <c r="N124" s="428"/>
      <c r="O124" s="428"/>
      <c r="P124" s="428"/>
      <c r="Q124" s="428"/>
      <c r="R124" s="428"/>
      <c r="S124" s="428"/>
      <c r="T124" s="115"/>
    </row>
    <row r="125" spans="1:20">
      <c r="A125" s="427" t="s">
        <v>117</v>
      </c>
      <c r="B125" s="428"/>
      <c r="C125" s="428"/>
      <c r="D125" s="428"/>
      <c r="E125" s="428"/>
      <c r="F125" s="428"/>
      <c r="G125" s="428"/>
      <c r="H125" s="428"/>
      <c r="I125" s="428"/>
      <c r="J125" s="428"/>
      <c r="K125" s="428"/>
      <c r="L125" s="428"/>
      <c r="M125" s="428"/>
      <c r="N125" s="428"/>
      <c r="O125" s="428"/>
      <c r="P125" s="428"/>
      <c r="Q125" s="428"/>
      <c r="R125" s="428"/>
      <c r="S125" s="428"/>
      <c r="T125" s="115"/>
    </row>
    <row r="126" spans="1:20">
      <c r="A126" s="5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117"/>
      <c r="T126" s="115"/>
    </row>
    <row r="127" spans="1:20">
      <c r="A127" s="5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115"/>
    </row>
    <row r="128" spans="1:20">
      <c r="A128" s="57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118"/>
      <c r="T128" s="122"/>
    </row>
    <row r="129" spans="1:20">
      <c r="A129" s="68"/>
      <c r="B129" s="67"/>
      <c r="C129" s="67"/>
      <c r="D129" s="67"/>
      <c r="E129" s="67"/>
      <c r="F129" s="67"/>
      <c r="G129" s="67"/>
      <c r="H129" s="67"/>
      <c r="I129" s="414"/>
      <c r="J129" s="414"/>
      <c r="K129" s="414"/>
      <c r="L129" s="414"/>
      <c r="M129" s="414"/>
      <c r="N129" s="414"/>
      <c r="O129" s="414"/>
      <c r="P129" s="414"/>
      <c r="Q129" s="414"/>
      <c r="R129" s="414"/>
      <c r="S129" s="414"/>
      <c r="T129" s="415"/>
    </row>
    <row r="130" spans="1:20" ht="15.75" customHeight="1">
      <c r="A130" s="433" t="s">
        <v>87</v>
      </c>
      <c r="B130" s="434"/>
      <c r="C130" s="434"/>
      <c r="D130" s="434"/>
      <c r="E130" s="434"/>
      <c r="F130" s="434"/>
      <c r="G130" s="434"/>
      <c r="H130" s="434"/>
      <c r="I130" s="434"/>
      <c r="J130" s="434"/>
      <c r="K130" s="434"/>
      <c r="L130" s="434"/>
      <c r="M130" s="434"/>
      <c r="N130" s="434"/>
      <c r="O130" s="434"/>
      <c r="P130" s="434"/>
      <c r="Q130" s="434"/>
      <c r="R130" s="434"/>
      <c r="S130" s="434"/>
      <c r="T130" s="435"/>
    </row>
    <row r="131" spans="1:20" ht="20.45">
      <c r="A131" s="119" t="s">
        <v>88</v>
      </c>
      <c r="B131" s="382">
        <f>SUM(C69+D69+F69+G69+I69+J69+L69+M69+O69+P69+R69+S69)</f>
        <v>162</v>
      </c>
      <c r="C131" s="383"/>
      <c r="D131" s="383"/>
      <c r="E131" s="384"/>
      <c r="F131" s="385">
        <v>1</v>
      </c>
      <c r="G131" s="386"/>
      <c r="H131" s="120" t="s">
        <v>89</v>
      </c>
      <c r="I131" s="1"/>
      <c r="J131" s="218">
        <v>0.82</v>
      </c>
      <c r="K131" s="401" t="s">
        <v>90</v>
      </c>
      <c r="L131" s="402"/>
      <c r="M131" s="402"/>
      <c r="N131" s="402"/>
      <c r="O131" s="402"/>
      <c r="P131" s="402"/>
      <c r="Q131" s="402"/>
      <c r="R131" s="402"/>
      <c r="S131" s="402"/>
      <c r="T131" s="403"/>
    </row>
    <row r="132" spans="1:20">
      <c r="A132" s="387" t="s">
        <v>91</v>
      </c>
      <c r="B132" s="372">
        <f>SUM(C69+F69+I69+L69+O69+R69)</f>
        <v>133</v>
      </c>
      <c r="C132" s="373"/>
      <c r="D132" s="373"/>
      <c r="E132" s="374"/>
      <c r="F132" s="391">
        <f>B132/B131</f>
        <v>0.82098765432098764</v>
      </c>
      <c r="G132" s="392"/>
      <c r="H132" s="38" t="s">
        <v>92</v>
      </c>
      <c r="I132" s="39"/>
      <c r="J132" s="410">
        <f>B131-B136</f>
        <v>44</v>
      </c>
      <c r="K132" s="404"/>
      <c r="L132" s="405"/>
      <c r="M132" s="405"/>
      <c r="N132" s="405"/>
      <c r="O132" s="405"/>
      <c r="P132" s="405"/>
      <c r="Q132" s="405"/>
      <c r="R132" s="405"/>
      <c r="S132" s="405"/>
      <c r="T132" s="406"/>
    </row>
    <row r="133" spans="1:20">
      <c r="A133" s="387"/>
      <c r="B133" s="388"/>
      <c r="C133" s="389"/>
      <c r="D133" s="389"/>
      <c r="E133" s="390"/>
      <c r="F133" s="393"/>
      <c r="G133" s="394"/>
      <c r="H133" s="40" t="s">
        <v>93</v>
      </c>
      <c r="I133" s="39"/>
      <c r="J133" s="410"/>
      <c r="K133" s="404"/>
      <c r="L133" s="405"/>
      <c r="M133" s="405"/>
      <c r="N133" s="405"/>
      <c r="O133" s="405"/>
      <c r="P133" s="405"/>
      <c r="Q133" s="405"/>
      <c r="R133" s="405"/>
      <c r="S133" s="405"/>
      <c r="T133" s="406"/>
    </row>
    <row r="134" spans="1:20">
      <c r="A134" s="387" t="s">
        <v>94</v>
      </c>
      <c r="B134" s="372">
        <f>SUM(D69+G69+J69+M69+P69+S69)</f>
        <v>29</v>
      </c>
      <c r="C134" s="373"/>
      <c r="D134" s="373"/>
      <c r="E134" s="374"/>
      <c r="F134" s="391">
        <f>B134/B131</f>
        <v>0.17901234567901234</v>
      </c>
      <c r="G134" s="392"/>
      <c r="H134" s="41"/>
      <c r="I134" s="1"/>
      <c r="J134" s="1"/>
      <c r="K134" s="404"/>
      <c r="L134" s="405"/>
      <c r="M134" s="405"/>
      <c r="N134" s="405"/>
      <c r="O134" s="405"/>
      <c r="P134" s="405"/>
      <c r="Q134" s="405"/>
      <c r="R134" s="405"/>
      <c r="S134" s="405"/>
      <c r="T134" s="406"/>
    </row>
    <row r="135" spans="1:20">
      <c r="A135" s="387"/>
      <c r="B135" s="388"/>
      <c r="C135" s="389"/>
      <c r="D135" s="389"/>
      <c r="E135" s="390"/>
      <c r="F135" s="393"/>
      <c r="G135" s="394"/>
      <c r="H135" s="41"/>
      <c r="I135" s="1"/>
      <c r="J135" s="1"/>
      <c r="K135" s="404"/>
      <c r="L135" s="405"/>
      <c r="M135" s="405"/>
      <c r="N135" s="405"/>
      <c r="O135" s="405"/>
      <c r="P135" s="405"/>
      <c r="Q135" s="405"/>
      <c r="R135" s="405"/>
      <c r="S135" s="405"/>
      <c r="T135" s="406"/>
    </row>
    <row r="136" spans="1:20">
      <c r="A136" s="370" t="s">
        <v>95</v>
      </c>
      <c r="B136" s="372">
        <f>SUM(E69+H69+K69+N69+Q69+T69)</f>
        <v>118</v>
      </c>
      <c r="C136" s="373"/>
      <c r="D136" s="373"/>
      <c r="E136" s="374"/>
      <c r="F136" s="378"/>
      <c r="G136" s="379"/>
      <c r="H136" s="41"/>
      <c r="I136" s="1"/>
      <c r="J136" s="1"/>
      <c r="K136" s="404"/>
      <c r="L136" s="405"/>
      <c r="M136" s="405"/>
      <c r="N136" s="405"/>
      <c r="O136" s="405"/>
      <c r="P136" s="405"/>
      <c r="Q136" s="405"/>
      <c r="R136" s="405"/>
      <c r="S136" s="405"/>
      <c r="T136" s="406"/>
    </row>
    <row r="137" spans="1:20">
      <c r="A137" s="371" t="s">
        <v>95</v>
      </c>
      <c r="B137" s="375"/>
      <c r="C137" s="376"/>
      <c r="D137" s="376"/>
      <c r="E137" s="377"/>
      <c r="F137" s="380"/>
      <c r="G137" s="381"/>
      <c r="H137" s="54"/>
      <c r="I137" s="51"/>
      <c r="J137" s="1"/>
      <c r="K137" s="407"/>
      <c r="L137" s="408"/>
      <c r="M137" s="408"/>
      <c r="N137" s="408"/>
      <c r="O137" s="408"/>
      <c r="P137" s="408"/>
      <c r="Q137" s="408"/>
      <c r="R137" s="408"/>
      <c r="S137" s="408"/>
      <c r="T137" s="409"/>
    </row>
    <row r="138" spans="1:20">
      <c r="A138" s="65" t="s">
        <v>96</v>
      </c>
      <c r="B138" s="66"/>
      <c r="C138" s="66"/>
      <c r="D138" s="66"/>
      <c r="E138" s="67"/>
      <c r="F138" s="67"/>
      <c r="G138" s="67"/>
      <c r="H138" s="67"/>
      <c r="I138" s="67"/>
      <c r="J138" s="395" t="s">
        <v>97</v>
      </c>
      <c r="K138" s="396"/>
      <c r="L138" s="396"/>
      <c r="M138" s="396"/>
      <c r="N138" s="396"/>
      <c r="O138" s="396"/>
      <c r="P138" s="396"/>
      <c r="Q138" s="396"/>
      <c r="R138" s="396"/>
      <c r="S138" s="396"/>
      <c r="T138" s="397"/>
    </row>
    <row r="139" spans="1:20">
      <c r="A139" s="69" t="s">
        <v>98</v>
      </c>
      <c r="B139" s="70"/>
      <c r="C139" s="70"/>
      <c r="D139" s="70"/>
      <c r="E139" s="58"/>
      <c r="F139" s="58"/>
      <c r="G139" s="58"/>
      <c r="H139" s="58"/>
      <c r="I139" s="58"/>
      <c r="J139" s="398" t="s">
        <v>99</v>
      </c>
      <c r="K139" s="399"/>
      <c r="L139" s="399"/>
      <c r="M139" s="399"/>
      <c r="N139" s="399"/>
      <c r="O139" s="399"/>
      <c r="P139" s="399"/>
      <c r="Q139" s="399"/>
      <c r="R139" s="399"/>
      <c r="S139" s="399"/>
      <c r="T139" s="400"/>
    </row>
    <row r="140" spans="1:20" ht="49.9" customHeight="1">
      <c r="A140" s="367" t="s">
        <v>100</v>
      </c>
      <c r="B140" s="368"/>
      <c r="C140" s="368"/>
      <c r="D140" s="368"/>
      <c r="E140" s="368"/>
      <c r="F140" s="368"/>
      <c r="G140" s="368"/>
      <c r="H140" s="368"/>
      <c r="I140" s="368"/>
      <c r="J140" s="368"/>
      <c r="K140" s="368"/>
      <c r="L140" s="368"/>
      <c r="M140" s="368"/>
      <c r="N140" s="368"/>
      <c r="O140" s="368"/>
      <c r="P140" s="368"/>
      <c r="Q140" s="368"/>
      <c r="R140" s="368"/>
      <c r="S140" s="368"/>
      <c r="T140" s="369"/>
    </row>
    <row r="141" spans="1:20">
      <c r="A141" t="s">
        <v>101</v>
      </c>
    </row>
  </sheetData>
  <mergeCells count="59">
    <mergeCell ref="A1:B3"/>
    <mergeCell ref="C1:T1"/>
    <mergeCell ref="C2:T2"/>
    <mergeCell ref="C3:H3"/>
    <mergeCell ref="I3:M3"/>
    <mergeCell ref="R3:T3"/>
    <mergeCell ref="I4:T4"/>
    <mergeCell ref="A5:B7"/>
    <mergeCell ref="C5:E5"/>
    <mergeCell ref="F5:H5"/>
    <mergeCell ref="I5:K5"/>
    <mergeCell ref="L5:N5"/>
    <mergeCell ref="O5:Q5"/>
    <mergeCell ref="R5:T5"/>
    <mergeCell ref="C6:D6"/>
    <mergeCell ref="E6:E7"/>
    <mergeCell ref="O6:P6"/>
    <mergeCell ref="Q6:Q7"/>
    <mergeCell ref="R6:S6"/>
    <mergeCell ref="T6:T7"/>
    <mergeCell ref="L6:M6"/>
    <mergeCell ref="N6:N7"/>
    <mergeCell ref="A49:A68"/>
    <mergeCell ref="F6:G6"/>
    <mergeCell ref="H6:H7"/>
    <mergeCell ref="I6:J6"/>
    <mergeCell ref="K6:K7"/>
    <mergeCell ref="A8:A48"/>
    <mergeCell ref="E123:S123"/>
    <mergeCell ref="A69:A70"/>
    <mergeCell ref="F70:H70"/>
    <mergeCell ref="I70:K70"/>
    <mergeCell ref="L70:N70"/>
    <mergeCell ref="R70:T70"/>
    <mergeCell ref="A71:T71"/>
    <mergeCell ref="A74:S74"/>
    <mergeCell ref="C108:S108"/>
    <mergeCell ref="A109:S109"/>
    <mergeCell ref="K131:T137"/>
    <mergeCell ref="A132:A133"/>
    <mergeCell ref="B132:E133"/>
    <mergeCell ref="F132:G133"/>
    <mergeCell ref="J132:J133"/>
    <mergeCell ref="J138:T138"/>
    <mergeCell ref="J139:T139"/>
    <mergeCell ref="A140:T140"/>
    <mergeCell ref="O70:P70"/>
    <mergeCell ref="A125:S125"/>
    <mergeCell ref="A134:A135"/>
    <mergeCell ref="B134:E135"/>
    <mergeCell ref="F134:G135"/>
    <mergeCell ref="A136:A137"/>
    <mergeCell ref="B136:E137"/>
    <mergeCell ref="F136:G137"/>
    <mergeCell ref="A124:S124"/>
    <mergeCell ref="I129:T129"/>
    <mergeCell ref="A130:T130"/>
    <mergeCell ref="B131:E131"/>
    <mergeCell ref="F131:G131"/>
  </mergeCells>
  <printOptions horizontalCentered="1" verticalCentered="1"/>
  <pageMargins left="0" right="0" top="0" bottom="0" header="0.31496062992125984" footer="0.31496062992125984"/>
  <pageSetup paperSize="281" scale="65" fitToHeight="0" orientation="portrait" r:id="rId1"/>
  <rowBreaks count="1" manualBreakCount="1">
    <brk id="71" max="19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045A9-192C-4CE3-8BB6-96B699A2FBF4}">
  <dimension ref="A1:T141"/>
  <sheetViews>
    <sheetView view="pageBreakPreview" zoomScale="110" zoomScaleNormal="96" zoomScaleSheetLayoutView="110" workbookViewId="0">
      <selection activeCell="I12" sqref="I12"/>
    </sheetView>
  </sheetViews>
  <sheetFormatPr defaultColWidth="11.42578125" defaultRowHeight="14.45"/>
  <cols>
    <col min="1" max="1" width="18.42578125" customWidth="1"/>
    <col min="2" max="2" width="17.140625" customWidth="1"/>
    <col min="3" max="5" width="5.7109375" customWidth="1"/>
    <col min="6" max="6" width="5.7109375" style="283" customWidth="1"/>
    <col min="7" max="8" width="5.7109375" customWidth="1"/>
    <col min="9" max="9" width="5.7109375" style="295" customWidth="1"/>
    <col min="10" max="12" width="5.7109375" customWidth="1"/>
    <col min="13" max="13" width="5.7109375" style="283" customWidth="1"/>
    <col min="14" max="14" width="5.7109375" customWidth="1"/>
    <col min="15" max="15" width="5.7109375" style="283" customWidth="1"/>
    <col min="16" max="17" width="5.7109375" customWidth="1"/>
    <col min="18" max="18" width="5.7109375" style="283" customWidth="1"/>
    <col min="19" max="19" width="5.7109375" customWidth="1"/>
    <col min="20" max="20" width="5.7109375" style="283" customWidth="1"/>
  </cols>
  <sheetData>
    <row r="1" spans="1:20" ht="15.6">
      <c r="A1" s="328"/>
      <c r="B1" s="329"/>
      <c r="C1" s="334" t="s">
        <v>0</v>
      </c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6"/>
    </row>
    <row r="2" spans="1:20" ht="15.6">
      <c r="A2" s="330"/>
      <c r="B2" s="331"/>
      <c r="C2" s="334" t="s">
        <v>1</v>
      </c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  <c r="S2" s="335"/>
      <c r="T2" s="336"/>
    </row>
    <row r="3" spans="1:20" ht="15.6">
      <c r="A3" s="332"/>
      <c r="B3" s="333"/>
      <c r="C3" s="337" t="s">
        <v>2</v>
      </c>
      <c r="D3" s="338"/>
      <c r="E3" s="338"/>
      <c r="F3" s="338"/>
      <c r="G3" s="338"/>
      <c r="H3" s="339"/>
      <c r="I3" s="337" t="s">
        <v>3</v>
      </c>
      <c r="J3" s="338"/>
      <c r="K3" s="338"/>
      <c r="L3" s="338"/>
      <c r="M3" s="339"/>
      <c r="N3" s="64"/>
      <c r="O3" s="226"/>
      <c r="P3" s="64"/>
      <c r="Q3" s="64"/>
      <c r="R3" s="340" t="s">
        <v>4</v>
      </c>
      <c r="S3" s="338"/>
      <c r="T3" s="339"/>
    </row>
    <row r="4" spans="1:20">
      <c r="A4" s="2"/>
      <c r="B4" s="62" t="s">
        <v>5</v>
      </c>
      <c r="C4" s="63"/>
      <c r="D4" s="63"/>
      <c r="E4" s="63"/>
      <c r="F4" s="278"/>
      <c r="G4" s="63"/>
      <c r="H4" s="63"/>
      <c r="I4" s="341" t="s">
        <v>6</v>
      </c>
      <c r="J4" s="341"/>
      <c r="K4" s="341"/>
      <c r="L4" s="341"/>
      <c r="M4" s="341"/>
      <c r="N4" s="341"/>
      <c r="O4" s="341"/>
      <c r="P4" s="341"/>
      <c r="Q4" s="341"/>
      <c r="R4" s="341"/>
      <c r="S4" s="341"/>
      <c r="T4" s="341"/>
    </row>
    <row r="5" spans="1:20" ht="29.25" customHeight="1">
      <c r="A5" s="342" t="s">
        <v>7</v>
      </c>
      <c r="B5" s="343"/>
      <c r="C5" s="348" t="s">
        <v>8</v>
      </c>
      <c r="D5" s="349"/>
      <c r="E5" s="350"/>
      <c r="F5" s="351" t="s">
        <v>9</v>
      </c>
      <c r="G5" s="349"/>
      <c r="H5" s="349"/>
      <c r="I5" s="349" t="s">
        <v>10</v>
      </c>
      <c r="J5" s="349"/>
      <c r="K5" s="349"/>
      <c r="L5" s="349" t="s">
        <v>11</v>
      </c>
      <c r="M5" s="349"/>
      <c r="N5" s="352"/>
      <c r="O5" s="353" t="s">
        <v>12</v>
      </c>
      <c r="P5" s="354"/>
      <c r="Q5" s="355"/>
      <c r="R5" s="353" t="s">
        <v>13</v>
      </c>
      <c r="S5" s="354"/>
      <c r="T5" s="355"/>
    </row>
    <row r="6" spans="1:20">
      <c r="A6" s="344"/>
      <c r="B6" s="345"/>
      <c r="C6" s="356" t="s">
        <v>14</v>
      </c>
      <c r="D6" s="357"/>
      <c r="E6" s="358" t="s">
        <v>15</v>
      </c>
      <c r="F6" s="357" t="s">
        <v>14</v>
      </c>
      <c r="G6" s="357"/>
      <c r="H6" s="360" t="s">
        <v>15</v>
      </c>
      <c r="I6" s="357" t="s">
        <v>14</v>
      </c>
      <c r="J6" s="357"/>
      <c r="K6" s="360" t="s">
        <v>15</v>
      </c>
      <c r="L6" s="357" t="s">
        <v>14</v>
      </c>
      <c r="M6" s="362"/>
      <c r="N6" s="363" t="s">
        <v>15</v>
      </c>
      <c r="O6" s="365" t="s">
        <v>14</v>
      </c>
      <c r="P6" s="366"/>
      <c r="Q6" s="363" t="s">
        <v>15</v>
      </c>
      <c r="R6" s="421" t="s">
        <v>14</v>
      </c>
      <c r="S6" s="357"/>
      <c r="T6" s="422" t="s">
        <v>15</v>
      </c>
    </row>
    <row r="7" spans="1:20">
      <c r="A7" s="346"/>
      <c r="B7" s="347"/>
      <c r="C7" s="3" t="s">
        <v>16</v>
      </c>
      <c r="D7" s="4" t="s">
        <v>17</v>
      </c>
      <c r="E7" s="359"/>
      <c r="F7" s="4" t="s">
        <v>16</v>
      </c>
      <c r="G7" s="4" t="s">
        <v>17</v>
      </c>
      <c r="H7" s="361"/>
      <c r="I7" s="4" t="s">
        <v>16</v>
      </c>
      <c r="J7" s="4" t="s">
        <v>17</v>
      </c>
      <c r="K7" s="361"/>
      <c r="L7" s="269" t="s">
        <v>16</v>
      </c>
      <c r="M7" s="270" t="s">
        <v>17</v>
      </c>
      <c r="N7" s="442"/>
      <c r="O7" s="153" t="s">
        <v>16</v>
      </c>
      <c r="P7" s="154" t="s">
        <v>17</v>
      </c>
      <c r="Q7" s="411"/>
      <c r="R7" s="142" t="s">
        <v>16</v>
      </c>
      <c r="S7" s="4" t="s">
        <v>17</v>
      </c>
      <c r="T7" s="423"/>
    </row>
    <row r="8" spans="1:20" ht="22.9">
      <c r="A8" s="416" t="s">
        <v>18</v>
      </c>
      <c r="B8" s="59" t="s">
        <v>19</v>
      </c>
      <c r="C8" s="5">
        <v>1</v>
      </c>
      <c r="D8" s="6"/>
      <c r="E8" s="7"/>
      <c r="F8" s="92">
        <v>1</v>
      </c>
      <c r="G8" s="6"/>
      <c r="H8" s="7"/>
      <c r="I8" s="8">
        <v>1</v>
      </c>
      <c r="J8" s="93"/>
      <c r="K8" s="143"/>
      <c r="L8" s="251">
        <v>1</v>
      </c>
      <c r="M8" s="252"/>
      <c r="N8" s="253"/>
      <c r="O8" s="88">
        <v>1</v>
      </c>
      <c r="P8" s="156"/>
      <c r="Q8" s="7"/>
      <c r="R8" s="8"/>
      <c r="S8" s="9"/>
      <c r="T8" s="71">
        <v>1</v>
      </c>
    </row>
    <row r="9" spans="1:20" s="300" customFormat="1" ht="22.9">
      <c r="A9" s="417"/>
      <c r="B9" s="60" t="s">
        <v>20</v>
      </c>
      <c r="C9" s="76">
        <v>1</v>
      </c>
      <c r="D9" s="77"/>
      <c r="E9" s="43"/>
      <c r="F9" s="296">
        <v>1</v>
      </c>
      <c r="G9" s="297"/>
      <c r="H9" s="48"/>
      <c r="I9" s="285">
        <v>1</v>
      </c>
      <c r="J9" s="298"/>
      <c r="K9" s="144"/>
      <c r="L9" s="299">
        <v>1</v>
      </c>
      <c r="M9" s="301"/>
      <c r="N9" s="242"/>
      <c r="O9" s="76">
        <v>1</v>
      </c>
      <c r="P9" s="136"/>
      <c r="Q9" s="48"/>
      <c r="R9" s="285">
        <v>1</v>
      </c>
      <c r="S9" s="297"/>
      <c r="T9" s="71"/>
    </row>
    <row r="10" spans="1:20">
      <c r="A10" s="417"/>
      <c r="B10" s="60" t="s">
        <v>21</v>
      </c>
      <c r="C10" s="78">
        <v>1</v>
      </c>
      <c r="D10" s="74"/>
      <c r="E10" s="43"/>
      <c r="F10" s="72">
        <v>1</v>
      </c>
      <c r="G10" s="11"/>
      <c r="H10" s="48"/>
      <c r="I10" s="285">
        <v>1</v>
      </c>
      <c r="J10" s="47"/>
      <c r="K10" s="144"/>
      <c r="L10" s="254">
        <v>1</v>
      </c>
      <c r="M10" s="302"/>
      <c r="N10" s="242"/>
      <c r="O10" s="76">
        <v>1</v>
      </c>
      <c r="P10" s="136"/>
      <c r="Q10" s="48"/>
      <c r="R10" s="284">
        <v>1</v>
      </c>
      <c r="S10" s="11"/>
      <c r="T10" s="71"/>
    </row>
    <row r="11" spans="1:20">
      <c r="A11" s="417"/>
      <c r="B11" s="60" t="s">
        <v>22</v>
      </c>
      <c r="C11" s="124">
        <v>1</v>
      </c>
      <c r="D11" s="125"/>
      <c r="E11" s="126"/>
      <c r="F11" s="73">
        <v>1</v>
      </c>
      <c r="G11" s="13"/>
      <c r="H11" s="15"/>
      <c r="I11" s="285">
        <v>1</v>
      </c>
      <c r="J11" s="47"/>
      <c r="K11" s="144"/>
      <c r="L11" s="255"/>
      <c r="M11" s="18">
        <v>1</v>
      </c>
      <c r="N11" s="242"/>
      <c r="O11" s="76">
        <v>1</v>
      </c>
      <c r="P11" s="136"/>
      <c r="Q11" s="48"/>
      <c r="R11" s="284">
        <v>1</v>
      </c>
      <c r="S11" s="11"/>
      <c r="T11" s="71"/>
    </row>
    <row r="12" spans="1:20">
      <c r="A12" s="417"/>
      <c r="B12" s="60" t="s">
        <v>23</v>
      </c>
      <c r="C12" s="17">
        <v>1</v>
      </c>
      <c r="D12" s="18"/>
      <c r="E12" s="43"/>
      <c r="F12" s="19">
        <v>1</v>
      </c>
      <c r="G12" s="20"/>
      <c r="H12" s="48"/>
      <c r="I12" s="285">
        <v>1</v>
      </c>
      <c r="J12" s="47"/>
      <c r="K12" s="144"/>
      <c r="L12" s="255"/>
      <c r="M12" s="18"/>
      <c r="N12" s="242">
        <v>1</v>
      </c>
      <c r="O12" s="76">
        <v>1</v>
      </c>
      <c r="P12" s="136"/>
      <c r="Q12" s="48"/>
      <c r="R12" s="284">
        <v>1</v>
      </c>
      <c r="S12" s="11"/>
      <c r="T12" s="284"/>
    </row>
    <row r="13" spans="1:20" ht="45.6">
      <c r="A13" s="417"/>
      <c r="B13" s="60" t="s">
        <v>24</v>
      </c>
      <c r="C13" s="76">
        <v>1</v>
      </c>
      <c r="D13" s="77"/>
      <c r="E13" s="43"/>
      <c r="F13" s="19">
        <v>1</v>
      </c>
      <c r="G13" s="20"/>
      <c r="H13" s="48"/>
      <c r="I13" s="21">
        <v>1</v>
      </c>
      <c r="J13" s="22"/>
      <c r="K13" s="144"/>
      <c r="L13" s="256">
        <v>1</v>
      </c>
      <c r="M13" s="20"/>
      <c r="N13" s="242"/>
      <c r="O13" s="76">
        <v>1</v>
      </c>
      <c r="P13" s="136"/>
      <c r="Q13" s="48"/>
      <c r="R13" s="314"/>
      <c r="S13" s="24"/>
      <c r="T13" s="284">
        <v>1</v>
      </c>
    </row>
    <row r="14" spans="1:20">
      <c r="A14" s="417"/>
      <c r="B14" s="60" t="s">
        <v>25</v>
      </c>
      <c r="C14" s="76">
        <v>1</v>
      </c>
      <c r="D14" s="77"/>
      <c r="E14" s="79"/>
      <c r="F14" s="73">
        <v>1</v>
      </c>
      <c r="G14" s="13"/>
      <c r="H14" s="15"/>
      <c r="I14" s="286"/>
      <c r="J14" s="95"/>
      <c r="K14" s="145">
        <v>1</v>
      </c>
      <c r="L14" s="255">
        <v>1</v>
      </c>
      <c r="M14" s="18"/>
      <c r="N14" s="257"/>
      <c r="O14" s="17">
        <v>1</v>
      </c>
      <c r="P14" s="137"/>
      <c r="Q14" s="15"/>
      <c r="R14" s="96"/>
      <c r="S14" s="20"/>
      <c r="T14" s="284">
        <v>1</v>
      </c>
    </row>
    <row r="15" spans="1:20">
      <c r="A15" s="417"/>
      <c r="B15" s="60" t="s">
        <v>26</v>
      </c>
      <c r="C15" s="80">
        <v>1</v>
      </c>
      <c r="D15" s="81"/>
      <c r="E15" s="90"/>
      <c r="F15" s="73">
        <v>1</v>
      </c>
      <c r="G15" s="13"/>
      <c r="H15" s="15"/>
      <c r="I15" s="286">
        <v>1</v>
      </c>
      <c r="J15" s="95"/>
      <c r="K15" s="145"/>
      <c r="L15" s="255">
        <v>1</v>
      </c>
      <c r="M15" s="18"/>
      <c r="N15" s="257"/>
      <c r="O15" s="17">
        <v>1</v>
      </c>
      <c r="P15" s="137"/>
      <c r="Q15" s="15"/>
      <c r="R15" s="96">
        <v>1</v>
      </c>
      <c r="S15" s="20"/>
      <c r="T15" s="284"/>
    </row>
    <row r="16" spans="1:20" ht="22.9">
      <c r="A16" s="417"/>
      <c r="B16" s="60" t="s">
        <v>27</v>
      </c>
      <c r="C16" s="80">
        <v>1</v>
      </c>
      <c r="D16" s="81"/>
      <c r="E16" s="82"/>
      <c r="F16" s="26"/>
      <c r="G16" s="27"/>
      <c r="H16" s="48">
        <v>1</v>
      </c>
      <c r="I16" s="30">
        <v>1</v>
      </c>
      <c r="J16" s="31"/>
      <c r="K16" s="144"/>
      <c r="L16" s="258"/>
      <c r="M16" s="27"/>
      <c r="N16" s="242">
        <v>1</v>
      </c>
      <c r="O16" s="76">
        <v>1</v>
      </c>
      <c r="P16" s="136"/>
      <c r="Q16" s="48"/>
      <c r="R16" s="314"/>
      <c r="S16" s="24"/>
      <c r="T16" s="284">
        <v>1</v>
      </c>
    </row>
    <row r="17" spans="1:20">
      <c r="A17" s="417"/>
      <c r="B17" s="60" t="s">
        <v>28</v>
      </c>
      <c r="C17" s="80"/>
      <c r="D17" s="81"/>
      <c r="E17" s="43">
        <v>1</v>
      </c>
      <c r="F17" s="26"/>
      <c r="G17" s="27"/>
      <c r="H17" s="48">
        <v>1</v>
      </c>
      <c r="I17" s="30"/>
      <c r="J17" s="31"/>
      <c r="K17" s="144">
        <v>1</v>
      </c>
      <c r="L17" s="258"/>
      <c r="M17" s="27"/>
      <c r="N17" s="242">
        <v>1</v>
      </c>
      <c r="O17" s="76">
        <v>1</v>
      </c>
      <c r="P17" s="136"/>
      <c r="Q17" s="48"/>
      <c r="R17" s="314"/>
      <c r="S17" s="24"/>
      <c r="T17" s="284">
        <v>1</v>
      </c>
    </row>
    <row r="18" spans="1:20">
      <c r="A18" s="417"/>
      <c r="B18" s="60" t="s">
        <v>29</v>
      </c>
      <c r="C18" s="76"/>
      <c r="D18" s="77"/>
      <c r="E18" s="43">
        <v>1</v>
      </c>
      <c r="F18" s="19"/>
      <c r="G18" s="20"/>
      <c r="H18" s="16">
        <v>1</v>
      </c>
      <c r="I18" s="21"/>
      <c r="J18" s="22"/>
      <c r="K18" s="267">
        <v>1</v>
      </c>
      <c r="L18" s="256">
        <v>1</v>
      </c>
      <c r="M18" s="20"/>
      <c r="N18" s="242"/>
      <c r="O18" s="76">
        <v>1</v>
      </c>
      <c r="P18" s="136"/>
      <c r="Q18" s="48"/>
      <c r="R18" s="314"/>
      <c r="S18" s="24"/>
      <c r="T18" s="284">
        <v>1</v>
      </c>
    </row>
    <row r="19" spans="1:20">
      <c r="A19" s="417"/>
      <c r="B19" s="60" t="s">
        <v>30</v>
      </c>
      <c r="C19" s="76"/>
      <c r="D19" s="77">
        <v>1</v>
      </c>
      <c r="E19" s="43"/>
      <c r="F19" s="19"/>
      <c r="G19" s="20"/>
      <c r="H19" s="16">
        <v>1</v>
      </c>
      <c r="I19" s="97"/>
      <c r="J19" s="98"/>
      <c r="K19" s="267">
        <v>1</v>
      </c>
      <c r="L19" s="256"/>
      <c r="M19" s="20"/>
      <c r="N19" s="242">
        <v>1</v>
      </c>
      <c r="O19" s="76"/>
      <c r="P19" s="136"/>
      <c r="Q19" s="48">
        <v>1</v>
      </c>
      <c r="R19" s="314"/>
      <c r="S19" s="24"/>
      <c r="T19" s="284">
        <v>1</v>
      </c>
    </row>
    <row r="20" spans="1:20">
      <c r="A20" s="417"/>
      <c r="B20" s="60" t="s">
        <v>31</v>
      </c>
      <c r="C20" s="76">
        <v>1</v>
      </c>
      <c r="D20" s="77"/>
      <c r="E20" s="43"/>
      <c r="F20" s="19"/>
      <c r="G20" s="20"/>
      <c r="H20" s="16">
        <v>1</v>
      </c>
      <c r="I20" s="97"/>
      <c r="J20" s="98"/>
      <c r="K20" s="267">
        <v>1</v>
      </c>
      <c r="L20" s="256"/>
      <c r="M20" s="20"/>
      <c r="N20" s="242">
        <v>1</v>
      </c>
      <c r="O20" s="76"/>
      <c r="P20" s="136"/>
      <c r="Q20" s="48">
        <v>1</v>
      </c>
      <c r="R20" s="314"/>
      <c r="S20" s="24"/>
      <c r="T20" s="284">
        <v>1</v>
      </c>
    </row>
    <row r="21" spans="1:20" ht="22.9">
      <c r="A21" s="417"/>
      <c r="B21" s="60" t="s">
        <v>32</v>
      </c>
      <c r="C21" s="76"/>
      <c r="D21" s="77"/>
      <c r="E21" s="43">
        <v>1</v>
      </c>
      <c r="F21" s="19">
        <v>1</v>
      </c>
      <c r="G21" s="20"/>
      <c r="H21" s="16"/>
      <c r="I21" s="97"/>
      <c r="J21" s="98"/>
      <c r="K21" s="267">
        <v>1</v>
      </c>
      <c r="L21" s="256">
        <v>1</v>
      </c>
      <c r="M21" s="20"/>
      <c r="N21" s="242"/>
      <c r="O21" s="76"/>
      <c r="P21" s="136"/>
      <c r="Q21" s="48">
        <v>1</v>
      </c>
      <c r="R21" s="314"/>
      <c r="S21" s="24"/>
      <c r="T21" s="284">
        <v>1</v>
      </c>
    </row>
    <row r="22" spans="1:20" ht="22.9">
      <c r="A22" s="417"/>
      <c r="B22" s="60" t="s">
        <v>33</v>
      </c>
      <c r="C22" s="76">
        <v>1</v>
      </c>
      <c r="D22" s="77"/>
      <c r="E22" s="48"/>
      <c r="F22" s="26">
        <v>1</v>
      </c>
      <c r="G22" s="27"/>
      <c r="H22" s="48"/>
      <c r="I22" s="30">
        <v>1</v>
      </c>
      <c r="J22" s="31"/>
      <c r="K22" s="146"/>
      <c r="L22" s="258">
        <v>1</v>
      </c>
      <c r="M22" s="27"/>
      <c r="N22" s="239"/>
      <c r="O22" s="305">
        <v>1</v>
      </c>
      <c r="P22" s="138"/>
      <c r="Q22" s="28"/>
      <c r="R22" s="96"/>
      <c r="S22" s="20"/>
      <c r="T22" s="284">
        <v>1</v>
      </c>
    </row>
    <row r="23" spans="1:20">
      <c r="A23" s="417"/>
      <c r="B23" s="60" t="s">
        <v>34</v>
      </c>
      <c r="C23" s="76">
        <v>1</v>
      </c>
      <c r="D23" s="77"/>
      <c r="E23" s="43"/>
      <c r="F23" s="26">
        <v>1</v>
      </c>
      <c r="G23" s="27"/>
      <c r="H23" s="48"/>
      <c r="I23" s="30"/>
      <c r="J23" s="31"/>
      <c r="K23" s="146">
        <v>1</v>
      </c>
      <c r="L23" s="258">
        <v>1</v>
      </c>
      <c r="M23" s="27"/>
      <c r="N23" s="239"/>
      <c r="O23" s="305"/>
      <c r="P23" s="138">
        <v>1</v>
      </c>
      <c r="Q23" s="28"/>
      <c r="R23" s="305"/>
      <c r="S23" s="25"/>
      <c r="T23" s="284">
        <v>1</v>
      </c>
    </row>
    <row r="24" spans="1:20">
      <c r="A24" s="417"/>
      <c r="B24" s="60" t="s">
        <v>35</v>
      </c>
      <c r="C24" s="76">
        <v>1</v>
      </c>
      <c r="D24" s="77"/>
      <c r="E24" s="43"/>
      <c r="F24" s="26">
        <v>1</v>
      </c>
      <c r="G24" s="27"/>
      <c r="H24" s="48"/>
      <c r="I24" s="30">
        <v>1</v>
      </c>
      <c r="J24" s="31"/>
      <c r="K24" s="146"/>
      <c r="L24" s="258"/>
      <c r="M24" s="27"/>
      <c r="N24" s="239">
        <v>1</v>
      </c>
      <c r="O24" s="305">
        <v>1</v>
      </c>
      <c r="P24" s="138"/>
      <c r="Q24" s="28"/>
      <c r="R24" s="305"/>
      <c r="S24" s="25"/>
      <c r="T24" s="284">
        <v>1</v>
      </c>
    </row>
    <row r="25" spans="1:20">
      <c r="A25" s="417"/>
      <c r="B25" s="60" t="s">
        <v>36</v>
      </c>
      <c r="C25" s="76">
        <v>1</v>
      </c>
      <c r="D25" s="77"/>
      <c r="E25" s="43"/>
      <c r="F25" s="26">
        <v>1</v>
      </c>
      <c r="G25" s="27"/>
      <c r="H25" s="28"/>
      <c r="I25" s="30"/>
      <c r="J25" s="31"/>
      <c r="K25" s="146">
        <v>1</v>
      </c>
      <c r="L25" s="258"/>
      <c r="M25" s="27"/>
      <c r="N25" s="242">
        <v>1</v>
      </c>
      <c r="O25" s="76"/>
      <c r="P25" s="136"/>
      <c r="Q25" s="48">
        <v>1</v>
      </c>
      <c r="R25" s="305"/>
      <c r="S25" s="25"/>
      <c r="T25" s="284">
        <v>1</v>
      </c>
    </row>
    <row r="26" spans="1:20">
      <c r="A26" s="417"/>
      <c r="B26" s="60" t="s">
        <v>37</v>
      </c>
      <c r="C26" s="76">
        <v>1</v>
      </c>
      <c r="D26" s="77"/>
      <c r="E26" s="43"/>
      <c r="F26" s="26">
        <v>1</v>
      </c>
      <c r="G26" s="27"/>
      <c r="H26" s="28"/>
      <c r="I26" s="30"/>
      <c r="J26" s="31"/>
      <c r="K26" s="146">
        <v>1</v>
      </c>
      <c r="L26" s="258"/>
      <c r="M26" s="27">
        <v>1</v>
      </c>
      <c r="N26" s="242"/>
      <c r="O26" s="76"/>
      <c r="P26" s="136">
        <v>1</v>
      </c>
      <c r="Q26" s="48"/>
      <c r="R26" s="305"/>
      <c r="S26" s="25"/>
      <c r="T26" s="284">
        <v>1</v>
      </c>
    </row>
    <row r="27" spans="1:20">
      <c r="A27" s="417"/>
      <c r="B27" s="60" t="s">
        <v>38</v>
      </c>
      <c r="C27" s="76"/>
      <c r="D27" s="77"/>
      <c r="E27" s="43">
        <v>1</v>
      </c>
      <c r="F27" s="26">
        <v>1</v>
      </c>
      <c r="G27" s="27"/>
      <c r="H27" s="28"/>
      <c r="I27" s="30"/>
      <c r="J27" s="31"/>
      <c r="K27" s="146">
        <v>1</v>
      </c>
      <c r="L27" s="258"/>
      <c r="M27" s="27"/>
      <c r="N27" s="242">
        <v>1</v>
      </c>
      <c r="O27" s="76">
        <v>1</v>
      </c>
      <c r="P27" s="136"/>
      <c r="Q27" s="48"/>
      <c r="R27" s="305"/>
      <c r="S27" s="25"/>
      <c r="T27" s="284">
        <v>1</v>
      </c>
    </row>
    <row r="28" spans="1:20">
      <c r="A28" s="417"/>
      <c r="B28" s="60" t="s">
        <v>39</v>
      </c>
      <c r="C28" s="76"/>
      <c r="D28" s="77"/>
      <c r="E28" s="43">
        <v>1</v>
      </c>
      <c r="F28" s="26">
        <v>1</v>
      </c>
      <c r="G28" s="27"/>
      <c r="H28" s="28"/>
      <c r="I28" s="130"/>
      <c r="J28" s="131"/>
      <c r="K28" s="204"/>
      <c r="L28" s="259"/>
      <c r="M28" s="128"/>
      <c r="N28" s="237"/>
      <c r="O28" s="306"/>
      <c r="P28" s="134"/>
      <c r="Q28" s="172"/>
      <c r="R28" s="306"/>
      <c r="S28" s="134"/>
      <c r="T28" s="172"/>
    </row>
    <row r="29" spans="1:20">
      <c r="A29" s="417"/>
      <c r="B29" s="60" t="s">
        <v>40</v>
      </c>
      <c r="C29" s="76"/>
      <c r="D29" s="77"/>
      <c r="E29" s="43">
        <v>1</v>
      </c>
      <c r="F29" s="127"/>
      <c r="G29" s="128"/>
      <c r="H29" s="129"/>
      <c r="I29" s="130"/>
      <c r="J29" s="131"/>
      <c r="K29" s="204"/>
      <c r="L29" s="259"/>
      <c r="M29" s="128"/>
      <c r="N29" s="237"/>
      <c r="O29" s="268"/>
      <c r="P29" s="139"/>
      <c r="Q29" s="132"/>
      <c r="R29" s="306"/>
      <c r="S29" s="134"/>
      <c r="T29" s="172"/>
    </row>
    <row r="30" spans="1:20" ht="34.15">
      <c r="A30" s="417"/>
      <c r="B30" s="60" t="s">
        <v>41</v>
      </c>
      <c r="C30" s="76">
        <v>1</v>
      </c>
      <c r="D30" s="77"/>
      <c r="E30" s="43"/>
      <c r="F30" s="26">
        <v>1</v>
      </c>
      <c r="G30" s="27"/>
      <c r="H30" s="28"/>
      <c r="I30" s="30">
        <v>1</v>
      </c>
      <c r="J30" s="31"/>
      <c r="K30" s="146"/>
      <c r="L30" s="258">
        <v>1</v>
      </c>
      <c r="M30" s="27"/>
      <c r="N30" s="242"/>
      <c r="O30" s="76">
        <v>1</v>
      </c>
      <c r="P30" s="136"/>
      <c r="Q30" s="48"/>
      <c r="R30" s="305"/>
      <c r="S30" s="25"/>
      <c r="T30" s="284">
        <v>1</v>
      </c>
    </row>
    <row r="31" spans="1:20">
      <c r="A31" s="417"/>
      <c r="B31" s="60" t="s">
        <v>42</v>
      </c>
      <c r="C31" s="76">
        <v>1</v>
      </c>
      <c r="D31" s="77"/>
      <c r="E31" s="43"/>
      <c r="F31" s="26">
        <v>1</v>
      </c>
      <c r="G31" s="27"/>
      <c r="H31" s="28"/>
      <c r="I31" s="30"/>
      <c r="J31" s="31"/>
      <c r="K31" s="146">
        <v>1</v>
      </c>
      <c r="L31" s="258">
        <v>1</v>
      </c>
      <c r="M31" s="27"/>
      <c r="N31" s="242"/>
      <c r="O31" s="274">
        <v>1</v>
      </c>
      <c r="P31" s="275"/>
      <c r="Q31" s="230"/>
      <c r="R31" s="306"/>
      <c r="S31" s="134"/>
      <c r="T31" s="172"/>
    </row>
    <row r="32" spans="1:20" ht="34.15">
      <c r="A32" s="417"/>
      <c r="B32" s="60" t="s">
        <v>43</v>
      </c>
      <c r="C32" s="76">
        <v>1</v>
      </c>
      <c r="D32" s="77"/>
      <c r="E32" s="48"/>
      <c r="F32" s="26">
        <v>1</v>
      </c>
      <c r="G32" s="27"/>
      <c r="H32" s="28"/>
      <c r="I32" s="30">
        <v>1</v>
      </c>
      <c r="J32" s="31"/>
      <c r="K32" s="146"/>
      <c r="L32" s="258">
        <v>1</v>
      </c>
      <c r="M32" s="27"/>
      <c r="N32" s="242"/>
      <c r="O32" s="76"/>
      <c r="P32" s="136">
        <v>1</v>
      </c>
      <c r="Q32" s="48"/>
      <c r="R32" s="305"/>
      <c r="S32" s="25"/>
      <c r="T32" s="284">
        <v>1</v>
      </c>
    </row>
    <row r="33" spans="1:20">
      <c r="A33" s="417"/>
      <c r="B33" s="60" t="s">
        <v>44</v>
      </c>
      <c r="C33" s="76"/>
      <c r="D33" s="77"/>
      <c r="E33" s="48">
        <v>1</v>
      </c>
      <c r="F33" s="26"/>
      <c r="G33" s="27"/>
      <c r="H33" s="28">
        <v>1</v>
      </c>
      <c r="I33" s="30"/>
      <c r="J33" s="31"/>
      <c r="K33" s="146">
        <v>1</v>
      </c>
      <c r="L33" s="258">
        <v>1</v>
      </c>
      <c r="M33" s="27"/>
      <c r="N33" s="242"/>
      <c r="O33" s="76"/>
      <c r="P33" s="136"/>
      <c r="Q33" s="48">
        <v>1</v>
      </c>
      <c r="R33" s="305"/>
      <c r="S33" s="25"/>
      <c r="T33" s="284">
        <v>1</v>
      </c>
    </row>
    <row r="34" spans="1:20">
      <c r="A34" s="417"/>
      <c r="B34" s="60" t="s">
        <v>45</v>
      </c>
      <c r="C34" s="76">
        <v>1</v>
      </c>
      <c r="D34" s="77"/>
      <c r="E34" s="48"/>
      <c r="F34" s="26">
        <v>1</v>
      </c>
      <c r="G34" s="27"/>
      <c r="H34" s="28"/>
      <c r="I34" s="30"/>
      <c r="J34" s="31"/>
      <c r="K34" s="146">
        <v>1</v>
      </c>
      <c r="L34" s="258"/>
      <c r="M34" s="27"/>
      <c r="N34" s="242">
        <v>1</v>
      </c>
      <c r="O34" s="76"/>
      <c r="P34" s="136"/>
      <c r="Q34" s="48">
        <v>1</v>
      </c>
      <c r="R34" s="305"/>
      <c r="S34" s="25"/>
      <c r="T34" s="284">
        <v>1</v>
      </c>
    </row>
    <row r="35" spans="1:20">
      <c r="A35" s="417"/>
      <c r="B35" s="60" t="s">
        <v>46</v>
      </c>
      <c r="C35" s="76">
        <v>1</v>
      </c>
      <c r="D35" s="77"/>
      <c r="E35" s="48"/>
      <c r="F35" s="127"/>
      <c r="G35" s="128"/>
      <c r="H35" s="129"/>
      <c r="I35" s="130"/>
      <c r="J35" s="131"/>
      <c r="K35" s="204"/>
      <c r="L35" s="259"/>
      <c r="M35" s="128"/>
      <c r="N35" s="237"/>
      <c r="O35" s="268"/>
      <c r="P35" s="139"/>
      <c r="Q35" s="132">
        <v>1</v>
      </c>
      <c r="R35" s="306"/>
      <c r="S35" s="134"/>
      <c r="T35" s="318"/>
    </row>
    <row r="36" spans="1:20">
      <c r="A36" s="417"/>
      <c r="B36" s="60" t="s">
        <v>47</v>
      </c>
      <c r="C36" s="76"/>
      <c r="D36" s="77"/>
      <c r="E36" s="48">
        <v>1</v>
      </c>
      <c r="F36" s="26"/>
      <c r="G36" s="27"/>
      <c r="H36" s="28">
        <v>1</v>
      </c>
      <c r="I36" s="30">
        <v>1</v>
      </c>
      <c r="J36" s="31"/>
      <c r="K36" s="146"/>
      <c r="L36" s="258"/>
      <c r="M36" s="27"/>
      <c r="N36" s="242">
        <v>1</v>
      </c>
      <c r="O36" s="76"/>
      <c r="P36" s="136"/>
      <c r="Q36" s="48">
        <v>1</v>
      </c>
      <c r="R36" s="305"/>
      <c r="S36" s="25"/>
      <c r="T36" s="284">
        <v>1</v>
      </c>
    </row>
    <row r="37" spans="1:20">
      <c r="A37" s="417"/>
      <c r="B37" s="60" t="s">
        <v>48</v>
      </c>
      <c r="C37" s="76">
        <v>1</v>
      </c>
      <c r="D37" s="77"/>
      <c r="E37" s="48"/>
      <c r="F37" s="26"/>
      <c r="G37" s="27"/>
      <c r="H37" s="28">
        <v>1</v>
      </c>
      <c r="I37" s="30"/>
      <c r="J37" s="31"/>
      <c r="K37" s="146">
        <v>1</v>
      </c>
      <c r="L37" s="258"/>
      <c r="M37" s="27"/>
      <c r="N37" s="242">
        <v>1</v>
      </c>
      <c r="O37" s="76"/>
      <c r="P37" s="136"/>
      <c r="Q37" s="48">
        <v>1</v>
      </c>
      <c r="R37" s="305"/>
      <c r="S37" s="25"/>
      <c r="T37" s="284">
        <v>1</v>
      </c>
    </row>
    <row r="38" spans="1:20">
      <c r="A38" s="417"/>
      <c r="B38" s="60" t="s">
        <v>49</v>
      </c>
      <c r="C38" s="76"/>
      <c r="D38" s="77"/>
      <c r="E38" s="48">
        <v>1</v>
      </c>
      <c r="F38" s="26"/>
      <c r="G38" s="27"/>
      <c r="H38" s="28">
        <v>1</v>
      </c>
      <c r="I38" s="30"/>
      <c r="J38" s="31"/>
      <c r="K38" s="146">
        <v>1</v>
      </c>
      <c r="L38" s="258"/>
      <c r="M38" s="27"/>
      <c r="N38" s="242">
        <v>1</v>
      </c>
      <c r="O38" s="76"/>
      <c r="P38" s="136"/>
      <c r="Q38" s="48">
        <v>1</v>
      </c>
      <c r="R38" s="305"/>
      <c r="S38" s="25"/>
      <c r="T38" s="284">
        <v>1</v>
      </c>
    </row>
    <row r="39" spans="1:20">
      <c r="A39" s="417"/>
      <c r="B39" s="60" t="s">
        <v>50</v>
      </c>
      <c r="C39" s="76"/>
      <c r="D39" s="77">
        <v>1</v>
      </c>
      <c r="E39" s="48"/>
      <c r="F39" s="26"/>
      <c r="G39" s="27">
        <v>1</v>
      </c>
      <c r="H39" s="28"/>
      <c r="I39" s="30"/>
      <c r="J39" s="31">
        <v>1</v>
      </c>
      <c r="K39" s="146"/>
      <c r="L39" s="258"/>
      <c r="M39" s="27">
        <v>1</v>
      </c>
      <c r="N39" s="239"/>
      <c r="O39" s="305"/>
      <c r="P39" s="138">
        <v>1</v>
      </c>
      <c r="Q39" s="28"/>
      <c r="R39" s="305"/>
      <c r="S39" s="25">
        <v>1</v>
      </c>
      <c r="T39" s="319"/>
    </row>
    <row r="40" spans="1:20" ht="22.9">
      <c r="A40" s="417"/>
      <c r="B40" s="60" t="s">
        <v>51</v>
      </c>
      <c r="C40" s="76"/>
      <c r="D40" s="77"/>
      <c r="E40" s="48">
        <v>1</v>
      </c>
      <c r="F40" s="26">
        <v>1</v>
      </c>
      <c r="G40" s="27"/>
      <c r="H40" s="28"/>
      <c r="I40" s="30"/>
      <c r="J40" s="31"/>
      <c r="K40" s="146">
        <v>1</v>
      </c>
      <c r="L40" s="258">
        <v>1</v>
      </c>
      <c r="M40" s="27"/>
      <c r="N40" s="239"/>
      <c r="O40" s="305">
        <v>1</v>
      </c>
      <c r="P40" s="138"/>
      <c r="Q40" s="28"/>
      <c r="R40" s="305"/>
      <c r="S40" s="25"/>
      <c r="T40" s="320">
        <v>1</v>
      </c>
    </row>
    <row r="41" spans="1:20">
      <c r="A41" s="417"/>
      <c r="B41" s="60" t="s">
        <v>52</v>
      </c>
      <c r="C41" s="76">
        <v>1</v>
      </c>
      <c r="D41" s="77"/>
      <c r="E41" s="48"/>
      <c r="F41" s="26">
        <v>1</v>
      </c>
      <c r="G41" s="27"/>
      <c r="H41" s="28"/>
      <c r="I41" s="30">
        <v>1</v>
      </c>
      <c r="J41" s="31"/>
      <c r="K41" s="146"/>
      <c r="L41" s="258">
        <v>1</v>
      </c>
      <c r="M41" s="27"/>
      <c r="N41" s="239"/>
      <c r="O41" s="305"/>
      <c r="P41" s="138">
        <v>1</v>
      </c>
      <c r="Q41" s="28"/>
      <c r="R41" s="305"/>
      <c r="S41" s="25">
        <v>1</v>
      </c>
      <c r="T41" s="71"/>
    </row>
    <row r="42" spans="1:20">
      <c r="A42" s="417"/>
      <c r="B42" s="60" t="s">
        <v>53</v>
      </c>
      <c r="C42" s="76">
        <v>1</v>
      </c>
      <c r="D42" s="77"/>
      <c r="E42" s="48"/>
      <c r="F42" s="26">
        <v>1</v>
      </c>
      <c r="G42" s="27"/>
      <c r="H42" s="28"/>
      <c r="I42" s="30">
        <v>1</v>
      </c>
      <c r="J42" s="31"/>
      <c r="K42" s="146"/>
      <c r="L42" s="258">
        <v>1</v>
      </c>
      <c r="M42" s="27"/>
      <c r="N42" s="239"/>
      <c r="O42" s="305">
        <v>1</v>
      </c>
      <c r="P42" s="138"/>
      <c r="Q42" s="28"/>
      <c r="R42" s="305"/>
      <c r="S42" s="25"/>
      <c r="T42" s="71">
        <v>1</v>
      </c>
    </row>
    <row r="43" spans="1:20" ht="22.9">
      <c r="A43" s="417"/>
      <c r="B43" s="60" t="s">
        <v>54</v>
      </c>
      <c r="C43" s="76">
        <v>1</v>
      </c>
      <c r="D43" s="77"/>
      <c r="E43" s="48"/>
      <c r="F43" s="26"/>
      <c r="G43" s="27">
        <v>1</v>
      </c>
      <c r="H43" s="48"/>
      <c r="I43" s="30"/>
      <c r="J43" s="31">
        <v>1</v>
      </c>
      <c r="K43" s="144"/>
      <c r="L43" s="258"/>
      <c r="M43" s="27">
        <v>1</v>
      </c>
      <c r="N43" s="242"/>
      <c r="O43" s="76">
        <v>1</v>
      </c>
      <c r="P43" s="136"/>
      <c r="Q43" s="48"/>
      <c r="R43" s="305"/>
      <c r="S43" s="25"/>
      <c r="T43" s="71">
        <v>1</v>
      </c>
    </row>
    <row r="44" spans="1:20">
      <c r="A44" s="417"/>
      <c r="B44" s="60" t="s">
        <v>55</v>
      </c>
      <c r="C44" s="83">
        <v>1</v>
      </c>
      <c r="D44" s="84"/>
      <c r="E44" s="85"/>
      <c r="F44" s="26">
        <v>1</v>
      </c>
      <c r="G44" s="27"/>
      <c r="H44" s="28"/>
      <c r="I44" s="30">
        <v>1</v>
      </c>
      <c r="J44" s="31"/>
      <c r="K44" s="146"/>
      <c r="L44" s="258">
        <v>1</v>
      </c>
      <c r="M44" s="27"/>
      <c r="N44" s="239"/>
      <c r="O44" s="305"/>
      <c r="P44" s="138"/>
      <c r="Q44" s="28">
        <v>1</v>
      </c>
      <c r="R44" s="305"/>
      <c r="S44" s="25"/>
      <c r="T44" s="319">
        <v>1</v>
      </c>
    </row>
    <row r="45" spans="1:20" ht="22.9">
      <c r="A45" s="417"/>
      <c r="B45" s="60" t="s">
        <v>56</v>
      </c>
      <c r="C45" s="163"/>
      <c r="D45" s="164"/>
      <c r="E45" s="165"/>
      <c r="F45" s="166"/>
      <c r="G45" s="167"/>
      <c r="H45" s="168"/>
      <c r="I45" s="130"/>
      <c r="J45" s="131"/>
      <c r="K45" s="169"/>
      <c r="L45" s="260"/>
      <c r="M45" s="167"/>
      <c r="N45" s="261"/>
      <c r="O45" s="307">
        <v>1</v>
      </c>
      <c r="P45" s="276"/>
      <c r="Q45" s="233"/>
      <c r="R45" s="308"/>
      <c r="S45" s="36"/>
      <c r="T45" s="321">
        <v>1</v>
      </c>
    </row>
    <row r="46" spans="1:20">
      <c r="A46" s="417"/>
      <c r="B46" s="60" t="s">
        <v>57</v>
      </c>
      <c r="C46" s="163"/>
      <c r="D46" s="164"/>
      <c r="E46" s="165"/>
      <c r="F46" s="166"/>
      <c r="G46" s="167"/>
      <c r="H46" s="168"/>
      <c r="I46" s="130"/>
      <c r="J46" s="131"/>
      <c r="K46" s="169"/>
      <c r="L46" s="260"/>
      <c r="M46" s="167"/>
      <c r="N46" s="261"/>
      <c r="O46" s="307">
        <v>1</v>
      </c>
      <c r="P46" s="276"/>
      <c r="Q46" s="233"/>
      <c r="R46" s="308"/>
      <c r="S46" s="36"/>
      <c r="T46" s="321">
        <v>1</v>
      </c>
    </row>
    <row r="47" spans="1:20">
      <c r="A47" s="417"/>
      <c r="B47" s="60" t="s">
        <v>58</v>
      </c>
      <c r="C47" s="83">
        <v>1</v>
      </c>
      <c r="D47" s="84"/>
      <c r="E47" s="85"/>
      <c r="F47" s="33">
        <v>1</v>
      </c>
      <c r="G47" s="34"/>
      <c r="H47" s="32"/>
      <c r="I47" s="30">
        <v>1</v>
      </c>
      <c r="J47" s="31"/>
      <c r="K47" s="148"/>
      <c r="L47" s="262">
        <v>1</v>
      </c>
      <c r="M47" s="34"/>
      <c r="N47" s="263"/>
      <c r="O47" s="305">
        <v>1</v>
      </c>
      <c r="P47" s="140"/>
      <c r="Q47" s="28"/>
      <c r="R47" s="308"/>
      <c r="S47" s="36"/>
      <c r="T47" s="321">
        <v>1</v>
      </c>
    </row>
    <row r="48" spans="1:20">
      <c r="A48" s="417"/>
      <c r="B48" s="61" t="s">
        <v>59</v>
      </c>
      <c r="C48" s="86">
        <v>1</v>
      </c>
      <c r="D48" s="87"/>
      <c r="E48" s="44"/>
      <c r="F48" s="33">
        <v>1</v>
      </c>
      <c r="G48" s="34"/>
      <c r="H48" s="32"/>
      <c r="I48" s="30">
        <v>1</v>
      </c>
      <c r="J48" s="31"/>
      <c r="K48" s="148"/>
      <c r="L48" s="264">
        <v>1</v>
      </c>
      <c r="M48" s="265"/>
      <c r="N48" s="266"/>
      <c r="O48" s="308">
        <v>1</v>
      </c>
      <c r="P48" s="140"/>
      <c r="Q48" s="32"/>
      <c r="R48" s="308"/>
      <c r="S48" s="36"/>
      <c r="T48" s="321">
        <v>1</v>
      </c>
    </row>
    <row r="49" spans="1:20" ht="22.9">
      <c r="A49" s="416" t="s">
        <v>60</v>
      </c>
      <c r="B49" s="59" t="s">
        <v>61</v>
      </c>
      <c r="C49" s="88">
        <v>1</v>
      </c>
      <c r="D49" s="89"/>
      <c r="E49" s="7"/>
      <c r="F49" s="175"/>
      <c r="G49" s="176"/>
      <c r="H49" s="177"/>
      <c r="I49" s="178"/>
      <c r="J49" s="179"/>
      <c r="K49" s="177"/>
      <c r="L49" s="271"/>
      <c r="M49" s="272"/>
      <c r="N49" s="273"/>
      <c r="O49" s="309"/>
      <c r="P49" s="234"/>
      <c r="Q49" s="235"/>
      <c r="R49" s="315"/>
      <c r="S49" s="185"/>
      <c r="T49" s="186"/>
    </row>
    <row r="50" spans="1:20" ht="24">
      <c r="A50" s="417"/>
      <c r="B50" s="75" t="s">
        <v>62</v>
      </c>
      <c r="C50" s="76">
        <v>1</v>
      </c>
      <c r="D50" s="77"/>
      <c r="E50" s="43"/>
      <c r="F50" s="187"/>
      <c r="G50" s="188"/>
      <c r="H50" s="132"/>
      <c r="I50" s="189"/>
      <c r="J50" s="190"/>
      <c r="K50" s="132"/>
      <c r="L50" s="187"/>
      <c r="M50" s="188"/>
      <c r="N50" s="147"/>
      <c r="O50" s="236"/>
      <c r="P50" s="139"/>
      <c r="Q50" s="237"/>
      <c r="R50" s="316"/>
      <c r="S50" s="192"/>
      <c r="T50" s="172"/>
    </row>
    <row r="51" spans="1:20">
      <c r="A51" s="417"/>
      <c r="B51" s="60" t="s">
        <v>63</v>
      </c>
      <c r="C51" s="193"/>
      <c r="D51" s="194"/>
      <c r="E51" s="195"/>
      <c r="F51" s="279"/>
      <c r="G51" s="197"/>
      <c r="H51" s="198"/>
      <c r="I51" s="287"/>
      <c r="J51" s="200"/>
      <c r="K51" s="198"/>
      <c r="L51" s="14">
        <v>1</v>
      </c>
      <c r="M51" s="18"/>
      <c r="N51" s="145"/>
      <c r="O51" s="310"/>
      <c r="P51" s="201"/>
      <c r="Q51" s="238"/>
      <c r="R51" s="202"/>
      <c r="S51" s="188"/>
      <c r="T51" s="322"/>
    </row>
    <row r="52" spans="1:20">
      <c r="A52" s="417"/>
      <c r="B52" s="60" t="s">
        <v>64</v>
      </c>
      <c r="C52" s="193"/>
      <c r="D52" s="194"/>
      <c r="E52" s="195"/>
      <c r="F52" s="279"/>
      <c r="G52" s="197"/>
      <c r="H52" s="198"/>
      <c r="I52" s="287"/>
      <c r="J52" s="200"/>
      <c r="K52" s="198"/>
      <c r="L52" s="14">
        <v>1</v>
      </c>
      <c r="M52" s="18"/>
      <c r="N52" s="145"/>
      <c r="O52" s="310"/>
      <c r="P52" s="201"/>
      <c r="Q52" s="238"/>
      <c r="R52" s="202"/>
      <c r="S52" s="188"/>
      <c r="T52" s="322"/>
    </row>
    <row r="53" spans="1:20" ht="22.9">
      <c r="A53" s="417"/>
      <c r="B53" s="60" t="s">
        <v>65</v>
      </c>
      <c r="C53" s="80">
        <v>1</v>
      </c>
      <c r="D53" s="81"/>
      <c r="E53" s="90"/>
      <c r="F53" s="279"/>
      <c r="G53" s="197"/>
      <c r="H53" s="198"/>
      <c r="I53" s="288"/>
      <c r="J53" s="197"/>
      <c r="K53" s="198"/>
      <c r="L53" s="26">
        <v>1</v>
      </c>
      <c r="M53" s="27"/>
      <c r="N53" s="146"/>
      <c r="O53" s="236"/>
      <c r="P53" s="207"/>
      <c r="Q53" s="237"/>
      <c r="R53" s="236"/>
      <c r="S53" s="207"/>
      <c r="T53" s="237"/>
    </row>
    <row r="54" spans="1:20" ht="22.9">
      <c r="A54" s="417"/>
      <c r="B54" s="60" t="s">
        <v>66</v>
      </c>
      <c r="C54" s="76">
        <v>1</v>
      </c>
      <c r="D54" s="77"/>
      <c r="E54" s="48"/>
      <c r="F54" s="127"/>
      <c r="G54" s="128"/>
      <c r="H54" s="129"/>
      <c r="I54" s="130"/>
      <c r="J54" s="131"/>
      <c r="K54" s="129"/>
      <c r="L54" s="127"/>
      <c r="M54" s="128"/>
      <c r="N54" s="204"/>
      <c r="O54" s="311"/>
      <c r="P54" s="205"/>
      <c r="Q54" s="240"/>
      <c r="R54" s="236"/>
      <c r="S54" s="207"/>
      <c r="T54" s="237"/>
    </row>
    <row r="55" spans="1:20">
      <c r="A55" s="417"/>
      <c r="B55" s="60" t="s">
        <v>67</v>
      </c>
      <c r="C55" s="76">
        <v>1</v>
      </c>
      <c r="D55" s="77"/>
      <c r="E55" s="43"/>
      <c r="F55" s="187"/>
      <c r="G55" s="188"/>
      <c r="H55" s="132"/>
      <c r="I55" s="189"/>
      <c r="J55" s="190"/>
      <c r="K55" s="132"/>
      <c r="L55" s="187"/>
      <c r="M55" s="188"/>
      <c r="N55" s="147"/>
      <c r="O55" s="236"/>
      <c r="P55" s="139"/>
      <c r="Q55" s="237"/>
      <c r="R55" s="236"/>
      <c r="S55" s="207"/>
      <c r="T55" s="237"/>
    </row>
    <row r="56" spans="1:20">
      <c r="A56" s="417"/>
      <c r="B56" s="60" t="s">
        <v>68</v>
      </c>
      <c r="C56" s="76"/>
      <c r="D56" s="77"/>
      <c r="E56" s="43">
        <v>1</v>
      </c>
      <c r="F56" s="127"/>
      <c r="G56" s="128"/>
      <c r="H56" s="129"/>
      <c r="I56" s="130"/>
      <c r="J56" s="131"/>
      <c r="K56" s="129"/>
      <c r="L56" s="127"/>
      <c r="M56" s="128"/>
      <c r="N56" s="147"/>
      <c r="O56" s="236"/>
      <c r="P56" s="139"/>
      <c r="Q56" s="237"/>
      <c r="R56" s="236"/>
      <c r="S56" s="207"/>
      <c r="T56" s="237"/>
    </row>
    <row r="57" spans="1:20">
      <c r="A57" s="417"/>
      <c r="B57" s="60" t="s">
        <v>69</v>
      </c>
      <c r="C57" s="76">
        <v>1</v>
      </c>
      <c r="D57" s="77"/>
      <c r="E57" s="43"/>
      <c r="F57" s="231">
        <v>1</v>
      </c>
      <c r="G57" s="232"/>
      <c r="H57" s="233"/>
      <c r="I57" s="288"/>
      <c r="J57" s="197"/>
      <c r="K57" s="198"/>
      <c r="L57" s="127"/>
      <c r="M57" s="128"/>
      <c r="N57" s="204"/>
      <c r="O57" s="236"/>
      <c r="P57" s="207"/>
      <c r="Q57" s="237"/>
      <c r="R57" s="236"/>
      <c r="S57" s="207"/>
      <c r="T57" s="237"/>
    </row>
    <row r="58" spans="1:20" ht="22.9">
      <c r="A58" s="417"/>
      <c r="B58" s="60" t="s">
        <v>70</v>
      </c>
      <c r="C58" s="76">
        <v>1</v>
      </c>
      <c r="D58" s="77"/>
      <c r="E58" s="43"/>
      <c r="F58" s="26">
        <v>1</v>
      </c>
      <c r="G58" s="27"/>
      <c r="H58" s="28"/>
      <c r="I58" s="130"/>
      <c r="J58" s="131"/>
      <c r="K58" s="129"/>
      <c r="L58" s="127"/>
      <c r="M58" s="128"/>
      <c r="N58" s="147"/>
      <c r="O58" s="236"/>
      <c r="P58" s="207"/>
      <c r="Q58" s="237"/>
      <c r="R58" s="236"/>
      <c r="S58" s="207"/>
      <c r="T58" s="237"/>
    </row>
    <row r="59" spans="1:20">
      <c r="A59" s="417"/>
      <c r="B59" s="60" t="s">
        <v>71</v>
      </c>
      <c r="C59" s="91"/>
      <c r="D59" s="77"/>
      <c r="E59" s="43">
        <v>1</v>
      </c>
      <c r="F59" s="26">
        <v>1</v>
      </c>
      <c r="G59" s="27"/>
      <c r="H59" s="28"/>
      <c r="I59" s="288"/>
      <c r="J59" s="197"/>
      <c r="K59" s="198"/>
      <c r="L59" s="26">
        <v>1</v>
      </c>
      <c r="M59" s="27"/>
      <c r="N59" s="144"/>
      <c r="O59" s="241">
        <v>1</v>
      </c>
      <c r="P59" s="136"/>
      <c r="Q59" s="242"/>
      <c r="R59" s="236"/>
      <c r="S59" s="207"/>
      <c r="T59" s="237"/>
    </row>
    <row r="60" spans="1:20">
      <c r="A60" s="417"/>
      <c r="B60" s="60" t="s">
        <v>72</v>
      </c>
      <c r="C60" s="206"/>
      <c r="D60" s="207"/>
      <c r="E60" s="132"/>
      <c r="F60" s="268"/>
      <c r="G60" s="207"/>
      <c r="H60" s="132"/>
      <c r="I60" s="288"/>
      <c r="J60" s="197"/>
      <c r="K60" s="198"/>
      <c r="L60" s="229">
        <v>1</v>
      </c>
      <c r="M60" s="303"/>
      <c r="N60" s="249"/>
      <c r="O60" s="236"/>
      <c r="P60" s="207"/>
      <c r="Q60" s="237"/>
      <c r="R60" s="236"/>
      <c r="S60" s="207"/>
      <c r="T60" s="237"/>
    </row>
    <row r="61" spans="1:20">
      <c r="A61" s="417"/>
      <c r="B61" s="60" t="s">
        <v>73</v>
      </c>
      <c r="C61" s="206"/>
      <c r="D61" s="207"/>
      <c r="E61" s="132"/>
      <c r="F61" s="268"/>
      <c r="G61" s="207"/>
      <c r="H61" s="132"/>
      <c r="I61" s="288"/>
      <c r="J61" s="197"/>
      <c r="K61" s="198"/>
      <c r="L61" s="206"/>
      <c r="M61" s="149"/>
      <c r="N61" s="147"/>
      <c r="O61" s="236"/>
      <c r="P61" s="207"/>
      <c r="Q61" s="237"/>
      <c r="R61" s="236"/>
      <c r="S61" s="207"/>
      <c r="T61" s="237"/>
    </row>
    <row r="62" spans="1:20" ht="15" customHeight="1">
      <c r="A62" s="417"/>
      <c r="B62" s="60" t="s">
        <v>74</v>
      </c>
      <c r="C62" s="206"/>
      <c r="D62" s="207"/>
      <c r="E62" s="132"/>
      <c r="F62" s="127"/>
      <c r="G62" s="128"/>
      <c r="H62" s="129"/>
      <c r="I62" s="288"/>
      <c r="J62" s="197"/>
      <c r="K62" s="198"/>
      <c r="L62" s="206"/>
      <c r="M62" s="149"/>
      <c r="N62" s="147"/>
      <c r="O62" s="236"/>
      <c r="P62" s="139"/>
      <c r="Q62" s="237"/>
      <c r="R62" s="236"/>
      <c r="S62" s="207"/>
      <c r="T62" s="237"/>
    </row>
    <row r="63" spans="1:20" ht="24.75" customHeight="1">
      <c r="A63" s="417"/>
      <c r="B63" s="60" t="s">
        <v>75</v>
      </c>
      <c r="C63" s="91">
        <v>1</v>
      </c>
      <c r="D63" s="77"/>
      <c r="E63" s="48"/>
      <c r="F63" s="127"/>
      <c r="G63" s="128"/>
      <c r="H63" s="129"/>
      <c r="I63" s="288"/>
      <c r="J63" s="197"/>
      <c r="K63" s="198"/>
      <c r="L63" s="206"/>
      <c r="M63" s="194"/>
      <c r="N63" s="209"/>
      <c r="O63" s="236"/>
      <c r="P63" s="208"/>
      <c r="Q63" s="243"/>
      <c r="R63" s="236"/>
      <c r="S63" s="207"/>
      <c r="T63" s="237"/>
    </row>
    <row r="64" spans="1:20" ht="24.75" customHeight="1">
      <c r="A64" s="417"/>
      <c r="B64" s="60" t="s">
        <v>76</v>
      </c>
      <c r="C64" s="206"/>
      <c r="D64" s="207"/>
      <c r="E64" s="132"/>
      <c r="F64" s="127"/>
      <c r="G64" s="128"/>
      <c r="H64" s="129"/>
      <c r="I64" s="288"/>
      <c r="J64" s="197"/>
      <c r="K64" s="198"/>
      <c r="L64" s="206"/>
      <c r="M64" s="149"/>
      <c r="N64" s="147"/>
      <c r="O64" s="244">
        <v>1</v>
      </c>
      <c r="P64" s="152"/>
      <c r="Q64" s="245"/>
      <c r="R64" s="236"/>
      <c r="S64" s="207"/>
      <c r="T64" s="237"/>
    </row>
    <row r="65" spans="1:20" ht="24.75" customHeight="1">
      <c r="A65" s="417"/>
      <c r="B65" s="60" t="s">
        <v>77</v>
      </c>
      <c r="C65" s="158"/>
      <c r="D65" s="149"/>
      <c r="E65" s="132"/>
      <c r="F65" s="268"/>
      <c r="G65" s="207"/>
      <c r="H65" s="132"/>
      <c r="I65" s="268"/>
      <c r="J65" s="207"/>
      <c r="K65" s="132"/>
      <c r="L65" s="206"/>
      <c r="M65" s="149"/>
      <c r="N65" s="147"/>
      <c r="O65" s="244">
        <v>1</v>
      </c>
      <c r="P65" s="152"/>
      <c r="Q65" s="245"/>
      <c r="R65" s="317"/>
      <c r="S65" s="211"/>
      <c r="T65" s="172"/>
    </row>
    <row r="66" spans="1:20" ht="24.75" customHeight="1">
      <c r="A66" s="417"/>
      <c r="B66" s="60" t="s">
        <v>78</v>
      </c>
      <c r="C66" s="158"/>
      <c r="D66" s="149"/>
      <c r="E66" s="132"/>
      <c r="F66" s="268"/>
      <c r="G66" s="207"/>
      <c r="H66" s="132"/>
      <c r="I66" s="268"/>
      <c r="J66" s="207"/>
      <c r="K66" s="132"/>
      <c r="L66" s="206"/>
      <c r="M66" s="194"/>
      <c r="N66" s="209"/>
      <c r="O66" s="244">
        <v>1</v>
      </c>
      <c r="P66" s="152"/>
      <c r="Q66" s="245"/>
      <c r="R66" s="317"/>
      <c r="S66" s="211"/>
      <c r="T66" s="172"/>
    </row>
    <row r="67" spans="1:20" ht="24.75" customHeight="1">
      <c r="A67" s="417"/>
      <c r="B67" s="60" t="s">
        <v>79</v>
      </c>
      <c r="C67" s="158"/>
      <c r="D67" s="149"/>
      <c r="E67" s="132"/>
      <c r="F67" s="268"/>
      <c r="G67" s="207"/>
      <c r="H67" s="132"/>
      <c r="I67" s="268"/>
      <c r="J67" s="207"/>
      <c r="K67" s="132"/>
      <c r="L67" s="206"/>
      <c r="M67" s="194"/>
      <c r="N67" s="209"/>
      <c r="O67" s="244">
        <v>1</v>
      </c>
      <c r="P67" s="152"/>
      <c r="Q67" s="245"/>
      <c r="R67" s="317"/>
      <c r="S67" s="211"/>
      <c r="T67" s="172"/>
    </row>
    <row r="68" spans="1:20">
      <c r="A68" s="418"/>
      <c r="B68" s="174" t="s">
        <v>80</v>
      </c>
      <c r="C68" s="158"/>
      <c r="D68" s="149"/>
      <c r="E68" s="132"/>
      <c r="F68" s="280"/>
      <c r="G68" s="213"/>
      <c r="H68" s="214"/>
      <c r="I68" s="280"/>
      <c r="J68" s="213"/>
      <c r="K68" s="214"/>
      <c r="L68" s="212"/>
      <c r="M68" s="304"/>
      <c r="N68" s="215"/>
      <c r="O68" s="246"/>
      <c r="P68" s="247"/>
      <c r="Q68" s="248"/>
      <c r="R68" s="280"/>
      <c r="S68" s="213"/>
      <c r="T68" s="214"/>
    </row>
    <row r="69" spans="1:20">
      <c r="A69" s="419" t="s">
        <v>81</v>
      </c>
      <c r="B69" s="52" t="s">
        <v>81</v>
      </c>
      <c r="C69" s="49">
        <f>SUM(C8:C68)</f>
        <v>35</v>
      </c>
      <c r="D69" s="49">
        <f>SUM(D8:D68)</f>
        <v>2</v>
      </c>
      <c r="E69" s="45">
        <f>SUM(E8:E68)</f>
        <v>12</v>
      </c>
      <c r="F69" s="281">
        <f t="shared" ref="F69:T69" si="0">SUM(F8:F68)</f>
        <v>29</v>
      </c>
      <c r="G69" s="45">
        <f t="shared" si="0"/>
        <v>2</v>
      </c>
      <c r="H69" s="45">
        <f t="shared" si="0"/>
        <v>9</v>
      </c>
      <c r="I69" s="281">
        <f t="shared" si="0"/>
        <v>18</v>
      </c>
      <c r="J69" s="45">
        <f t="shared" si="0"/>
        <v>2</v>
      </c>
      <c r="K69" s="45">
        <f t="shared" si="0"/>
        <v>16</v>
      </c>
      <c r="L69" s="45">
        <f t="shared" si="0"/>
        <v>25</v>
      </c>
      <c r="M69" s="281">
        <f t="shared" si="0"/>
        <v>4</v>
      </c>
      <c r="N69" s="45">
        <f t="shared" si="0"/>
        <v>12</v>
      </c>
      <c r="O69" s="312">
        <f t="shared" si="0"/>
        <v>28</v>
      </c>
      <c r="P69" s="250">
        <f t="shared" si="0"/>
        <v>5</v>
      </c>
      <c r="Q69" s="250">
        <f t="shared" si="0"/>
        <v>11</v>
      </c>
      <c r="R69" s="281">
        <f t="shared" si="0"/>
        <v>5</v>
      </c>
      <c r="S69" s="45">
        <f t="shared" si="0"/>
        <v>2</v>
      </c>
      <c r="T69" s="281">
        <f t="shared" si="0"/>
        <v>30</v>
      </c>
    </row>
    <row r="70" spans="1:20">
      <c r="A70" s="420"/>
      <c r="B70" s="53" t="s">
        <v>82</v>
      </c>
      <c r="C70" s="424"/>
      <c r="D70" s="425"/>
      <c r="E70" s="426"/>
      <c r="F70" s="424"/>
      <c r="G70" s="425"/>
      <c r="H70" s="426"/>
      <c r="I70" s="424"/>
      <c r="J70" s="425"/>
      <c r="K70" s="426"/>
      <c r="L70" s="424"/>
      <c r="M70" s="425"/>
      <c r="N70" s="426"/>
      <c r="O70" s="424"/>
      <c r="P70" s="425"/>
      <c r="Q70" s="426"/>
      <c r="R70" s="424"/>
      <c r="S70" s="425"/>
      <c r="T70" s="426"/>
    </row>
    <row r="71" spans="1:20" ht="50.45" customHeight="1">
      <c r="A71" s="412" t="s">
        <v>83</v>
      </c>
      <c r="B71" s="338"/>
      <c r="C71" s="338"/>
      <c r="D71" s="338"/>
      <c r="E71" s="338"/>
      <c r="F71" s="338"/>
      <c r="G71" s="338"/>
      <c r="H71" s="338"/>
      <c r="I71" s="338"/>
      <c r="J71" s="338"/>
      <c r="K71" s="338"/>
      <c r="L71" s="338"/>
      <c r="M71" s="338"/>
      <c r="N71" s="338"/>
      <c r="O71" s="413"/>
      <c r="P71" s="413"/>
      <c r="Q71" s="413"/>
      <c r="R71" s="338"/>
      <c r="S71" s="338"/>
      <c r="T71" s="339"/>
    </row>
    <row r="72" spans="1:20">
      <c r="A72" s="37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</row>
    <row r="73" spans="1:20" ht="15.6">
      <c r="A73" s="277" t="s">
        <v>118</v>
      </c>
      <c r="B73" s="67"/>
      <c r="C73" s="67"/>
      <c r="D73" s="67"/>
      <c r="E73" s="67"/>
      <c r="F73" s="227"/>
      <c r="G73" s="67"/>
      <c r="H73" s="67"/>
      <c r="I73" s="289"/>
      <c r="J73" s="67"/>
      <c r="K73" s="67"/>
      <c r="L73" s="67"/>
      <c r="M73" s="227"/>
      <c r="N73" s="67"/>
      <c r="O73" s="227"/>
      <c r="P73" s="67"/>
      <c r="Q73" s="67"/>
      <c r="R73" s="227"/>
      <c r="S73" s="67"/>
      <c r="T73" s="223"/>
    </row>
    <row r="74" spans="1:20">
      <c r="A74" s="430"/>
      <c r="B74" s="431"/>
      <c r="C74" s="431"/>
      <c r="D74" s="431"/>
      <c r="E74" s="431"/>
      <c r="F74" s="431"/>
      <c r="G74" s="431"/>
      <c r="H74" s="431"/>
      <c r="I74" s="431"/>
      <c r="J74" s="431"/>
      <c r="K74" s="431"/>
      <c r="L74" s="431"/>
      <c r="M74" s="431"/>
      <c r="N74" s="431"/>
      <c r="O74" s="431"/>
      <c r="P74" s="431"/>
      <c r="Q74" s="431"/>
      <c r="R74" s="431"/>
      <c r="S74" s="431"/>
      <c r="T74" s="323"/>
    </row>
    <row r="75" spans="1:20">
      <c r="A75" s="56"/>
      <c r="B75" s="46"/>
      <c r="C75" s="46"/>
      <c r="D75" s="46"/>
      <c r="E75" s="46"/>
      <c r="F75" s="228"/>
      <c r="G75" s="46"/>
      <c r="H75" s="46"/>
      <c r="I75" s="290"/>
      <c r="J75" s="46"/>
      <c r="K75" s="46"/>
      <c r="L75" s="46"/>
      <c r="M75" s="228"/>
      <c r="N75" s="46"/>
      <c r="O75" s="228"/>
      <c r="P75" s="46"/>
      <c r="Q75" s="46"/>
      <c r="R75" s="228"/>
      <c r="S75" s="46"/>
      <c r="T75" s="224"/>
    </row>
    <row r="76" spans="1:20">
      <c r="A76" s="56"/>
      <c r="B76" s="46"/>
      <c r="C76" s="46"/>
      <c r="D76" s="46"/>
      <c r="E76" s="46"/>
      <c r="F76" s="228"/>
      <c r="G76" s="46"/>
      <c r="H76" s="46"/>
      <c r="I76" s="290"/>
      <c r="J76" s="46"/>
      <c r="K76" s="46"/>
      <c r="L76" s="46"/>
      <c r="M76" s="228"/>
      <c r="N76" s="46"/>
      <c r="O76" s="228"/>
      <c r="P76" s="46"/>
      <c r="Q76" s="46"/>
      <c r="R76" s="228"/>
      <c r="S76" s="46"/>
      <c r="T76" s="224"/>
    </row>
    <row r="77" spans="1:20">
      <c r="A77" s="56"/>
      <c r="B77" s="46"/>
      <c r="C77" s="46"/>
      <c r="D77" s="46"/>
      <c r="E77" s="46"/>
      <c r="F77" s="228"/>
      <c r="G77" s="46"/>
      <c r="H77" s="46"/>
      <c r="I77" s="290"/>
      <c r="J77" s="46"/>
      <c r="K77" s="46"/>
      <c r="L77" s="46"/>
      <c r="M77" s="228"/>
      <c r="N77" s="46"/>
      <c r="O77" s="228"/>
      <c r="P77" s="46"/>
      <c r="Q77" s="46"/>
      <c r="R77" s="228"/>
      <c r="S77" s="46"/>
      <c r="T77" s="224"/>
    </row>
    <row r="78" spans="1:20">
      <c r="A78" s="56"/>
      <c r="B78" s="46"/>
      <c r="C78" s="46"/>
      <c r="D78" s="46"/>
      <c r="E78" s="46"/>
      <c r="F78" s="228"/>
      <c r="G78" s="46"/>
      <c r="H78" s="46"/>
      <c r="I78" s="290"/>
      <c r="J78" s="46"/>
      <c r="K78" s="46"/>
      <c r="L78" s="46"/>
      <c r="M78" s="228"/>
      <c r="N78" s="46"/>
      <c r="O78" s="228"/>
      <c r="P78" s="46"/>
      <c r="Q78" s="46"/>
      <c r="R78" s="228"/>
      <c r="S78" s="46"/>
      <c r="T78" s="224"/>
    </row>
    <row r="79" spans="1:20">
      <c r="A79" s="56"/>
      <c r="B79" s="46"/>
      <c r="C79" s="46"/>
      <c r="D79" s="46"/>
      <c r="E79" s="46"/>
      <c r="F79" s="228"/>
      <c r="G79" s="46"/>
      <c r="H79" s="46"/>
      <c r="I79" s="290"/>
      <c r="J79" s="46"/>
      <c r="K79" s="46"/>
      <c r="L79" s="46"/>
      <c r="M79" s="228"/>
      <c r="N79" s="46"/>
      <c r="O79" s="228"/>
      <c r="P79" s="46"/>
      <c r="Q79" s="46"/>
      <c r="R79" s="228"/>
      <c r="S79" s="46"/>
      <c r="T79" s="224"/>
    </row>
    <row r="80" spans="1:20">
      <c r="A80" s="56"/>
      <c r="B80" s="46"/>
      <c r="C80" s="46"/>
      <c r="D80" s="46"/>
      <c r="E80" s="46"/>
      <c r="F80" s="228"/>
      <c r="G80" s="46"/>
      <c r="H80" s="46"/>
      <c r="I80" s="290"/>
      <c r="J80" s="46"/>
      <c r="K80" s="46"/>
      <c r="L80" s="46"/>
      <c r="M80" s="228"/>
      <c r="N80" s="46"/>
      <c r="O80" s="228"/>
      <c r="P80" s="46"/>
      <c r="Q80" s="46"/>
      <c r="R80" s="228"/>
      <c r="S80" s="46"/>
      <c r="T80" s="224"/>
    </row>
    <row r="81" spans="1:20">
      <c r="A81" s="56"/>
      <c r="B81" s="46"/>
      <c r="C81" s="46"/>
      <c r="D81" s="46"/>
      <c r="E81" s="46"/>
      <c r="F81" s="228"/>
      <c r="G81" s="46"/>
      <c r="H81" s="46"/>
      <c r="I81" s="290"/>
      <c r="J81" s="46"/>
      <c r="K81" s="46"/>
      <c r="L81" s="46"/>
      <c r="M81" s="228"/>
      <c r="N81" s="46"/>
      <c r="O81" s="228"/>
      <c r="P81" s="46"/>
      <c r="Q81" s="46"/>
      <c r="R81" s="228"/>
      <c r="S81" s="46"/>
      <c r="T81" s="224"/>
    </row>
    <row r="82" spans="1:20">
      <c r="A82" s="56"/>
      <c r="B82" s="46"/>
      <c r="C82" s="46"/>
      <c r="D82" s="46"/>
      <c r="E82" s="46"/>
      <c r="F82" s="228"/>
      <c r="G82" s="46"/>
      <c r="H82" s="46"/>
      <c r="I82" s="290"/>
      <c r="J82" s="46"/>
      <c r="K82" s="46"/>
      <c r="L82" s="46"/>
      <c r="M82" s="228"/>
      <c r="N82" s="46"/>
      <c r="O82" s="228"/>
      <c r="P82" s="46"/>
      <c r="Q82" s="46"/>
      <c r="R82" s="228"/>
      <c r="S82" s="46"/>
      <c r="T82" s="224"/>
    </row>
    <row r="83" spans="1:20">
      <c r="A83" s="56"/>
      <c r="B83" s="46"/>
      <c r="C83" s="46"/>
      <c r="D83" s="46"/>
      <c r="E83" s="46"/>
      <c r="F83" s="228"/>
      <c r="G83" s="46"/>
      <c r="H83" s="46"/>
      <c r="I83" s="290"/>
      <c r="J83" s="46"/>
      <c r="K83" s="46"/>
      <c r="L83" s="46"/>
      <c r="M83" s="228"/>
      <c r="N83" s="46"/>
      <c r="O83" s="228"/>
      <c r="P83" s="46"/>
      <c r="Q83" s="46"/>
      <c r="R83" s="228"/>
      <c r="S83" s="46"/>
      <c r="T83" s="224"/>
    </row>
    <row r="84" spans="1:20">
      <c r="A84" s="56"/>
      <c r="B84" s="46"/>
      <c r="C84" s="46"/>
      <c r="D84" s="46"/>
      <c r="E84" s="46"/>
      <c r="F84" s="228"/>
      <c r="G84" s="46"/>
      <c r="H84" s="46"/>
      <c r="I84" s="290"/>
      <c r="J84" s="46"/>
      <c r="K84" s="46"/>
      <c r="L84" s="46"/>
      <c r="M84" s="228"/>
      <c r="N84" s="46"/>
      <c r="O84" s="228"/>
      <c r="P84" s="46"/>
      <c r="Q84" s="46"/>
      <c r="R84" s="228"/>
      <c r="S84" s="46"/>
      <c r="T84" s="224"/>
    </row>
    <row r="85" spans="1:20">
      <c r="A85" s="56"/>
      <c r="B85" s="46"/>
      <c r="C85" s="46"/>
      <c r="D85" s="46"/>
      <c r="E85" s="46"/>
      <c r="F85" s="228"/>
      <c r="G85" s="46"/>
      <c r="H85" s="46"/>
      <c r="I85" s="290"/>
      <c r="J85" s="46"/>
      <c r="K85" s="46"/>
      <c r="L85" s="46"/>
      <c r="M85" s="228"/>
      <c r="N85" s="46"/>
      <c r="O85" s="228"/>
      <c r="P85" s="46"/>
      <c r="Q85" s="46"/>
      <c r="R85" s="228"/>
      <c r="S85" s="46"/>
      <c r="T85" s="224"/>
    </row>
    <row r="86" spans="1:20">
      <c r="A86" s="56"/>
      <c r="B86" s="46"/>
      <c r="C86" s="46"/>
      <c r="D86" s="46"/>
      <c r="E86" s="46"/>
      <c r="F86" s="228"/>
      <c r="G86" s="46"/>
      <c r="H86" s="46"/>
      <c r="I86" s="290"/>
      <c r="J86" s="46"/>
      <c r="K86" s="46"/>
      <c r="L86" s="46"/>
      <c r="M86" s="228"/>
      <c r="N86" s="46"/>
      <c r="O86" s="228"/>
      <c r="P86" s="46"/>
      <c r="Q86" s="46"/>
      <c r="R86" s="228"/>
      <c r="S86" s="116"/>
      <c r="T86" s="224"/>
    </row>
    <row r="87" spans="1:20">
      <c r="A87" s="56"/>
      <c r="B87" s="46"/>
      <c r="C87" s="46"/>
      <c r="D87" s="46"/>
      <c r="E87" s="46"/>
      <c r="F87" s="228"/>
      <c r="G87" s="46"/>
      <c r="H87" s="46"/>
      <c r="I87" s="290"/>
      <c r="J87" s="46"/>
      <c r="K87" s="46"/>
      <c r="L87" s="46"/>
      <c r="M87" s="228"/>
      <c r="N87" s="46"/>
      <c r="O87" s="228"/>
      <c r="P87" s="46"/>
      <c r="Q87" s="46"/>
      <c r="R87" s="228"/>
      <c r="S87" s="46"/>
      <c r="T87" s="224"/>
    </row>
    <row r="88" spans="1:20">
      <c r="A88" s="56"/>
      <c r="B88" s="46"/>
      <c r="C88" s="46"/>
      <c r="D88" s="46"/>
      <c r="E88" s="46"/>
      <c r="F88" s="228"/>
      <c r="G88" s="46"/>
      <c r="H88" s="46"/>
      <c r="I88" s="290"/>
      <c r="J88" s="46"/>
      <c r="K88" s="46"/>
      <c r="L88" s="46"/>
      <c r="M88" s="228"/>
      <c r="N88" s="46"/>
      <c r="O88" s="228"/>
      <c r="P88" s="46"/>
      <c r="Q88" s="46"/>
      <c r="R88" s="228"/>
      <c r="S88" s="46"/>
      <c r="T88" s="224"/>
    </row>
    <row r="89" spans="1:20">
      <c r="A89" s="56"/>
      <c r="B89" s="46"/>
      <c r="C89" s="46"/>
      <c r="D89" s="46"/>
      <c r="E89" s="46"/>
      <c r="F89" s="228"/>
      <c r="G89" s="46"/>
      <c r="H89" s="46"/>
      <c r="I89" s="290"/>
      <c r="J89" s="46"/>
      <c r="K89" s="46"/>
      <c r="L89" s="46"/>
      <c r="M89" s="228"/>
      <c r="N89" s="46"/>
      <c r="O89" s="228"/>
      <c r="P89" s="46"/>
      <c r="Q89" s="46"/>
      <c r="R89" s="228"/>
      <c r="S89" s="46"/>
      <c r="T89" s="224"/>
    </row>
    <row r="90" spans="1:20">
      <c r="A90" s="56"/>
      <c r="B90" s="46"/>
      <c r="C90" s="46"/>
      <c r="D90" s="46"/>
      <c r="E90" s="46"/>
      <c r="F90" s="228"/>
      <c r="G90" s="46"/>
      <c r="H90" s="46"/>
      <c r="I90" s="290"/>
      <c r="J90" s="46"/>
      <c r="K90" s="46"/>
      <c r="L90" s="46"/>
      <c r="M90" s="228"/>
      <c r="N90" s="46"/>
      <c r="O90" s="228"/>
      <c r="P90" s="46"/>
      <c r="Q90" s="46"/>
      <c r="R90" s="228"/>
      <c r="S90" s="46"/>
      <c r="T90" s="224"/>
    </row>
    <row r="91" spans="1:20">
      <c r="A91" s="56"/>
      <c r="B91" s="46"/>
      <c r="C91" s="46"/>
      <c r="D91" s="46"/>
      <c r="E91" s="46"/>
      <c r="F91" s="228"/>
      <c r="G91" s="46"/>
      <c r="H91" s="46"/>
      <c r="I91" s="290"/>
      <c r="J91" s="46"/>
      <c r="K91" s="46"/>
      <c r="L91" s="46"/>
      <c r="M91" s="228"/>
      <c r="N91" s="46"/>
      <c r="O91" s="228"/>
      <c r="P91" s="46"/>
      <c r="Q91" s="46"/>
      <c r="R91" s="228"/>
      <c r="S91" s="46"/>
      <c r="T91" s="224"/>
    </row>
    <row r="92" spans="1:20">
      <c r="A92" s="56"/>
      <c r="B92" s="46"/>
      <c r="C92" s="46"/>
      <c r="D92" s="46"/>
      <c r="E92" s="46"/>
      <c r="F92" s="228"/>
      <c r="G92" s="46"/>
      <c r="H92" s="46"/>
      <c r="I92" s="290"/>
      <c r="J92" s="46"/>
      <c r="K92" s="46"/>
      <c r="L92" s="46"/>
      <c r="M92" s="228"/>
      <c r="N92" s="46"/>
      <c r="O92" s="228"/>
      <c r="P92" s="46"/>
      <c r="Q92" s="46"/>
      <c r="R92" s="228"/>
      <c r="S92" s="117"/>
      <c r="T92" s="224"/>
    </row>
    <row r="93" spans="1:20">
      <c r="A93" s="56"/>
      <c r="B93" s="46"/>
      <c r="C93" s="46"/>
      <c r="D93" s="46"/>
      <c r="E93" s="46"/>
      <c r="F93" s="228"/>
      <c r="G93" s="46"/>
      <c r="H93" s="46"/>
      <c r="I93" s="290"/>
      <c r="J93" s="46"/>
      <c r="K93" s="46"/>
      <c r="L93" s="46"/>
      <c r="M93" s="228"/>
      <c r="N93" s="46"/>
      <c r="O93" s="228"/>
      <c r="P93" s="46"/>
      <c r="Q93" s="46"/>
      <c r="R93" s="228"/>
      <c r="S93" s="46"/>
      <c r="T93" s="224"/>
    </row>
    <row r="94" spans="1:20">
      <c r="A94" s="56"/>
      <c r="B94" s="46"/>
      <c r="C94" s="46"/>
      <c r="D94" s="46"/>
      <c r="E94" s="46"/>
      <c r="F94" s="228"/>
      <c r="G94" s="46"/>
      <c r="H94" s="46"/>
      <c r="I94" s="290"/>
      <c r="J94" s="46"/>
      <c r="K94" s="46"/>
      <c r="L94" s="46"/>
      <c r="M94" s="228"/>
      <c r="N94" s="46"/>
      <c r="O94" s="228"/>
      <c r="P94" s="46"/>
      <c r="Q94" s="46"/>
      <c r="R94" s="228"/>
      <c r="S94" s="46"/>
      <c r="T94" s="224"/>
    </row>
    <row r="95" spans="1:20">
      <c r="A95" s="56"/>
      <c r="B95" s="46"/>
      <c r="C95" s="46"/>
      <c r="D95" s="46"/>
      <c r="E95" s="46"/>
      <c r="F95" s="228"/>
      <c r="G95" s="46"/>
      <c r="H95" s="46"/>
      <c r="I95" s="290"/>
      <c r="J95" s="46"/>
      <c r="K95" s="46"/>
      <c r="L95" s="46"/>
      <c r="M95" s="228"/>
      <c r="N95" s="46"/>
      <c r="O95" s="228"/>
      <c r="P95" s="46"/>
      <c r="Q95" s="46"/>
      <c r="R95" s="228"/>
      <c r="S95" s="46"/>
      <c r="T95" s="224"/>
    </row>
    <row r="96" spans="1:20">
      <c r="A96" s="56"/>
      <c r="B96" s="46"/>
      <c r="C96" s="46"/>
      <c r="D96" s="46"/>
      <c r="E96" s="46"/>
      <c r="F96" s="228"/>
      <c r="G96" s="46"/>
      <c r="H96" s="46"/>
      <c r="I96" s="290"/>
      <c r="J96" s="46"/>
      <c r="K96" s="46"/>
      <c r="L96" s="46"/>
      <c r="M96" s="228"/>
      <c r="N96" s="46"/>
      <c r="O96" s="228"/>
      <c r="P96" s="46"/>
      <c r="Q96" s="46"/>
      <c r="R96" s="228"/>
      <c r="S96" s="46"/>
      <c r="T96" s="224"/>
    </row>
    <row r="97" spans="1:20">
      <c r="A97" s="56"/>
      <c r="B97" s="46"/>
      <c r="C97" s="46"/>
      <c r="D97" s="46"/>
      <c r="E97" s="46"/>
      <c r="F97" s="228"/>
      <c r="G97" s="46"/>
      <c r="H97" s="46"/>
      <c r="I97" s="290"/>
      <c r="J97" s="46"/>
      <c r="K97" s="46"/>
      <c r="L97" s="46"/>
      <c r="M97" s="228"/>
      <c r="N97" s="46"/>
      <c r="O97" s="228"/>
      <c r="P97" s="46"/>
      <c r="Q97" s="46"/>
      <c r="R97" s="228"/>
      <c r="S97" s="46"/>
      <c r="T97" s="224"/>
    </row>
    <row r="98" spans="1:20">
      <c r="A98" s="56"/>
      <c r="B98" s="46"/>
      <c r="C98" s="46"/>
      <c r="D98" s="46"/>
      <c r="E98" s="46"/>
      <c r="F98" s="228"/>
      <c r="G98" s="46"/>
      <c r="H98" s="46"/>
      <c r="I98" s="290"/>
      <c r="J98" s="46"/>
      <c r="K98" s="46"/>
      <c r="L98" s="46"/>
      <c r="M98" s="228"/>
      <c r="N98" s="46"/>
      <c r="O98" s="228"/>
      <c r="P98" s="46"/>
      <c r="Q98" s="46"/>
      <c r="R98" s="228"/>
      <c r="S98" s="46"/>
      <c r="T98" s="224"/>
    </row>
    <row r="99" spans="1:20">
      <c r="A99" s="56"/>
      <c r="B99" s="46"/>
      <c r="C99" s="46"/>
      <c r="D99" s="46"/>
      <c r="E99" s="46"/>
      <c r="F99" s="228"/>
      <c r="G99" s="46"/>
      <c r="H99" s="46"/>
      <c r="I99" s="290"/>
      <c r="J99" s="46"/>
      <c r="K99" s="46"/>
      <c r="L99" s="46"/>
      <c r="M99" s="228"/>
      <c r="N99" s="46"/>
      <c r="O99" s="228"/>
      <c r="P99" s="46"/>
      <c r="Q99" s="46"/>
      <c r="R99" s="228"/>
      <c r="S99" s="46"/>
      <c r="T99" s="224"/>
    </row>
    <row r="100" spans="1:20">
      <c r="A100" s="56"/>
      <c r="B100" s="46"/>
      <c r="C100" s="46"/>
      <c r="D100" s="46"/>
      <c r="E100" s="46"/>
      <c r="F100" s="228"/>
      <c r="G100" s="46"/>
      <c r="H100" s="46"/>
      <c r="I100" s="290"/>
      <c r="J100" s="46"/>
      <c r="K100" s="46"/>
      <c r="L100" s="46"/>
      <c r="M100" s="228"/>
      <c r="N100" s="46"/>
      <c r="O100" s="228"/>
      <c r="P100" s="46"/>
      <c r="Q100" s="46"/>
      <c r="R100" s="228"/>
      <c r="S100" s="46"/>
      <c r="T100" s="224"/>
    </row>
    <row r="101" spans="1:20">
      <c r="A101" s="56"/>
      <c r="B101" s="46"/>
      <c r="C101" s="46"/>
      <c r="D101" s="46"/>
      <c r="E101" s="46"/>
      <c r="F101" s="228"/>
      <c r="G101" s="46"/>
      <c r="H101" s="46"/>
      <c r="I101" s="290"/>
      <c r="J101" s="46"/>
      <c r="K101" s="46"/>
      <c r="L101" s="46"/>
      <c r="M101" s="228"/>
      <c r="N101" s="46"/>
      <c r="O101" s="228"/>
      <c r="P101" s="46"/>
      <c r="Q101" s="46"/>
      <c r="R101" s="228"/>
      <c r="S101" s="46"/>
      <c r="T101" s="224"/>
    </row>
    <row r="102" spans="1:20">
      <c r="A102" s="56"/>
      <c r="B102" s="46"/>
      <c r="C102" s="46"/>
      <c r="D102" s="46"/>
      <c r="E102" s="46"/>
      <c r="F102" s="228"/>
      <c r="G102" s="46"/>
      <c r="H102" s="46"/>
      <c r="I102" s="290"/>
      <c r="J102" s="46"/>
      <c r="K102" s="46"/>
      <c r="L102" s="46"/>
      <c r="M102" s="228"/>
      <c r="N102" s="46"/>
      <c r="O102" s="228"/>
      <c r="P102" s="46"/>
      <c r="Q102" s="46"/>
      <c r="R102" s="228"/>
      <c r="S102" s="46"/>
      <c r="T102" s="224"/>
    </row>
    <row r="103" spans="1:20">
      <c r="A103" s="56"/>
      <c r="B103" s="46"/>
      <c r="C103" s="46"/>
      <c r="D103" s="46"/>
      <c r="E103" s="46"/>
      <c r="F103" s="228"/>
      <c r="G103" s="46"/>
      <c r="H103" s="46"/>
      <c r="I103" s="290"/>
      <c r="J103" s="46"/>
      <c r="K103" s="46"/>
      <c r="L103" s="46"/>
      <c r="M103" s="228"/>
      <c r="N103" s="46"/>
      <c r="O103" s="228"/>
      <c r="P103" s="46"/>
      <c r="Q103" s="46"/>
      <c r="R103" s="228"/>
      <c r="S103" s="46"/>
      <c r="T103" s="224"/>
    </row>
    <row r="104" spans="1:20">
      <c r="A104" s="56"/>
      <c r="B104" s="46"/>
      <c r="C104" s="46"/>
      <c r="D104" s="46"/>
      <c r="E104" s="46"/>
      <c r="F104" s="228"/>
      <c r="G104" s="46"/>
      <c r="H104" s="46"/>
      <c r="I104" s="290"/>
      <c r="J104" s="46"/>
      <c r="K104" s="46"/>
      <c r="L104" s="46"/>
      <c r="M104" s="228"/>
      <c r="N104" s="46"/>
      <c r="O104" s="228"/>
      <c r="P104" s="46"/>
      <c r="Q104" s="46"/>
      <c r="R104" s="228"/>
      <c r="S104" s="46"/>
      <c r="T104" s="224"/>
    </row>
    <row r="105" spans="1:20">
      <c r="A105" s="56"/>
      <c r="B105" s="46"/>
      <c r="C105" s="46"/>
      <c r="D105" s="46"/>
      <c r="E105" s="46"/>
      <c r="F105" s="228"/>
      <c r="G105" s="46"/>
      <c r="H105" s="46"/>
      <c r="I105" s="290"/>
      <c r="J105" s="46"/>
      <c r="K105" s="46"/>
      <c r="L105" s="46"/>
      <c r="M105" s="228"/>
      <c r="N105" s="46"/>
      <c r="O105" s="228"/>
      <c r="P105" s="46"/>
      <c r="Q105" s="46"/>
      <c r="R105" s="228"/>
      <c r="S105" s="46"/>
      <c r="T105" s="224"/>
    </row>
    <row r="106" spans="1:20">
      <c r="A106" s="56"/>
      <c r="B106" s="46"/>
      <c r="C106" s="46"/>
      <c r="D106" s="46"/>
      <c r="E106" s="46"/>
      <c r="F106" s="228"/>
      <c r="G106" s="46"/>
      <c r="H106" s="46"/>
      <c r="I106" s="290"/>
      <c r="J106" s="46"/>
      <c r="K106" s="46"/>
      <c r="L106" s="46"/>
      <c r="M106" s="228"/>
      <c r="N106" s="46"/>
      <c r="O106" s="228"/>
      <c r="P106" s="46"/>
      <c r="Q106" s="46"/>
      <c r="R106" s="228"/>
      <c r="S106" s="46"/>
      <c r="T106" s="224"/>
    </row>
    <row r="107" spans="1:20">
      <c r="A107" s="56"/>
      <c r="B107" s="46"/>
      <c r="C107" s="46"/>
      <c r="D107" s="46"/>
      <c r="E107" s="46"/>
      <c r="F107" s="228"/>
      <c r="G107" s="46"/>
      <c r="H107" s="46"/>
      <c r="I107" s="290"/>
      <c r="J107" s="46"/>
      <c r="K107" s="46"/>
      <c r="L107" s="46"/>
      <c r="M107" s="228"/>
      <c r="N107" s="46"/>
      <c r="O107" s="228"/>
      <c r="P107" s="46"/>
      <c r="Q107" s="46"/>
      <c r="R107" s="228"/>
      <c r="S107" s="46"/>
      <c r="T107" s="224"/>
    </row>
    <row r="108" spans="1:20">
      <c r="A108" s="56" t="s">
        <v>85</v>
      </c>
      <c r="B108" s="46"/>
      <c r="C108" s="428"/>
      <c r="D108" s="428"/>
      <c r="E108" s="428"/>
      <c r="F108" s="428"/>
      <c r="G108" s="428"/>
      <c r="H108" s="428"/>
      <c r="I108" s="428"/>
      <c r="J108" s="428"/>
      <c r="K108" s="428"/>
      <c r="L108" s="428"/>
      <c r="M108" s="428"/>
      <c r="N108" s="428"/>
      <c r="O108" s="428"/>
      <c r="P108" s="428"/>
      <c r="Q108" s="428"/>
      <c r="R108" s="428"/>
      <c r="S108" s="428"/>
      <c r="T108" s="224"/>
    </row>
    <row r="109" spans="1:20">
      <c r="A109" s="429"/>
      <c r="B109" s="428"/>
      <c r="C109" s="428"/>
      <c r="D109" s="428"/>
      <c r="E109" s="428"/>
      <c r="F109" s="428"/>
      <c r="G109" s="428"/>
      <c r="H109" s="428"/>
      <c r="I109" s="428"/>
      <c r="J109" s="428"/>
      <c r="K109" s="428"/>
      <c r="L109" s="428"/>
      <c r="M109" s="428"/>
      <c r="N109" s="428"/>
      <c r="O109" s="428"/>
      <c r="P109" s="428"/>
      <c r="Q109" s="428"/>
      <c r="R109" s="428"/>
      <c r="S109" s="428"/>
      <c r="T109" s="224"/>
    </row>
    <row r="110" spans="1:20">
      <c r="A110" s="56"/>
      <c r="B110" s="46"/>
      <c r="C110" s="46"/>
      <c r="D110" s="46"/>
      <c r="E110" s="46"/>
      <c r="F110" s="228"/>
      <c r="G110" s="46"/>
      <c r="H110" s="46"/>
      <c r="I110" s="290"/>
      <c r="J110" s="46"/>
      <c r="K110" s="46"/>
      <c r="L110" s="46"/>
      <c r="M110" s="228"/>
      <c r="N110" s="46"/>
      <c r="O110" s="228"/>
      <c r="P110" s="46"/>
      <c r="Q110" s="46"/>
      <c r="R110" s="228"/>
      <c r="S110" s="46"/>
      <c r="T110" s="224"/>
    </row>
    <row r="111" spans="1:20">
      <c r="A111" s="56"/>
      <c r="B111" s="46"/>
      <c r="C111" s="46"/>
      <c r="D111" s="46"/>
      <c r="E111" s="46"/>
      <c r="F111" s="228"/>
      <c r="G111" s="46"/>
      <c r="H111" s="46"/>
      <c r="I111" s="290"/>
      <c r="J111" s="46"/>
      <c r="K111" s="46"/>
      <c r="L111" s="46"/>
      <c r="M111" s="228"/>
      <c r="N111" s="46"/>
      <c r="O111" s="228"/>
      <c r="P111" s="46"/>
      <c r="Q111" s="46"/>
      <c r="R111" s="228"/>
      <c r="S111" s="46"/>
      <c r="T111" s="224"/>
    </row>
    <row r="112" spans="1:20">
      <c r="A112" s="56"/>
      <c r="B112" s="46"/>
      <c r="C112" s="46"/>
      <c r="D112" s="46"/>
      <c r="E112" s="46"/>
      <c r="F112" s="228"/>
      <c r="G112" s="46"/>
      <c r="H112" s="46"/>
      <c r="I112" s="290"/>
      <c r="J112" s="46"/>
      <c r="K112" s="46"/>
      <c r="L112" s="46"/>
      <c r="M112" s="228"/>
      <c r="N112" s="46"/>
      <c r="O112" s="228"/>
      <c r="P112" s="46"/>
      <c r="Q112" s="46"/>
      <c r="R112" s="228"/>
      <c r="S112" s="117"/>
      <c r="T112" s="224"/>
    </row>
    <row r="113" spans="1:20">
      <c r="A113" s="56"/>
      <c r="B113" s="46"/>
      <c r="C113" s="46"/>
      <c r="D113" s="46"/>
      <c r="E113" s="46"/>
      <c r="F113" s="228"/>
      <c r="G113" s="46"/>
      <c r="H113" s="46"/>
      <c r="I113" s="290"/>
      <c r="J113" s="46"/>
      <c r="K113" s="46"/>
      <c r="L113" s="46"/>
      <c r="M113" s="228"/>
      <c r="N113" s="46"/>
      <c r="O113" s="228"/>
      <c r="P113" s="46"/>
      <c r="Q113" s="46"/>
      <c r="R113" s="228"/>
      <c r="S113" s="46"/>
      <c r="T113" s="224"/>
    </row>
    <row r="114" spans="1:20">
      <c r="A114" s="56"/>
      <c r="B114" s="46"/>
      <c r="C114" s="46"/>
      <c r="D114" s="46"/>
      <c r="E114" s="46"/>
      <c r="F114" s="228"/>
      <c r="G114" s="46"/>
      <c r="H114" s="46"/>
      <c r="I114" s="290"/>
      <c r="J114" s="46"/>
      <c r="K114" s="46"/>
      <c r="L114" s="46"/>
      <c r="M114" s="228"/>
      <c r="N114" s="46"/>
      <c r="O114" s="228"/>
      <c r="P114" s="46"/>
      <c r="Q114" s="46"/>
      <c r="R114" s="228"/>
      <c r="S114" s="46"/>
      <c r="T114" s="224"/>
    </row>
    <row r="115" spans="1:20">
      <c r="A115" s="56"/>
      <c r="B115" s="46"/>
      <c r="C115" s="46"/>
      <c r="D115" s="46"/>
      <c r="E115" s="46"/>
      <c r="F115" s="228"/>
      <c r="G115" s="46"/>
      <c r="H115" s="46"/>
      <c r="I115" s="290"/>
      <c r="J115" s="46"/>
      <c r="K115" s="46"/>
      <c r="L115" s="46"/>
      <c r="M115" s="228"/>
      <c r="N115" s="46"/>
      <c r="O115" s="228"/>
      <c r="P115" s="46"/>
      <c r="Q115" s="46"/>
      <c r="R115" s="228"/>
      <c r="S115" s="46"/>
      <c r="T115" s="224"/>
    </row>
    <row r="116" spans="1:20">
      <c r="A116" s="56"/>
      <c r="B116" s="46"/>
      <c r="C116" s="46"/>
      <c r="D116" s="46"/>
      <c r="E116" s="46"/>
      <c r="F116" s="228"/>
      <c r="G116" s="46"/>
      <c r="H116" s="46"/>
      <c r="I116" s="290"/>
      <c r="J116" s="46"/>
      <c r="K116" s="46"/>
      <c r="L116" s="46"/>
      <c r="M116" s="228"/>
      <c r="N116" s="46"/>
      <c r="O116" s="228"/>
      <c r="P116" s="46"/>
      <c r="Q116" s="46"/>
      <c r="R116" s="228"/>
      <c r="S116" s="46"/>
      <c r="T116" s="224"/>
    </row>
    <row r="117" spans="1:20">
      <c r="A117" s="56"/>
      <c r="B117" s="46"/>
      <c r="C117" s="46"/>
      <c r="D117" s="46"/>
      <c r="E117" s="46"/>
      <c r="F117" s="228"/>
      <c r="G117" s="46"/>
      <c r="H117" s="46"/>
      <c r="I117" s="290"/>
      <c r="J117" s="46"/>
      <c r="K117" s="46"/>
      <c r="L117" s="46"/>
      <c r="M117" s="228"/>
      <c r="N117" s="46"/>
      <c r="O117" s="228"/>
      <c r="P117" s="46"/>
      <c r="Q117" s="46"/>
      <c r="R117" s="228"/>
      <c r="S117" s="46"/>
      <c r="T117" s="224"/>
    </row>
    <row r="118" spans="1:20">
      <c r="A118" s="56"/>
      <c r="B118" s="46"/>
      <c r="C118" s="46"/>
      <c r="D118" s="46"/>
      <c r="E118" s="46"/>
      <c r="F118" s="228"/>
      <c r="G118" s="46"/>
      <c r="H118" s="46"/>
      <c r="I118" s="290"/>
      <c r="J118" s="46"/>
      <c r="K118" s="46"/>
      <c r="L118" s="46"/>
      <c r="M118" s="228"/>
      <c r="N118" s="46"/>
      <c r="O118" s="228"/>
      <c r="P118" s="46"/>
      <c r="Q118" s="46"/>
      <c r="R118" s="228"/>
      <c r="S118" s="46"/>
      <c r="T118" s="224"/>
    </row>
    <row r="119" spans="1:20">
      <c r="A119" s="56"/>
      <c r="B119" s="46"/>
      <c r="C119" s="46"/>
      <c r="D119" s="46"/>
      <c r="E119" s="46"/>
      <c r="F119" s="228"/>
      <c r="G119" s="46"/>
      <c r="H119" s="46"/>
      <c r="I119" s="290"/>
      <c r="J119" s="46"/>
      <c r="K119" s="46"/>
      <c r="L119" s="46"/>
      <c r="M119" s="228"/>
      <c r="N119" s="46"/>
      <c r="O119" s="228"/>
      <c r="P119" s="46"/>
      <c r="Q119" s="46"/>
      <c r="R119" s="228"/>
      <c r="S119" s="117"/>
      <c r="T119" s="224"/>
    </row>
    <row r="120" spans="1:20">
      <c r="A120" s="56"/>
      <c r="B120" s="46"/>
      <c r="C120" s="46"/>
      <c r="D120" s="46"/>
      <c r="E120" s="46"/>
      <c r="F120" s="228"/>
      <c r="G120" s="46"/>
      <c r="H120" s="46"/>
      <c r="I120" s="290"/>
      <c r="J120" s="46"/>
      <c r="K120" s="46"/>
      <c r="L120" s="46"/>
      <c r="M120" s="228"/>
      <c r="N120" s="46"/>
      <c r="O120" s="228"/>
      <c r="P120" s="46"/>
      <c r="Q120" s="46"/>
      <c r="R120" s="228"/>
      <c r="S120" s="46"/>
      <c r="T120" s="224"/>
    </row>
    <row r="121" spans="1:20">
      <c r="A121" s="56"/>
      <c r="B121" s="46"/>
      <c r="C121" s="46"/>
      <c r="D121" s="46"/>
      <c r="E121" s="46"/>
      <c r="F121" s="228"/>
      <c r="G121" s="46"/>
      <c r="H121" s="46"/>
      <c r="I121" s="290"/>
      <c r="J121" s="46"/>
      <c r="K121" s="46"/>
      <c r="L121" s="46"/>
      <c r="M121" s="228"/>
      <c r="N121" s="46"/>
      <c r="O121" s="228"/>
      <c r="P121" s="46"/>
      <c r="Q121" s="46"/>
      <c r="R121" s="228"/>
      <c r="S121" s="46"/>
      <c r="T121" s="224"/>
    </row>
    <row r="122" spans="1:20">
      <c r="A122" s="56"/>
      <c r="B122" s="46"/>
      <c r="C122" s="46"/>
      <c r="D122" s="46"/>
      <c r="E122" s="46"/>
      <c r="F122" s="228"/>
      <c r="G122" s="46"/>
      <c r="H122" s="46"/>
      <c r="I122" s="290"/>
      <c r="J122" s="46"/>
      <c r="K122" s="46"/>
      <c r="L122" s="46"/>
      <c r="M122" s="228"/>
      <c r="N122" s="46"/>
      <c r="O122" s="313"/>
      <c r="P122" s="116"/>
      <c r="Q122" s="116"/>
      <c r="S122" s="46"/>
      <c r="T122" s="224"/>
    </row>
    <row r="123" spans="1:20">
      <c r="A123" s="325" t="s">
        <v>119</v>
      </c>
      <c r="B123" s="46"/>
      <c r="C123" s="46"/>
      <c r="D123" s="46"/>
      <c r="E123" s="432"/>
      <c r="F123" s="432"/>
      <c r="G123" s="432"/>
      <c r="H123" s="432"/>
      <c r="I123" s="432"/>
      <c r="J123" s="432"/>
      <c r="K123" s="432"/>
      <c r="L123" s="432"/>
      <c r="M123" s="432"/>
      <c r="N123" s="432"/>
      <c r="O123" s="432"/>
      <c r="P123" s="432"/>
      <c r="Q123" s="432"/>
      <c r="R123" s="432"/>
      <c r="S123" s="432"/>
      <c r="T123" s="224"/>
    </row>
    <row r="124" spans="1:20">
      <c r="A124" s="443" t="s">
        <v>120</v>
      </c>
      <c r="B124" s="444"/>
      <c r="C124" s="444"/>
      <c r="D124" s="444"/>
      <c r="E124" s="444"/>
      <c r="F124" s="444"/>
      <c r="G124" s="444"/>
      <c r="H124" s="444"/>
      <c r="I124" s="444"/>
      <c r="J124" s="444"/>
      <c r="K124" s="444"/>
      <c r="L124" s="444"/>
      <c r="M124" s="444"/>
      <c r="N124" s="444"/>
      <c r="O124" s="444"/>
      <c r="P124" s="444"/>
      <c r="Q124" s="444"/>
      <c r="R124" s="444"/>
      <c r="S124" s="444"/>
      <c r="T124" s="224"/>
    </row>
    <row r="125" spans="1:20">
      <c r="A125" s="56"/>
      <c r="B125" s="46"/>
      <c r="C125" s="46"/>
      <c r="D125" s="46"/>
      <c r="E125" s="46"/>
      <c r="F125" s="228"/>
      <c r="G125" s="46"/>
      <c r="H125" s="46"/>
      <c r="I125" s="290"/>
      <c r="J125" s="46"/>
      <c r="K125" s="46"/>
      <c r="L125" s="46"/>
      <c r="M125" s="228"/>
      <c r="N125" s="46"/>
      <c r="O125" s="228"/>
      <c r="P125" s="46"/>
      <c r="Q125" s="46"/>
      <c r="R125" s="228"/>
      <c r="S125" s="46"/>
      <c r="T125" s="224"/>
    </row>
    <row r="126" spans="1:20">
      <c r="A126" s="56"/>
      <c r="B126" s="46"/>
      <c r="C126" s="46"/>
      <c r="D126" s="46"/>
      <c r="E126" s="46"/>
      <c r="F126" s="228"/>
      <c r="G126" s="46"/>
      <c r="H126" s="46"/>
      <c r="I126" s="290"/>
      <c r="J126" s="46"/>
      <c r="K126" s="46"/>
      <c r="L126" s="46"/>
      <c r="M126" s="228"/>
      <c r="N126" s="46"/>
      <c r="O126" s="228"/>
      <c r="P126" s="46"/>
      <c r="Q126" s="46"/>
      <c r="R126" s="228"/>
      <c r="S126" s="117"/>
      <c r="T126" s="224"/>
    </row>
    <row r="127" spans="1:20">
      <c r="A127" s="56"/>
      <c r="B127" s="46"/>
      <c r="C127" s="46"/>
      <c r="D127" s="46"/>
      <c r="E127" s="46"/>
      <c r="F127" s="228"/>
      <c r="G127" s="46"/>
      <c r="H127" s="46"/>
      <c r="I127" s="290"/>
      <c r="J127" s="46"/>
      <c r="K127" s="46"/>
      <c r="L127" s="46"/>
      <c r="M127" s="228"/>
      <c r="N127" s="46"/>
      <c r="O127" s="228"/>
      <c r="P127" s="46"/>
      <c r="Q127" s="46"/>
      <c r="R127" s="228"/>
      <c r="S127" s="46"/>
      <c r="T127" s="224"/>
    </row>
    <row r="128" spans="1:20">
      <c r="A128" s="57"/>
      <c r="B128" s="58"/>
      <c r="C128" s="58"/>
      <c r="D128" s="58"/>
      <c r="E128" s="58"/>
      <c r="F128" s="282"/>
      <c r="G128" s="58"/>
      <c r="H128" s="58"/>
      <c r="I128" s="291"/>
      <c r="J128" s="58"/>
      <c r="K128" s="58"/>
      <c r="L128" s="58"/>
      <c r="M128" s="282"/>
      <c r="N128" s="58"/>
      <c r="O128" s="282"/>
      <c r="P128" s="58"/>
      <c r="Q128" s="58"/>
      <c r="R128" s="282"/>
      <c r="S128" s="118"/>
      <c r="T128" s="225"/>
    </row>
    <row r="129" spans="1:20">
      <c r="A129" s="68"/>
      <c r="B129" s="67"/>
      <c r="C129" s="67"/>
      <c r="D129" s="67"/>
      <c r="E129" s="67"/>
      <c r="F129" s="227"/>
      <c r="G129" s="67"/>
      <c r="H129" s="67"/>
      <c r="I129" s="414"/>
      <c r="J129" s="414"/>
      <c r="K129" s="414"/>
      <c r="L129" s="414"/>
      <c r="M129" s="414"/>
      <c r="N129" s="414"/>
      <c r="O129" s="414"/>
      <c r="P129" s="414"/>
      <c r="Q129" s="414"/>
      <c r="R129" s="414"/>
      <c r="S129" s="414"/>
      <c r="T129" s="415"/>
    </row>
    <row r="130" spans="1:20" ht="15.75" customHeight="1">
      <c r="A130" s="433" t="s">
        <v>87</v>
      </c>
      <c r="B130" s="434"/>
      <c r="C130" s="434"/>
      <c r="D130" s="434"/>
      <c r="E130" s="434"/>
      <c r="F130" s="434"/>
      <c r="G130" s="434"/>
      <c r="H130" s="434"/>
      <c r="I130" s="434"/>
      <c r="J130" s="434"/>
      <c r="K130" s="434"/>
      <c r="L130" s="434"/>
      <c r="M130" s="434"/>
      <c r="N130" s="434"/>
      <c r="O130" s="434"/>
      <c r="P130" s="434"/>
      <c r="Q130" s="434"/>
      <c r="R130" s="434"/>
      <c r="S130" s="434"/>
      <c r="T130" s="435"/>
    </row>
    <row r="131" spans="1:20" ht="20.45">
      <c r="A131" s="119" t="s">
        <v>88</v>
      </c>
      <c r="B131" s="382">
        <f>SUM(C69+D69+F69+G69+I69+J69+L69+M69+O69+P69+R69+S69)</f>
        <v>157</v>
      </c>
      <c r="C131" s="383"/>
      <c r="D131" s="383"/>
      <c r="E131" s="384"/>
      <c r="F131" s="385">
        <v>1</v>
      </c>
      <c r="G131" s="386"/>
      <c r="H131" s="120" t="s">
        <v>89</v>
      </c>
      <c r="I131" s="292"/>
      <c r="J131" s="218">
        <v>0.89</v>
      </c>
      <c r="K131" s="401" t="s">
        <v>90</v>
      </c>
      <c r="L131" s="402"/>
      <c r="M131" s="402"/>
      <c r="N131" s="402"/>
      <c r="O131" s="402"/>
      <c r="P131" s="402"/>
      <c r="Q131" s="402"/>
      <c r="R131" s="402"/>
      <c r="S131" s="402"/>
      <c r="T131" s="403"/>
    </row>
    <row r="132" spans="1:20">
      <c r="A132" s="387" t="s">
        <v>91</v>
      </c>
      <c r="B132" s="372">
        <f>SUM(C69+F69+I69+L69+O69+R69)</f>
        <v>140</v>
      </c>
      <c r="C132" s="373"/>
      <c r="D132" s="373"/>
      <c r="E132" s="374"/>
      <c r="F132" s="391">
        <f>B132/B131</f>
        <v>0.89171974522292996</v>
      </c>
      <c r="G132" s="392"/>
      <c r="H132" s="38" t="s">
        <v>92</v>
      </c>
      <c r="I132" s="293"/>
      <c r="J132" s="410">
        <f>B131-B136</f>
        <v>67</v>
      </c>
      <c r="K132" s="404"/>
      <c r="L132" s="405"/>
      <c r="M132" s="405"/>
      <c r="N132" s="405"/>
      <c r="O132" s="405"/>
      <c r="P132" s="405"/>
      <c r="Q132" s="405"/>
      <c r="R132" s="405"/>
      <c r="S132" s="405"/>
      <c r="T132" s="406"/>
    </row>
    <row r="133" spans="1:20">
      <c r="A133" s="387"/>
      <c r="B133" s="388"/>
      <c r="C133" s="389"/>
      <c r="D133" s="389"/>
      <c r="E133" s="390"/>
      <c r="F133" s="393"/>
      <c r="G133" s="394"/>
      <c r="H133" s="40" t="s">
        <v>93</v>
      </c>
      <c r="I133" s="293"/>
      <c r="J133" s="410"/>
      <c r="K133" s="404"/>
      <c r="L133" s="405"/>
      <c r="M133" s="405"/>
      <c r="N133" s="405"/>
      <c r="O133" s="405"/>
      <c r="P133" s="405"/>
      <c r="Q133" s="405"/>
      <c r="R133" s="405"/>
      <c r="S133" s="405"/>
      <c r="T133" s="406"/>
    </row>
    <row r="134" spans="1:20">
      <c r="A134" s="387" t="s">
        <v>94</v>
      </c>
      <c r="B134" s="372">
        <f>SUM(D69+G69+J69+M69+P69+S69)</f>
        <v>17</v>
      </c>
      <c r="C134" s="373"/>
      <c r="D134" s="373"/>
      <c r="E134" s="374"/>
      <c r="F134" s="391">
        <f>B134/B131</f>
        <v>0.10828025477707007</v>
      </c>
      <c r="G134" s="392"/>
      <c r="H134" s="41"/>
      <c r="I134" s="292"/>
      <c r="J134" s="1"/>
      <c r="K134" s="404"/>
      <c r="L134" s="405"/>
      <c r="M134" s="405"/>
      <c r="N134" s="405"/>
      <c r="O134" s="405"/>
      <c r="P134" s="405"/>
      <c r="Q134" s="405"/>
      <c r="R134" s="405"/>
      <c r="S134" s="405"/>
      <c r="T134" s="406"/>
    </row>
    <row r="135" spans="1:20">
      <c r="A135" s="387"/>
      <c r="B135" s="388"/>
      <c r="C135" s="389"/>
      <c r="D135" s="389"/>
      <c r="E135" s="390"/>
      <c r="F135" s="393"/>
      <c r="G135" s="394"/>
      <c r="H135" s="41"/>
      <c r="I135" s="292"/>
      <c r="J135" s="1"/>
      <c r="K135" s="404"/>
      <c r="L135" s="405"/>
      <c r="M135" s="405"/>
      <c r="N135" s="405"/>
      <c r="O135" s="405"/>
      <c r="P135" s="405"/>
      <c r="Q135" s="405"/>
      <c r="R135" s="405"/>
      <c r="S135" s="405"/>
      <c r="T135" s="406"/>
    </row>
    <row r="136" spans="1:20">
      <c r="A136" s="370" t="s">
        <v>95</v>
      </c>
      <c r="B136" s="372">
        <f>SUM(E69+H69+K69+N69+Q69+T69)</f>
        <v>90</v>
      </c>
      <c r="C136" s="373"/>
      <c r="D136" s="373"/>
      <c r="E136" s="374"/>
      <c r="F136" s="378"/>
      <c r="G136" s="379"/>
      <c r="H136" s="41"/>
      <c r="I136" s="292"/>
      <c r="J136" s="1"/>
      <c r="K136" s="404"/>
      <c r="L136" s="405"/>
      <c r="M136" s="405"/>
      <c r="N136" s="405"/>
      <c r="O136" s="405"/>
      <c r="P136" s="405"/>
      <c r="Q136" s="405"/>
      <c r="R136" s="405"/>
      <c r="S136" s="405"/>
      <c r="T136" s="406"/>
    </row>
    <row r="137" spans="1:20">
      <c r="A137" s="371" t="s">
        <v>95</v>
      </c>
      <c r="B137" s="375"/>
      <c r="C137" s="376"/>
      <c r="D137" s="376"/>
      <c r="E137" s="377"/>
      <c r="F137" s="380"/>
      <c r="G137" s="381"/>
      <c r="H137" s="54"/>
      <c r="I137" s="294"/>
      <c r="J137" s="1"/>
      <c r="K137" s="407"/>
      <c r="L137" s="408"/>
      <c r="M137" s="408"/>
      <c r="N137" s="408"/>
      <c r="O137" s="408"/>
      <c r="P137" s="408"/>
      <c r="Q137" s="408"/>
      <c r="R137" s="408"/>
      <c r="S137" s="408"/>
      <c r="T137" s="409"/>
    </row>
    <row r="138" spans="1:20">
      <c r="A138" s="65" t="s">
        <v>96</v>
      </c>
      <c r="B138" s="66"/>
      <c r="C138" s="66"/>
      <c r="D138" s="66"/>
      <c r="E138" s="67"/>
      <c r="F138" s="227"/>
      <c r="G138" s="67"/>
      <c r="H138" s="67"/>
      <c r="I138" s="289"/>
      <c r="J138" s="395" t="s">
        <v>97</v>
      </c>
      <c r="K138" s="396"/>
      <c r="L138" s="396"/>
      <c r="M138" s="396"/>
      <c r="N138" s="396"/>
      <c r="O138" s="396"/>
      <c r="P138" s="396"/>
      <c r="Q138" s="396"/>
      <c r="R138" s="396"/>
      <c r="S138" s="396"/>
      <c r="T138" s="397"/>
    </row>
    <row r="139" spans="1:20">
      <c r="A139" s="69" t="s">
        <v>98</v>
      </c>
      <c r="B139" s="70"/>
      <c r="C139" s="70"/>
      <c r="D139" s="70"/>
      <c r="E139" s="58"/>
      <c r="F139" s="282"/>
      <c r="G139" s="58"/>
      <c r="H139" s="58"/>
      <c r="I139" s="291"/>
      <c r="J139" s="398" t="s">
        <v>99</v>
      </c>
      <c r="K139" s="399"/>
      <c r="L139" s="399"/>
      <c r="M139" s="399"/>
      <c r="N139" s="399"/>
      <c r="O139" s="399"/>
      <c r="P139" s="399"/>
      <c r="Q139" s="399"/>
      <c r="R139" s="399"/>
      <c r="S139" s="399"/>
      <c r="T139" s="400"/>
    </row>
    <row r="140" spans="1:20" ht="49.9" customHeight="1">
      <c r="A140" s="367" t="s">
        <v>100</v>
      </c>
      <c r="B140" s="368"/>
      <c r="C140" s="368"/>
      <c r="D140" s="368"/>
      <c r="E140" s="368"/>
      <c r="F140" s="368"/>
      <c r="G140" s="368"/>
      <c r="H140" s="368"/>
      <c r="I140" s="368"/>
      <c r="J140" s="368"/>
      <c r="K140" s="368"/>
      <c r="L140" s="368"/>
      <c r="M140" s="368"/>
      <c r="N140" s="368"/>
      <c r="O140" s="368"/>
      <c r="P140" s="368"/>
      <c r="Q140" s="368"/>
      <c r="R140" s="368"/>
      <c r="S140" s="368"/>
      <c r="T140" s="369"/>
    </row>
    <row r="141" spans="1:20">
      <c r="A141" t="s">
        <v>101</v>
      </c>
    </row>
  </sheetData>
  <mergeCells count="59">
    <mergeCell ref="J138:T138"/>
    <mergeCell ref="J139:T139"/>
    <mergeCell ref="A140:T140"/>
    <mergeCell ref="A134:A135"/>
    <mergeCell ref="B134:E135"/>
    <mergeCell ref="F134:G135"/>
    <mergeCell ref="A136:A137"/>
    <mergeCell ref="B136:E137"/>
    <mergeCell ref="F136:G137"/>
    <mergeCell ref="A124:S124"/>
    <mergeCell ref="I129:T129"/>
    <mergeCell ref="A130:T130"/>
    <mergeCell ref="B131:E131"/>
    <mergeCell ref="F131:G131"/>
    <mergeCell ref="K131:T137"/>
    <mergeCell ref="A132:A133"/>
    <mergeCell ref="B132:E133"/>
    <mergeCell ref="F132:G133"/>
    <mergeCell ref="J132:J133"/>
    <mergeCell ref="E123:S123"/>
    <mergeCell ref="A69:A70"/>
    <mergeCell ref="C70:E70"/>
    <mergeCell ref="F70:H70"/>
    <mergeCell ref="I70:K70"/>
    <mergeCell ref="L70:N70"/>
    <mergeCell ref="O70:Q70"/>
    <mergeCell ref="R70:T70"/>
    <mergeCell ref="A71:T71"/>
    <mergeCell ref="A74:S74"/>
    <mergeCell ref="C108:S108"/>
    <mergeCell ref="A109:S109"/>
    <mergeCell ref="A49:A68"/>
    <mergeCell ref="F6:G6"/>
    <mergeCell ref="H6:H7"/>
    <mergeCell ref="I6:J6"/>
    <mergeCell ref="K6:K7"/>
    <mergeCell ref="A8:A48"/>
    <mergeCell ref="I4:T4"/>
    <mergeCell ref="A5:B7"/>
    <mergeCell ref="C5:E5"/>
    <mergeCell ref="F5:H5"/>
    <mergeCell ref="I5:K5"/>
    <mergeCell ref="L5:N5"/>
    <mergeCell ref="O5:Q5"/>
    <mergeCell ref="R5:T5"/>
    <mergeCell ref="C6:D6"/>
    <mergeCell ref="E6:E7"/>
    <mergeCell ref="O6:P6"/>
    <mergeCell ref="Q6:Q7"/>
    <mergeCell ref="R6:S6"/>
    <mergeCell ref="T6:T7"/>
    <mergeCell ref="L6:M6"/>
    <mergeCell ref="N6:N7"/>
    <mergeCell ref="A1:B3"/>
    <mergeCell ref="C1:T1"/>
    <mergeCell ref="C2:T2"/>
    <mergeCell ref="C3:H3"/>
    <mergeCell ref="I3:M3"/>
    <mergeCell ref="R3:T3"/>
  </mergeCells>
  <printOptions horizontalCentered="1" verticalCentered="1"/>
  <pageMargins left="0" right="0" top="0" bottom="0" header="0.31496062992125984" footer="0.31496062992125984"/>
  <pageSetup paperSize="281" scale="65" fitToHeight="0" orientation="portrait" r:id="rId1"/>
  <rowBreaks count="1" manualBreakCount="1">
    <brk id="71" max="19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4D6B8-A9D5-4DBA-B016-81A6840B464F}">
  <dimension ref="A1:T141"/>
  <sheetViews>
    <sheetView view="pageBreakPreview" zoomScale="57" zoomScaleNormal="96" zoomScaleSheetLayoutView="57" workbookViewId="0">
      <selection activeCell="T45" sqref="T45"/>
    </sheetView>
  </sheetViews>
  <sheetFormatPr defaultColWidth="11.42578125" defaultRowHeight="15"/>
  <cols>
    <col min="1" max="1" width="18.42578125" customWidth="1"/>
    <col min="2" max="2" width="17.140625" customWidth="1"/>
    <col min="3" max="20" width="5.7109375" customWidth="1"/>
  </cols>
  <sheetData>
    <row r="1" spans="1:20" ht="15.75">
      <c r="A1" s="328"/>
      <c r="B1" s="329"/>
      <c r="C1" s="334" t="s">
        <v>0</v>
      </c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6"/>
    </row>
    <row r="2" spans="1:20" ht="15.75">
      <c r="A2" s="330"/>
      <c r="B2" s="331"/>
      <c r="C2" s="334" t="s">
        <v>1</v>
      </c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  <c r="S2" s="335"/>
      <c r="T2" s="336"/>
    </row>
    <row r="3" spans="1:20" ht="15.75">
      <c r="A3" s="332"/>
      <c r="B3" s="333"/>
      <c r="C3" s="337" t="s">
        <v>2</v>
      </c>
      <c r="D3" s="338"/>
      <c r="E3" s="338"/>
      <c r="F3" s="338"/>
      <c r="G3" s="338"/>
      <c r="H3" s="339"/>
      <c r="I3" s="337" t="s">
        <v>3</v>
      </c>
      <c r="J3" s="338"/>
      <c r="K3" s="338"/>
      <c r="L3" s="338"/>
      <c r="M3" s="339"/>
      <c r="N3" s="64"/>
      <c r="O3" s="64"/>
      <c r="P3" s="64"/>
      <c r="Q3" s="64"/>
      <c r="R3" s="340" t="s">
        <v>4</v>
      </c>
      <c r="S3" s="338"/>
      <c r="T3" s="339"/>
    </row>
    <row r="4" spans="1:20">
      <c r="A4" s="2"/>
      <c r="B4" s="62" t="s">
        <v>5</v>
      </c>
      <c r="C4" s="63"/>
      <c r="D4" s="63"/>
      <c r="E4" s="63"/>
      <c r="F4" s="63"/>
      <c r="G4" s="63"/>
      <c r="H4" s="63"/>
      <c r="I4" s="341" t="s">
        <v>6</v>
      </c>
      <c r="J4" s="341"/>
      <c r="K4" s="341"/>
      <c r="L4" s="341"/>
      <c r="M4" s="341"/>
      <c r="N4" s="341"/>
      <c r="O4" s="341"/>
      <c r="P4" s="341"/>
      <c r="Q4" s="341"/>
      <c r="R4" s="341"/>
      <c r="S4" s="341"/>
      <c r="T4" s="341"/>
    </row>
    <row r="5" spans="1:20" ht="29.25" customHeight="1">
      <c r="A5" s="342" t="s">
        <v>7</v>
      </c>
      <c r="B5" s="343"/>
      <c r="C5" s="348" t="s">
        <v>8</v>
      </c>
      <c r="D5" s="349"/>
      <c r="E5" s="350"/>
      <c r="F5" s="351" t="s">
        <v>9</v>
      </c>
      <c r="G5" s="349"/>
      <c r="H5" s="349"/>
      <c r="I5" s="349" t="s">
        <v>10</v>
      </c>
      <c r="J5" s="349"/>
      <c r="K5" s="349"/>
      <c r="L5" s="349" t="s">
        <v>11</v>
      </c>
      <c r="M5" s="349"/>
      <c r="N5" s="352"/>
      <c r="O5" s="353" t="s">
        <v>12</v>
      </c>
      <c r="P5" s="354"/>
      <c r="Q5" s="355"/>
      <c r="R5" s="353" t="s">
        <v>13</v>
      </c>
      <c r="S5" s="354"/>
      <c r="T5" s="355"/>
    </row>
    <row r="6" spans="1:20">
      <c r="A6" s="344"/>
      <c r="B6" s="345"/>
      <c r="C6" s="356" t="s">
        <v>14</v>
      </c>
      <c r="D6" s="357"/>
      <c r="E6" s="358" t="s">
        <v>15</v>
      </c>
      <c r="F6" s="357" t="s">
        <v>14</v>
      </c>
      <c r="G6" s="357"/>
      <c r="H6" s="360" t="s">
        <v>15</v>
      </c>
      <c r="I6" s="357" t="s">
        <v>14</v>
      </c>
      <c r="J6" s="357"/>
      <c r="K6" s="360" t="s">
        <v>15</v>
      </c>
      <c r="L6" s="357" t="s">
        <v>14</v>
      </c>
      <c r="M6" s="362"/>
      <c r="N6" s="363" t="s">
        <v>15</v>
      </c>
      <c r="O6" s="365" t="s">
        <v>14</v>
      </c>
      <c r="P6" s="366"/>
      <c r="Q6" s="363" t="s">
        <v>15</v>
      </c>
      <c r="R6" s="421" t="s">
        <v>14</v>
      </c>
      <c r="S6" s="357"/>
      <c r="T6" s="422" t="s">
        <v>15</v>
      </c>
    </row>
    <row r="7" spans="1:20">
      <c r="A7" s="346"/>
      <c r="B7" s="347"/>
      <c r="C7" s="3" t="s">
        <v>16</v>
      </c>
      <c r="D7" s="4" t="s">
        <v>17</v>
      </c>
      <c r="E7" s="359"/>
      <c r="F7" s="4" t="s">
        <v>16</v>
      </c>
      <c r="G7" s="4" t="s">
        <v>17</v>
      </c>
      <c r="H7" s="361"/>
      <c r="I7" s="4" t="s">
        <v>16</v>
      </c>
      <c r="J7" s="4" t="s">
        <v>17</v>
      </c>
      <c r="K7" s="361"/>
      <c r="L7" s="4" t="s">
        <v>16</v>
      </c>
      <c r="M7" s="141" t="s">
        <v>17</v>
      </c>
      <c r="N7" s="364"/>
      <c r="O7" s="153" t="s">
        <v>16</v>
      </c>
      <c r="P7" s="154" t="s">
        <v>17</v>
      </c>
      <c r="Q7" s="411"/>
      <c r="R7" s="142" t="s">
        <v>16</v>
      </c>
      <c r="S7" s="4" t="s">
        <v>17</v>
      </c>
      <c r="T7" s="423"/>
    </row>
    <row r="8" spans="1:20" ht="22.5">
      <c r="A8" s="416" t="s">
        <v>18</v>
      </c>
      <c r="B8" s="59" t="s">
        <v>19</v>
      </c>
      <c r="C8" s="5">
        <v>1</v>
      </c>
      <c r="D8" s="6"/>
      <c r="E8" s="7"/>
      <c r="F8" s="92">
        <v>1</v>
      </c>
      <c r="G8" s="6"/>
      <c r="H8" s="7"/>
      <c r="I8" s="8">
        <v>1</v>
      </c>
      <c r="J8" s="93"/>
      <c r="K8" s="43"/>
      <c r="L8" s="42">
        <v>1</v>
      </c>
      <c r="M8" s="9"/>
      <c r="N8" s="143"/>
      <c r="O8" s="155">
        <v>1</v>
      </c>
      <c r="P8" s="156"/>
      <c r="Q8" s="7"/>
      <c r="R8" s="8"/>
      <c r="S8" s="9"/>
      <c r="T8" s="71">
        <v>1</v>
      </c>
    </row>
    <row r="9" spans="1:20" ht="22.5">
      <c r="A9" s="417"/>
      <c r="B9" s="60" t="s">
        <v>20</v>
      </c>
      <c r="C9" s="76">
        <v>1</v>
      </c>
      <c r="D9" s="77"/>
      <c r="E9" s="43"/>
      <c r="F9" s="10">
        <v>1</v>
      </c>
      <c r="G9" s="11"/>
      <c r="H9" s="48"/>
      <c r="I9" s="12">
        <v>1</v>
      </c>
      <c r="J9" s="47"/>
      <c r="K9" s="48"/>
      <c r="L9" s="72">
        <v>1</v>
      </c>
      <c r="M9" s="11"/>
      <c r="N9" s="144"/>
      <c r="O9" s="91">
        <v>1</v>
      </c>
      <c r="P9" s="136"/>
      <c r="Q9" s="48"/>
      <c r="R9" s="12">
        <v>1</v>
      </c>
      <c r="S9" s="11"/>
      <c r="T9" s="71"/>
    </row>
    <row r="10" spans="1:20">
      <c r="A10" s="417"/>
      <c r="B10" s="60" t="s">
        <v>21</v>
      </c>
      <c r="C10" s="78">
        <v>1</v>
      </c>
      <c r="D10" s="74"/>
      <c r="E10" s="43"/>
      <c r="F10" s="10">
        <v>1</v>
      </c>
      <c r="G10" s="11"/>
      <c r="H10" s="48"/>
      <c r="I10" s="12">
        <v>1</v>
      </c>
      <c r="J10" s="47"/>
      <c r="K10" s="48"/>
      <c r="L10" s="72">
        <v>1</v>
      </c>
      <c r="M10" s="11"/>
      <c r="N10" s="144"/>
      <c r="O10" s="91">
        <v>1</v>
      </c>
      <c r="P10" s="136"/>
      <c r="Q10" s="48"/>
      <c r="R10" s="12">
        <v>1</v>
      </c>
      <c r="S10" s="11"/>
      <c r="T10" s="71"/>
    </row>
    <row r="11" spans="1:20">
      <c r="A11" s="417"/>
      <c r="B11" s="60" t="s">
        <v>22</v>
      </c>
      <c r="C11" s="124">
        <v>1</v>
      </c>
      <c r="D11" s="125"/>
      <c r="E11" s="126"/>
      <c r="F11" s="14">
        <v>1</v>
      </c>
      <c r="G11" s="13"/>
      <c r="H11" s="15"/>
      <c r="I11" s="12">
        <v>1</v>
      </c>
      <c r="J11" s="47"/>
      <c r="K11" s="48"/>
      <c r="L11" s="73">
        <v>1</v>
      </c>
      <c r="M11" s="13"/>
      <c r="N11" s="144"/>
      <c r="O11" s="91">
        <v>1</v>
      </c>
      <c r="P11" s="136"/>
      <c r="Q11" s="48"/>
      <c r="R11" s="12">
        <v>1</v>
      </c>
      <c r="S11" s="11"/>
      <c r="T11" s="71"/>
    </row>
    <row r="12" spans="1:20">
      <c r="A12" s="417"/>
      <c r="B12" s="60" t="s">
        <v>23</v>
      </c>
      <c r="C12" s="17">
        <v>1</v>
      </c>
      <c r="D12" s="18"/>
      <c r="E12" s="43"/>
      <c r="F12" s="19">
        <v>1</v>
      </c>
      <c r="G12" s="20"/>
      <c r="H12" s="48"/>
      <c r="I12" s="12">
        <v>1</v>
      </c>
      <c r="J12" s="47"/>
      <c r="K12" s="48"/>
      <c r="L12" s="73"/>
      <c r="M12" s="13"/>
      <c r="N12" s="144">
        <v>1</v>
      </c>
      <c r="O12" s="91">
        <v>1</v>
      </c>
      <c r="P12" s="136"/>
      <c r="Q12" s="48"/>
      <c r="R12" s="12"/>
      <c r="S12" s="11"/>
      <c r="T12" s="12">
        <v>1</v>
      </c>
    </row>
    <row r="13" spans="1:20" ht="33">
      <c r="A13" s="417"/>
      <c r="B13" s="60" t="s">
        <v>24</v>
      </c>
      <c r="C13" s="76">
        <v>1</v>
      </c>
      <c r="D13" s="77"/>
      <c r="E13" s="43"/>
      <c r="F13" s="19">
        <v>1</v>
      </c>
      <c r="G13" s="20"/>
      <c r="H13" s="48"/>
      <c r="I13" s="21"/>
      <c r="J13" s="22"/>
      <c r="K13" s="48">
        <v>1</v>
      </c>
      <c r="L13" s="19">
        <v>1</v>
      </c>
      <c r="M13" s="20"/>
      <c r="N13" s="144"/>
      <c r="O13" s="91">
        <v>1</v>
      </c>
      <c r="P13" s="136"/>
      <c r="Q13" s="48"/>
      <c r="R13" s="23"/>
      <c r="S13" s="24"/>
      <c r="T13" s="12">
        <v>1</v>
      </c>
    </row>
    <row r="14" spans="1:20">
      <c r="A14" s="417"/>
      <c r="B14" s="60" t="s">
        <v>25</v>
      </c>
      <c r="C14" s="76">
        <v>1</v>
      </c>
      <c r="D14" s="77"/>
      <c r="E14" s="79"/>
      <c r="F14" s="14">
        <v>1</v>
      </c>
      <c r="G14" s="13"/>
      <c r="H14" s="15"/>
      <c r="I14" s="94"/>
      <c r="J14" s="95"/>
      <c r="K14" s="15">
        <v>1</v>
      </c>
      <c r="L14" s="73">
        <v>1</v>
      </c>
      <c r="M14" s="13"/>
      <c r="N14" s="145"/>
      <c r="O14" s="14">
        <v>1</v>
      </c>
      <c r="P14" s="137"/>
      <c r="Q14" s="15"/>
      <c r="R14" s="96"/>
      <c r="S14" s="20"/>
      <c r="T14" s="12">
        <v>1</v>
      </c>
    </row>
    <row r="15" spans="1:20">
      <c r="A15" s="417"/>
      <c r="B15" s="60" t="s">
        <v>26</v>
      </c>
      <c r="C15" s="80">
        <v>1</v>
      </c>
      <c r="D15" s="81"/>
      <c r="E15" s="90"/>
      <c r="F15" s="14">
        <v>1</v>
      </c>
      <c r="G15" s="13"/>
      <c r="H15" s="15"/>
      <c r="I15" s="94">
        <v>1</v>
      </c>
      <c r="J15" s="95"/>
      <c r="K15" s="15"/>
      <c r="L15" s="73">
        <v>1</v>
      </c>
      <c r="M15" s="13"/>
      <c r="N15" s="145"/>
      <c r="O15" s="14">
        <v>1</v>
      </c>
      <c r="P15" s="137"/>
      <c r="Q15" s="15"/>
      <c r="R15" s="96">
        <v>1</v>
      </c>
      <c r="S15" s="20"/>
      <c r="T15" s="12"/>
    </row>
    <row r="16" spans="1:20" ht="33">
      <c r="A16" s="417"/>
      <c r="B16" s="60" t="s">
        <v>27</v>
      </c>
      <c r="C16" s="80">
        <v>1</v>
      </c>
      <c r="D16" s="81"/>
      <c r="E16" s="82"/>
      <c r="F16" s="26"/>
      <c r="G16" s="27"/>
      <c r="H16" s="48">
        <v>1</v>
      </c>
      <c r="I16" s="30">
        <v>1</v>
      </c>
      <c r="J16" s="31"/>
      <c r="K16" s="48"/>
      <c r="L16" s="26"/>
      <c r="M16" s="27"/>
      <c r="N16" s="144">
        <v>1</v>
      </c>
      <c r="O16" s="91"/>
      <c r="P16" s="136"/>
      <c r="Q16" s="48">
        <v>1</v>
      </c>
      <c r="R16" s="23"/>
      <c r="S16" s="24"/>
      <c r="T16" s="12">
        <v>1</v>
      </c>
    </row>
    <row r="17" spans="1:20">
      <c r="A17" s="417"/>
      <c r="B17" s="60" t="s">
        <v>28</v>
      </c>
      <c r="C17" s="80"/>
      <c r="D17" s="81"/>
      <c r="E17" s="43">
        <v>1</v>
      </c>
      <c r="F17" s="26"/>
      <c r="G17" s="27"/>
      <c r="H17" s="48">
        <v>1</v>
      </c>
      <c r="I17" s="30"/>
      <c r="J17" s="31"/>
      <c r="K17" s="48">
        <v>1</v>
      </c>
      <c r="L17" s="26"/>
      <c r="M17" s="27"/>
      <c r="N17" s="144">
        <v>1</v>
      </c>
      <c r="O17" s="91">
        <v>1</v>
      </c>
      <c r="P17" s="136"/>
      <c r="Q17" s="48"/>
      <c r="R17" s="23"/>
      <c r="S17" s="24"/>
      <c r="T17" s="12">
        <v>1</v>
      </c>
    </row>
    <row r="18" spans="1:20">
      <c r="A18" s="417"/>
      <c r="B18" s="60" t="s">
        <v>29</v>
      </c>
      <c r="C18" s="76">
        <v>1</v>
      </c>
      <c r="D18" s="77"/>
      <c r="E18" s="43"/>
      <c r="F18" s="19">
        <v>1</v>
      </c>
      <c r="G18" s="20"/>
      <c r="H18" s="16"/>
      <c r="I18" s="21">
        <v>1</v>
      </c>
      <c r="J18" s="22"/>
      <c r="K18" s="16"/>
      <c r="L18" s="19">
        <v>1</v>
      </c>
      <c r="M18" s="20"/>
      <c r="N18" s="144"/>
      <c r="O18" s="91">
        <v>1</v>
      </c>
      <c r="P18" s="136"/>
      <c r="Q18" s="48"/>
      <c r="R18" s="23"/>
      <c r="S18" s="24"/>
      <c r="T18" s="12">
        <v>1</v>
      </c>
    </row>
    <row r="19" spans="1:20">
      <c r="A19" s="417"/>
      <c r="B19" s="60" t="s">
        <v>30</v>
      </c>
      <c r="C19" s="76"/>
      <c r="D19" s="77">
        <v>1</v>
      </c>
      <c r="E19" s="43"/>
      <c r="F19" s="19"/>
      <c r="G19" s="20"/>
      <c r="H19" s="16">
        <v>1</v>
      </c>
      <c r="I19" s="97"/>
      <c r="J19" s="98"/>
      <c r="K19" s="16">
        <v>1</v>
      </c>
      <c r="L19" s="19"/>
      <c r="M19" s="20"/>
      <c r="N19" s="144">
        <v>1</v>
      </c>
      <c r="O19" s="91"/>
      <c r="P19" s="136"/>
      <c r="Q19" s="48">
        <v>1</v>
      </c>
      <c r="R19" s="23"/>
      <c r="S19" s="24"/>
      <c r="T19" s="12">
        <v>1</v>
      </c>
    </row>
    <row r="20" spans="1:20">
      <c r="A20" s="417"/>
      <c r="B20" s="60" t="s">
        <v>31</v>
      </c>
      <c r="C20" s="76">
        <v>1</v>
      </c>
      <c r="D20" s="77"/>
      <c r="E20" s="43"/>
      <c r="F20" s="19"/>
      <c r="G20" s="20"/>
      <c r="H20" s="16">
        <v>1</v>
      </c>
      <c r="I20" s="97"/>
      <c r="J20" s="98"/>
      <c r="K20" s="16">
        <v>1</v>
      </c>
      <c r="L20" s="19"/>
      <c r="M20" s="20"/>
      <c r="N20" s="144">
        <v>1</v>
      </c>
      <c r="O20" s="91"/>
      <c r="P20" s="136"/>
      <c r="Q20" s="48">
        <v>1</v>
      </c>
      <c r="R20" s="23"/>
      <c r="S20" s="24"/>
      <c r="T20" s="12">
        <v>1</v>
      </c>
    </row>
    <row r="21" spans="1:20" ht="22.5">
      <c r="A21" s="417"/>
      <c r="B21" s="60" t="s">
        <v>32</v>
      </c>
      <c r="C21" s="76"/>
      <c r="D21" s="77"/>
      <c r="E21" s="43">
        <v>1</v>
      </c>
      <c r="F21" s="19">
        <v>1</v>
      </c>
      <c r="G21" s="20"/>
      <c r="H21" s="16"/>
      <c r="I21" s="97"/>
      <c r="J21" s="98"/>
      <c r="K21" s="16">
        <v>1</v>
      </c>
      <c r="L21" s="19">
        <v>1</v>
      </c>
      <c r="M21" s="20"/>
      <c r="N21" s="144"/>
      <c r="O21" s="91">
        <v>1</v>
      </c>
      <c r="P21" s="136"/>
      <c r="Q21" s="48"/>
      <c r="R21" s="23"/>
      <c r="S21" s="24"/>
      <c r="T21" s="12">
        <v>1</v>
      </c>
    </row>
    <row r="22" spans="1:20" ht="22.5">
      <c r="A22" s="417"/>
      <c r="B22" s="60" t="s">
        <v>33</v>
      </c>
      <c r="C22" s="76">
        <v>1</v>
      </c>
      <c r="D22" s="77"/>
      <c r="E22" s="48"/>
      <c r="F22" s="26">
        <v>1</v>
      </c>
      <c r="G22" s="27"/>
      <c r="H22" s="48"/>
      <c r="I22" s="30">
        <v>1</v>
      </c>
      <c r="J22" s="31"/>
      <c r="K22" s="28"/>
      <c r="L22" s="26">
        <v>1</v>
      </c>
      <c r="M22" s="27"/>
      <c r="N22" s="146"/>
      <c r="O22" s="157"/>
      <c r="P22" s="138">
        <v>1</v>
      </c>
      <c r="Q22" s="28"/>
      <c r="R22" s="96"/>
      <c r="S22" s="20"/>
      <c r="T22" s="12">
        <v>1</v>
      </c>
    </row>
    <row r="23" spans="1:20">
      <c r="A23" s="417"/>
      <c r="B23" s="60" t="s">
        <v>34</v>
      </c>
      <c r="C23" s="76"/>
      <c r="D23" s="77">
        <v>1</v>
      </c>
      <c r="E23" s="43"/>
      <c r="F23" s="26">
        <v>1</v>
      </c>
      <c r="G23" s="27"/>
      <c r="H23" s="48"/>
      <c r="I23" s="30"/>
      <c r="J23" s="31"/>
      <c r="K23" s="28">
        <v>1</v>
      </c>
      <c r="L23" s="26">
        <v>1</v>
      </c>
      <c r="M23" s="27"/>
      <c r="N23" s="146"/>
      <c r="O23" s="157">
        <v>1</v>
      </c>
      <c r="P23" s="138"/>
      <c r="Q23" s="28"/>
      <c r="R23" s="29"/>
      <c r="S23" s="25"/>
      <c r="T23" s="12">
        <v>1</v>
      </c>
    </row>
    <row r="24" spans="1:20">
      <c r="A24" s="417"/>
      <c r="B24" s="60" t="s">
        <v>35</v>
      </c>
      <c r="C24" s="76"/>
      <c r="D24" s="77"/>
      <c r="E24" s="43">
        <v>1</v>
      </c>
      <c r="F24" s="26"/>
      <c r="G24" s="27"/>
      <c r="H24" s="48">
        <v>1</v>
      </c>
      <c r="I24" s="30"/>
      <c r="J24" s="31"/>
      <c r="K24" s="28">
        <v>1</v>
      </c>
      <c r="L24" s="26"/>
      <c r="M24" s="27"/>
      <c r="N24" s="146">
        <v>1</v>
      </c>
      <c r="O24" s="157"/>
      <c r="P24" s="138"/>
      <c r="Q24" s="28">
        <v>1</v>
      </c>
      <c r="R24" s="29"/>
      <c r="S24" s="25"/>
      <c r="T24" s="12">
        <v>1</v>
      </c>
    </row>
    <row r="25" spans="1:20">
      <c r="A25" s="417"/>
      <c r="B25" s="60" t="s">
        <v>36</v>
      </c>
      <c r="C25" s="76"/>
      <c r="D25" s="77"/>
      <c r="E25" s="43">
        <v>1</v>
      </c>
      <c r="F25" s="26">
        <v>1</v>
      </c>
      <c r="G25" s="27"/>
      <c r="H25" s="28"/>
      <c r="I25" s="30"/>
      <c r="J25" s="31"/>
      <c r="K25" s="28">
        <v>1</v>
      </c>
      <c r="L25" s="26"/>
      <c r="M25" s="27"/>
      <c r="N25" s="144">
        <v>1</v>
      </c>
      <c r="O25" s="91"/>
      <c r="P25" s="136"/>
      <c r="Q25" s="48">
        <v>1</v>
      </c>
      <c r="R25" s="29"/>
      <c r="S25" s="25"/>
      <c r="T25" s="12">
        <v>1</v>
      </c>
    </row>
    <row r="26" spans="1:20" ht="22.5">
      <c r="A26" s="417"/>
      <c r="B26" s="60" t="s">
        <v>37</v>
      </c>
      <c r="C26" s="76">
        <v>1</v>
      </c>
      <c r="D26" s="77"/>
      <c r="E26" s="43"/>
      <c r="F26" s="26">
        <v>1</v>
      </c>
      <c r="G26" s="27"/>
      <c r="H26" s="28"/>
      <c r="I26" s="30"/>
      <c r="J26" s="31"/>
      <c r="K26" s="28">
        <v>1</v>
      </c>
      <c r="L26" s="26"/>
      <c r="M26" s="27">
        <v>1</v>
      </c>
      <c r="N26" s="144"/>
      <c r="O26" s="91">
        <v>1</v>
      </c>
      <c r="P26" s="136"/>
      <c r="Q26" s="48"/>
      <c r="R26" s="29"/>
      <c r="S26" s="25"/>
      <c r="T26" s="12">
        <v>1</v>
      </c>
    </row>
    <row r="27" spans="1:20">
      <c r="A27" s="417"/>
      <c r="B27" s="60" t="s">
        <v>38</v>
      </c>
      <c r="C27" s="76">
        <v>1</v>
      </c>
      <c r="D27" s="77"/>
      <c r="E27" s="43"/>
      <c r="F27" s="26">
        <v>1</v>
      </c>
      <c r="G27" s="27"/>
      <c r="H27" s="28"/>
      <c r="I27" s="30">
        <v>1</v>
      </c>
      <c r="J27" s="31"/>
      <c r="K27" s="28"/>
      <c r="L27" s="26"/>
      <c r="M27" s="27"/>
      <c r="N27" s="144">
        <v>1</v>
      </c>
      <c r="O27" s="91">
        <v>1</v>
      </c>
      <c r="P27" s="136"/>
      <c r="Q27" s="48"/>
      <c r="R27" s="29"/>
      <c r="S27" s="25"/>
      <c r="T27" s="12">
        <v>1</v>
      </c>
    </row>
    <row r="28" spans="1:20">
      <c r="A28" s="417"/>
      <c r="B28" s="60" t="s">
        <v>39</v>
      </c>
      <c r="C28" s="76">
        <v>1</v>
      </c>
      <c r="D28" s="77"/>
      <c r="E28" s="43"/>
      <c r="F28" s="26">
        <v>1</v>
      </c>
      <c r="G28" s="27"/>
      <c r="H28" s="28"/>
      <c r="I28" s="130"/>
      <c r="J28" s="131"/>
      <c r="K28" s="129"/>
      <c r="L28" s="127"/>
      <c r="M28" s="128"/>
      <c r="N28" s="147"/>
      <c r="O28" s="133"/>
      <c r="P28" s="134"/>
      <c r="Q28" s="172"/>
      <c r="R28" s="133"/>
      <c r="S28" s="134"/>
      <c r="T28" s="172"/>
    </row>
    <row r="29" spans="1:20">
      <c r="A29" s="417"/>
      <c r="B29" s="60" t="s">
        <v>40</v>
      </c>
      <c r="C29" s="76"/>
      <c r="D29" s="77"/>
      <c r="E29" s="43">
        <v>1</v>
      </c>
      <c r="F29" s="127"/>
      <c r="G29" s="128"/>
      <c r="H29" s="129"/>
      <c r="I29" s="130"/>
      <c r="J29" s="131"/>
      <c r="K29" s="129"/>
      <c r="L29" s="127"/>
      <c r="M29" s="128"/>
      <c r="N29" s="147"/>
      <c r="O29" s="158"/>
      <c r="P29" s="139"/>
      <c r="Q29" s="132"/>
      <c r="R29" s="133"/>
      <c r="S29" s="134"/>
      <c r="T29" s="172"/>
    </row>
    <row r="30" spans="1:20" ht="33">
      <c r="A30" s="417"/>
      <c r="B30" s="60" t="s">
        <v>41</v>
      </c>
      <c r="C30" s="76">
        <v>1</v>
      </c>
      <c r="D30" s="77"/>
      <c r="E30" s="43"/>
      <c r="F30" s="26">
        <v>1</v>
      </c>
      <c r="G30" s="27"/>
      <c r="H30" s="28"/>
      <c r="I30" s="30">
        <v>1</v>
      </c>
      <c r="J30" s="31"/>
      <c r="K30" s="28"/>
      <c r="L30" s="26">
        <v>1</v>
      </c>
      <c r="M30" s="27"/>
      <c r="N30" s="144"/>
      <c r="O30" s="91">
        <v>1</v>
      </c>
      <c r="P30" s="136"/>
      <c r="Q30" s="48"/>
      <c r="R30" s="29"/>
      <c r="S30" s="25"/>
      <c r="T30" s="12">
        <v>1</v>
      </c>
    </row>
    <row r="31" spans="1:20">
      <c r="A31" s="417"/>
      <c r="B31" s="60" t="s">
        <v>42</v>
      </c>
      <c r="C31" s="76">
        <v>1</v>
      </c>
      <c r="D31" s="77"/>
      <c r="E31" s="43"/>
      <c r="F31" s="26">
        <v>1</v>
      </c>
      <c r="G31" s="27"/>
      <c r="H31" s="28"/>
      <c r="I31" s="30"/>
      <c r="J31" s="31"/>
      <c r="K31" s="28">
        <v>1</v>
      </c>
      <c r="L31" s="26">
        <v>1</v>
      </c>
      <c r="M31" s="27"/>
      <c r="N31" s="144"/>
      <c r="O31" s="324">
        <v>1</v>
      </c>
      <c r="P31" s="275"/>
      <c r="Q31" s="230"/>
      <c r="R31" s="133"/>
      <c r="S31" s="134"/>
      <c r="T31" s="172"/>
    </row>
    <row r="32" spans="1:20" ht="33">
      <c r="A32" s="417"/>
      <c r="B32" s="60" t="s">
        <v>43</v>
      </c>
      <c r="C32" s="76"/>
      <c r="D32" s="77">
        <v>1</v>
      </c>
      <c r="E32" s="48"/>
      <c r="F32" s="26">
        <v>1</v>
      </c>
      <c r="G32" s="27"/>
      <c r="H32" s="28"/>
      <c r="I32" s="30"/>
      <c r="J32" s="31"/>
      <c r="K32" s="28">
        <v>1</v>
      </c>
      <c r="L32" s="26">
        <v>1</v>
      </c>
      <c r="M32" s="27"/>
      <c r="N32" s="144"/>
      <c r="O32" s="91"/>
      <c r="P32" s="136">
        <v>1</v>
      </c>
      <c r="Q32" s="48"/>
      <c r="R32" s="29"/>
      <c r="S32" s="25"/>
      <c r="T32" s="12">
        <v>1</v>
      </c>
    </row>
    <row r="33" spans="1:20">
      <c r="A33" s="417"/>
      <c r="B33" s="60" t="s">
        <v>44</v>
      </c>
      <c r="C33" s="76"/>
      <c r="D33" s="77"/>
      <c r="E33" s="48">
        <v>1</v>
      </c>
      <c r="F33" s="26"/>
      <c r="G33" s="27"/>
      <c r="H33" s="28">
        <v>1</v>
      </c>
      <c r="I33" s="30"/>
      <c r="J33" s="31"/>
      <c r="K33" s="28">
        <v>1</v>
      </c>
      <c r="L33" s="26">
        <v>1</v>
      </c>
      <c r="M33" s="27"/>
      <c r="N33" s="144"/>
      <c r="O33" s="91"/>
      <c r="P33" s="136"/>
      <c r="Q33" s="48">
        <v>1</v>
      </c>
      <c r="R33" s="29"/>
      <c r="S33" s="25"/>
      <c r="T33" s="12">
        <v>1</v>
      </c>
    </row>
    <row r="34" spans="1:20">
      <c r="A34" s="417"/>
      <c r="B34" s="60" t="s">
        <v>45</v>
      </c>
      <c r="C34" s="76">
        <v>1</v>
      </c>
      <c r="D34" s="77"/>
      <c r="E34" s="48"/>
      <c r="F34" s="26">
        <v>1</v>
      </c>
      <c r="G34" s="27"/>
      <c r="H34" s="28"/>
      <c r="I34" s="30"/>
      <c r="J34" s="31"/>
      <c r="K34" s="28">
        <v>1</v>
      </c>
      <c r="L34" s="26"/>
      <c r="M34" s="27"/>
      <c r="N34" s="144">
        <v>1</v>
      </c>
      <c r="O34" s="91"/>
      <c r="P34" s="136"/>
      <c r="Q34" s="48">
        <v>1</v>
      </c>
      <c r="R34" s="29">
        <v>1</v>
      </c>
      <c r="S34" s="25"/>
      <c r="T34" s="12"/>
    </row>
    <row r="35" spans="1:20">
      <c r="A35" s="417"/>
      <c r="B35" s="60" t="s">
        <v>46</v>
      </c>
      <c r="C35" s="76">
        <v>1</v>
      </c>
      <c r="D35" s="77"/>
      <c r="E35" s="48"/>
      <c r="F35" s="127"/>
      <c r="G35" s="128"/>
      <c r="H35" s="129"/>
      <c r="I35" s="130"/>
      <c r="J35" s="131"/>
      <c r="K35" s="129"/>
      <c r="L35" s="127"/>
      <c r="M35" s="128"/>
      <c r="N35" s="147"/>
      <c r="O35" s="158"/>
      <c r="P35" s="139"/>
      <c r="Q35" s="132">
        <v>1</v>
      </c>
      <c r="R35" s="133"/>
      <c r="S35" s="134"/>
      <c r="T35" s="129"/>
    </row>
    <row r="36" spans="1:20">
      <c r="A36" s="417"/>
      <c r="B36" s="60" t="s">
        <v>47</v>
      </c>
      <c r="C36" s="76"/>
      <c r="D36" s="77"/>
      <c r="E36" s="48">
        <v>1</v>
      </c>
      <c r="F36" s="26"/>
      <c r="G36" s="27"/>
      <c r="H36" s="28">
        <v>1</v>
      </c>
      <c r="I36" s="30">
        <v>1</v>
      </c>
      <c r="J36" s="31"/>
      <c r="K36" s="28"/>
      <c r="L36" s="26"/>
      <c r="M36" s="27"/>
      <c r="N36" s="144">
        <v>1</v>
      </c>
      <c r="O36" s="91"/>
      <c r="P36" s="136"/>
      <c r="Q36" s="48">
        <v>1</v>
      </c>
      <c r="R36" s="29"/>
      <c r="S36" s="25"/>
      <c r="T36" s="12">
        <v>1</v>
      </c>
    </row>
    <row r="37" spans="1:20">
      <c r="A37" s="417"/>
      <c r="B37" s="60" t="s">
        <v>48</v>
      </c>
      <c r="C37" s="76">
        <v>1</v>
      </c>
      <c r="D37" s="77"/>
      <c r="E37" s="48"/>
      <c r="F37" s="26"/>
      <c r="G37" s="27"/>
      <c r="H37" s="28">
        <v>1</v>
      </c>
      <c r="I37" s="30"/>
      <c r="J37" s="31"/>
      <c r="K37" s="28">
        <v>1</v>
      </c>
      <c r="L37" s="26"/>
      <c r="M37" s="27"/>
      <c r="N37" s="144">
        <v>1</v>
      </c>
      <c r="O37" s="91"/>
      <c r="P37" s="136"/>
      <c r="Q37" s="48">
        <v>1</v>
      </c>
      <c r="R37" s="29"/>
      <c r="S37" s="25"/>
      <c r="T37" s="12">
        <v>1</v>
      </c>
    </row>
    <row r="38" spans="1:20">
      <c r="A38" s="417"/>
      <c r="B38" s="60" t="s">
        <v>49</v>
      </c>
      <c r="C38" s="76"/>
      <c r="D38" s="77"/>
      <c r="E38" s="48">
        <v>1</v>
      </c>
      <c r="F38" s="26"/>
      <c r="G38" s="27"/>
      <c r="H38" s="28">
        <v>1</v>
      </c>
      <c r="I38" s="30"/>
      <c r="J38" s="31"/>
      <c r="K38" s="28">
        <v>1</v>
      </c>
      <c r="L38" s="26"/>
      <c r="M38" s="27"/>
      <c r="N38" s="144">
        <v>1</v>
      </c>
      <c r="O38" s="91"/>
      <c r="P38" s="136"/>
      <c r="Q38" s="48">
        <v>1</v>
      </c>
      <c r="R38" s="29"/>
      <c r="S38" s="25"/>
      <c r="T38" s="12">
        <v>1</v>
      </c>
    </row>
    <row r="39" spans="1:20">
      <c r="A39" s="417"/>
      <c r="B39" s="60" t="s">
        <v>50</v>
      </c>
      <c r="C39" s="76"/>
      <c r="D39" s="77">
        <v>1</v>
      </c>
      <c r="E39" s="48"/>
      <c r="F39" s="26"/>
      <c r="G39" s="27">
        <v>1</v>
      </c>
      <c r="H39" s="28"/>
      <c r="I39" s="30"/>
      <c r="J39" s="31">
        <v>1</v>
      </c>
      <c r="K39" s="28"/>
      <c r="L39" s="26"/>
      <c r="M39" s="27">
        <v>1</v>
      </c>
      <c r="N39" s="146"/>
      <c r="O39" s="157"/>
      <c r="P39" s="138">
        <v>1</v>
      </c>
      <c r="Q39" s="28"/>
      <c r="R39" s="29"/>
      <c r="S39" s="25">
        <v>1</v>
      </c>
      <c r="T39" s="28"/>
    </row>
    <row r="40" spans="1:20" ht="22.5">
      <c r="A40" s="417"/>
      <c r="B40" s="60" t="s">
        <v>51</v>
      </c>
      <c r="C40" s="76"/>
      <c r="D40" s="77"/>
      <c r="E40" s="48">
        <v>1</v>
      </c>
      <c r="F40" s="26"/>
      <c r="G40" s="27"/>
      <c r="H40" s="28">
        <v>1</v>
      </c>
      <c r="I40" s="30"/>
      <c r="J40" s="31"/>
      <c r="K40" s="28">
        <v>1</v>
      </c>
      <c r="L40" s="26"/>
      <c r="M40" s="27"/>
      <c r="N40" s="146">
        <v>1</v>
      </c>
      <c r="O40" s="157"/>
      <c r="P40" s="138"/>
      <c r="Q40" s="28">
        <v>1</v>
      </c>
      <c r="R40" s="29"/>
      <c r="S40" s="25"/>
      <c r="T40" s="135">
        <v>1</v>
      </c>
    </row>
    <row r="41" spans="1:20" ht="22.5">
      <c r="A41" s="417"/>
      <c r="B41" s="60" t="s">
        <v>52</v>
      </c>
      <c r="C41" s="76">
        <v>1</v>
      </c>
      <c r="D41" s="77"/>
      <c r="E41" s="48"/>
      <c r="F41" s="26">
        <v>1</v>
      </c>
      <c r="G41" s="27"/>
      <c r="H41" s="28"/>
      <c r="I41" s="30">
        <v>1</v>
      </c>
      <c r="J41" s="31"/>
      <c r="K41" s="28"/>
      <c r="L41" s="26">
        <v>1</v>
      </c>
      <c r="M41" s="27"/>
      <c r="N41" s="146"/>
      <c r="O41" s="157"/>
      <c r="P41" s="138">
        <v>1</v>
      </c>
      <c r="Q41" s="28"/>
      <c r="R41" s="29"/>
      <c r="S41" s="25">
        <v>1</v>
      </c>
      <c r="T41" s="71"/>
    </row>
    <row r="42" spans="1:20">
      <c r="A42" s="417"/>
      <c r="B42" s="60" t="s">
        <v>53</v>
      </c>
      <c r="C42" s="76">
        <v>1</v>
      </c>
      <c r="D42" s="77"/>
      <c r="E42" s="48"/>
      <c r="F42" s="26">
        <v>1</v>
      </c>
      <c r="G42" s="27"/>
      <c r="H42" s="28"/>
      <c r="I42" s="30"/>
      <c r="J42" s="31"/>
      <c r="K42" s="28">
        <v>1</v>
      </c>
      <c r="L42" s="26">
        <v>1</v>
      </c>
      <c r="M42" s="27"/>
      <c r="N42" s="146"/>
      <c r="O42" s="157">
        <v>1</v>
      </c>
      <c r="P42" s="138"/>
      <c r="Q42" s="28"/>
      <c r="R42" s="29"/>
      <c r="S42" s="25"/>
      <c r="T42" s="71">
        <v>1</v>
      </c>
    </row>
    <row r="43" spans="1:20" ht="22.5">
      <c r="A43" s="417"/>
      <c r="B43" s="60" t="s">
        <v>54</v>
      </c>
      <c r="C43" s="76"/>
      <c r="D43" s="77">
        <v>1</v>
      </c>
      <c r="E43" s="48"/>
      <c r="F43" s="26"/>
      <c r="G43" s="27">
        <v>1</v>
      </c>
      <c r="H43" s="48"/>
      <c r="I43" s="30"/>
      <c r="J43" s="31">
        <v>1</v>
      </c>
      <c r="K43" s="48"/>
      <c r="L43" s="26"/>
      <c r="M43" s="27">
        <v>1</v>
      </c>
      <c r="N43" s="144"/>
      <c r="O43" s="91"/>
      <c r="P43" s="136">
        <v>1</v>
      </c>
      <c r="Q43" s="48"/>
      <c r="R43" s="29"/>
      <c r="S43" s="25"/>
      <c r="T43" s="71">
        <v>1</v>
      </c>
    </row>
    <row r="44" spans="1:20">
      <c r="A44" s="417"/>
      <c r="B44" s="60" t="s">
        <v>55</v>
      </c>
      <c r="C44" s="83">
        <v>1</v>
      </c>
      <c r="D44" s="84"/>
      <c r="E44" s="85"/>
      <c r="F44" s="26">
        <v>1</v>
      </c>
      <c r="G44" s="27"/>
      <c r="H44" s="28"/>
      <c r="I44" s="30">
        <v>1</v>
      </c>
      <c r="J44" s="31"/>
      <c r="K44" s="28"/>
      <c r="L44" s="26">
        <v>1</v>
      </c>
      <c r="M44" s="27"/>
      <c r="N44" s="146"/>
      <c r="O44" s="157">
        <v>1</v>
      </c>
      <c r="P44" s="138"/>
      <c r="Q44" s="28"/>
      <c r="R44" s="29"/>
      <c r="S44" s="25"/>
      <c r="T44" s="28">
        <v>1</v>
      </c>
    </row>
    <row r="45" spans="1:20" ht="22.5">
      <c r="A45" s="417"/>
      <c r="B45" s="60" t="s">
        <v>56</v>
      </c>
      <c r="C45" s="163"/>
      <c r="D45" s="164"/>
      <c r="E45" s="165"/>
      <c r="F45" s="166"/>
      <c r="G45" s="167"/>
      <c r="H45" s="168"/>
      <c r="I45" s="130"/>
      <c r="J45" s="131"/>
      <c r="K45" s="168"/>
      <c r="L45" s="166"/>
      <c r="M45" s="167"/>
      <c r="N45" s="169"/>
      <c r="O45" s="170"/>
      <c r="P45" s="171"/>
      <c r="Q45" s="129"/>
      <c r="R45" s="35">
        <v>1</v>
      </c>
      <c r="S45" s="36"/>
      <c r="T45" s="32"/>
    </row>
    <row r="46" spans="1:20">
      <c r="A46" s="417"/>
      <c r="B46" s="60" t="s">
        <v>57</v>
      </c>
      <c r="C46" s="163"/>
      <c r="D46" s="164"/>
      <c r="E46" s="165"/>
      <c r="F46" s="166"/>
      <c r="G46" s="167"/>
      <c r="H46" s="168"/>
      <c r="I46" s="130"/>
      <c r="J46" s="131"/>
      <c r="K46" s="168"/>
      <c r="L46" s="166"/>
      <c r="M46" s="167"/>
      <c r="N46" s="169"/>
      <c r="O46" s="170"/>
      <c r="P46" s="171"/>
      <c r="Q46" s="129"/>
      <c r="R46" s="35">
        <v>1</v>
      </c>
      <c r="S46" s="36"/>
      <c r="T46" s="32"/>
    </row>
    <row r="47" spans="1:20">
      <c r="A47" s="417"/>
      <c r="B47" s="60" t="s">
        <v>58</v>
      </c>
      <c r="C47" s="83">
        <v>1</v>
      </c>
      <c r="D47" s="84"/>
      <c r="E47" s="85"/>
      <c r="F47" s="33">
        <v>1</v>
      </c>
      <c r="G47" s="34"/>
      <c r="H47" s="32"/>
      <c r="I47" s="30">
        <v>1</v>
      </c>
      <c r="J47" s="31"/>
      <c r="K47" s="32"/>
      <c r="L47" s="33">
        <v>1</v>
      </c>
      <c r="M47" s="34"/>
      <c r="N47" s="148"/>
      <c r="O47" s="157">
        <v>1</v>
      </c>
      <c r="P47" s="140"/>
      <c r="Q47" s="28"/>
      <c r="R47" s="35">
        <v>1</v>
      </c>
      <c r="S47" s="36"/>
      <c r="T47" s="32"/>
    </row>
    <row r="48" spans="1:20">
      <c r="A48" s="417"/>
      <c r="B48" s="61" t="s">
        <v>59</v>
      </c>
      <c r="C48" s="86">
        <v>1</v>
      </c>
      <c r="D48" s="87"/>
      <c r="E48" s="44"/>
      <c r="F48" s="33">
        <v>1</v>
      </c>
      <c r="G48" s="34"/>
      <c r="H48" s="32"/>
      <c r="I48" s="30">
        <v>1</v>
      </c>
      <c r="J48" s="31"/>
      <c r="K48" s="32"/>
      <c r="L48" s="33">
        <v>1</v>
      </c>
      <c r="M48" s="34"/>
      <c r="N48" s="148"/>
      <c r="O48" s="173">
        <v>1</v>
      </c>
      <c r="P48" s="140"/>
      <c r="Q48" s="32"/>
      <c r="R48" s="35">
        <v>1</v>
      </c>
      <c r="S48" s="36"/>
      <c r="T48" s="32"/>
    </row>
    <row r="49" spans="1:20" ht="22.5">
      <c r="A49" s="416" t="s">
        <v>60</v>
      </c>
      <c r="B49" s="59" t="s">
        <v>61</v>
      </c>
      <c r="C49" s="88">
        <v>1</v>
      </c>
      <c r="D49" s="89"/>
      <c r="E49" s="7"/>
      <c r="F49" s="175"/>
      <c r="G49" s="176"/>
      <c r="H49" s="177"/>
      <c r="I49" s="178"/>
      <c r="J49" s="179"/>
      <c r="K49" s="177"/>
      <c r="L49" s="175"/>
      <c r="M49" s="176"/>
      <c r="N49" s="180"/>
      <c r="O49" s="181"/>
      <c r="P49" s="182"/>
      <c r="Q49" s="183"/>
      <c r="R49" s="184"/>
      <c r="S49" s="185"/>
      <c r="T49" s="186"/>
    </row>
    <row r="50" spans="1:20" ht="22.5">
      <c r="A50" s="417"/>
      <c r="B50" s="75" t="s">
        <v>62</v>
      </c>
      <c r="C50" s="76">
        <v>1</v>
      </c>
      <c r="D50" s="77"/>
      <c r="E50" s="43"/>
      <c r="F50" s="187"/>
      <c r="G50" s="188"/>
      <c r="H50" s="132"/>
      <c r="I50" s="189"/>
      <c r="J50" s="190"/>
      <c r="K50" s="132"/>
      <c r="L50" s="187"/>
      <c r="M50" s="188"/>
      <c r="N50" s="147"/>
      <c r="O50" s="158"/>
      <c r="P50" s="139"/>
      <c r="Q50" s="132"/>
      <c r="R50" s="191"/>
      <c r="S50" s="192"/>
      <c r="T50" s="172"/>
    </row>
    <row r="51" spans="1:20">
      <c r="A51" s="417"/>
      <c r="B51" s="60" t="s">
        <v>63</v>
      </c>
      <c r="C51" s="193"/>
      <c r="D51" s="194"/>
      <c r="E51" s="195"/>
      <c r="F51" s="196"/>
      <c r="G51" s="197"/>
      <c r="H51" s="198"/>
      <c r="I51" s="199"/>
      <c r="J51" s="200"/>
      <c r="K51" s="198"/>
      <c r="L51" s="14">
        <v>1</v>
      </c>
      <c r="M51" s="13"/>
      <c r="N51" s="145"/>
      <c r="O51" s="196"/>
      <c r="P51" s="201"/>
      <c r="Q51" s="198"/>
      <c r="R51" s="202"/>
      <c r="S51" s="188"/>
      <c r="T51" s="203"/>
    </row>
    <row r="52" spans="1:20">
      <c r="A52" s="417"/>
      <c r="B52" s="60" t="s">
        <v>64</v>
      </c>
      <c r="C52" s="193"/>
      <c r="D52" s="194"/>
      <c r="E52" s="195"/>
      <c r="F52" s="196"/>
      <c r="G52" s="197"/>
      <c r="H52" s="198"/>
      <c r="I52" s="199"/>
      <c r="J52" s="200"/>
      <c r="K52" s="198"/>
      <c r="L52" s="14">
        <v>1</v>
      </c>
      <c r="M52" s="13"/>
      <c r="N52" s="145"/>
      <c r="O52" s="196"/>
      <c r="P52" s="201"/>
      <c r="Q52" s="198"/>
      <c r="R52" s="202"/>
      <c r="S52" s="188"/>
      <c r="T52" s="203"/>
    </row>
    <row r="53" spans="1:20" ht="22.5">
      <c r="A53" s="417"/>
      <c r="B53" s="60" t="s">
        <v>65</v>
      </c>
      <c r="C53" s="80">
        <v>1</v>
      </c>
      <c r="D53" s="81"/>
      <c r="E53" s="90"/>
      <c r="F53" s="26"/>
      <c r="G53" s="27"/>
      <c r="H53" s="28">
        <v>1</v>
      </c>
      <c r="I53" s="99"/>
      <c r="J53" s="100"/>
      <c r="K53" s="28">
        <v>1</v>
      </c>
      <c r="L53" s="26"/>
      <c r="M53" s="27"/>
      <c r="N53" s="146">
        <v>1</v>
      </c>
      <c r="O53" s="157"/>
      <c r="P53" s="138"/>
      <c r="Q53" s="28">
        <v>1</v>
      </c>
      <c r="R53" s="29"/>
      <c r="S53" s="25"/>
      <c r="T53" s="28">
        <v>1</v>
      </c>
    </row>
    <row r="54" spans="1:20" ht="22.5">
      <c r="A54" s="417"/>
      <c r="B54" s="60" t="s">
        <v>66</v>
      </c>
      <c r="C54" s="76">
        <v>1</v>
      </c>
      <c r="D54" s="77"/>
      <c r="E54" s="48"/>
      <c r="F54" s="127"/>
      <c r="G54" s="128"/>
      <c r="H54" s="129"/>
      <c r="I54" s="130"/>
      <c r="J54" s="131"/>
      <c r="K54" s="129"/>
      <c r="L54" s="127"/>
      <c r="M54" s="128"/>
      <c r="N54" s="204"/>
      <c r="O54" s="170"/>
      <c r="P54" s="205"/>
      <c r="Q54" s="129"/>
      <c r="R54" s="133"/>
      <c r="S54" s="134"/>
      <c r="T54" s="129"/>
    </row>
    <row r="55" spans="1:20">
      <c r="A55" s="417"/>
      <c r="B55" s="60" t="s">
        <v>67</v>
      </c>
      <c r="C55" s="76"/>
      <c r="D55" s="77">
        <v>1</v>
      </c>
      <c r="E55" s="43"/>
      <c r="F55" s="187"/>
      <c r="G55" s="188"/>
      <c r="H55" s="132"/>
      <c r="I55" s="189"/>
      <c r="J55" s="190"/>
      <c r="K55" s="132"/>
      <c r="L55" s="187"/>
      <c r="M55" s="188"/>
      <c r="N55" s="147"/>
      <c r="O55" s="158"/>
      <c r="P55" s="139"/>
      <c r="Q55" s="132"/>
      <c r="R55" s="191"/>
      <c r="S55" s="192"/>
      <c r="T55" s="172"/>
    </row>
    <row r="56" spans="1:20">
      <c r="A56" s="417"/>
      <c r="B56" s="60" t="s">
        <v>68</v>
      </c>
      <c r="C56" s="76"/>
      <c r="D56" s="77"/>
      <c r="E56" s="43">
        <v>1</v>
      </c>
      <c r="F56" s="127"/>
      <c r="G56" s="128"/>
      <c r="H56" s="129"/>
      <c r="I56" s="130"/>
      <c r="J56" s="131"/>
      <c r="K56" s="129"/>
      <c r="L56" s="127"/>
      <c r="M56" s="128"/>
      <c r="N56" s="147"/>
      <c r="O56" s="158"/>
      <c r="P56" s="139"/>
      <c r="Q56" s="132"/>
      <c r="R56" s="133"/>
      <c r="S56" s="134"/>
      <c r="T56" s="172"/>
    </row>
    <row r="57" spans="1:20">
      <c r="A57" s="417"/>
      <c r="B57" s="60" t="s">
        <v>69</v>
      </c>
      <c r="C57" s="76">
        <v>1</v>
      </c>
      <c r="D57" s="77"/>
      <c r="E57" s="43"/>
      <c r="F57" s="26">
        <v>1</v>
      </c>
      <c r="G57" s="27"/>
      <c r="H57" s="28"/>
      <c r="I57" s="30"/>
      <c r="J57" s="31"/>
      <c r="K57" s="28">
        <v>1</v>
      </c>
      <c r="L57" s="26"/>
      <c r="M57" s="27"/>
      <c r="N57" s="144">
        <v>1</v>
      </c>
      <c r="O57" s="91"/>
      <c r="P57" s="136"/>
      <c r="Q57" s="48">
        <v>1</v>
      </c>
      <c r="R57" s="29"/>
      <c r="S57" s="25"/>
      <c r="T57" s="71">
        <v>1</v>
      </c>
    </row>
    <row r="58" spans="1:20" ht="22.5">
      <c r="A58" s="417"/>
      <c r="B58" s="60" t="s">
        <v>70</v>
      </c>
      <c r="C58" s="76">
        <v>1</v>
      </c>
      <c r="D58" s="77"/>
      <c r="E58" s="43"/>
      <c r="F58" s="26">
        <v>1</v>
      </c>
      <c r="G58" s="27"/>
      <c r="H58" s="28"/>
      <c r="I58" s="130"/>
      <c r="J58" s="131"/>
      <c r="K58" s="129"/>
      <c r="L58" s="127"/>
      <c r="M58" s="128"/>
      <c r="N58" s="147"/>
      <c r="O58" s="91">
        <v>1</v>
      </c>
      <c r="P58" s="136"/>
      <c r="Q58" s="48"/>
      <c r="R58" s="133"/>
      <c r="S58" s="134"/>
      <c r="T58" s="172"/>
    </row>
    <row r="59" spans="1:20">
      <c r="A59" s="417"/>
      <c r="B59" s="60" t="s">
        <v>71</v>
      </c>
      <c r="C59" s="91">
        <v>1</v>
      </c>
      <c r="D59" s="77"/>
      <c r="E59" s="43"/>
      <c r="F59" s="26">
        <v>1</v>
      </c>
      <c r="G59" s="27"/>
      <c r="H59" s="28"/>
      <c r="I59" s="101"/>
      <c r="J59" s="102"/>
      <c r="K59" s="28">
        <v>1</v>
      </c>
      <c r="L59" s="26">
        <v>1</v>
      </c>
      <c r="M59" s="27"/>
      <c r="N59" s="144"/>
      <c r="O59" s="91">
        <v>1</v>
      </c>
      <c r="P59" s="136"/>
      <c r="Q59" s="48"/>
      <c r="R59" s="29"/>
      <c r="S59" s="25"/>
      <c r="T59" s="71">
        <v>1</v>
      </c>
    </row>
    <row r="60" spans="1:20">
      <c r="A60" s="417"/>
      <c r="B60" s="60" t="s">
        <v>72</v>
      </c>
      <c r="C60" s="158"/>
      <c r="D60" s="149"/>
      <c r="E60" s="132"/>
      <c r="F60" s="206"/>
      <c r="G60" s="207"/>
      <c r="H60" s="132"/>
      <c r="I60" s="206"/>
      <c r="J60" s="207"/>
      <c r="K60" s="132"/>
      <c r="L60" s="103">
        <v>1</v>
      </c>
      <c r="M60" s="104"/>
      <c r="N60" s="144"/>
      <c r="O60" s="91"/>
      <c r="P60" s="136"/>
      <c r="Q60" s="48">
        <v>1</v>
      </c>
      <c r="R60" s="29"/>
      <c r="S60" s="25"/>
      <c r="T60" s="71">
        <v>1</v>
      </c>
    </row>
    <row r="61" spans="1:20">
      <c r="A61" s="417"/>
      <c r="B61" s="60" t="s">
        <v>73</v>
      </c>
      <c r="C61" s="158"/>
      <c r="D61" s="149"/>
      <c r="E61" s="132"/>
      <c r="F61" s="206"/>
      <c r="G61" s="207"/>
      <c r="H61" s="132"/>
      <c r="I61" s="206"/>
      <c r="J61" s="207"/>
      <c r="K61" s="132"/>
      <c r="L61" s="206"/>
      <c r="M61" s="207"/>
      <c r="N61" s="147"/>
      <c r="O61" s="158"/>
      <c r="P61" s="139"/>
      <c r="Q61" s="132"/>
      <c r="R61" s="133"/>
      <c r="S61" s="134"/>
      <c r="T61" s="172"/>
    </row>
    <row r="62" spans="1:20" ht="15" customHeight="1">
      <c r="A62" s="417"/>
      <c r="B62" s="60" t="s">
        <v>74</v>
      </c>
      <c r="C62" s="91">
        <v>1</v>
      </c>
      <c r="D62" s="77"/>
      <c r="E62" s="48"/>
      <c r="F62" s="103"/>
      <c r="G62" s="104"/>
      <c r="H62" s="48">
        <v>1</v>
      </c>
      <c r="I62" s="206"/>
      <c r="J62" s="207"/>
      <c r="K62" s="132"/>
      <c r="L62" s="206"/>
      <c r="M62" s="207"/>
      <c r="N62" s="147"/>
      <c r="O62" s="158"/>
      <c r="P62" s="139"/>
      <c r="Q62" s="132"/>
      <c r="R62" s="133"/>
      <c r="S62" s="134"/>
      <c r="T62" s="172"/>
    </row>
    <row r="63" spans="1:20" ht="24.75" customHeight="1">
      <c r="A63" s="417"/>
      <c r="B63" s="60" t="s">
        <v>75</v>
      </c>
      <c r="C63" s="91"/>
      <c r="D63" s="77"/>
      <c r="E63" s="48">
        <v>1</v>
      </c>
      <c r="F63" s="103"/>
      <c r="G63" s="104"/>
      <c r="H63" s="48">
        <v>1</v>
      </c>
      <c r="I63" s="103"/>
      <c r="J63" s="104"/>
      <c r="K63" s="48">
        <v>1</v>
      </c>
      <c r="L63" s="103"/>
      <c r="M63" s="104"/>
      <c r="N63" s="144">
        <v>1</v>
      </c>
      <c r="O63" s="91"/>
      <c r="P63" s="136"/>
      <c r="Q63" s="48">
        <v>1</v>
      </c>
      <c r="R63" s="29"/>
      <c r="S63" s="25"/>
      <c r="T63" s="71">
        <v>1</v>
      </c>
    </row>
    <row r="64" spans="1:20" ht="24.75" customHeight="1">
      <c r="A64" s="417"/>
      <c r="B64" s="60" t="s">
        <v>76</v>
      </c>
      <c r="C64" s="91"/>
      <c r="D64" s="77"/>
      <c r="E64" s="48">
        <v>1</v>
      </c>
      <c r="F64" s="103"/>
      <c r="G64" s="104"/>
      <c r="H64" s="48">
        <v>1</v>
      </c>
      <c r="I64" s="103"/>
      <c r="J64" s="104"/>
      <c r="K64" s="48">
        <v>1</v>
      </c>
      <c r="L64" s="103"/>
      <c r="M64" s="150"/>
      <c r="N64" s="151">
        <v>1</v>
      </c>
      <c r="O64" s="161">
        <v>1</v>
      </c>
      <c r="P64" s="152"/>
      <c r="Q64" s="162"/>
      <c r="R64" s="35"/>
      <c r="S64" s="36"/>
      <c r="T64" s="71">
        <v>1</v>
      </c>
    </row>
    <row r="65" spans="1:20" ht="24.75" customHeight="1">
      <c r="A65" s="417"/>
      <c r="B65" s="60" t="s">
        <v>77</v>
      </c>
      <c r="C65" s="158"/>
      <c r="D65" s="149"/>
      <c r="E65" s="132"/>
      <c r="F65" s="206"/>
      <c r="G65" s="207"/>
      <c r="H65" s="132"/>
      <c r="I65" s="206"/>
      <c r="J65" s="207"/>
      <c r="K65" s="132"/>
      <c r="L65" s="206"/>
      <c r="M65" s="208"/>
      <c r="N65" s="209"/>
      <c r="O65" s="161">
        <v>1</v>
      </c>
      <c r="P65" s="152"/>
      <c r="Q65" s="162"/>
      <c r="R65" s="210"/>
      <c r="S65" s="211"/>
      <c r="T65" s="172"/>
    </row>
    <row r="66" spans="1:20" ht="24.75" customHeight="1">
      <c r="A66" s="417"/>
      <c r="B66" s="60" t="s">
        <v>78</v>
      </c>
      <c r="C66" s="158"/>
      <c r="D66" s="149"/>
      <c r="E66" s="132"/>
      <c r="F66" s="206"/>
      <c r="G66" s="207"/>
      <c r="H66" s="132"/>
      <c r="I66" s="206"/>
      <c r="J66" s="207"/>
      <c r="K66" s="132"/>
      <c r="L66" s="206"/>
      <c r="M66" s="208"/>
      <c r="N66" s="209"/>
      <c r="O66" s="161">
        <v>1</v>
      </c>
      <c r="P66" s="152"/>
      <c r="Q66" s="162"/>
      <c r="R66" s="210"/>
      <c r="S66" s="211"/>
      <c r="T66" s="172"/>
    </row>
    <row r="67" spans="1:20" ht="24.75" customHeight="1">
      <c r="A67" s="417"/>
      <c r="B67" s="60" t="s">
        <v>79</v>
      </c>
      <c r="C67" s="158"/>
      <c r="D67" s="149"/>
      <c r="E67" s="132"/>
      <c r="F67" s="206"/>
      <c r="G67" s="207"/>
      <c r="H67" s="132"/>
      <c r="I67" s="206"/>
      <c r="J67" s="207"/>
      <c r="K67" s="132"/>
      <c r="L67" s="206"/>
      <c r="M67" s="208"/>
      <c r="N67" s="209"/>
      <c r="O67" s="161">
        <v>1</v>
      </c>
      <c r="P67" s="152"/>
      <c r="Q67" s="162"/>
      <c r="R67" s="210"/>
      <c r="S67" s="211"/>
      <c r="T67" s="172"/>
    </row>
    <row r="68" spans="1:20">
      <c r="A68" s="418"/>
      <c r="B68" s="174" t="s">
        <v>80</v>
      </c>
      <c r="C68" s="159"/>
      <c r="D68" s="123"/>
      <c r="E68" s="160">
        <v>1</v>
      </c>
      <c r="F68" s="212"/>
      <c r="G68" s="213"/>
      <c r="H68" s="214"/>
      <c r="I68" s="212"/>
      <c r="J68" s="213"/>
      <c r="K68" s="214"/>
      <c r="L68" s="212"/>
      <c r="M68" s="213"/>
      <c r="N68" s="215"/>
      <c r="O68" s="216"/>
      <c r="P68" s="217"/>
      <c r="Q68" s="214"/>
      <c r="R68" s="212"/>
      <c r="S68" s="213"/>
      <c r="T68" s="214"/>
    </row>
    <row r="69" spans="1:20">
      <c r="A69" s="419" t="s">
        <v>81</v>
      </c>
      <c r="B69" s="52" t="s">
        <v>81</v>
      </c>
      <c r="C69" s="49">
        <f>SUM(C8:C68)</f>
        <v>33</v>
      </c>
      <c r="D69" s="49">
        <f>SUM(D8:D68)</f>
        <v>6</v>
      </c>
      <c r="E69" s="45">
        <f>SUM(E8:E68)</f>
        <v>13</v>
      </c>
      <c r="F69" s="45">
        <f t="shared" ref="F69:T69" si="0">SUM(F8:F68)</f>
        <v>28</v>
      </c>
      <c r="G69" s="45">
        <f t="shared" si="0"/>
        <v>2</v>
      </c>
      <c r="H69" s="45">
        <f t="shared" si="0"/>
        <v>14</v>
      </c>
      <c r="I69" s="45">
        <f t="shared" si="0"/>
        <v>16</v>
      </c>
      <c r="J69" s="45">
        <f t="shared" si="0"/>
        <v>2</v>
      </c>
      <c r="K69" s="45">
        <f t="shared" si="0"/>
        <v>23</v>
      </c>
      <c r="L69" s="45">
        <f t="shared" si="0"/>
        <v>24</v>
      </c>
      <c r="M69" s="45">
        <f t="shared" si="0"/>
        <v>3</v>
      </c>
      <c r="N69" s="45">
        <f t="shared" si="0"/>
        <v>17</v>
      </c>
      <c r="O69" s="45">
        <f t="shared" si="0"/>
        <v>26</v>
      </c>
      <c r="P69" s="45">
        <f t="shared" si="0"/>
        <v>5</v>
      </c>
      <c r="Q69" s="45">
        <f t="shared" si="0"/>
        <v>16</v>
      </c>
      <c r="R69" s="45">
        <f t="shared" si="0"/>
        <v>9</v>
      </c>
      <c r="S69" s="45">
        <f t="shared" si="0"/>
        <v>2</v>
      </c>
      <c r="T69" s="45">
        <f t="shared" si="0"/>
        <v>32</v>
      </c>
    </row>
    <row r="70" spans="1:20">
      <c r="A70" s="420"/>
      <c r="B70" s="53" t="s">
        <v>82</v>
      </c>
      <c r="C70" s="424"/>
      <c r="D70" s="425"/>
      <c r="E70" s="426"/>
      <c r="F70" s="424"/>
      <c r="G70" s="425"/>
      <c r="H70" s="426"/>
      <c r="I70" s="424"/>
      <c r="J70" s="425"/>
      <c r="K70" s="426"/>
      <c r="L70" s="424"/>
      <c r="M70" s="425"/>
      <c r="N70" s="426"/>
      <c r="O70" s="424"/>
      <c r="P70" s="425"/>
      <c r="Q70" s="426"/>
      <c r="R70" s="424"/>
      <c r="S70" s="425"/>
      <c r="T70" s="426"/>
    </row>
    <row r="71" spans="1:20" ht="50.45" customHeight="1">
      <c r="A71" s="412" t="s">
        <v>83</v>
      </c>
      <c r="B71" s="338"/>
      <c r="C71" s="338"/>
      <c r="D71" s="338"/>
      <c r="E71" s="338"/>
      <c r="F71" s="338"/>
      <c r="G71" s="338"/>
      <c r="H71" s="338"/>
      <c r="I71" s="338"/>
      <c r="J71" s="338"/>
      <c r="K71" s="338"/>
      <c r="L71" s="338"/>
      <c r="M71" s="338"/>
      <c r="N71" s="338"/>
      <c r="O71" s="413"/>
      <c r="P71" s="413"/>
      <c r="Q71" s="413"/>
      <c r="R71" s="338"/>
      <c r="S71" s="338"/>
      <c r="T71" s="339"/>
    </row>
    <row r="72" spans="1:20">
      <c r="A72" s="37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</row>
    <row r="73" spans="1:20" ht="15.75">
      <c r="A73" s="55" t="s">
        <v>84</v>
      </c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114"/>
    </row>
    <row r="74" spans="1:20">
      <c r="A74" s="430"/>
      <c r="B74" s="431"/>
      <c r="C74" s="431"/>
      <c r="D74" s="431"/>
      <c r="E74" s="431"/>
      <c r="F74" s="431"/>
      <c r="G74" s="431"/>
      <c r="H74" s="431"/>
      <c r="I74" s="431"/>
      <c r="J74" s="431"/>
      <c r="K74" s="431"/>
      <c r="L74" s="431"/>
      <c r="M74" s="431"/>
      <c r="N74" s="431"/>
      <c r="O74" s="431"/>
      <c r="P74" s="431"/>
      <c r="Q74" s="431"/>
      <c r="R74" s="431"/>
      <c r="S74" s="431"/>
      <c r="T74" s="121"/>
    </row>
    <row r="75" spans="1:20">
      <c r="A75" s="5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115"/>
    </row>
    <row r="76" spans="1:20">
      <c r="A76" s="5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115"/>
    </row>
    <row r="77" spans="1:20">
      <c r="A77" s="5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115"/>
    </row>
    <row r="78" spans="1:20">
      <c r="A78" s="5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115"/>
    </row>
    <row r="79" spans="1:20">
      <c r="A79" s="5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115"/>
    </row>
    <row r="80" spans="1:20">
      <c r="A80" s="5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115"/>
    </row>
    <row r="81" spans="1:20">
      <c r="A81" s="5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115"/>
    </row>
    <row r="82" spans="1:20">
      <c r="A82" s="5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115"/>
    </row>
    <row r="83" spans="1:20">
      <c r="A83" s="5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115"/>
    </row>
    <row r="84" spans="1:20">
      <c r="A84" s="5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115"/>
    </row>
    <row r="85" spans="1:20">
      <c r="A85" s="5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115"/>
    </row>
    <row r="86" spans="1:20">
      <c r="A86" s="5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116"/>
      <c r="T86" s="115"/>
    </row>
    <row r="87" spans="1:20">
      <c r="A87" s="5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115"/>
    </row>
    <row r="88" spans="1:20">
      <c r="A88" s="5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115"/>
    </row>
    <row r="89" spans="1:20">
      <c r="A89" s="5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115"/>
    </row>
    <row r="90" spans="1:20">
      <c r="A90" s="5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115"/>
    </row>
    <row r="91" spans="1:20">
      <c r="A91" s="5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115"/>
    </row>
    <row r="92" spans="1:20">
      <c r="A92" s="5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117"/>
      <c r="T92" s="115"/>
    </row>
    <row r="93" spans="1:20">
      <c r="A93" s="5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115"/>
    </row>
    <row r="94" spans="1:20">
      <c r="A94" s="5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115"/>
    </row>
    <row r="95" spans="1:20">
      <c r="A95" s="5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115"/>
    </row>
    <row r="96" spans="1:20">
      <c r="A96" s="5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115"/>
    </row>
    <row r="97" spans="1:20">
      <c r="A97" s="5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115"/>
    </row>
    <row r="98" spans="1:20">
      <c r="A98" s="5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115"/>
    </row>
    <row r="99" spans="1:20">
      <c r="A99" s="5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115"/>
    </row>
    <row r="100" spans="1:20">
      <c r="A100" s="5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115"/>
    </row>
    <row r="101" spans="1:20">
      <c r="A101" s="5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115"/>
    </row>
    <row r="102" spans="1:20">
      <c r="A102" s="5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115"/>
    </row>
    <row r="103" spans="1:20">
      <c r="A103" s="5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115"/>
    </row>
    <row r="104" spans="1:20">
      <c r="A104" s="5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115"/>
    </row>
    <row r="105" spans="1:20">
      <c r="A105" s="5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115"/>
    </row>
    <row r="106" spans="1:20">
      <c r="A106" s="5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115"/>
    </row>
    <row r="107" spans="1:20">
      <c r="A107" s="5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115"/>
    </row>
    <row r="108" spans="1:20">
      <c r="A108" s="56" t="s">
        <v>85</v>
      </c>
      <c r="B108" s="46"/>
      <c r="C108" s="428"/>
      <c r="D108" s="428"/>
      <c r="E108" s="428"/>
      <c r="F108" s="428"/>
      <c r="G108" s="428"/>
      <c r="H108" s="428"/>
      <c r="I108" s="428"/>
      <c r="J108" s="428"/>
      <c r="K108" s="428"/>
      <c r="L108" s="428"/>
      <c r="M108" s="428"/>
      <c r="N108" s="428"/>
      <c r="O108" s="428"/>
      <c r="P108" s="428"/>
      <c r="Q108" s="428"/>
      <c r="R108" s="428"/>
      <c r="S108" s="428"/>
      <c r="T108" s="115"/>
    </row>
    <row r="109" spans="1:20">
      <c r="A109" s="429"/>
      <c r="B109" s="428"/>
      <c r="C109" s="428"/>
      <c r="D109" s="428"/>
      <c r="E109" s="428"/>
      <c r="F109" s="428"/>
      <c r="G109" s="428"/>
      <c r="H109" s="428"/>
      <c r="I109" s="428"/>
      <c r="J109" s="428"/>
      <c r="K109" s="428"/>
      <c r="L109" s="428"/>
      <c r="M109" s="428"/>
      <c r="N109" s="428"/>
      <c r="O109" s="428"/>
      <c r="P109" s="428"/>
      <c r="Q109" s="428"/>
      <c r="R109" s="428"/>
      <c r="S109" s="428"/>
      <c r="T109" s="115"/>
    </row>
    <row r="110" spans="1:20">
      <c r="A110" s="5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115"/>
    </row>
    <row r="111" spans="1:20">
      <c r="A111" s="5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115"/>
    </row>
    <row r="112" spans="1:20">
      <c r="A112" s="5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117"/>
      <c r="T112" s="115"/>
    </row>
    <row r="113" spans="1:20">
      <c r="A113" s="5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115"/>
    </row>
    <row r="114" spans="1:20">
      <c r="A114" s="5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115"/>
    </row>
    <row r="115" spans="1:20">
      <c r="A115" s="5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115"/>
    </row>
    <row r="116" spans="1:20">
      <c r="A116" s="5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115"/>
    </row>
    <row r="117" spans="1:20">
      <c r="A117" s="5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115"/>
    </row>
    <row r="118" spans="1:20">
      <c r="A118" s="5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115"/>
    </row>
    <row r="119" spans="1:20">
      <c r="A119" s="5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117"/>
      <c r="T119" s="115"/>
    </row>
    <row r="120" spans="1:20">
      <c r="A120" s="5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115"/>
    </row>
    <row r="121" spans="1:20">
      <c r="A121" s="5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115"/>
    </row>
    <row r="122" spans="1:20">
      <c r="A122" s="5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116"/>
      <c r="P122" s="116"/>
      <c r="Q122" s="116"/>
      <c r="S122" s="46"/>
      <c r="T122" s="115"/>
    </row>
    <row r="123" spans="1:20">
      <c r="A123" s="56" t="s">
        <v>86</v>
      </c>
      <c r="B123" s="46"/>
      <c r="C123" s="46"/>
      <c r="D123" s="46"/>
      <c r="E123" s="432"/>
      <c r="F123" s="432"/>
      <c r="G123" s="432"/>
      <c r="H123" s="432"/>
      <c r="I123" s="432"/>
      <c r="J123" s="432"/>
      <c r="K123" s="432"/>
      <c r="L123" s="432"/>
      <c r="M123" s="432"/>
      <c r="N123" s="432"/>
      <c r="O123" s="432"/>
      <c r="P123" s="432"/>
      <c r="Q123" s="432"/>
      <c r="R123" s="432"/>
      <c r="S123" s="432"/>
      <c r="T123" s="115"/>
    </row>
    <row r="124" spans="1:20">
      <c r="A124" s="427"/>
      <c r="B124" s="428"/>
      <c r="C124" s="428"/>
      <c r="D124" s="428"/>
      <c r="E124" s="428"/>
      <c r="F124" s="428"/>
      <c r="G124" s="428"/>
      <c r="H124" s="428"/>
      <c r="I124" s="428"/>
      <c r="J124" s="428"/>
      <c r="K124" s="428"/>
      <c r="L124" s="428"/>
      <c r="M124" s="428"/>
      <c r="N124" s="428"/>
      <c r="O124" s="428"/>
      <c r="P124" s="428"/>
      <c r="Q124" s="428"/>
      <c r="R124" s="428"/>
      <c r="S124" s="428"/>
      <c r="T124" s="115"/>
    </row>
    <row r="125" spans="1:20">
      <c r="A125" s="5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115"/>
    </row>
    <row r="126" spans="1:20">
      <c r="A126" s="5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117"/>
      <c r="T126" s="115"/>
    </row>
    <row r="127" spans="1:20">
      <c r="A127" s="5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115"/>
    </row>
    <row r="128" spans="1:20">
      <c r="A128" s="57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118"/>
      <c r="T128" s="122"/>
    </row>
    <row r="129" spans="1:20">
      <c r="A129" s="68"/>
      <c r="B129" s="67"/>
      <c r="C129" s="67"/>
      <c r="D129" s="67"/>
      <c r="E129" s="67"/>
      <c r="F129" s="67"/>
      <c r="G129" s="67"/>
      <c r="H129" s="67"/>
      <c r="I129" s="414"/>
      <c r="J129" s="414"/>
      <c r="K129" s="414"/>
      <c r="L129" s="414"/>
      <c r="M129" s="414"/>
      <c r="N129" s="414"/>
      <c r="O129" s="414"/>
      <c r="P129" s="414"/>
      <c r="Q129" s="414"/>
      <c r="R129" s="414"/>
      <c r="S129" s="414"/>
      <c r="T129" s="415"/>
    </row>
    <row r="130" spans="1:20" ht="15.75" customHeight="1">
      <c r="A130" s="433" t="s">
        <v>87</v>
      </c>
      <c r="B130" s="434"/>
      <c r="C130" s="434"/>
      <c r="D130" s="434"/>
      <c r="E130" s="434"/>
      <c r="F130" s="434"/>
      <c r="G130" s="434"/>
      <c r="H130" s="434"/>
      <c r="I130" s="434"/>
      <c r="J130" s="434"/>
      <c r="K130" s="434"/>
      <c r="L130" s="434"/>
      <c r="M130" s="434"/>
      <c r="N130" s="434"/>
      <c r="O130" s="434"/>
      <c r="P130" s="434"/>
      <c r="Q130" s="434"/>
      <c r="R130" s="434"/>
      <c r="S130" s="434"/>
      <c r="T130" s="435"/>
    </row>
    <row r="131" spans="1:20" ht="20.25">
      <c r="A131" s="119" t="s">
        <v>88</v>
      </c>
      <c r="B131" s="382">
        <f>SUM(C69+D69+F69+G69+I69+J69+L69+M69+O69+P69+R69+S69)</f>
        <v>156</v>
      </c>
      <c r="C131" s="383"/>
      <c r="D131" s="383"/>
      <c r="E131" s="384"/>
      <c r="F131" s="385">
        <v>1</v>
      </c>
      <c r="G131" s="386"/>
      <c r="H131" s="120" t="s">
        <v>89</v>
      </c>
      <c r="I131" s="1"/>
      <c r="J131" s="218">
        <v>0.89</v>
      </c>
      <c r="K131" s="401" t="s">
        <v>90</v>
      </c>
      <c r="L131" s="402"/>
      <c r="M131" s="402"/>
      <c r="N131" s="402"/>
      <c r="O131" s="402"/>
      <c r="P131" s="402"/>
      <c r="Q131" s="402"/>
      <c r="R131" s="402"/>
      <c r="S131" s="402"/>
      <c r="T131" s="403"/>
    </row>
    <row r="132" spans="1:20">
      <c r="A132" s="387" t="s">
        <v>91</v>
      </c>
      <c r="B132" s="372">
        <f>SUM(C69+F69+I69+L69+O69+R69)</f>
        <v>136</v>
      </c>
      <c r="C132" s="373"/>
      <c r="D132" s="373"/>
      <c r="E132" s="374"/>
      <c r="F132" s="391">
        <f>B132/B131</f>
        <v>0.87179487179487181</v>
      </c>
      <c r="G132" s="392"/>
      <c r="H132" s="38" t="s">
        <v>92</v>
      </c>
      <c r="I132" s="39"/>
      <c r="J132" s="410">
        <f>B131-B136</f>
        <v>41</v>
      </c>
      <c r="K132" s="404"/>
      <c r="L132" s="405"/>
      <c r="M132" s="405"/>
      <c r="N132" s="405"/>
      <c r="O132" s="405"/>
      <c r="P132" s="405"/>
      <c r="Q132" s="405"/>
      <c r="R132" s="405"/>
      <c r="S132" s="405"/>
      <c r="T132" s="406"/>
    </row>
    <row r="133" spans="1:20">
      <c r="A133" s="387"/>
      <c r="B133" s="388"/>
      <c r="C133" s="389"/>
      <c r="D133" s="389"/>
      <c r="E133" s="390"/>
      <c r="F133" s="393"/>
      <c r="G133" s="394"/>
      <c r="H133" s="40" t="s">
        <v>93</v>
      </c>
      <c r="I133" s="39"/>
      <c r="J133" s="410"/>
      <c r="K133" s="404"/>
      <c r="L133" s="405"/>
      <c r="M133" s="405"/>
      <c r="N133" s="405"/>
      <c r="O133" s="405"/>
      <c r="P133" s="405"/>
      <c r="Q133" s="405"/>
      <c r="R133" s="405"/>
      <c r="S133" s="405"/>
      <c r="T133" s="406"/>
    </row>
    <row r="134" spans="1:20">
      <c r="A134" s="387" t="s">
        <v>94</v>
      </c>
      <c r="B134" s="372">
        <f>SUM(D69+G69+J69+M69+P69+S69)</f>
        <v>20</v>
      </c>
      <c r="C134" s="373"/>
      <c r="D134" s="373"/>
      <c r="E134" s="374"/>
      <c r="F134" s="391">
        <f>B134/B131</f>
        <v>0.12820512820512819</v>
      </c>
      <c r="G134" s="392"/>
      <c r="H134" s="41"/>
      <c r="I134" s="1"/>
      <c r="J134" s="1"/>
      <c r="K134" s="404"/>
      <c r="L134" s="405"/>
      <c r="M134" s="405"/>
      <c r="N134" s="405"/>
      <c r="O134" s="405"/>
      <c r="P134" s="405"/>
      <c r="Q134" s="405"/>
      <c r="R134" s="405"/>
      <c r="S134" s="405"/>
      <c r="T134" s="406"/>
    </row>
    <row r="135" spans="1:20">
      <c r="A135" s="387"/>
      <c r="B135" s="388"/>
      <c r="C135" s="389"/>
      <c r="D135" s="389"/>
      <c r="E135" s="390"/>
      <c r="F135" s="393"/>
      <c r="G135" s="394"/>
      <c r="H135" s="41"/>
      <c r="I135" s="1"/>
      <c r="J135" s="1"/>
      <c r="K135" s="404"/>
      <c r="L135" s="405"/>
      <c r="M135" s="405"/>
      <c r="N135" s="405"/>
      <c r="O135" s="405"/>
      <c r="P135" s="405"/>
      <c r="Q135" s="405"/>
      <c r="R135" s="405"/>
      <c r="S135" s="405"/>
      <c r="T135" s="406"/>
    </row>
    <row r="136" spans="1:20">
      <c r="A136" s="370" t="s">
        <v>95</v>
      </c>
      <c r="B136" s="372">
        <f>SUM(E69+H69+K69+N69+Q69+T69)</f>
        <v>115</v>
      </c>
      <c r="C136" s="373"/>
      <c r="D136" s="373"/>
      <c r="E136" s="374"/>
      <c r="F136" s="378"/>
      <c r="G136" s="379"/>
      <c r="H136" s="41"/>
      <c r="I136" s="1"/>
      <c r="J136" s="1"/>
      <c r="K136" s="404"/>
      <c r="L136" s="405"/>
      <c r="M136" s="405"/>
      <c r="N136" s="405"/>
      <c r="O136" s="405"/>
      <c r="P136" s="405"/>
      <c r="Q136" s="405"/>
      <c r="R136" s="405"/>
      <c r="S136" s="405"/>
      <c r="T136" s="406"/>
    </row>
    <row r="137" spans="1:20">
      <c r="A137" s="371" t="s">
        <v>95</v>
      </c>
      <c r="B137" s="375"/>
      <c r="C137" s="376"/>
      <c r="D137" s="376"/>
      <c r="E137" s="377"/>
      <c r="F137" s="380"/>
      <c r="G137" s="381"/>
      <c r="H137" s="54"/>
      <c r="I137" s="51"/>
      <c r="J137" s="1"/>
      <c r="K137" s="407"/>
      <c r="L137" s="408"/>
      <c r="M137" s="408"/>
      <c r="N137" s="408"/>
      <c r="O137" s="408"/>
      <c r="P137" s="408"/>
      <c r="Q137" s="408"/>
      <c r="R137" s="408"/>
      <c r="S137" s="408"/>
      <c r="T137" s="409"/>
    </row>
    <row r="138" spans="1:20">
      <c r="A138" s="65" t="s">
        <v>96</v>
      </c>
      <c r="B138" s="66"/>
      <c r="C138" s="66"/>
      <c r="D138" s="66"/>
      <c r="E138" s="67"/>
      <c r="F138" s="67"/>
      <c r="G138" s="67"/>
      <c r="H138" s="67"/>
      <c r="I138" s="67"/>
      <c r="J138" s="395" t="s">
        <v>97</v>
      </c>
      <c r="K138" s="396"/>
      <c r="L138" s="396"/>
      <c r="M138" s="396"/>
      <c r="N138" s="396"/>
      <c r="O138" s="396"/>
      <c r="P138" s="396"/>
      <c r="Q138" s="396"/>
      <c r="R138" s="396"/>
      <c r="S138" s="396"/>
      <c r="T138" s="397"/>
    </row>
    <row r="139" spans="1:20">
      <c r="A139" s="69" t="s">
        <v>98</v>
      </c>
      <c r="B139" s="70"/>
      <c r="C139" s="70"/>
      <c r="D139" s="70"/>
      <c r="E139" s="58"/>
      <c r="F139" s="58"/>
      <c r="G139" s="58"/>
      <c r="H139" s="58"/>
      <c r="I139" s="58"/>
      <c r="J139" s="398" t="s">
        <v>99</v>
      </c>
      <c r="K139" s="399"/>
      <c r="L139" s="399"/>
      <c r="M139" s="399"/>
      <c r="N139" s="399"/>
      <c r="O139" s="399"/>
      <c r="P139" s="399"/>
      <c r="Q139" s="399"/>
      <c r="R139" s="399"/>
      <c r="S139" s="399"/>
      <c r="T139" s="400"/>
    </row>
    <row r="140" spans="1:20" ht="49.9" customHeight="1">
      <c r="A140" s="367" t="s">
        <v>100</v>
      </c>
      <c r="B140" s="368"/>
      <c r="C140" s="368"/>
      <c r="D140" s="368"/>
      <c r="E140" s="368"/>
      <c r="F140" s="368"/>
      <c r="G140" s="368"/>
      <c r="H140" s="368"/>
      <c r="I140" s="368"/>
      <c r="J140" s="368"/>
      <c r="K140" s="368"/>
      <c r="L140" s="368"/>
      <c r="M140" s="368"/>
      <c r="N140" s="368"/>
      <c r="O140" s="368"/>
      <c r="P140" s="368"/>
      <c r="Q140" s="368"/>
      <c r="R140" s="368"/>
      <c r="S140" s="368"/>
      <c r="T140" s="369"/>
    </row>
    <row r="141" spans="1:20">
      <c r="A141" t="s">
        <v>101</v>
      </c>
    </row>
  </sheetData>
  <mergeCells count="59">
    <mergeCell ref="J138:T138"/>
    <mergeCell ref="J139:T139"/>
    <mergeCell ref="A140:T140"/>
    <mergeCell ref="A134:A135"/>
    <mergeCell ref="B134:E135"/>
    <mergeCell ref="F134:G135"/>
    <mergeCell ref="A136:A137"/>
    <mergeCell ref="B136:E137"/>
    <mergeCell ref="F136:G137"/>
    <mergeCell ref="A124:S124"/>
    <mergeCell ref="I129:T129"/>
    <mergeCell ref="A130:T130"/>
    <mergeCell ref="B131:E131"/>
    <mergeCell ref="F131:G131"/>
    <mergeCell ref="K131:T137"/>
    <mergeCell ref="A132:A133"/>
    <mergeCell ref="B132:E133"/>
    <mergeCell ref="F132:G133"/>
    <mergeCell ref="J132:J133"/>
    <mergeCell ref="E123:S123"/>
    <mergeCell ref="A69:A70"/>
    <mergeCell ref="C70:E70"/>
    <mergeCell ref="F70:H70"/>
    <mergeCell ref="I70:K70"/>
    <mergeCell ref="L70:N70"/>
    <mergeCell ref="O70:Q70"/>
    <mergeCell ref="R70:T70"/>
    <mergeCell ref="A71:T71"/>
    <mergeCell ref="A74:S74"/>
    <mergeCell ref="C108:S108"/>
    <mergeCell ref="A109:S109"/>
    <mergeCell ref="A49:A68"/>
    <mergeCell ref="F6:G6"/>
    <mergeCell ref="H6:H7"/>
    <mergeCell ref="I6:J6"/>
    <mergeCell ref="K6:K7"/>
    <mergeCell ref="A8:A48"/>
    <mergeCell ref="I4:T4"/>
    <mergeCell ref="A5:B7"/>
    <mergeCell ref="C5:E5"/>
    <mergeCell ref="F5:H5"/>
    <mergeCell ref="I5:K5"/>
    <mergeCell ref="L5:N5"/>
    <mergeCell ref="O5:Q5"/>
    <mergeCell ref="R5:T5"/>
    <mergeCell ref="C6:D6"/>
    <mergeCell ref="E6:E7"/>
    <mergeCell ref="O6:P6"/>
    <mergeCell ref="Q6:Q7"/>
    <mergeCell ref="R6:S6"/>
    <mergeCell ref="T6:T7"/>
    <mergeCell ref="L6:M6"/>
    <mergeCell ref="N6:N7"/>
    <mergeCell ref="A1:B3"/>
    <mergeCell ref="C1:T1"/>
    <mergeCell ref="C2:T2"/>
    <mergeCell ref="C3:H3"/>
    <mergeCell ref="I3:M3"/>
    <mergeCell ref="R3:T3"/>
  </mergeCells>
  <printOptions horizontalCentered="1" verticalCentered="1"/>
  <pageMargins left="0" right="0" top="0" bottom="0" header="0.31496062992125984" footer="0.31496062992125984"/>
  <pageSetup paperSize="281" scale="65" fitToHeight="0" orientation="portrait"/>
  <rowBreaks count="1" manualBreakCount="1">
    <brk id="71" max="19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2EC15-9C71-43AF-AAFE-A1F50CF08D88}">
  <dimension ref="A1:T141"/>
  <sheetViews>
    <sheetView view="pageBreakPreview" topLeftCell="A128" zoomScale="57" zoomScaleNormal="96" zoomScaleSheetLayoutView="57" workbookViewId="0"/>
  </sheetViews>
  <sheetFormatPr defaultColWidth="11.42578125" defaultRowHeight="15"/>
  <cols>
    <col min="1" max="1" width="18.42578125" customWidth="1"/>
    <col min="2" max="2" width="17.140625" customWidth="1"/>
    <col min="3" max="20" width="5.7109375" customWidth="1"/>
  </cols>
  <sheetData>
    <row r="1" spans="1:20" ht="15.75">
      <c r="A1" s="328"/>
      <c r="B1" s="329"/>
      <c r="C1" s="334" t="s">
        <v>0</v>
      </c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6"/>
    </row>
    <row r="2" spans="1:20" ht="15.75">
      <c r="A2" s="330"/>
      <c r="B2" s="331"/>
      <c r="C2" s="334" t="s">
        <v>1</v>
      </c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  <c r="S2" s="335"/>
      <c r="T2" s="336"/>
    </row>
    <row r="3" spans="1:20" ht="15.75">
      <c r="A3" s="332"/>
      <c r="B3" s="333"/>
      <c r="C3" s="337" t="s">
        <v>2</v>
      </c>
      <c r="D3" s="338"/>
      <c r="E3" s="338"/>
      <c r="F3" s="338"/>
      <c r="G3" s="338"/>
      <c r="H3" s="339"/>
      <c r="I3" s="337" t="s">
        <v>3</v>
      </c>
      <c r="J3" s="338"/>
      <c r="K3" s="338"/>
      <c r="L3" s="338"/>
      <c r="M3" s="339"/>
      <c r="N3" s="64"/>
      <c r="O3" s="64"/>
      <c r="P3" s="64"/>
      <c r="Q3" s="64"/>
      <c r="R3" s="340" t="s">
        <v>4</v>
      </c>
      <c r="S3" s="338"/>
      <c r="T3" s="339"/>
    </row>
    <row r="4" spans="1:20">
      <c r="A4" s="2"/>
      <c r="B4" s="62" t="s">
        <v>5</v>
      </c>
      <c r="C4" s="63"/>
      <c r="D4" s="63"/>
      <c r="E4" s="63"/>
      <c r="F4" s="63"/>
      <c r="G4" s="63"/>
      <c r="H4" s="63"/>
      <c r="I4" s="341" t="s">
        <v>6</v>
      </c>
      <c r="J4" s="341"/>
      <c r="K4" s="341"/>
      <c r="L4" s="341"/>
      <c r="M4" s="341"/>
      <c r="N4" s="341"/>
      <c r="O4" s="341"/>
      <c r="P4" s="341"/>
      <c r="Q4" s="341"/>
      <c r="R4" s="341"/>
      <c r="S4" s="341"/>
      <c r="T4" s="341"/>
    </row>
    <row r="5" spans="1:20" ht="29.25" customHeight="1">
      <c r="A5" s="342" t="s">
        <v>7</v>
      </c>
      <c r="B5" s="343"/>
      <c r="C5" s="348" t="s">
        <v>8</v>
      </c>
      <c r="D5" s="349"/>
      <c r="E5" s="350"/>
      <c r="F5" s="351" t="s">
        <v>9</v>
      </c>
      <c r="G5" s="349"/>
      <c r="H5" s="349"/>
      <c r="I5" s="349" t="s">
        <v>10</v>
      </c>
      <c r="J5" s="349"/>
      <c r="K5" s="349"/>
      <c r="L5" s="349" t="s">
        <v>11</v>
      </c>
      <c r="M5" s="349"/>
      <c r="N5" s="352"/>
      <c r="O5" s="353" t="s">
        <v>12</v>
      </c>
      <c r="P5" s="354"/>
      <c r="Q5" s="355"/>
      <c r="R5" s="353" t="s">
        <v>13</v>
      </c>
      <c r="S5" s="354"/>
      <c r="T5" s="355"/>
    </row>
    <row r="6" spans="1:20">
      <c r="A6" s="344"/>
      <c r="B6" s="345"/>
      <c r="C6" s="356" t="s">
        <v>14</v>
      </c>
      <c r="D6" s="357"/>
      <c r="E6" s="358" t="s">
        <v>15</v>
      </c>
      <c r="F6" s="357" t="s">
        <v>14</v>
      </c>
      <c r="G6" s="357"/>
      <c r="H6" s="360" t="s">
        <v>15</v>
      </c>
      <c r="I6" s="357" t="s">
        <v>14</v>
      </c>
      <c r="J6" s="357"/>
      <c r="K6" s="360" t="s">
        <v>15</v>
      </c>
      <c r="L6" s="357" t="s">
        <v>14</v>
      </c>
      <c r="M6" s="362"/>
      <c r="N6" s="363" t="s">
        <v>15</v>
      </c>
      <c r="O6" s="365" t="s">
        <v>14</v>
      </c>
      <c r="P6" s="366"/>
      <c r="Q6" s="363" t="s">
        <v>15</v>
      </c>
      <c r="R6" s="421" t="s">
        <v>14</v>
      </c>
      <c r="S6" s="357"/>
      <c r="T6" s="422" t="s">
        <v>15</v>
      </c>
    </row>
    <row r="7" spans="1:20">
      <c r="A7" s="346"/>
      <c r="B7" s="347"/>
      <c r="C7" s="3" t="s">
        <v>16</v>
      </c>
      <c r="D7" s="4" t="s">
        <v>17</v>
      </c>
      <c r="E7" s="359"/>
      <c r="F7" s="4" t="s">
        <v>16</v>
      </c>
      <c r="G7" s="4" t="s">
        <v>17</v>
      </c>
      <c r="H7" s="361"/>
      <c r="I7" s="4" t="s">
        <v>16</v>
      </c>
      <c r="J7" s="4" t="s">
        <v>17</v>
      </c>
      <c r="K7" s="361"/>
      <c r="L7" s="4" t="s">
        <v>16</v>
      </c>
      <c r="M7" s="141" t="s">
        <v>17</v>
      </c>
      <c r="N7" s="364"/>
      <c r="O7" s="153" t="s">
        <v>16</v>
      </c>
      <c r="P7" s="154" t="s">
        <v>17</v>
      </c>
      <c r="Q7" s="411"/>
      <c r="R7" s="142" t="s">
        <v>16</v>
      </c>
      <c r="S7" s="4" t="s">
        <v>17</v>
      </c>
      <c r="T7" s="423"/>
    </row>
    <row r="8" spans="1:20" ht="22.5">
      <c r="A8" s="416" t="s">
        <v>18</v>
      </c>
      <c r="B8" s="59" t="s">
        <v>19</v>
      </c>
      <c r="C8" s="5">
        <v>1</v>
      </c>
      <c r="D8" s="6"/>
      <c r="E8" s="7"/>
      <c r="F8" s="92">
        <v>1</v>
      </c>
      <c r="G8" s="6"/>
      <c r="H8" s="7"/>
      <c r="I8" s="8">
        <v>1</v>
      </c>
      <c r="J8" s="93"/>
      <c r="K8" s="43"/>
      <c r="L8" s="42">
        <v>1</v>
      </c>
      <c r="M8" s="9"/>
      <c r="N8" s="143"/>
      <c r="O8" s="155">
        <v>1</v>
      </c>
      <c r="P8" s="156"/>
      <c r="Q8" s="7"/>
      <c r="R8" s="8"/>
      <c r="S8" s="9"/>
      <c r="T8" s="71">
        <v>1</v>
      </c>
    </row>
    <row r="9" spans="1:20" ht="22.5">
      <c r="A9" s="417"/>
      <c r="B9" s="60" t="s">
        <v>20</v>
      </c>
      <c r="C9" s="76">
        <v>1</v>
      </c>
      <c r="D9" s="77"/>
      <c r="E9" s="43"/>
      <c r="F9" s="10">
        <v>1</v>
      </c>
      <c r="G9" s="11"/>
      <c r="H9" s="48"/>
      <c r="I9" s="12">
        <v>1</v>
      </c>
      <c r="J9" s="47"/>
      <c r="K9" s="48"/>
      <c r="L9" s="72">
        <v>1</v>
      </c>
      <c r="M9" s="11"/>
      <c r="N9" s="144"/>
      <c r="O9" s="91">
        <v>1</v>
      </c>
      <c r="P9" s="136"/>
      <c r="Q9" s="48"/>
      <c r="R9" s="12">
        <v>1</v>
      </c>
      <c r="S9" s="11"/>
      <c r="T9" s="71"/>
    </row>
    <row r="10" spans="1:20">
      <c r="A10" s="417"/>
      <c r="B10" s="60" t="s">
        <v>21</v>
      </c>
      <c r="C10" s="78">
        <v>1</v>
      </c>
      <c r="D10" s="74"/>
      <c r="E10" s="43"/>
      <c r="F10" s="10">
        <v>1</v>
      </c>
      <c r="G10" s="11"/>
      <c r="H10" s="48"/>
      <c r="I10" s="12">
        <v>1</v>
      </c>
      <c r="J10" s="47"/>
      <c r="K10" s="48"/>
      <c r="L10" s="72">
        <v>1</v>
      </c>
      <c r="M10" s="11"/>
      <c r="N10" s="144"/>
      <c r="O10" s="91">
        <v>1</v>
      </c>
      <c r="P10" s="136"/>
      <c r="Q10" s="48"/>
      <c r="R10" s="12">
        <v>1</v>
      </c>
      <c r="S10" s="11"/>
      <c r="T10" s="71"/>
    </row>
    <row r="11" spans="1:20">
      <c r="A11" s="417"/>
      <c r="B11" s="60" t="s">
        <v>22</v>
      </c>
      <c r="C11" s="124">
        <v>1</v>
      </c>
      <c r="D11" s="125"/>
      <c r="E11" s="126"/>
      <c r="F11" s="14">
        <v>1</v>
      </c>
      <c r="G11" s="13"/>
      <c r="H11" s="15"/>
      <c r="I11" s="12">
        <v>1</v>
      </c>
      <c r="J11" s="47"/>
      <c r="K11" s="48"/>
      <c r="L11" s="73">
        <v>1</v>
      </c>
      <c r="M11" s="13"/>
      <c r="N11" s="144"/>
      <c r="O11" s="91">
        <v>1</v>
      </c>
      <c r="P11" s="136"/>
      <c r="Q11" s="48"/>
      <c r="R11" s="12">
        <v>1</v>
      </c>
      <c r="S11" s="11"/>
      <c r="T11" s="71"/>
    </row>
    <row r="12" spans="1:20">
      <c r="A12" s="417"/>
      <c r="B12" s="60" t="s">
        <v>23</v>
      </c>
      <c r="C12" s="17">
        <v>1</v>
      </c>
      <c r="D12" s="18"/>
      <c r="E12" s="43"/>
      <c r="F12" s="19">
        <v>1</v>
      </c>
      <c r="G12" s="20"/>
      <c r="H12" s="48"/>
      <c r="I12" s="12">
        <v>1</v>
      </c>
      <c r="J12" s="47"/>
      <c r="K12" s="48"/>
      <c r="L12" s="73"/>
      <c r="M12" s="13"/>
      <c r="N12" s="144">
        <v>1</v>
      </c>
      <c r="O12" s="91">
        <v>1</v>
      </c>
      <c r="P12" s="136"/>
      <c r="Q12" s="48"/>
      <c r="R12" s="12"/>
      <c r="S12" s="11"/>
      <c r="T12" s="12">
        <v>1</v>
      </c>
    </row>
    <row r="13" spans="1:20" ht="33">
      <c r="A13" s="417"/>
      <c r="B13" s="60" t="s">
        <v>24</v>
      </c>
      <c r="C13" s="76">
        <v>1</v>
      </c>
      <c r="D13" s="77"/>
      <c r="E13" s="43"/>
      <c r="F13" s="19">
        <v>1</v>
      </c>
      <c r="G13" s="20"/>
      <c r="H13" s="48"/>
      <c r="I13" s="21"/>
      <c r="J13" s="22"/>
      <c r="K13" s="48">
        <v>1</v>
      </c>
      <c r="L13" s="19">
        <v>1</v>
      </c>
      <c r="M13" s="20"/>
      <c r="N13" s="144"/>
      <c r="O13" s="91">
        <v>1</v>
      </c>
      <c r="P13" s="136"/>
      <c r="Q13" s="48"/>
      <c r="R13" s="23"/>
      <c r="S13" s="24"/>
      <c r="T13" s="12">
        <v>1</v>
      </c>
    </row>
    <row r="14" spans="1:20">
      <c r="A14" s="417"/>
      <c r="B14" s="60" t="s">
        <v>25</v>
      </c>
      <c r="C14" s="76">
        <v>1</v>
      </c>
      <c r="D14" s="77"/>
      <c r="E14" s="79"/>
      <c r="F14" s="14">
        <v>1</v>
      </c>
      <c r="G14" s="13"/>
      <c r="H14" s="15"/>
      <c r="I14" s="94"/>
      <c r="J14" s="95"/>
      <c r="K14" s="15">
        <v>1</v>
      </c>
      <c r="L14" s="73">
        <v>1</v>
      </c>
      <c r="M14" s="13"/>
      <c r="N14" s="145"/>
      <c r="O14" s="14">
        <v>1</v>
      </c>
      <c r="P14" s="137"/>
      <c r="Q14" s="15"/>
      <c r="R14" s="96"/>
      <c r="S14" s="20"/>
      <c r="T14" s="12">
        <v>1</v>
      </c>
    </row>
    <row r="15" spans="1:20">
      <c r="A15" s="417"/>
      <c r="B15" s="60" t="s">
        <v>26</v>
      </c>
      <c r="C15" s="80">
        <v>1</v>
      </c>
      <c r="D15" s="81"/>
      <c r="E15" s="90"/>
      <c r="F15" s="14">
        <v>1</v>
      </c>
      <c r="G15" s="13"/>
      <c r="H15" s="15"/>
      <c r="I15" s="94">
        <v>1</v>
      </c>
      <c r="J15" s="95"/>
      <c r="K15" s="15"/>
      <c r="L15" s="73">
        <v>1</v>
      </c>
      <c r="M15" s="13"/>
      <c r="N15" s="145"/>
      <c r="O15" s="14">
        <v>1</v>
      </c>
      <c r="P15" s="137"/>
      <c r="Q15" s="15"/>
      <c r="R15" s="96">
        <v>1</v>
      </c>
      <c r="S15" s="20"/>
      <c r="T15" s="12"/>
    </row>
    <row r="16" spans="1:20" ht="33">
      <c r="A16" s="417"/>
      <c r="B16" s="60" t="s">
        <v>27</v>
      </c>
      <c r="C16" s="80">
        <v>1</v>
      </c>
      <c r="D16" s="81"/>
      <c r="E16" s="82"/>
      <c r="F16" s="26"/>
      <c r="G16" s="27"/>
      <c r="H16" s="48">
        <v>1</v>
      </c>
      <c r="I16" s="30">
        <v>1</v>
      </c>
      <c r="J16" s="31"/>
      <c r="K16" s="48"/>
      <c r="L16" s="26"/>
      <c r="M16" s="27"/>
      <c r="N16" s="144">
        <v>1</v>
      </c>
      <c r="O16" s="91"/>
      <c r="P16" s="136"/>
      <c r="Q16" s="48">
        <v>1</v>
      </c>
      <c r="R16" s="23"/>
      <c r="S16" s="24"/>
      <c r="T16" s="12">
        <v>1</v>
      </c>
    </row>
    <row r="17" spans="1:20">
      <c r="A17" s="417"/>
      <c r="B17" s="60" t="s">
        <v>28</v>
      </c>
      <c r="C17" s="80"/>
      <c r="D17" s="81"/>
      <c r="E17" s="43">
        <v>1</v>
      </c>
      <c r="F17" s="26"/>
      <c r="G17" s="27"/>
      <c r="H17" s="48">
        <v>1</v>
      </c>
      <c r="I17" s="30"/>
      <c r="J17" s="31"/>
      <c r="K17" s="48">
        <v>1</v>
      </c>
      <c r="L17" s="26"/>
      <c r="M17" s="27"/>
      <c r="N17" s="144">
        <v>1</v>
      </c>
      <c r="O17" s="91">
        <v>1</v>
      </c>
      <c r="P17" s="136"/>
      <c r="Q17" s="48"/>
      <c r="R17" s="23"/>
      <c r="S17" s="24"/>
      <c r="T17" s="12">
        <v>1</v>
      </c>
    </row>
    <row r="18" spans="1:20">
      <c r="A18" s="417"/>
      <c r="B18" s="60" t="s">
        <v>29</v>
      </c>
      <c r="C18" s="76">
        <v>1</v>
      </c>
      <c r="D18" s="77"/>
      <c r="E18" s="43"/>
      <c r="F18" s="19">
        <v>1</v>
      </c>
      <c r="G18" s="20"/>
      <c r="H18" s="16"/>
      <c r="I18" s="21">
        <v>1</v>
      </c>
      <c r="J18" s="22"/>
      <c r="K18" s="16"/>
      <c r="L18" s="19">
        <v>1</v>
      </c>
      <c r="M18" s="20"/>
      <c r="N18" s="144"/>
      <c r="O18" s="91">
        <v>1</v>
      </c>
      <c r="P18" s="136"/>
      <c r="Q18" s="48"/>
      <c r="R18" s="23"/>
      <c r="S18" s="24"/>
      <c r="T18" s="12">
        <v>1</v>
      </c>
    </row>
    <row r="19" spans="1:20">
      <c r="A19" s="417"/>
      <c r="B19" s="60" t="s">
        <v>30</v>
      </c>
      <c r="C19" s="76"/>
      <c r="D19" s="77">
        <v>1</v>
      </c>
      <c r="E19" s="43"/>
      <c r="F19" s="19"/>
      <c r="G19" s="20"/>
      <c r="H19" s="16">
        <v>1</v>
      </c>
      <c r="I19" s="97"/>
      <c r="J19" s="98"/>
      <c r="K19" s="16">
        <v>1</v>
      </c>
      <c r="L19" s="19"/>
      <c r="M19" s="20"/>
      <c r="N19" s="144">
        <v>1</v>
      </c>
      <c r="O19" s="91"/>
      <c r="P19" s="136"/>
      <c r="Q19" s="48">
        <v>1</v>
      </c>
      <c r="R19" s="23"/>
      <c r="S19" s="24"/>
      <c r="T19" s="12">
        <v>1</v>
      </c>
    </row>
    <row r="20" spans="1:20">
      <c r="A20" s="417"/>
      <c r="B20" s="60" t="s">
        <v>31</v>
      </c>
      <c r="C20" s="76">
        <v>1</v>
      </c>
      <c r="D20" s="77"/>
      <c r="E20" s="43"/>
      <c r="F20" s="19"/>
      <c r="G20" s="20"/>
      <c r="H20" s="16">
        <v>1</v>
      </c>
      <c r="I20" s="97"/>
      <c r="J20" s="98"/>
      <c r="K20" s="16">
        <v>1</v>
      </c>
      <c r="L20" s="19"/>
      <c r="M20" s="20"/>
      <c r="N20" s="144">
        <v>1</v>
      </c>
      <c r="O20" s="91"/>
      <c r="P20" s="136"/>
      <c r="Q20" s="48">
        <v>1</v>
      </c>
      <c r="R20" s="23"/>
      <c r="S20" s="24"/>
      <c r="T20" s="12">
        <v>1</v>
      </c>
    </row>
    <row r="21" spans="1:20" ht="22.5">
      <c r="A21" s="417"/>
      <c r="B21" s="60" t="s">
        <v>32</v>
      </c>
      <c r="C21" s="76"/>
      <c r="D21" s="77"/>
      <c r="E21" s="43">
        <v>1</v>
      </c>
      <c r="F21" s="19">
        <v>1</v>
      </c>
      <c r="G21" s="20"/>
      <c r="H21" s="16"/>
      <c r="I21" s="97"/>
      <c r="J21" s="98"/>
      <c r="K21" s="16">
        <v>1</v>
      </c>
      <c r="L21" s="19">
        <v>1</v>
      </c>
      <c r="M21" s="20"/>
      <c r="N21" s="144"/>
      <c r="O21" s="91">
        <v>1</v>
      </c>
      <c r="P21" s="136"/>
      <c r="Q21" s="48"/>
      <c r="R21" s="23"/>
      <c r="S21" s="24"/>
      <c r="T21" s="12">
        <v>1</v>
      </c>
    </row>
    <row r="22" spans="1:20" ht="22.5">
      <c r="A22" s="417"/>
      <c r="B22" s="60" t="s">
        <v>33</v>
      </c>
      <c r="C22" s="76">
        <v>1</v>
      </c>
      <c r="D22" s="77"/>
      <c r="E22" s="48"/>
      <c r="F22" s="26">
        <v>1</v>
      </c>
      <c r="G22" s="27"/>
      <c r="H22" s="48"/>
      <c r="I22" s="30">
        <v>1</v>
      </c>
      <c r="J22" s="31"/>
      <c r="K22" s="28"/>
      <c r="L22" s="26">
        <v>1</v>
      </c>
      <c r="M22" s="27"/>
      <c r="N22" s="146"/>
      <c r="O22" s="157"/>
      <c r="P22" s="138">
        <v>1</v>
      </c>
      <c r="Q22" s="28"/>
      <c r="R22" s="96"/>
      <c r="S22" s="20"/>
      <c r="T22" s="12">
        <v>1</v>
      </c>
    </row>
    <row r="23" spans="1:20">
      <c r="A23" s="417"/>
      <c r="B23" s="60" t="s">
        <v>34</v>
      </c>
      <c r="C23" s="76"/>
      <c r="D23" s="77">
        <v>1</v>
      </c>
      <c r="E23" s="43"/>
      <c r="F23" s="26">
        <v>1</v>
      </c>
      <c r="G23" s="27"/>
      <c r="H23" s="48"/>
      <c r="I23" s="30"/>
      <c r="J23" s="31"/>
      <c r="K23" s="28">
        <v>1</v>
      </c>
      <c r="L23" s="26">
        <v>1</v>
      </c>
      <c r="M23" s="27"/>
      <c r="N23" s="146"/>
      <c r="O23" s="157">
        <v>1</v>
      </c>
      <c r="P23" s="138"/>
      <c r="Q23" s="28"/>
      <c r="R23" s="29"/>
      <c r="S23" s="25"/>
      <c r="T23" s="12">
        <v>1</v>
      </c>
    </row>
    <row r="24" spans="1:20">
      <c r="A24" s="417"/>
      <c r="B24" s="60" t="s">
        <v>35</v>
      </c>
      <c r="C24" s="76"/>
      <c r="D24" s="77"/>
      <c r="E24" s="43">
        <v>1</v>
      </c>
      <c r="F24" s="26"/>
      <c r="G24" s="27"/>
      <c r="H24" s="48">
        <v>1</v>
      </c>
      <c r="I24" s="30"/>
      <c r="J24" s="31"/>
      <c r="K24" s="28">
        <v>1</v>
      </c>
      <c r="L24" s="26"/>
      <c r="M24" s="27"/>
      <c r="N24" s="146">
        <v>1</v>
      </c>
      <c r="O24" s="157"/>
      <c r="P24" s="138"/>
      <c r="Q24" s="28">
        <v>1</v>
      </c>
      <c r="R24" s="29"/>
      <c r="S24" s="25"/>
      <c r="T24" s="12">
        <v>1</v>
      </c>
    </row>
    <row r="25" spans="1:20">
      <c r="A25" s="417"/>
      <c r="B25" s="60" t="s">
        <v>36</v>
      </c>
      <c r="C25" s="76"/>
      <c r="D25" s="77"/>
      <c r="E25" s="43">
        <v>1</v>
      </c>
      <c r="F25" s="26">
        <v>1</v>
      </c>
      <c r="G25" s="27"/>
      <c r="H25" s="28"/>
      <c r="I25" s="30"/>
      <c r="J25" s="31"/>
      <c r="K25" s="28">
        <v>1</v>
      </c>
      <c r="L25" s="26"/>
      <c r="M25" s="27"/>
      <c r="N25" s="144">
        <v>1</v>
      </c>
      <c r="O25" s="91"/>
      <c r="P25" s="136"/>
      <c r="Q25" s="48">
        <v>1</v>
      </c>
      <c r="R25" s="29"/>
      <c r="S25" s="25"/>
      <c r="T25" s="12">
        <v>1</v>
      </c>
    </row>
    <row r="26" spans="1:20" ht="22.5">
      <c r="A26" s="417"/>
      <c r="B26" s="60" t="s">
        <v>37</v>
      </c>
      <c r="C26" s="76">
        <v>1</v>
      </c>
      <c r="D26" s="77"/>
      <c r="E26" s="43"/>
      <c r="F26" s="26">
        <v>1</v>
      </c>
      <c r="G26" s="27"/>
      <c r="H26" s="28"/>
      <c r="I26" s="30"/>
      <c r="J26" s="31"/>
      <c r="K26" s="28">
        <v>1</v>
      </c>
      <c r="L26" s="26"/>
      <c r="M26" s="27">
        <v>1</v>
      </c>
      <c r="N26" s="144"/>
      <c r="O26" s="91">
        <v>1</v>
      </c>
      <c r="P26" s="136"/>
      <c r="Q26" s="48"/>
      <c r="R26" s="29"/>
      <c r="S26" s="25"/>
      <c r="T26" s="12">
        <v>1</v>
      </c>
    </row>
    <row r="27" spans="1:20">
      <c r="A27" s="417"/>
      <c r="B27" s="60" t="s">
        <v>38</v>
      </c>
      <c r="C27" s="76">
        <v>1</v>
      </c>
      <c r="D27" s="77"/>
      <c r="E27" s="43"/>
      <c r="F27" s="26">
        <v>1</v>
      </c>
      <c r="G27" s="27"/>
      <c r="H27" s="28"/>
      <c r="I27" s="30">
        <v>1</v>
      </c>
      <c r="J27" s="31"/>
      <c r="K27" s="28"/>
      <c r="L27" s="26"/>
      <c r="M27" s="27"/>
      <c r="N27" s="144">
        <v>1</v>
      </c>
      <c r="O27" s="91">
        <v>1</v>
      </c>
      <c r="P27" s="136"/>
      <c r="Q27" s="48"/>
      <c r="R27" s="29"/>
      <c r="S27" s="25"/>
      <c r="T27" s="12">
        <v>1</v>
      </c>
    </row>
    <row r="28" spans="1:20">
      <c r="A28" s="417"/>
      <c r="B28" s="60" t="s">
        <v>39</v>
      </c>
      <c r="C28" s="76">
        <v>1</v>
      </c>
      <c r="D28" s="77"/>
      <c r="E28" s="43"/>
      <c r="F28" s="26">
        <v>1</v>
      </c>
      <c r="G28" s="27"/>
      <c r="H28" s="28"/>
      <c r="I28" s="130"/>
      <c r="J28" s="131"/>
      <c r="K28" s="129"/>
      <c r="L28" s="127"/>
      <c r="M28" s="128"/>
      <c r="N28" s="147"/>
      <c r="O28" s="133"/>
      <c r="P28" s="134"/>
      <c r="Q28" s="172"/>
      <c r="R28" s="133"/>
      <c r="S28" s="134"/>
      <c r="T28" s="172"/>
    </row>
    <row r="29" spans="1:20">
      <c r="A29" s="417"/>
      <c r="B29" s="60" t="s">
        <v>40</v>
      </c>
      <c r="C29" s="76"/>
      <c r="D29" s="77"/>
      <c r="E29" s="43">
        <v>1</v>
      </c>
      <c r="F29" s="127"/>
      <c r="G29" s="128"/>
      <c r="H29" s="129"/>
      <c r="I29" s="130"/>
      <c r="J29" s="131"/>
      <c r="K29" s="129"/>
      <c r="L29" s="127"/>
      <c r="M29" s="128"/>
      <c r="N29" s="147"/>
      <c r="O29" s="158"/>
      <c r="P29" s="139"/>
      <c r="Q29" s="132"/>
      <c r="R29" s="133"/>
      <c r="S29" s="134"/>
      <c r="T29" s="172"/>
    </row>
    <row r="30" spans="1:20" ht="33">
      <c r="A30" s="417"/>
      <c r="B30" s="60" t="s">
        <v>41</v>
      </c>
      <c r="C30" s="76">
        <v>1</v>
      </c>
      <c r="D30" s="77"/>
      <c r="E30" s="43"/>
      <c r="F30" s="26">
        <v>1</v>
      </c>
      <c r="G30" s="27"/>
      <c r="H30" s="28"/>
      <c r="I30" s="30">
        <v>1</v>
      </c>
      <c r="J30" s="31"/>
      <c r="K30" s="28"/>
      <c r="L30" s="26">
        <v>1</v>
      </c>
      <c r="M30" s="27"/>
      <c r="N30" s="144"/>
      <c r="O30" s="91">
        <v>1</v>
      </c>
      <c r="P30" s="136"/>
      <c r="Q30" s="48"/>
      <c r="R30" s="29"/>
      <c r="S30" s="25"/>
      <c r="T30" s="12">
        <v>1</v>
      </c>
    </row>
    <row r="31" spans="1:20">
      <c r="A31" s="417"/>
      <c r="B31" s="60" t="s">
        <v>42</v>
      </c>
      <c r="C31" s="76">
        <v>1</v>
      </c>
      <c r="D31" s="77"/>
      <c r="E31" s="43"/>
      <c r="F31" s="26">
        <v>1</v>
      </c>
      <c r="G31" s="27"/>
      <c r="H31" s="28"/>
      <c r="I31" s="30"/>
      <c r="J31" s="31"/>
      <c r="K31" s="28">
        <v>1</v>
      </c>
      <c r="L31" s="26">
        <v>1</v>
      </c>
      <c r="M31" s="27"/>
      <c r="N31" s="144"/>
      <c r="O31" s="324">
        <v>1</v>
      </c>
      <c r="P31" s="275"/>
      <c r="Q31" s="230"/>
      <c r="R31" s="133"/>
      <c r="S31" s="134"/>
      <c r="T31" s="172"/>
    </row>
    <row r="32" spans="1:20" ht="33">
      <c r="A32" s="417"/>
      <c r="B32" s="60" t="s">
        <v>43</v>
      </c>
      <c r="C32" s="76"/>
      <c r="D32" s="77">
        <v>1</v>
      </c>
      <c r="E32" s="48"/>
      <c r="F32" s="26">
        <v>1</v>
      </c>
      <c r="G32" s="27"/>
      <c r="H32" s="28"/>
      <c r="I32" s="30"/>
      <c r="J32" s="31"/>
      <c r="K32" s="28">
        <v>1</v>
      </c>
      <c r="L32" s="26">
        <v>1</v>
      </c>
      <c r="M32" s="27"/>
      <c r="N32" s="144"/>
      <c r="O32" s="91"/>
      <c r="P32" s="136">
        <v>1</v>
      </c>
      <c r="Q32" s="48"/>
      <c r="R32" s="29"/>
      <c r="S32" s="25"/>
      <c r="T32" s="12">
        <v>1</v>
      </c>
    </row>
    <row r="33" spans="1:20">
      <c r="A33" s="417"/>
      <c r="B33" s="60" t="s">
        <v>44</v>
      </c>
      <c r="C33" s="76"/>
      <c r="D33" s="77"/>
      <c r="E33" s="48">
        <v>1</v>
      </c>
      <c r="F33" s="26"/>
      <c r="G33" s="27"/>
      <c r="H33" s="28">
        <v>1</v>
      </c>
      <c r="I33" s="30"/>
      <c r="J33" s="31"/>
      <c r="K33" s="28">
        <v>1</v>
      </c>
      <c r="L33" s="26">
        <v>1</v>
      </c>
      <c r="M33" s="27"/>
      <c r="N33" s="144"/>
      <c r="O33" s="91"/>
      <c r="P33" s="136"/>
      <c r="Q33" s="48">
        <v>1</v>
      </c>
      <c r="R33" s="29"/>
      <c r="S33" s="25"/>
      <c r="T33" s="12">
        <v>1</v>
      </c>
    </row>
    <row r="34" spans="1:20">
      <c r="A34" s="417"/>
      <c r="B34" s="60" t="s">
        <v>45</v>
      </c>
      <c r="C34" s="76">
        <v>1</v>
      </c>
      <c r="D34" s="77"/>
      <c r="E34" s="48"/>
      <c r="F34" s="26">
        <v>1</v>
      </c>
      <c r="G34" s="27"/>
      <c r="H34" s="28"/>
      <c r="I34" s="30"/>
      <c r="J34" s="31"/>
      <c r="K34" s="28">
        <v>1</v>
      </c>
      <c r="L34" s="26"/>
      <c r="M34" s="27"/>
      <c r="N34" s="144">
        <v>1</v>
      </c>
      <c r="O34" s="91"/>
      <c r="P34" s="136"/>
      <c r="Q34" s="48">
        <v>1</v>
      </c>
      <c r="R34" s="29">
        <v>1</v>
      </c>
      <c r="S34" s="25"/>
      <c r="T34" s="12"/>
    </row>
    <row r="35" spans="1:20">
      <c r="A35" s="417"/>
      <c r="B35" s="60" t="s">
        <v>46</v>
      </c>
      <c r="C35" s="76">
        <v>1</v>
      </c>
      <c r="D35" s="77"/>
      <c r="E35" s="48"/>
      <c r="F35" s="127"/>
      <c r="G35" s="128"/>
      <c r="H35" s="129"/>
      <c r="I35" s="130"/>
      <c r="J35" s="131"/>
      <c r="K35" s="129"/>
      <c r="L35" s="127"/>
      <c r="M35" s="128"/>
      <c r="N35" s="147"/>
      <c r="O35" s="158"/>
      <c r="P35" s="139"/>
      <c r="Q35" s="132">
        <v>1</v>
      </c>
      <c r="R35" s="133"/>
      <c r="S35" s="134"/>
      <c r="T35" s="129"/>
    </row>
    <row r="36" spans="1:20">
      <c r="A36" s="417"/>
      <c r="B36" s="60" t="s">
        <v>47</v>
      </c>
      <c r="C36" s="76"/>
      <c r="D36" s="77"/>
      <c r="E36" s="48">
        <v>1</v>
      </c>
      <c r="F36" s="26"/>
      <c r="G36" s="27"/>
      <c r="H36" s="28">
        <v>1</v>
      </c>
      <c r="I36" s="30">
        <v>1</v>
      </c>
      <c r="J36" s="31"/>
      <c r="K36" s="28"/>
      <c r="L36" s="26"/>
      <c r="M36" s="27"/>
      <c r="N36" s="144">
        <v>1</v>
      </c>
      <c r="O36" s="91"/>
      <c r="P36" s="136"/>
      <c r="Q36" s="48">
        <v>1</v>
      </c>
      <c r="R36" s="29"/>
      <c r="S36" s="25"/>
      <c r="T36" s="12">
        <v>1</v>
      </c>
    </row>
    <row r="37" spans="1:20">
      <c r="A37" s="417"/>
      <c r="B37" s="60" t="s">
        <v>48</v>
      </c>
      <c r="C37" s="76">
        <v>1</v>
      </c>
      <c r="D37" s="77"/>
      <c r="E37" s="48"/>
      <c r="F37" s="26"/>
      <c r="G37" s="27"/>
      <c r="H37" s="28">
        <v>1</v>
      </c>
      <c r="I37" s="30"/>
      <c r="J37" s="31"/>
      <c r="K37" s="28">
        <v>1</v>
      </c>
      <c r="L37" s="26"/>
      <c r="M37" s="27"/>
      <c r="N37" s="144">
        <v>1</v>
      </c>
      <c r="O37" s="91"/>
      <c r="P37" s="136"/>
      <c r="Q37" s="48">
        <v>1</v>
      </c>
      <c r="R37" s="29"/>
      <c r="S37" s="25"/>
      <c r="T37" s="12">
        <v>1</v>
      </c>
    </row>
    <row r="38" spans="1:20">
      <c r="A38" s="417"/>
      <c r="B38" s="60" t="s">
        <v>49</v>
      </c>
      <c r="C38" s="76"/>
      <c r="D38" s="77"/>
      <c r="E38" s="48">
        <v>1</v>
      </c>
      <c r="F38" s="26"/>
      <c r="G38" s="27"/>
      <c r="H38" s="28">
        <v>1</v>
      </c>
      <c r="I38" s="30"/>
      <c r="J38" s="31"/>
      <c r="K38" s="28">
        <v>1</v>
      </c>
      <c r="L38" s="26"/>
      <c r="M38" s="27"/>
      <c r="N38" s="144">
        <v>1</v>
      </c>
      <c r="O38" s="91"/>
      <c r="P38" s="136"/>
      <c r="Q38" s="48">
        <v>1</v>
      </c>
      <c r="R38" s="29"/>
      <c r="S38" s="25"/>
      <c r="T38" s="12">
        <v>1</v>
      </c>
    </row>
    <row r="39" spans="1:20">
      <c r="A39" s="417"/>
      <c r="B39" s="60" t="s">
        <v>50</v>
      </c>
      <c r="C39" s="76"/>
      <c r="D39" s="77">
        <v>1</v>
      </c>
      <c r="E39" s="48"/>
      <c r="F39" s="26"/>
      <c r="G39" s="27">
        <v>1</v>
      </c>
      <c r="H39" s="28"/>
      <c r="I39" s="30"/>
      <c r="J39" s="31">
        <v>1</v>
      </c>
      <c r="K39" s="28"/>
      <c r="L39" s="26"/>
      <c r="M39" s="27">
        <v>1</v>
      </c>
      <c r="N39" s="146"/>
      <c r="O39" s="157"/>
      <c r="P39" s="138">
        <v>1</v>
      </c>
      <c r="Q39" s="28"/>
      <c r="R39" s="29"/>
      <c r="S39" s="25">
        <v>1</v>
      </c>
      <c r="T39" s="28"/>
    </row>
    <row r="40" spans="1:20" ht="22.5">
      <c r="A40" s="417"/>
      <c r="B40" s="60" t="s">
        <v>51</v>
      </c>
      <c r="C40" s="76"/>
      <c r="D40" s="77"/>
      <c r="E40" s="48">
        <v>1</v>
      </c>
      <c r="F40" s="26"/>
      <c r="G40" s="27"/>
      <c r="H40" s="28">
        <v>1</v>
      </c>
      <c r="I40" s="30"/>
      <c r="J40" s="31"/>
      <c r="K40" s="28">
        <v>1</v>
      </c>
      <c r="L40" s="26"/>
      <c r="M40" s="27"/>
      <c r="N40" s="146">
        <v>1</v>
      </c>
      <c r="O40" s="157"/>
      <c r="P40" s="138"/>
      <c r="Q40" s="28">
        <v>1</v>
      </c>
      <c r="R40" s="29"/>
      <c r="S40" s="25"/>
      <c r="T40" s="135">
        <v>1</v>
      </c>
    </row>
    <row r="41" spans="1:20" ht="22.5">
      <c r="A41" s="417"/>
      <c r="B41" s="60" t="s">
        <v>52</v>
      </c>
      <c r="C41" s="76">
        <v>1</v>
      </c>
      <c r="D41" s="77"/>
      <c r="E41" s="48"/>
      <c r="F41" s="26">
        <v>1</v>
      </c>
      <c r="G41" s="27"/>
      <c r="H41" s="28"/>
      <c r="I41" s="30">
        <v>1</v>
      </c>
      <c r="J41" s="31"/>
      <c r="K41" s="28"/>
      <c r="L41" s="26">
        <v>1</v>
      </c>
      <c r="M41" s="27"/>
      <c r="N41" s="146"/>
      <c r="O41" s="157"/>
      <c r="P41" s="138">
        <v>1</v>
      </c>
      <c r="Q41" s="28"/>
      <c r="R41" s="29"/>
      <c r="S41" s="25">
        <v>1</v>
      </c>
      <c r="T41" s="71"/>
    </row>
    <row r="42" spans="1:20">
      <c r="A42" s="417"/>
      <c r="B42" s="60" t="s">
        <v>53</v>
      </c>
      <c r="C42" s="76">
        <v>1</v>
      </c>
      <c r="D42" s="77"/>
      <c r="E42" s="48"/>
      <c r="F42" s="26">
        <v>1</v>
      </c>
      <c r="G42" s="27"/>
      <c r="H42" s="28"/>
      <c r="I42" s="30"/>
      <c r="J42" s="31"/>
      <c r="K42" s="28">
        <v>1</v>
      </c>
      <c r="L42" s="26">
        <v>1</v>
      </c>
      <c r="M42" s="27"/>
      <c r="N42" s="146"/>
      <c r="O42" s="157">
        <v>1</v>
      </c>
      <c r="P42" s="138"/>
      <c r="Q42" s="28"/>
      <c r="R42" s="29"/>
      <c r="S42" s="25"/>
      <c r="T42" s="71">
        <v>1</v>
      </c>
    </row>
    <row r="43" spans="1:20" ht="22.5">
      <c r="A43" s="417"/>
      <c r="B43" s="60" t="s">
        <v>54</v>
      </c>
      <c r="C43" s="76"/>
      <c r="D43" s="77">
        <v>1</v>
      </c>
      <c r="E43" s="48"/>
      <c r="F43" s="26"/>
      <c r="G43" s="27">
        <v>1</v>
      </c>
      <c r="H43" s="48"/>
      <c r="I43" s="30"/>
      <c r="J43" s="31">
        <v>1</v>
      </c>
      <c r="K43" s="48"/>
      <c r="L43" s="26"/>
      <c r="M43" s="27">
        <v>1</v>
      </c>
      <c r="N43" s="144"/>
      <c r="O43" s="91"/>
      <c r="P43" s="136">
        <v>1</v>
      </c>
      <c r="Q43" s="48"/>
      <c r="R43" s="29"/>
      <c r="S43" s="25"/>
      <c r="T43" s="71">
        <v>1</v>
      </c>
    </row>
    <row r="44" spans="1:20">
      <c r="A44" s="417"/>
      <c r="B44" s="60" t="s">
        <v>55</v>
      </c>
      <c r="C44" s="83">
        <v>1</v>
      </c>
      <c r="D44" s="84"/>
      <c r="E44" s="85"/>
      <c r="F44" s="26">
        <v>1</v>
      </c>
      <c r="G44" s="27"/>
      <c r="H44" s="28"/>
      <c r="I44" s="30">
        <v>1</v>
      </c>
      <c r="J44" s="31"/>
      <c r="K44" s="28"/>
      <c r="L44" s="26">
        <v>1</v>
      </c>
      <c r="M44" s="27"/>
      <c r="N44" s="146"/>
      <c r="O44" s="157">
        <v>1</v>
      </c>
      <c r="P44" s="138"/>
      <c r="Q44" s="28"/>
      <c r="R44" s="29"/>
      <c r="S44" s="25"/>
      <c r="T44" s="28">
        <v>1</v>
      </c>
    </row>
    <row r="45" spans="1:20" ht="22.5">
      <c r="A45" s="417"/>
      <c r="B45" s="60" t="s">
        <v>56</v>
      </c>
      <c r="C45" s="163"/>
      <c r="D45" s="164"/>
      <c r="E45" s="165"/>
      <c r="F45" s="166"/>
      <c r="G45" s="167"/>
      <c r="H45" s="168"/>
      <c r="I45" s="130"/>
      <c r="J45" s="131"/>
      <c r="K45" s="168"/>
      <c r="L45" s="166"/>
      <c r="M45" s="167"/>
      <c r="N45" s="169"/>
      <c r="O45" s="170"/>
      <c r="P45" s="171"/>
      <c r="Q45" s="129"/>
      <c r="R45" s="35">
        <v>1</v>
      </c>
      <c r="S45" s="36"/>
      <c r="T45" s="32"/>
    </row>
    <row r="46" spans="1:20">
      <c r="A46" s="417"/>
      <c r="B46" s="60" t="s">
        <v>57</v>
      </c>
      <c r="C46" s="163"/>
      <c r="D46" s="164"/>
      <c r="E46" s="165"/>
      <c r="F46" s="166"/>
      <c r="G46" s="167"/>
      <c r="H46" s="168"/>
      <c r="I46" s="130"/>
      <c r="J46" s="131"/>
      <c r="K46" s="168"/>
      <c r="L46" s="166"/>
      <c r="M46" s="167"/>
      <c r="N46" s="169"/>
      <c r="O46" s="170"/>
      <c r="P46" s="171"/>
      <c r="Q46" s="129"/>
      <c r="R46" s="35">
        <v>1</v>
      </c>
      <c r="S46" s="36"/>
      <c r="T46" s="32"/>
    </row>
    <row r="47" spans="1:20">
      <c r="A47" s="417"/>
      <c r="B47" s="60" t="s">
        <v>58</v>
      </c>
      <c r="C47" s="83">
        <v>1</v>
      </c>
      <c r="D47" s="84"/>
      <c r="E47" s="85"/>
      <c r="F47" s="33">
        <v>1</v>
      </c>
      <c r="G47" s="34"/>
      <c r="H47" s="32"/>
      <c r="I47" s="30">
        <v>1</v>
      </c>
      <c r="J47" s="31"/>
      <c r="K47" s="32"/>
      <c r="L47" s="33">
        <v>1</v>
      </c>
      <c r="M47" s="34"/>
      <c r="N47" s="148"/>
      <c r="O47" s="157">
        <v>1</v>
      </c>
      <c r="P47" s="140"/>
      <c r="Q47" s="28"/>
      <c r="R47" s="35">
        <v>1</v>
      </c>
      <c r="S47" s="36"/>
      <c r="T47" s="32"/>
    </row>
    <row r="48" spans="1:20">
      <c r="A48" s="417"/>
      <c r="B48" s="61" t="s">
        <v>59</v>
      </c>
      <c r="C48" s="86">
        <v>1</v>
      </c>
      <c r="D48" s="87"/>
      <c r="E48" s="44"/>
      <c r="F48" s="33">
        <v>1</v>
      </c>
      <c r="G48" s="34"/>
      <c r="H48" s="32"/>
      <c r="I48" s="30">
        <v>1</v>
      </c>
      <c r="J48" s="31"/>
      <c r="K48" s="32"/>
      <c r="L48" s="33">
        <v>1</v>
      </c>
      <c r="M48" s="34"/>
      <c r="N48" s="148"/>
      <c r="O48" s="173">
        <v>1</v>
      </c>
      <c r="P48" s="140"/>
      <c r="Q48" s="32"/>
      <c r="R48" s="35">
        <v>1</v>
      </c>
      <c r="S48" s="36"/>
      <c r="T48" s="32"/>
    </row>
    <row r="49" spans="1:20" ht="22.5">
      <c r="A49" s="416" t="s">
        <v>60</v>
      </c>
      <c r="B49" s="59" t="s">
        <v>61</v>
      </c>
      <c r="C49" s="88">
        <v>1</v>
      </c>
      <c r="D49" s="89"/>
      <c r="E49" s="7"/>
      <c r="F49" s="175"/>
      <c r="G49" s="176"/>
      <c r="H49" s="177"/>
      <c r="I49" s="178"/>
      <c r="J49" s="179"/>
      <c r="K49" s="177"/>
      <c r="L49" s="175"/>
      <c r="M49" s="176"/>
      <c r="N49" s="180"/>
      <c r="O49" s="181"/>
      <c r="P49" s="182"/>
      <c r="Q49" s="183"/>
      <c r="R49" s="184"/>
      <c r="S49" s="185"/>
      <c r="T49" s="186"/>
    </row>
    <row r="50" spans="1:20" ht="22.5">
      <c r="A50" s="417"/>
      <c r="B50" s="75" t="s">
        <v>62</v>
      </c>
      <c r="C50" s="76">
        <v>1</v>
      </c>
      <c r="D50" s="77"/>
      <c r="E50" s="43"/>
      <c r="F50" s="187"/>
      <c r="G50" s="188"/>
      <c r="H50" s="132"/>
      <c r="I50" s="189"/>
      <c r="J50" s="190"/>
      <c r="K50" s="132"/>
      <c r="L50" s="187"/>
      <c r="M50" s="188"/>
      <c r="N50" s="147"/>
      <c r="O50" s="158"/>
      <c r="P50" s="139"/>
      <c r="Q50" s="132"/>
      <c r="R50" s="191"/>
      <c r="S50" s="192"/>
      <c r="T50" s="172"/>
    </row>
    <row r="51" spans="1:20">
      <c r="A51" s="417"/>
      <c r="B51" s="60" t="s">
        <v>63</v>
      </c>
      <c r="C51" s="193"/>
      <c r="D51" s="194"/>
      <c r="E51" s="195"/>
      <c r="F51" s="196"/>
      <c r="G51" s="197"/>
      <c r="H51" s="198"/>
      <c r="I51" s="199"/>
      <c r="J51" s="200"/>
      <c r="K51" s="198"/>
      <c r="L51" s="14">
        <v>1</v>
      </c>
      <c r="M51" s="13"/>
      <c r="N51" s="145"/>
      <c r="O51" s="196"/>
      <c r="P51" s="201"/>
      <c r="Q51" s="198"/>
      <c r="R51" s="202"/>
      <c r="S51" s="188"/>
      <c r="T51" s="203"/>
    </row>
    <row r="52" spans="1:20">
      <c r="A52" s="417"/>
      <c r="B52" s="60" t="s">
        <v>64</v>
      </c>
      <c r="C52" s="193"/>
      <c r="D52" s="194"/>
      <c r="E52" s="195"/>
      <c r="F52" s="196"/>
      <c r="G52" s="197"/>
      <c r="H52" s="198"/>
      <c r="I52" s="199"/>
      <c r="J52" s="200"/>
      <c r="K52" s="198"/>
      <c r="L52" s="14">
        <v>1</v>
      </c>
      <c r="M52" s="13"/>
      <c r="N52" s="145"/>
      <c r="O52" s="196"/>
      <c r="P52" s="201"/>
      <c r="Q52" s="198"/>
      <c r="R52" s="202"/>
      <c r="S52" s="188"/>
      <c r="T52" s="203"/>
    </row>
    <row r="53" spans="1:20" ht="22.5">
      <c r="A53" s="417"/>
      <c r="B53" s="60" t="s">
        <v>65</v>
      </c>
      <c r="C53" s="80">
        <v>1</v>
      </c>
      <c r="D53" s="81"/>
      <c r="E53" s="90"/>
      <c r="F53" s="26"/>
      <c r="G53" s="27"/>
      <c r="H53" s="28">
        <v>1</v>
      </c>
      <c r="I53" s="99"/>
      <c r="J53" s="100"/>
      <c r="K53" s="28">
        <v>1</v>
      </c>
      <c r="L53" s="26"/>
      <c r="M53" s="27"/>
      <c r="N53" s="146">
        <v>1</v>
      </c>
      <c r="O53" s="157"/>
      <c r="P53" s="138"/>
      <c r="Q53" s="28">
        <v>1</v>
      </c>
      <c r="R53" s="29"/>
      <c r="S53" s="25"/>
      <c r="T53" s="28">
        <v>1</v>
      </c>
    </row>
    <row r="54" spans="1:20" ht="22.5">
      <c r="A54" s="417"/>
      <c r="B54" s="60" t="s">
        <v>66</v>
      </c>
      <c r="C54" s="76">
        <v>1</v>
      </c>
      <c r="D54" s="77"/>
      <c r="E54" s="48"/>
      <c r="F54" s="127"/>
      <c r="G54" s="128"/>
      <c r="H54" s="129"/>
      <c r="I54" s="130"/>
      <c r="J54" s="131"/>
      <c r="K54" s="129"/>
      <c r="L54" s="127"/>
      <c r="M54" s="128"/>
      <c r="N54" s="204"/>
      <c r="O54" s="170"/>
      <c r="P54" s="205"/>
      <c r="Q54" s="129"/>
      <c r="R54" s="133"/>
      <c r="S54" s="134"/>
      <c r="T54" s="129"/>
    </row>
    <row r="55" spans="1:20">
      <c r="A55" s="417"/>
      <c r="B55" s="60" t="s">
        <v>67</v>
      </c>
      <c r="C55" s="76"/>
      <c r="D55" s="77">
        <v>1</v>
      </c>
      <c r="E55" s="43"/>
      <c r="F55" s="187"/>
      <c r="G55" s="188"/>
      <c r="H55" s="132"/>
      <c r="I55" s="189"/>
      <c r="J55" s="190"/>
      <c r="K55" s="132"/>
      <c r="L55" s="187"/>
      <c r="M55" s="188"/>
      <c r="N55" s="147"/>
      <c r="O55" s="158"/>
      <c r="P55" s="139"/>
      <c r="Q55" s="132"/>
      <c r="R55" s="191"/>
      <c r="S55" s="192"/>
      <c r="T55" s="172"/>
    </row>
    <row r="56" spans="1:20">
      <c r="A56" s="417"/>
      <c r="B56" s="60" t="s">
        <v>68</v>
      </c>
      <c r="C56" s="76"/>
      <c r="D56" s="77"/>
      <c r="E56" s="43">
        <v>1</v>
      </c>
      <c r="F56" s="127"/>
      <c r="G56" s="128"/>
      <c r="H56" s="129"/>
      <c r="I56" s="130"/>
      <c r="J56" s="131"/>
      <c r="K56" s="129"/>
      <c r="L56" s="127"/>
      <c r="M56" s="128"/>
      <c r="N56" s="147"/>
      <c r="O56" s="158"/>
      <c r="P56" s="139"/>
      <c r="Q56" s="132"/>
      <c r="R56" s="133"/>
      <c r="S56" s="134"/>
      <c r="T56" s="172"/>
    </row>
    <row r="57" spans="1:20">
      <c r="A57" s="417"/>
      <c r="B57" s="60" t="s">
        <v>69</v>
      </c>
      <c r="C57" s="76">
        <v>1</v>
      </c>
      <c r="D57" s="77"/>
      <c r="E57" s="43"/>
      <c r="F57" s="26">
        <v>1</v>
      </c>
      <c r="G57" s="27"/>
      <c r="H57" s="28"/>
      <c r="I57" s="30"/>
      <c r="J57" s="31"/>
      <c r="K57" s="28">
        <v>1</v>
      </c>
      <c r="L57" s="26"/>
      <c r="M57" s="27"/>
      <c r="N57" s="144">
        <v>1</v>
      </c>
      <c r="O57" s="91"/>
      <c r="P57" s="136"/>
      <c r="Q57" s="48">
        <v>1</v>
      </c>
      <c r="R57" s="29"/>
      <c r="S57" s="25"/>
      <c r="T57" s="71">
        <v>1</v>
      </c>
    </row>
    <row r="58" spans="1:20" ht="22.5">
      <c r="A58" s="417"/>
      <c r="B58" s="60" t="s">
        <v>70</v>
      </c>
      <c r="C58" s="76">
        <v>1</v>
      </c>
      <c r="D58" s="77"/>
      <c r="E58" s="43"/>
      <c r="F58" s="26">
        <v>1</v>
      </c>
      <c r="G58" s="27"/>
      <c r="H58" s="28"/>
      <c r="I58" s="130"/>
      <c r="J58" s="131"/>
      <c r="K58" s="129"/>
      <c r="L58" s="127"/>
      <c r="M58" s="128"/>
      <c r="N58" s="147"/>
      <c r="O58" s="91">
        <v>1</v>
      </c>
      <c r="P58" s="136"/>
      <c r="Q58" s="48"/>
      <c r="R58" s="133"/>
      <c r="S58" s="134"/>
      <c r="T58" s="172"/>
    </row>
    <row r="59" spans="1:20">
      <c r="A59" s="417"/>
      <c r="B59" s="60" t="s">
        <v>71</v>
      </c>
      <c r="C59" s="91">
        <v>1</v>
      </c>
      <c r="D59" s="77"/>
      <c r="E59" s="43"/>
      <c r="F59" s="26">
        <v>1</v>
      </c>
      <c r="G59" s="27"/>
      <c r="H59" s="28"/>
      <c r="I59" s="101"/>
      <c r="J59" s="102"/>
      <c r="K59" s="28">
        <v>1</v>
      </c>
      <c r="L59" s="26">
        <v>1</v>
      </c>
      <c r="M59" s="27"/>
      <c r="N59" s="144"/>
      <c r="O59" s="91">
        <v>1</v>
      </c>
      <c r="P59" s="136"/>
      <c r="Q59" s="48"/>
      <c r="R59" s="29"/>
      <c r="S59" s="25"/>
      <c r="T59" s="71">
        <v>1</v>
      </c>
    </row>
    <row r="60" spans="1:20">
      <c r="A60" s="417"/>
      <c r="B60" s="60" t="s">
        <v>72</v>
      </c>
      <c r="C60" s="158"/>
      <c r="D60" s="149"/>
      <c r="E60" s="132"/>
      <c r="F60" s="206"/>
      <c r="G60" s="207"/>
      <c r="H60" s="132"/>
      <c r="I60" s="206"/>
      <c r="J60" s="207"/>
      <c r="K60" s="132"/>
      <c r="L60" s="103">
        <v>1</v>
      </c>
      <c r="M60" s="104"/>
      <c r="N60" s="144"/>
      <c r="O60" s="91"/>
      <c r="P60" s="136"/>
      <c r="Q60" s="48">
        <v>1</v>
      </c>
      <c r="R60" s="29"/>
      <c r="S60" s="25"/>
      <c r="T60" s="71">
        <v>1</v>
      </c>
    </row>
    <row r="61" spans="1:20">
      <c r="A61" s="417"/>
      <c r="B61" s="60" t="s">
        <v>73</v>
      </c>
      <c r="C61" s="158"/>
      <c r="D61" s="149"/>
      <c r="E61" s="132"/>
      <c r="F61" s="206"/>
      <c r="G61" s="207"/>
      <c r="H61" s="132"/>
      <c r="I61" s="206"/>
      <c r="J61" s="207"/>
      <c r="K61" s="132"/>
      <c r="L61" s="206"/>
      <c r="M61" s="207"/>
      <c r="N61" s="147"/>
      <c r="O61" s="158"/>
      <c r="P61" s="139"/>
      <c r="Q61" s="132"/>
      <c r="R61" s="133"/>
      <c r="S61" s="134"/>
      <c r="T61" s="172"/>
    </row>
    <row r="62" spans="1:20" ht="15" customHeight="1">
      <c r="A62" s="417"/>
      <c r="B62" s="60" t="s">
        <v>74</v>
      </c>
      <c r="C62" s="91">
        <v>1</v>
      </c>
      <c r="D62" s="77"/>
      <c r="E62" s="48"/>
      <c r="F62" s="103"/>
      <c r="G62" s="104"/>
      <c r="H62" s="48">
        <v>1</v>
      </c>
      <c r="I62" s="206"/>
      <c r="J62" s="207"/>
      <c r="K62" s="132"/>
      <c r="L62" s="206"/>
      <c r="M62" s="207"/>
      <c r="N62" s="147"/>
      <c r="O62" s="158"/>
      <c r="P62" s="139"/>
      <c r="Q62" s="132"/>
      <c r="R62" s="133"/>
      <c r="S62" s="134"/>
      <c r="T62" s="172"/>
    </row>
    <row r="63" spans="1:20" ht="24.75" customHeight="1">
      <c r="A63" s="417"/>
      <c r="B63" s="60" t="s">
        <v>75</v>
      </c>
      <c r="C63" s="91"/>
      <c r="D63" s="77"/>
      <c r="E63" s="48">
        <v>1</v>
      </c>
      <c r="F63" s="103"/>
      <c r="G63" s="104"/>
      <c r="H63" s="48">
        <v>1</v>
      </c>
      <c r="I63" s="103"/>
      <c r="J63" s="104"/>
      <c r="K63" s="48">
        <v>1</v>
      </c>
      <c r="L63" s="103"/>
      <c r="M63" s="104"/>
      <c r="N63" s="144">
        <v>1</v>
      </c>
      <c r="O63" s="91"/>
      <c r="P63" s="136"/>
      <c r="Q63" s="48">
        <v>1</v>
      </c>
      <c r="R63" s="29"/>
      <c r="S63" s="25"/>
      <c r="T63" s="71">
        <v>1</v>
      </c>
    </row>
    <row r="64" spans="1:20" ht="24.75" customHeight="1">
      <c r="A64" s="417"/>
      <c r="B64" s="60" t="s">
        <v>76</v>
      </c>
      <c r="C64" s="91"/>
      <c r="D64" s="77"/>
      <c r="E64" s="48">
        <v>1</v>
      </c>
      <c r="F64" s="103"/>
      <c r="G64" s="104"/>
      <c r="H64" s="48">
        <v>1</v>
      </c>
      <c r="I64" s="103"/>
      <c r="J64" s="104"/>
      <c r="K64" s="48">
        <v>1</v>
      </c>
      <c r="L64" s="103"/>
      <c r="M64" s="150"/>
      <c r="N64" s="151">
        <v>1</v>
      </c>
      <c r="O64" s="161">
        <v>1</v>
      </c>
      <c r="P64" s="152"/>
      <c r="Q64" s="162"/>
      <c r="R64" s="35"/>
      <c r="S64" s="36"/>
      <c r="T64" s="71">
        <v>1</v>
      </c>
    </row>
    <row r="65" spans="1:20" ht="24.75" customHeight="1">
      <c r="A65" s="417"/>
      <c r="B65" s="60" t="s">
        <v>77</v>
      </c>
      <c r="C65" s="158"/>
      <c r="D65" s="149"/>
      <c r="E65" s="132"/>
      <c r="F65" s="206"/>
      <c r="G65" s="207"/>
      <c r="H65" s="132"/>
      <c r="I65" s="206"/>
      <c r="J65" s="207"/>
      <c r="K65" s="132"/>
      <c r="L65" s="206"/>
      <c r="M65" s="208"/>
      <c r="N65" s="209"/>
      <c r="O65" s="161">
        <v>1</v>
      </c>
      <c r="P65" s="152"/>
      <c r="Q65" s="162"/>
      <c r="R65" s="210"/>
      <c r="S65" s="211"/>
      <c r="T65" s="172"/>
    </row>
    <row r="66" spans="1:20" ht="24.75" customHeight="1">
      <c r="A66" s="417"/>
      <c r="B66" s="60" t="s">
        <v>78</v>
      </c>
      <c r="C66" s="158"/>
      <c r="D66" s="149"/>
      <c r="E66" s="132"/>
      <c r="F66" s="206"/>
      <c r="G66" s="207"/>
      <c r="H66" s="132"/>
      <c r="I66" s="206"/>
      <c r="J66" s="207"/>
      <c r="K66" s="132"/>
      <c r="L66" s="206"/>
      <c r="M66" s="208"/>
      <c r="N66" s="209"/>
      <c r="O66" s="161">
        <v>1</v>
      </c>
      <c r="P66" s="152"/>
      <c r="Q66" s="162"/>
      <c r="R66" s="210"/>
      <c r="S66" s="211"/>
      <c r="T66" s="172"/>
    </row>
    <row r="67" spans="1:20" ht="24.75" customHeight="1">
      <c r="A67" s="417"/>
      <c r="B67" s="60" t="s">
        <v>79</v>
      </c>
      <c r="C67" s="158"/>
      <c r="D67" s="149"/>
      <c r="E67" s="132"/>
      <c r="F67" s="206"/>
      <c r="G67" s="207"/>
      <c r="H67" s="132"/>
      <c r="I67" s="206"/>
      <c r="J67" s="207"/>
      <c r="K67" s="132"/>
      <c r="L67" s="206"/>
      <c r="M67" s="208"/>
      <c r="N67" s="209"/>
      <c r="O67" s="161">
        <v>1</v>
      </c>
      <c r="P67" s="152"/>
      <c r="Q67" s="162"/>
      <c r="R67" s="210"/>
      <c r="S67" s="211"/>
      <c r="T67" s="172"/>
    </row>
    <row r="68" spans="1:20">
      <c r="A68" s="418"/>
      <c r="B68" s="174" t="s">
        <v>80</v>
      </c>
      <c r="C68" s="159"/>
      <c r="D68" s="123"/>
      <c r="E68" s="160">
        <v>1</v>
      </c>
      <c r="F68" s="212"/>
      <c r="G68" s="213"/>
      <c r="H68" s="214"/>
      <c r="I68" s="212"/>
      <c r="J68" s="213"/>
      <c r="K68" s="214"/>
      <c r="L68" s="212"/>
      <c r="M68" s="213"/>
      <c r="N68" s="215"/>
      <c r="O68" s="216"/>
      <c r="P68" s="217"/>
      <c r="Q68" s="214"/>
      <c r="R68" s="212"/>
      <c r="S68" s="213"/>
      <c r="T68" s="214"/>
    </row>
    <row r="69" spans="1:20">
      <c r="A69" s="419" t="s">
        <v>81</v>
      </c>
      <c r="B69" s="52" t="s">
        <v>81</v>
      </c>
      <c r="C69" s="49">
        <f>SUM(C8:C68)</f>
        <v>33</v>
      </c>
      <c r="D69" s="49">
        <f>SUM(D8:D68)</f>
        <v>6</v>
      </c>
      <c r="E69" s="45">
        <f>SUM(E8:E68)</f>
        <v>13</v>
      </c>
      <c r="F69" s="45">
        <f t="shared" ref="F69:T69" si="0">SUM(F8:F68)</f>
        <v>28</v>
      </c>
      <c r="G69" s="45">
        <f t="shared" si="0"/>
        <v>2</v>
      </c>
      <c r="H69" s="45">
        <f t="shared" si="0"/>
        <v>14</v>
      </c>
      <c r="I69" s="45">
        <f t="shared" si="0"/>
        <v>16</v>
      </c>
      <c r="J69" s="45">
        <f t="shared" si="0"/>
        <v>2</v>
      </c>
      <c r="K69" s="45">
        <f t="shared" si="0"/>
        <v>23</v>
      </c>
      <c r="L69" s="45">
        <f t="shared" si="0"/>
        <v>24</v>
      </c>
      <c r="M69" s="45">
        <f t="shared" si="0"/>
        <v>3</v>
      </c>
      <c r="N69" s="45">
        <f t="shared" si="0"/>
        <v>17</v>
      </c>
      <c r="O69" s="45">
        <f t="shared" si="0"/>
        <v>26</v>
      </c>
      <c r="P69" s="45">
        <f t="shared" si="0"/>
        <v>5</v>
      </c>
      <c r="Q69" s="45">
        <f t="shared" si="0"/>
        <v>16</v>
      </c>
      <c r="R69" s="45">
        <f t="shared" si="0"/>
        <v>9</v>
      </c>
      <c r="S69" s="45">
        <f t="shared" si="0"/>
        <v>2</v>
      </c>
      <c r="T69" s="45">
        <f t="shared" si="0"/>
        <v>32</v>
      </c>
    </row>
    <row r="70" spans="1:20">
      <c r="A70" s="420"/>
      <c r="B70" s="53" t="s">
        <v>82</v>
      </c>
      <c r="C70" s="424"/>
      <c r="D70" s="425"/>
      <c r="E70" s="426"/>
      <c r="F70" s="424"/>
      <c r="G70" s="425"/>
      <c r="H70" s="426"/>
      <c r="I70" s="424"/>
      <c r="J70" s="425"/>
      <c r="K70" s="426"/>
      <c r="L70" s="424"/>
      <c r="M70" s="425"/>
      <c r="N70" s="426"/>
      <c r="O70" s="424"/>
      <c r="P70" s="425"/>
      <c r="Q70" s="426"/>
      <c r="R70" s="424"/>
      <c r="S70" s="425"/>
      <c r="T70" s="426"/>
    </row>
    <row r="71" spans="1:20" ht="50.45" customHeight="1">
      <c r="A71" s="412" t="s">
        <v>83</v>
      </c>
      <c r="B71" s="338"/>
      <c r="C71" s="338"/>
      <c r="D71" s="338"/>
      <c r="E71" s="338"/>
      <c r="F71" s="338"/>
      <c r="G71" s="338"/>
      <c r="H71" s="338"/>
      <c r="I71" s="338"/>
      <c r="J71" s="338"/>
      <c r="K71" s="338"/>
      <c r="L71" s="338"/>
      <c r="M71" s="338"/>
      <c r="N71" s="338"/>
      <c r="O71" s="413"/>
      <c r="P71" s="413"/>
      <c r="Q71" s="413"/>
      <c r="R71" s="338"/>
      <c r="S71" s="338"/>
      <c r="T71" s="339"/>
    </row>
    <row r="72" spans="1:20">
      <c r="A72" s="37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</row>
    <row r="73" spans="1:20" ht="15.75">
      <c r="A73" s="55" t="s">
        <v>84</v>
      </c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114"/>
    </row>
    <row r="74" spans="1:20">
      <c r="A74" s="430"/>
      <c r="B74" s="431"/>
      <c r="C74" s="431"/>
      <c r="D74" s="431"/>
      <c r="E74" s="431"/>
      <c r="F74" s="431"/>
      <c r="G74" s="431"/>
      <c r="H74" s="431"/>
      <c r="I74" s="431"/>
      <c r="J74" s="431"/>
      <c r="K74" s="431"/>
      <c r="L74" s="431"/>
      <c r="M74" s="431"/>
      <c r="N74" s="431"/>
      <c r="O74" s="431"/>
      <c r="P74" s="431"/>
      <c r="Q74" s="431"/>
      <c r="R74" s="431"/>
      <c r="S74" s="431"/>
      <c r="T74" s="121"/>
    </row>
    <row r="75" spans="1:20">
      <c r="A75" s="5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115"/>
    </row>
    <row r="76" spans="1:20">
      <c r="A76" s="5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115"/>
    </row>
    <row r="77" spans="1:20">
      <c r="A77" s="5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115"/>
    </row>
    <row r="78" spans="1:20">
      <c r="A78" s="5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115"/>
    </row>
    <row r="79" spans="1:20">
      <c r="A79" s="5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115"/>
    </row>
    <row r="80" spans="1:20">
      <c r="A80" s="5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115"/>
    </row>
    <row r="81" spans="1:20">
      <c r="A81" s="5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115"/>
    </row>
    <row r="82" spans="1:20">
      <c r="A82" s="5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115"/>
    </row>
    <row r="83" spans="1:20">
      <c r="A83" s="5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115"/>
    </row>
    <row r="84" spans="1:20">
      <c r="A84" s="5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115"/>
    </row>
    <row r="85" spans="1:20">
      <c r="A85" s="5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115"/>
    </row>
    <row r="86" spans="1:20">
      <c r="A86" s="5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116"/>
      <c r="T86" s="115"/>
    </row>
    <row r="87" spans="1:20">
      <c r="A87" s="5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115"/>
    </row>
    <row r="88" spans="1:20">
      <c r="A88" s="5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115"/>
    </row>
    <row r="89" spans="1:20">
      <c r="A89" s="5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115"/>
    </row>
    <row r="90" spans="1:20">
      <c r="A90" s="5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115"/>
    </row>
    <row r="91" spans="1:20">
      <c r="A91" s="5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115"/>
    </row>
    <row r="92" spans="1:20">
      <c r="A92" s="5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117"/>
      <c r="T92" s="115"/>
    </row>
    <row r="93" spans="1:20">
      <c r="A93" s="5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115"/>
    </row>
    <row r="94" spans="1:20">
      <c r="A94" s="5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115"/>
    </row>
    <row r="95" spans="1:20">
      <c r="A95" s="5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115"/>
    </row>
    <row r="96" spans="1:20">
      <c r="A96" s="5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115"/>
    </row>
    <row r="97" spans="1:20">
      <c r="A97" s="5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115"/>
    </row>
    <row r="98" spans="1:20">
      <c r="A98" s="5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115"/>
    </row>
    <row r="99" spans="1:20">
      <c r="A99" s="5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115"/>
    </row>
    <row r="100" spans="1:20">
      <c r="A100" s="5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115"/>
    </row>
    <row r="101" spans="1:20">
      <c r="A101" s="5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115"/>
    </row>
    <row r="102" spans="1:20">
      <c r="A102" s="5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115"/>
    </row>
    <row r="103" spans="1:20">
      <c r="A103" s="5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115"/>
    </row>
    <row r="104" spans="1:20">
      <c r="A104" s="5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115"/>
    </row>
    <row r="105" spans="1:20">
      <c r="A105" s="5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115"/>
    </row>
    <row r="106" spans="1:20">
      <c r="A106" s="5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115"/>
    </row>
    <row r="107" spans="1:20">
      <c r="A107" s="5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115"/>
    </row>
    <row r="108" spans="1:20">
      <c r="A108" s="56" t="s">
        <v>85</v>
      </c>
      <c r="B108" s="46"/>
      <c r="C108" s="428"/>
      <c r="D108" s="428"/>
      <c r="E108" s="428"/>
      <c r="F108" s="428"/>
      <c r="G108" s="428"/>
      <c r="H108" s="428"/>
      <c r="I108" s="428"/>
      <c r="J108" s="428"/>
      <c r="K108" s="428"/>
      <c r="L108" s="428"/>
      <c r="M108" s="428"/>
      <c r="N108" s="428"/>
      <c r="O108" s="428"/>
      <c r="P108" s="428"/>
      <c r="Q108" s="428"/>
      <c r="R108" s="428"/>
      <c r="S108" s="428"/>
      <c r="T108" s="115"/>
    </row>
    <row r="109" spans="1:20">
      <c r="A109" s="429"/>
      <c r="B109" s="428"/>
      <c r="C109" s="428"/>
      <c r="D109" s="428"/>
      <c r="E109" s="428"/>
      <c r="F109" s="428"/>
      <c r="G109" s="428"/>
      <c r="H109" s="428"/>
      <c r="I109" s="428"/>
      <c r="J109" s="428"/>
      <c r="K109" s="428"/>
      <c r="L109" s="428"/>
      <c r="M109" s="428"/>
      <c r="N109" s="428"/>
      <c r="O109" s="428"/>
      <c r="P109" s="428"/>
      <c r="Q109" s="428"/>
      <c r="R109" s="428"/>
      <c r="S109" s="428"/>
      <c r="T109" s="115"/>
    </row>
    <row r="110" spans="1:20">
      <c r="A110" s="5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115"/>
    </row>
    <row r="111" spans="1:20">
      <c r="A111" s="5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115"/>
    </row>
    <row r="112" spans="1:20">
      <c r="A112" s="5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117"/>
      <c r="T112" s="115"/>
    </row>
    <row r="113" spans="1:20">
      <c r="A113" s="5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115"/>
    </row>
    <row r="114" spans="1:20">
      <c r="A114" s="5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115"/>
    </row>
    <row r="115" spans="1:20">
      <c r="A115" s="5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115"/>
    </row>
    <row r="116" spans="1:20">
      <c r="A116" s="5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115"/>
    </row>
    <row r="117" spans="1:20">
      <c r="A117" s="5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115"/>
    </row>
    <row r="118" spans="1:20">
      <c r="A118" s="5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115"/>
    </row>
    <row r="119" spans="1:20">
      <c r="A119" s="5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117"/>
      <c r="T119" s="115"/>
    </row>
    <row r="120" spans="1:20">
      <c r="A120" s="5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115"/>
    </row>
    <row r="121" spans="1:20">
      <c r="A121" s="5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115"/>
    </row>
    <row r="122" spans="1:20">
      <c r="A122" s="5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116"/>
      <c r="P122" s="116"/>
      <c r="Q122" s="116"/>
      <c r="S122" s="46"/>
      <c r="T122" s="115"/>
    </row>
    <row r="123" spans="1:20">
      <c r="A123" s="56" t="s">
        <v>86</v>
      </c>
      <c r="B123" s="46"/>
      <c r="C123" s="46"/>
      <c r="D123" s="46"/>
      <c r="E123" s="432"/>
      <c r="F123" s="432"/>
      <c r="G123" s="432"/>
      <c r="H123" s="432"/>
      <c r="I123" s="432"/>
      <c r="J123" s="432"/>
      <c r="K123" s="432"/>
      <c r="L123" s="432"/>
      <c r="M123" s="432"/>
      <c r="N123" s="432"/>
      <c r="O123" s="432"/>
      <c r="P123" s="432"/>
      <c r="Q123" s="432"/>
      <c r="R123" s="432"/>
      <c r="S123" s="432"/>
      <c r="T123" s="115"/>
    </row>
    <row r="124" spans="1:20">
      <c r="A124" s="427"/>
      <c r="B124" s="428"/>
      <c r="C124" s="428"/>
      <c r="D124" s="428"/>
      <c r="E124" s="428"/>
      <c r="F124" s="428"/>
      <c r="G124" s="428"/>
      <c r="H124" s="428"/>
      <c r="I124" s="428"/>
      <c r="J124" s="428"/>
      <c r="K124" s="428"/>
      <c r="L124" s="428"/>
      <c r="M124" s="428"/>
      <c r="N124" s="428"/>
      <c r="O124" s="428"/>
      <c r="P124" s="428"/>
      <c r="Q124" s="428"/>
      <c r="R124" s="428"/>
      <c r="S124" s="428"/>
      <c r="T124" s="115"/>
    </row>
    <row r="125" spans="1:20">
      <c r="A125" s="5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115"/>
    </row>
    <row r="126" spans="1:20">
      <c r="A126" s="5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117"/>
      <c r="T126" s="115"/>
    </row>
    <row r="127" spans="1:20">
      <c r="A127" s="5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115"/>
    </row>
    <row r="128" spans="1:20">
      <c r="A128" s="57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118"/>
      <c r="T128" s="122"/>
    </row>
    <row r="129" spans="1:20">
      <c r="A129" s="68"/>
      <c r="B129" s="67"/>
      <c r="C129" s="67"/>
      <c r="D129" s="67"/>
      <c r="E129" s="67"/>
      <c r="F129" s="67"/>
      <c r="G129" s="67"/>
      <c r="H129" s="67"/>
      <c r="I129" s="414"/>
      <c r="J129" s="414"/>
      <c r="K129" s="414"/>
      <c r="L129" s="414"/>
      <c r="M129" s="414"/>
      <c r="N129" s="414"/>
      <c r="O129" s="414"/>
      <c r="P129" s="414"/>
      <c r="Q129" s="414"/>
      <c r="R129" s="414"/>
      <c r="S129" s="414"/>
      <c r="T129" s="415"/>
    </row>
    <row r="130" spans="1:20" ht="15.75" customHeight="1">
      <c r="A130" s="433" t="s">
        <v>87</v>
      </c>
      <c r="B130" s="434"/>
      <c r="C130" s="434"/>
      <c r="D130" s="434"/>
      <c r="E130" s="434"/>
      <c r="F130" s="434"/>
      <c r="G130" s="434"/>
      <c r="H130" s="434"/>
      <c r="I130" s="434"/>
      <c r="J130" s="434"/>
      <c r="K130" s="434"/>
      <c r="L130" s="434"/>
      <c r="M130" s="434"/>
      <c r="N130" s="434"/>
      <c r="O130" s="434"/>
      <c r="P130" s="434"/>
      <c r="Q130" s="434"/>
      <c r="R130" s="434"/>
      <c r="S130" s="434"/>
      <c r="T130" s="435"/>
    </row>
    <row r="131" spans="1:20" ht="20.25">
      <c r="A131" s="119" t="s">
        <v>88</v>
      </c>
      <c r="B131" s="382">
        <f>SUM(C69+D69+F69+G69+I69+J69+L69+M69+O69+P69+R69+S69)</f>
        <v>156</v>
      </c>
      <c r="C131" s="383"/>
      <c r="D131" s="383"/>
      <c r="E131" s="384"/>
      <c r="F131" s="385">
        <v>1</v>
      </c>
      <c r="G131" s="386"/>
      <c r="H131" s="120" t="s">
        <v>89</v>
      </c>
      <c r="I131" s="1"/>
      <c r="J131" s="218">
        <v>0.89</v>
      </c>
      <c r="K131" s="401" t="s">
        <v>90</v>
      </c>
      <c r="L131" s="402"/>
      <c r="M131" s="402"/>
      <c r="N131" s="402"/>
      <c r="O131" s="402"/>
      <c r="P131" s="402"/>
      <c r="Q131" s="402"/>
      <c r="R131" s="402"/>
      <c r="S131" s="402"/>
      <c r="T131" s="403"/>
    </row>
    <row r="132" spans="1:20">
      <c r="A132" s="387" t="s">
        <v>91</v>
      </c>
      <c r="B132" s="372">
        <f>SUM(C69+F69+I69+L69+O69+R69)</f>
        <v>136</v>
      </c>
      <c r="C132" s="373"/>
      <c r="D132" s="373"/>
      <c r="E132" s="374"/>
      <c r="F132" s="391">
        <f>B132/B131</f>
        <v>0.87179487179487181</v>
      </c>
      <c r="G132" s="392"/>
      <c r="H132" s="38" t="s">
        <v>92</v>
      </c>
      <c r="I132" s="39"/>
      <c r="J132" s="410">
        <f>B131-B136</f>
        <v>41</v>
      </c>
      <c r="K132" s="404"/>
      <c r="L132" s="405"/>
      <c r="M132" s="405"/>
      <c r="N132" s="405"/>
      <c r="O132" s="405"/>
      <c r="P132" s="405"/>
      <c r="Q132" s="405"/>
      <c r="R132" s="405"/>
      <c r="S132" s="405"/>
      <c r="T132" s="406"/>
    </row>
    <row r="133" spans="1:20">
      <c r="A133" s="387"/>
      <c r="B133" s="388"/>
      <c r="C133" s="389"/>
      <c r="D133" s="389"/>
      <c r="E133" s="390"/>
      <c r="F133" s="393"/>
      <c r="G133" s="394"/>
      <c r="H133" s="40" t="s">
        <v>93</v>
      </c>
      <c r="I133" s="39"/>
      <c r="J133" s="410"/>
      <c r="K133" s="404"/>
      <c r="L133" s="405"/>
      <c r="M133" s="405"/>
      <c r="N133" s="405"/>
      <c r="O133" s="405"/>
      <c r="P133" s="405"/>
      <c r="Q133" s="405"/>
      <c r="R133" s="405"/>
      <c r="S133" s="405"/>
      <c r="T133" s="406"/>
    </row>
    <row r="134" spans="1:20">
      <c r="A134" s="387" t="s">
        <v>94</v>
      </c>
      <c r="B134" s="372">
        <f>SUM(D69+G69+J69+M69+P69+S69)</f>
        <v>20</v>
      </c>
      <c r="C134" s="373"/>
      <c r="D134" s="373"/>
      <c r="E134" s="374"/>
      <c r="F134" s="391">
        <f>B134/B131</f>
        <v>0.12820512820512819</v>
      </c>
      <c r="G134" s="392"/>
      <c r="H134" s="41"/>
      <c r="I134" s="1"/>
      <c r="J134" s="1"/>
      <c r="K134" s="404"/>
      <c r="L134" s="405"/>
      <c r="M134" s="405"/>
      <c r="N134" s="405"/>
      <c r="O134" s="405"/>
      <c r="P134" s="405"/>
      <c r="Q134" s="405"/>
      <c r="R134" s="405"/>
      <c r="S134" s="405"/>
      <c r="T134" s="406"/>
    </row>
    <row r="135" spans="1:20">
      <c r="A135" s="387"/>
      <c r="B135" s="388"/>
      <c r="C135" s="389"/>
      <c r="D135" s="389"/>
      <c r="E135" s="390"/>
      <c r="F135" s="393"/>
      <c r="G135" s="394"/>
      <c r="H135" s="41"/>
      <c r="I135" s="1"/>
      <c r="J135" s="1"/>
      <c r="K135" s="404"/>
      <c r="L135" s="405"/>
      <c r="M135" s="405"/>
      <c r="N135" s="405"/>
      <c r="O135" s="405"/>
      <c r="P135" s="405"/>
      <c r="Q135" s="405"/>
      <c r="R135" s="405"/>
      <c r="S135" s="405"/>
      <c r="T135" s="406"/>
    </row>
    <row r="136" spans="1:20">
      <c r="A136" s="370" t="s">
        <v>95</v>
      </c>
      <c r="B136" s="372">
        <f>SUM(E69+H69+K69+N69+Q69+T69)</f>
        <v>115</v>
      </c>
      <c r="C136" s="373"/>
      <c r="D136" s="373"/>
      <c r="E136" s="374"/>
      <c r="F136" s="378"/>
      <c r="G136" s="379"/>
      <c r="H136" s="41"/>
      <c r="I136" s="1"/>
      <c r="J136" s="1"/>
      <c r="K136" s="404"/>
      <c r="L136" s="405"/>
      <c r="M136" s="405"/>
      <c r="N136" s="405"/>
      <c r="O136" s="405"/>
      <c r="P136" s="405"/>
      <c r="Q136" s="405"/>
      <c r="R136" s="405"/>
      <c r="S136" s="405"/>
      <c r="T136" s="406"/>
    </row>
    <row r="137" spans="1:20">
      <c r="A137" s="371" t="s">
        <v>95</v>
      </c>
      <c r="B137" s="375"/>
      <c r="C137" s="376"/>
      <c r="D137" s="376"/>
      <c r="E137" s="377"/>
      <c r="F137" s="380"/>
      <c r="G137" s="381"/>
      <c r="H137" s="54"/>
      <c r="I137" s="51"/>
      <c r="J137" s="1"/>
      <c r="K137" s="407"/>
      <c r="L137" s="408"/>
      <c r="M137" s="408"/>
      <c r="N137" s="408"/>
      <c r="O137" s="408"/>
      <c r="P137" s="408"/>
      <c r="Q137" s="408"/>
      <c r="R137" s="408"/>
      <c r="S137" s="408"/>
      <c r="T137" s="409"/>
    </row>
    <row r="138" spans="1:20">
      <c r="A138" s="65" t="s">
        <v>96</v>
      </c>
      <c r="B138" s="66"/>
      <c r="C138" s="66"/>
      <c r="D138" s="66"/>
      <c r="E138" s="67"/>
      <c r="F138" s="67"/>
      <c r="G138" s="67"/>
      <c r="H138" s="67"/>
      <c r="I138" s="67"/>
      <c r="J138" s="395" t="s">
        <v>97</v>
      </c>
      <c r="K138" s="396"/>
      <c r="L138" s="396"/>
      <c r="M138" s="396"/>
      <c r="N138" s="396"/>
      <c r="O138" s="396"/>
      <c r="P138" s="396"/>
      <c r="Q138" s="396"/>
      <c r="R138" s="396"/>
      <c r="S138" s="396"/>
      <c r="T138" s="397"/>
    </row>
    <row r="139" spans="1:20">
      <c r="A139" s="69" t="s">
        <v>98</v>
      </c>
      <c r="B139" s="70"/>
      <c r="C139" s="70"/>
      <c r="D139" s="70"/>
      <c r="E139" s="58"/>
      <c r="F139" s="58"/>
      <c r="G139" s="58"/>
      <c r="H139" s="58"/>
      <c r="I139" s="58"/>
      <c r="J139" s="398" t="s">
        <v>99</v>
      </c>
      <c r="K139" s="399"/>
      <c r="L139" s="399"/>
      <c r="M139" s="399"/>
      <c r="N139" s="399"/>
      <c r="O139" s="399"/>
      <c r="P139" s="399"/>
      <c r="Q139" s="399"/>
      <c r="R139" s="399"/>
      <c r="S139" s="399"/>
      <c r="T139" s="400"/>
    </row>
    <row r="140" spans="1:20" ht="49.9" customHeight="1">
      <c r="A140" s="367" t="s">
        <v>100</v>
      </c>
      <c r="B140" s="368"/>
      <c r="C140" s="368"/>
      <c r="D140" s="368"/>
      <c r="E140" s="368"/>
      <c r="F140" s="368"/>
      <c r="G140" s="368"/>
      <c r="H140" s="368"/>
      <c r="I140" s="368"/>
      <c r="J140" s="368"/>
      <c r="K140" s="368"/>
      <c r="L140" s="368"/>
      <c r="M140" s="368"/>
      <c r="N140" s="368"/>
      <c r="O140" s="368"/>
      <c r="P140" s="368"/>
      <c r="Q140" s="368"/>
      <c r="R140" s="368"/>
      <c r="S140" s="368"/>
      <c r="T140" s="369"/>
    </row>
    <row r="141" spans="1:20">
      <c r="A141" t="s">
        <v>101</v>
      </c>
    </row>
  </sheetData>
  <mergeCells count="59">
    <mergeCell ref="A1:B3"/>
    <mergeCell ref="C1:T1"/>
    <mergeCell ref="C2:T2"/>
    <mergeCell ref="C3:H3"/>
    <mergeCell ref="I3:M3"/>
    <mergeCell ref="R3:T3"/>
    <mergeCell ref="I4:T4"/>
    <mergeCell ref="A5:B7"/>
    <mergeCell ref="C5:E5"/>
    <mergeCell ref="F5:H5"/>
    <mergeCell ref="I5:K5"/>
    <mergeCell ref="L5:N5"/>
    <mergeCell ref="O5:Q5"/>
    <mergeCell ref="R5:T5"/>
    <mergeCell ref="C6:D6"/>
    <mergeCell ref="E6:E7"/>
    <mergeCell ref="A49:A68"/>
    <mergeCell ref="F6:G6"/>
    <mergeCell ref="H6:H7"/>
    <mergeCell ref="I6:J6"/>
    <mergeCell ref="K6:K7"/>
    <mergeCell ref="O6:P6"/>
    <mergeCell ref="Q6:Q7"/>
    <mergeCell ref="R6:S6"/>
    <mergeCell ref="T6:T7"/>
    <mergeCell ref="A8:A48"/>
    <mergeCell ref="L6:M6"/>
    <mergeCell ref="N6:N7"/>
    <mergeCell ref="E123:S123"/>
    <mergeCell ref="A69:A70"/>
    <mergeCell ref="C70:E70"/>
    <mergeCell ref="F70:H70"/>
    <mergeCell ref="I70:K70"/>
    <mergeCell ref="L70:N70"/>
    <mergeCell ref="O70:Q70"/>
    <mergeCell ref="R70:T70"/>
    <mergeCell ref="A71:T71"/>
    <mergeCell ref="A74:S74"/>
    <mergeCell ref="C108:S108"/>
    <mergeCell ref="A109:S109"/>
    <mergeCell ref="A124:S124"/>
    <mergeCell ref="I129:T129"/>
    <mergeCell ref="A130:T130"/>
    <mergeCell ref="B131:E131"/>
    <mergeCell ref="F131:G131"/>
    <mergeCell ref="K131:T137"/>
    <mergeCell ref="A132:A133"/>
    <mergeCell ref="B132:E133"/>
    <mergeCell ref="F132:G133"/>
    <mergeCell ref="J132:J133"/>
    <mergeCell ref="J138:T138"/>
    <mergeCell ref="J139:T139"/>
    <mergeCell ref="A140:T140"/>
    <mergeCell ref="A134:A135"/>
    <mergeCell ref="B134:E135"/>
    <mergeCell ref="F134:G135"/>
    <mergeCell ref="A136:A137"/>
    <mergeCell ref="B136:E137"/>
    <mergeCell ref="F136:G137"/>
  </mergeCells>
  <printOptions horizontalCentered="1" verticalCentered="1"/>
  <pageMargins left="0" right="0" top="0" bottom="0" header="0.31496062992125984" footer="0.31496062992125984"/>
  <pageSetup paperSize="281" scale="65" fitToHeight="0" orientation="portrait"/>
  <rowBreaks count="1" manualBreakCount="1">
    <brk id="71" max="19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9AB5C-2456-4E2D-A8A4-ADAA10DD1D3C}">
  <dimension ref="A1:T141"/>
  <sheetViews>
    <sheetView tabSelected="1" view="pageBreakPreview" topLeftCell="A51" zoomScale="57" zoomScaleNormal="96" zoomScaleSheetLayoutView="57" workbookViewId="0">
      <selection activeCell="I63" sqref="I63:K64"/>
    </sheetView>
  </sheetViews>
  <sheetFormatPr defaultColWidth="11.42578125" defaultRowHeight="15"/>
  <cols>
    <col min="1" max="1" width="18.42578125" customWidth="1"/>
    <col min="2" max="2" width="17.140625" customWidth="1"/>
    <col min="3" max="20" width="5.7109375" customWidth="1"/>
  </cols>
  <sheetData>
    <row r="1" spans="1:20" ht="15.75">
      <c r="A1" s="328"/>
      <c r="B1" s="329"/>
      <c r="C1" s="334" t="s">
        <v>0</v>
      </c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6"/>
    </row>
    <row r="2" spans="1:20" ht="15.75">
      <c r="A2" s="330"/>
      <c r="B2" s="331"/>
      <c r="C2" s="334" t="s">
        <v>1</v>
      </c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  <c r="S2" s="335"/>
      <c r="T2" s="336"/>
    </row>
    <row r="3" spans="1:20" ht="15.75">
      <c r="A3" s="332"/>
      <c r="B3" s="333"/>
      <c r="C3" s="337" t="s">
        <v>2</v>
      </c>
      <c r="D3" s="338"/>
      <c r="E3" s="338"/>
      <c r="F3" s="338"/>
      <c r="G3" s="338"/>
      <c r="H3" s="339"/>
      <c r="I3" s="337" t="s">
        <v>3</v>
      </c>
      <c r="J3" s="338"/>
      <c r="K3" s="338"/>
      <c r="L3" s="338"/>
      <c r="M3" s="339"/>
      <c r="N3" s="64"/>
      <c r="O3" s="64"/>
      <c r="P3" s="64"/>
      <c r="Q3" s="64"/>
      <c r="R3" s="340" t="s">
        <v>4</v>
      </c>
      <c r="S3" s="338"/>
      <c r="T3" s="339"/>
    </row>
    <row r="4" spans="1:20">
      <c r="A4" s="2"/>
      <c r="B4" s="62" t="s">
        <v>5</v>
      </c>
      <c r="C4" s="63"/>
      <c r="D4" s="63"/>
      <c r="E4" s="63"/>
      <c r="F4" s="63"/>
      <c r="G4" s="63"/>
      <c r="H4" s="63"/>
      <c r="I4" s="341" t="s">
        <v>6</v>
      </c>
      <c r="J4" s="341"/>
      <c r="K4" s="341"/>
      <c r="L4" s="341"/>
      <c r="M4" s="341"/>
      <c r="N4" s="341"/>
      <c r="O4" s="341"/>
      <c r="P4" s="341"/>
      <c r="Q4" s="341"/>
      <c r="R4" s="341"/>
      <c r="S4" s="341"/>
      <c r="T4" s="341"/>
    </row>
    <row r="5" spans="1:20" ht="29.25" customHeight="1">
      <c r="A5" s="342" t="s">
        <v>7</v>
      </c>
      <c r="B5" s="343"/>
      <c r="C5" s="348" t="s">
        <v>8</v>
      </c>
      <c r="D5" s="349"/>
      <c r="E5" s="350"/>
      <c r="F5" s="351" t="s">
        <v>9</v>
      </c>
      <c r="G5" s="349"/>
      <c r="H5" s="349"/>
      <c r="I5" s="349" t="s">
        <v>10</v>
      </c>
      <c r="J5" s="349"/>
      <c r="K5" s="349"/>
      <c r="L5" s="349" t="s">
        <v>11</v>
      </c>
      <c r="M5" s="349"/>
      <c r="N5" s="352"/>
      <c r="O5" s="353" t="s">
        <v>12</v>
      </c>
      <c r="P5" s="354"/>
      <c r="Q5" s="355"/>
      <c r="R5" s="353" t="s">
        <v>13</v>
      </c>
      <c r="S5" s="354"/>
      <c r="T5" s="355"/>
    </row>
    <row r="6" spans="1:20">
      <c r="A6" s="344"/>
      <c r="B6" s="345"/>
      <c r="C6" s="356" t="s">
        <v>14</v>
      </c>
      <c r="D6" s="357"/>
      <c r="E6" s="358" t="s">
        <v>15</v>
      </c>
      <c r="F6" s="357" t="s">
        <v>14</v>
      </c>
      <c r="G6" s="357"/>
      <c r="H6" s="360" t="s">
        <v>15</v>
      </c>
      <c r="I6" s="357" t="s">
        <v>14</v>
      </c>
      <c r="J6" s="357"/>
      <c r="K6" s="360" t="s">
        <v>15</v>
      </c>
      <c r="L6" s="357" t="s">
        <v>14</v>
      </c>
      <c r="M6" s="362"/>
      <c r="N6" s="363" t="s">
        <v>15</v>
      </c>
      <c r="O6" s="365" t="s">
        <v>14</v>
      </c>
      <c r="P6" s="366"/>
      <c r="Q6" s="363" t="s">
        <v>15</v>
      </c>
      <c r="R6" s="421" t="s">
        <v>14</v>
      </c>
      <c r="S6" s="357"/>
      <c r="T6" s="422" t="s">
        <v>15</v>
      </c>
    </row>
    <row r="7" spans="1:20">
      <c r="A7" s="346"/>
      <c r="B7" s="347"/>
      <c r="C7" s="3" t="s">
        <v>16</v>
      </c>
      <c r="D7" s="4" t="s">
        <v>17</v>
      </c>
      <c r="E7" s="359"/>
      <c r="F7" s="4" t="s">
        <v>16</v>
      </c>
      <c r="G7" s="4" t="s">
        <v>17</v>
      </c>
      <c r="H7" s="361"/>
      <c r="I7" s="4" t="s">
        <v>16</v>
      </c>
      <c r="J7" s="4" t="s">
        <v>17</v>
      </c>
      <c r="K7" s="361"/>
      <c r="L7" s="4" t="s">
        <v>16</v>
      </c>
      <c r="M7" s="141" t="s">
        <v>17</v>
      </c>
      <c r="N7" s="364"/>
      <c r="O7" s="153" t="s">
        <v>16</v>
      </c>
      <c r="P7" s="154" t="s">
        <v>17</v>
      </c>
      <c r="Q7" s="411"/>
      <c r="R7" s="142" t="s">
        <v>16</v>
      </c>
      <c r="S7" s="4" t="s">
        <v>17</v>
      </c>
      <c r="T7" s="423"/>
    </row>
    <row r="8" spans="1:20" ht="22.5">
      <c r="A8" s="416" t="s">
        <v>18</v>
      </c>
      <c r="B8" s="59" t="s">
        <v>19</v>
      </c>
      <c r="C8" s="5">
        <v>1</v>
      </c>
      <c r="D8" s="6"/>
      <c r="E8" s="7"/>
      <c r="F8" s="92">
        <v>1</v>
      </c>
      <c r="G8" s="6"/>
      <c r="H8" s="7"/>
      <c r="I8" s="8">
        <v>1</v>
      </c>
      <c r="J8" s="93"/>
      <c r="K8" s="43"/>
      <c r="L8" s="42">
        <v>1</v>
      </c>
      <c r="M8" s="9"/>
      <c r="N8" s="143"/>
      <c r="O8" s="155">
        <v>1</v>
      </c>
      <c r="P8" s="156"/>
      <c r="Q8" s="7"/>
      <c r="R8" s="8"/>
      <c r="S8" s="9"/>
      <c r="T8" s="71">
        <v>1</v>
      </c>
    </row>
    <row r="9" spans="1:20" ht="22.5">
      <c r="A9" s="417"/>
      <c r="B9" s="60" t="s">
        <v>20</v>
      </c>
      <c r="C9" s="76">
        <v>1</v>
      </c>
      <c r="D9" s="77"/>
      <c r="E9" s="43"/>
      <c r="F9" s="10">
        <v>1</v>
      </c>
      <c r="G9" s="11"/>
      <c r="H9" s="48"/>
      <c r="I9" s="12">
        <v>1</v>
      </c>
      <c r="J9" s="47"/>
      <c r="K9" s="48"/>
      <c r="L9" s="72">
        <v>1</v>
      </c>
      <c r="M9" s="11"/>
      <c r="N9" s="144"/>
      <c r="O9" s="91">
        <v>1</v>
      </c>
      <c r="P9" s="136"/>
      <c r="Q9" s="48"/>
      <c r="R9" s="12">
        <v>1</v>
      </c>
      <c r="S9" s="11"/>
      <c r="T9" s="71"/>
    </row>
    <row r="10" spans="1:20">
      <c r="A10" s="417"/>
      <c r="B10" s="60" t="s">
        <v>21</v>
      </c>
      <c r="C10" s="78">
        <v>1</v>
      </c>
      <c r="D10" s="74"/>
      <c r="E10" s="43"/>
      <c r="F10" s="10">
        <v>1</v>
      </c>
      <c r="G10" s="11"/>
      <c r="H10" s="48"/>
      <c r="I10" s="12">
        <v>1</v>
      </c>
      <c r="J10" s="47"/>
      <c r="K10" s="48"/>
      <c r="L10" s="72">
        <v>1</v>
      </c>
      <c r="M10" s="11"/>
      <c r="N10" s="144"/>
      <c r="O10" s="91">
        <v>1</v>
      </c>
      <c r="P10" s="136"/>
      <c r="Q10" s="48"/>
      <c r="R10" s="12">
        <v>1</v>
      </c>
      <c r="S10" s="11"/>
      <c r="T10" s="71"/>
    </row>
    <row r="11" spans="1:20">
      <c r="A11" s="417"/>
      <c r="B11" s="60" t="s">
        <v>22</v>
      </c>
      <c r="C11" s="445">
        <v>1</v>
      </c>
      <c r="D11" s="446"/>
      <c r="E11" s="447"/>
      <c r="F11" s="14">
        <v>1</v>
      </c>
      <c r="G11" s="13"/>
      <c r="H11" s="15"/>
      <c r="I11" s="12">
        <v>1</v>
      </c>
      <c r="J11" s="47"/>
      <c r="K11" s="48"/>
      <c r="L11" s="73">
        <v>1</v>
      </c>
      <c r="M11" s="13"/>
      <c r="N11" s="144"/>
      <c r="O11" s="91">
        <v>1</v>
      </c>
      <c r="P11" s="136"/>
      <c r="Q11" s="48"/>
      <c r="R11" s="12">
        <v>1</v>
      </c>
      <c r="S11" s="11"/>
      <c r="T11" s="71"/>
    </row>
    <row r="12" spans="1:20">
      <c r="A12" s="417"/>
      <c r="B12" s="60" t="s">
        <v>23</v>
      </c>
      <c r="C12" s="17">
        <v>1</v>
      </c>
      <c r="D12" s="18"/>
      <c r="E12" s="43"/>
      <c r="F12" s="19">
        <v>1</v>
      </c>
      <c r="G12" s="20"/>
      <c r="H12" s="48"/>
      <c r="I12" s="12">
        <v>1</v>
      </c>
      <c r="J12" s="47"/>
      <c r="K12" s="48"/>
      <c r="L12" s="73"/>
      <c r="M12" s="13"/>
      <c r="N12" s="144">
        <v>1</v>
      </c>
      <c r="O12" s="91">
        <v>1</v>
      </c>
      <c r="P12" s="136"/>
      <c r="Q12" s="48"/>
      <c r="R12" s="12"/>
      <c r="S12" s="11"/>
      <c r="T12" s="12">
        <v>1</v>
      </c>
    </row>
    <row r="13" spans="1:20" ht="33">
      <c r="A13" s="417"/>
      <c r="B13" s="60" t="s">
        <v>24</v>
      </c>
      <c r="C13" s="76">
        <v>1</v>
      </c>
      <c r="D13" s="77"/>
      <c r="E13" s="43"/>
      <c r="F13" s="19">
        <v>1</v>
      </c>
      <c r="G13" s="20"/>
      <c r="H13" s="48"/>
      <c r="I13" s="21">
        <v>1</v>
      </c>
      <c r="J13" s="22"/>
      <c r="K13" s="48"/>
      <c r="L13" s="19">
        <v>1</v>
      </c>
      <c r="M13" s="20"/>
      <c r="N13" s="144"/>
      <c r="O13" s="91">
        <v>1</v>
      </c>
      <c r="P13" s="136"/>
      <c r="Q13" s="48"/>
      <c r="R13" s="23"/>
      <c r="S13" s="24"/>
      <c r="T13" s="12">
        <v>1</v>
      </c>
    </row>
    <row r="14" spans="1:20">
      <c r="A14" s="417"/>
      <c r="B14" s="60" t="s">
        <v>25</v>
      </c>
      <c r="C14" s="76">
        <v>1</v>
      </c>
      <c r="D14" s="77"/>
      <c r="E14" s="79"/>
      <c r="F14" s="14">
        <v>1</v>
      </c>
      <c r="G14" s="13"/>
      <c r="H14" s="15"/>
      <c r="I14" s="94"/>
      <c r="J14" s="95"/>
      <c r="K14" s="15">
        <v>1</v>
      </c>
      <c r="L14" s="73">
        <v>1</v>
      </c>
      <c r="M14" s="13"/>
      <c r="N14" s="145"/>
      <c r="O14" s="14">
        <v>1</v>
      </c>
      <c r="P14" s="137"/>
      <c r="Q14" s="15"/>
      <c r="R14" s="96"/>
      <c r="S14" s="20"/>
      <c r="T14" s="12">
        <v>1</v>
      </c>
    </row>
    <row r="15" spans="1:20">
      <c r="A15" s="417"/>
      <c r="B15" s="60" t="s">
        <v>26</v>
      </c>
      <c r="C15" s="80">
        <v>1</v>
      </c>
      <c r="D15" s="81"/>
      <c r="E15" s="90"/>
      <c r="F15" s="14">
        <v>1</v>
      </c>
      <c r="G15" s="13"/>
      <c r="H15" s="15"/>
      <c r="I15" s="94">
        <v>1</v>
      </c>
      <c r="J15" s="95"/>
      <c r="K15" s="15"/>
      <c r="L15" s="73">
        <v>1</v>
      </c>
      <c r="M15" s="13"/>
      <c r="N15" s="145"/>
      <c r="O15" s="14">
        <v>1</v>
      </c>
      <c r="P15" s="137"/>
      <c r="Q15" s="15"/>
      <c r="R15" s="96">
        <v>1</v>
      </c>
      <c r="S15" s="20"/>
      <c r="T15" s="12"/>
    </row>
    <row r="16" spans="1:20" ht="33">
      <c r="A16" s="417"/>
      <c r="B16" s="60" t="s">
        <v>27</v>
      </c>
      <c r="C16" s="80">
        <v>1</v>
      </c>
      <c r="D16" s="81"/>
      <c r="E16" s="82"/>
      <c r="F16" s="26"/>
      <c r="G16" s="27"/>
      <c r="H16" s="48">
        <v>1</v>
      </c>
      <c r="I16" s="30">
        <v>1</v>
      </c>
      <c r="J16" s="31"/>
      <c r="K16" s="48"/>
      <c r="L16" s="26"/>
      <c r="M16" s="27"/>
      <c r="N16" s="144">
        <v>1</v>
      </c>
      <c r="O16" s="91"/>
      <c r="P16" s="136"/>
      <c r="Q16" s="48">
        <v>1</v>
      </c>
      <c r="R16" s="23"/>
      <c r="S16" s="24"/>
      <c r="T16" s="12">
        <v>1</v>
      </c>
    </row>
    <row r="17" spans="1:20">
      <c r="A17" s="417"/>
      <c r="B17" s="60" t="s">
        <v>28</v>
      </c>
      <c r="C17" s="80"/>
      <c r="D17" s="81"/>
      <c r="E17" s="43">
        <v>1</v>
      </c>
      <c r="F17" s="26"/>
      <c r="G17" s="27"/>
      <c r="H17" s="48">
        <v>1</v>
      </c>
      <c r="I17" s="30"/>
      <c r="J17" s="31"/>
      <c r="K17" s="48">
        <v>1</v>
      </c>
      <c r="L17" s="26"/>
      <c r="M17" s="27"/>
      <c r="N17" s="144">
        <v>1</v>
      </c>
      <c r="O17" s="91">
        <v>1</v>
      </c>
      <c r="P17" s="136"/>
      <c r="Q17" s="48"/>
      <c r="R17" s="23"/>
      <c r="S17" s="24"/>
      <c r="T17" s="12">
        <v>1</v>
      </c>
    </row>
    <row r="18" spans="1:20">
      <c r="A18" s="417"/>
      <c r="B18" s="60" t="s">
        <v>29</v>
      </c>
      <c r="C18" s="76"/>
      <c r="D18" s="77"/>
      <c r="E18" s="43">
        <v>1</v>
      </c>
      <c r="F18" s="19"/>
      <c r="G18" s="20"/>
      <c r="H18" s="16">
        <v>1</v>
      </c>
      <c r="I18" s="21">
        <v>1</v>
      </c>
      <c r="J18" s="22"/>
      <c r="K18" s="16"/>
      <c r="L18" s="19">
        <v>1</v>
      </c>
      <c r="M18" s="20"/>
      <c r="N18" s="144"/>
      <c r="O18" s="91">
        <v>1</v>
      </c>
      <c r="P18" s="136"/>
      <c r="Q18" s="48"/>
      <c r="R18" s="23"/>
      <c r="S18" s="24"/>
      <c r="T18" s="12">
        <v>1</v>
      </c>
    </row>
    <row r="19" spans="1:20">
      <c r="A19" s="417"/>
      <c r="B19" s="60" t="s">
        <v>30</v>
      </c>
      <c r="C19" s="76"/>
      <c r="D19" s="77">
        <v>1</v>
      </c>
      <c r="E19" s="43"/>
      <c r="F19" s="19"/>
      <c r="G19" s="20"/>
      <c r="H19" s="16">
        <v>1</v>
      </c>
      <c r="I19" s="97"/>
      <c r="J19" s="98"/>
      <c r="K19" s="16">
        <v>1</v>
      </c>
      <c r="L19" s="19"/>
      <c r="M19" s="20"/>
      <c r="N19" s="144">
        <v>1</v>
      </c>
      <c r="O19" s="91"/>
      <c r="P19" s="136"/>
      <c r="Q19" s="48">
        <v>1</v>
      </c>
      <c r="R19" s="23"/>
      <c r="S19" s="24"/>
      <c r="T19" s="12">
        <v>1</v>
      </c>
    </row>
    <row r="20" spans="1:20">
      <c r="A20" s="417"/>
      <c r="B20" s="60" t="s">
        <v>31</v>
      </c>
      <c r="C20" s="76">
        <v>1</v>
      </c>
      <c r="D20" s="77"/>
      <c r="E20" s="43"/>
      <c r="F20" s="19"/>
      <c r="G20" s="20"/>
      <c r="H20" s="16">
        <v>1</v>
      </c>
      <c r="I20" s="97"/>
      <c r="J20" s="98"/>
      <c r="K20" s="16">
        <v>1</v>
      </c>
      <c r="L20" s="19"/>
      <c r="M20" s="20"/>
      <c r="N20" s="144">
        <v>1</v>
      </c>
      <c r="O20" s="91"/>
      <c r="P20" s="136"/>
      <c r="Q20" s="48">
        <v>1</v>
      </c>
      <c r="R20" s="23"/>
      <c r="S20" s="24"/>
      <c r="T20" s="12">
        <v>1</v>
      </c>
    </row>
    <row r="21" spans="1:20" ht="22.5">
      <c r="A21" s="417"/>
      <c r="B21" s="60" t="s">
        <v>32</v>
      </c>
      <c r="C21" s="76"/>
      <c r="D21" s="77"/>
      <c r="E21" s="43">
        <v>1</v>
      </c>
      <c r="F21" s="19">
        <v>1</v>
      </c>
      <c r="G21" s="20"/>
      <c r="H21" s="16"/>
      <c r="I21" s="97"/>
      <c r="J21" s="98"/>
      <c r="K21" s="16">
        <v>1</v>
      </c>
      <c r="L21" s="19">
        <v>1</v>
      </c>
      <c r="M21" s="20"/>
      <c r="N21" s="144"/>
      <c r="O21" s="91">
        <v>1</v>
      </c>
      <c r="P21" s="136"/>
      <c r="Q21" s="48"/>
      <c r="R21" s="23"/>
      <c r="S21" s="24"/>
      <c r="T21" s="12">
        <v>1</v>
      </c>
    </row>
    <row r="22" spans="1:20" ht="22.5">
      <c r="A22" s="417"/>
      <c r="B22" s="60" t="s">
        <v>33</v>
      </c>
      <c r="C22" s="76">
        <v>1</v>
      </c>
      <c r="D22" s="77"/>
      <c r="E22" s="48"/>
      <c r="F22" s="26">
        <v>1</v>
      </c>
      <c r="G22" s="27"/>
      <c r="H22" s="48"/>
      <c r="I22" s="30">
        <v>1</v>
      </c>
      <c r="J22" s="31"/>
      <c r="K22" s="28"/>
      <c r="L22" s="26">
        <v>1</v>
      </c>
      <c r="M22" s="27"/>
      <c r="N22" s="146"/>
      <c r="O22" s="157"/>
      <c r="P22" s="138">
        <v>1</v>
      </c>
      <c r="Q22" s="28"/>
      <c r="R22" s="96"/>
      <c r="S22" s="20"/>
      <c r="T22" s="12">
        <v>1</v>
      </c>
    </row>
    <row r="23" spans="1:20">
      <c r="A23" s="417"/>
      <c r="B23" s="60" t="s">
        <v>34</v>
      </c>
      <c r="C23" s="76">
        <v>1</v>
      </c>
      <c r="D23" s="77"/>
      <c r="E23" s="43"/>
      <c r="F23" s="26">
        <v>1</v>
      </c>
      <c r="G23" s="27"/>
      <c r="H23" s="48"/>
      <c r="I23" s="30"/>
      <c r="J23" s="31"/>
      <c r="K23" s="28">
        <v>1</v>
      </c>
      <c r="L23" s="26">
        <v>1</v>
      </c>
      <c r="M23" s="27"/>
      <c r="N23" s="146"/>
      <c r="O23" s="157">
        <v>1</v>
      </c>
      <c r="P23" s="138"/>
      <c r="Q23" s="28"/>
      <c r="R23" s="29"/>
      <c r="S23" s="25"/>
      <c r="T23" s="12">
        <v>1</v>
      </c>
    </row>
    <row r="24" spans="1:20">
      <c r="A24" s="417"/>
      <c r="B24" s="60" t="s">
        <v>35</v>
      </c>
      <c r="C24" s="76">
        <v>1</v>
      </c>
      <c r="D24" s="77"/>
      <c r="E24" s="43"/>
      <c r="F24" s="26">
        <v>1</v>
      </c>
      <c r="G24" s="27"/>
      <c r="H24" s="48"/>
      <c r="I24" s="30"/>
      <c r="J24" s="31"/>
      <c r="K24" s="28">
        <v>1</v>
      </c>
      <c r="L24" s="26"/>
      <c r="M24" s="27"/>
      <c r="N24" s="146">
        <v>1</v>
      </c>
      <c r="O24" s="157"/>
      <c r="P24" s="138"/>
      <c r="Q24" s="28">
        <v>1</v>
      </c>
      <c r="R24" s="29"/>
      <c r="S24" s="25"/>
      <c r="T24" s="12">
        <v>1</v>
      </c>
    </row>
    <row r="25" spans="1:20">
      <c r="A25" s="417"/>
      <c r="B25" s="60" t="s">
        <v>36</v>
      </c>
      <c r="C25" s="76">
        <v>1</v>
      </c>
      <c r="D25" s="77"/>
      <c r="E25" s="43"/>
      <c r="F25" s="26">
        <v>1</v>
      </c>
      <c r="G25" s="27"/>
      <c r="H25" s="28"/>
      <c r="I25" s="30"/>
      <c r="J25" s="31"/>
      <c r="K25" s="28">
        <v>1</v>
      </c>
      <c r="L25" s="26"/>
      <c r="M25" s="27"/>
      <c r="N25" s="144">
        <v>1</v>
      </c>
      <c r="O25" s="91"/>
      <c r="P25" s="136"/>
      <c r="Q25" s="48">
        <v>1</v>
      </c>
      <c r="R25" s="29"/>
      <c r="S25" s="25"/>
      <c r="T25" s="12">
        <v>1</v>
      </c>
    </row>
    <row r="26" spans="1:20" ht="22.5">
      <c r="A26" s="417"/>
      <c r="B26" s="60" t="s">
        <v>37</v>
      </c>
      <c r="C26" s="76">
        <v>1</v>
      </c>
      <c r="D26" s="77"/>
      <c r="E26" s="43"/>
      <c r="F26" s="26">
        <v>1</v>
      </c>
      <c r="G26" s="27"/>
      <c r="H26" s="28"/>
      <c r="I26" s="30"/>
      <c r="J26" s="31"/>
      <c r="K26" s="28">
        <v>1</v>
      </c>
      <c r="L26" s="26"/>
      <c r="M26" s="27">
        <v>1</v>
      </c>
      <c r="N26" s="144"/>
      <c r="O26" s="91">
        <v>1</v>
      </c>
      <c r="P26" s="136"/>
      <c r="Q26" s="48"/>
      <c r="R26" s="29"/>
      <c r="S26" s="25"/>
      <c r="T26" s="12">
        <v>1</v>
      </c>
    </row>
    <row r="27" spans="1:20">
      <c r="A27" s="417"/>
      <c r="B27" s="60" t="s">
        <v>38</v>
      </c>
      <c r="C27" s="76">
        <v>1</v>
      </c>
      <c r="D27" s="77"/>
      <c r="E27" s="43"/>
      <c r="F27" s="26">
        <v>1</v>
      </c>
      <c r="G27" s="27"/>
      <c r="H27" s="28"/>
      <c r="I27" s="30">
        <v>1</v>
      </c>
      <c r="J27" s="31"/>
      <c r="K27" s="28"/>
      <c r="L27" s="26"/>
      <c r="M27" s="27"/>
      <c r="N27" s="144">
        <v>1</v>
      </c>
      <c r="O27" s="91">
        <v>1</v>
      </c>
      <c r="P27" s="136"/>
      <c r="Q27" s="48"/>
      <c r="R27" s="29"/>
      <c r="S27" s="25"/>
      <c r="T27" s="12">
        <v>1</v>
      </c>
    </row>
    <row r="28" spans="1:20">
      <c r="A28" s="417"/>
      <c r="B28" s="60" t="s">
        <v>39</v>
      </c>
      <c r="C28" s="76"/>
      <c r="D28" s="77"/>
      <c r="E28" s="43">
        <v>1</v>
      </c>
      <c r="F28" s="26">
        <v>1</v>
      </c>
      <c r="G28" s="27"/>
      <c r="H28" s="28"/>
      <c r="I28" s="130"/>
      <c r="J28" s="131"/>
      <c r="K28" s="129"/>
      <c r="L28" s="127"/>
      <c r="M28" s="128"/>
      <c r="N28" s="147"/>
      <c r="O28" s="133"/>
      <c r="P28" s="134"/>
      <c r="Q28" s="172"/>
      <c r="R28" s="133"/>
      <c r="S28" s="134"/>
      <c r="T28" s="172"/>
    </row>
    <row r="29" spans="1:20">
      <c r="A29" s="417"/>
      <c r="B29" s="60" t="s">
        <v>40</v>
      </c>
      <c r="C29" s="76"/>
      <c r="D29" s="77"/>
      <c r="E29" s="43">
        <v>1</v>
      </c>
      <c r="F29" s="127"/>
      <c r="G29" s="128"/>
      <c r="H29" s="129"/>
      <c r="I29" s="130"/>
      <c r="J29" s="131"/>
      <c r="K29" s="129"/>
      <c r="L29" s="127"/>
      <c r="M29" s="128"/>
      <c r="N29" s="147"/>
      <c r="O29" s="158"/>
      <c r="P29" s="139"/>
      <c r="Q29" s="132"/>
      <c r="R29" s="133"/>
      <c r="S29" s="134"/>
      <c r="T29" s="172"/>
    </row>
    <row r="30" spans="1:20" ht="33">
      <c r="A30" s="417"/>
      <c r="B30" s="60" t="s">
        <v>41</v>
      </c>
      <c r="C30" s="76">
        <v>1</v>
      </c>
      <c r="D30" s="77"/>
      <c r="E30" s="43"/>
      <c r="F30" s="26">
        <v>1</v>
      </c>
      <c r="G30" s="27"/>
      <c r="H30" s="28"/>
      <c r="I30" s="30">
        <v>1</v>
      </c>
      <c r="J30" s="31"/>
      <c r="K30" s="28"/>
      <c r="L30" s="26">
        <v>1</v>
      </c>
      <c r="M30" s="27"/>
      <c r="N30" s="144"/>
      <c r="O30" s="91">
        <v>1</v>
      </c>
      <c r="P30" s="136"/>
      <c r="Q30" s="48"/>
      <c r="R30" s="29"/>
      <c r="S30" s="25"/>
      <c r="T30" s="12">
        <v>1</v>
      </c>
    </row>
    <row r="31" spans="1:20">
      <c r="A31" s="417"/>
      <c r="B31" s="60" t="s">
        <v>42</v>
      </c>
      <c r="C31" s="76">
        <v>1</v>
      </c>
      <c r="D31" s="77"/>
      <c r="E31" s="43"/>
      <c r="F31" s="26">
        <v>1</v>
      </c>
      <c r="G31" s="27"/>
      <c r="H31" s="28"/>
      <c r="I31" s="30"/>
      <c r="J31" s="31"/>
      <c r="K31" s="28">
        <v>1</v>
      </c>
      <c r="L31" s="26">
        <v>1</v>
      </c>
      <c r="M31" s="27"/>
      <c r="N31" s="144"/>
      <c r="O31" s="324">
        <v>1</v>
      </c>
      <c r="P31" s="275"/>
      <c r="Q31" s="230"/>
      <c r="R31" s="133"/>
      <c r="S31" s="134"/>
      <c r="T31" s="172"/>
    </row>
    <row r="32" spans="1:20" ht="33">
      <c r="A32" s="417"/>
      <c r="B32" s="60" t="s">
        <v>43</v>
      </c>
      <c r="C32" s="76">
        <v>1</v>
      </c>
      <c r="D32" s="77"/>
      <c r="E32" s="48"/>
      <c r="F32" s="26">
        <v>1</v>
      </c>
      <c r="G32" s="27"/>
      <c r="H32" s="28"/>
      <c r="I32" s="30"/>
      <c r="J32" s="31">
        <v>1</v>
      </c>
      <c r="K32" s="28"/>
      <c r="L32" s="26">
        <v>1</v>
      </c>
      <c r="M32" s="27"/>
      <c r="N32" s="144"/>
      <c r="O32" s="91"/>
      <c r="P32" s="136">
        <v>1</v>
      </c>
      <c r="Q32" s="48"/>
      <c r="R32" s="29"/>
      <c r="S32" s="25"/>
      <c r="T32" s="12">
        <v>1</v>
      </c>
    </row>
    <row r="33" spans="1:20">
      <c r="A33" s="417"/>
      <c r="B33" s="60" t="s">
        <v>44</v>
      </c>
      <c r="C33" s="76"/>
      <c r="D33" s="77"/>
      <c r="E33" s="48">
        <v>1</v>
      </c>
      <c r="F33" s="127"/>
      <c r="G33" s="128"/>
      <c r="H33" s="129"/>
      <c r="I33" s="30"/>
      <c r="J33" s="31"/>
      <c r="K33" s="28">
        <v>1</v>
      </c>
      <c r="L33" s="26">
        <v>1</v>
      </c>
      <c r="M33" s="27"/>
      <c r="N33" s="144"/>
      <c r="O33" s="91"/>
      <c r="P33" s="136"/>
      <c r="Q33" s="48">
        <v>1</v>
      </c>
      <c r="R33" s="29"/>
      <c r="S33" s="25"/>
      <c r="T33" s="12">
        <v>1</v>
      </c>
    </row>
    <row r="34" spans="1:20">
      <c r="A34" s="417"/>
      <c r="B34" s="60" t="s">
        <v>45</v>
      </c>
      <c r="C34" s="76">
        <v>1</v>
      </c>
      <c r="D34" s="77"/>
      <c r="E34" s="48"/>
      <c r="F34" s="26">
        <v>1</v>
      </c>
      <c r="G34" s="27"/>
      <c r="H34" s="28"/>
      <c r="I34" s="30"/>
      <c r="J34" s="31"/>
      <c r="K34" s="28">
        <v>1</v>
      </c>
      <c r="L34" s="26"/>
      <c r="M34" s="27"/>
      <c r="N34" s="144">
        <v>1</v>
      </c>
      <c r="O34" s="91"/>
      <c r="P34" s="136"/>
      <c r="Q34" s="48">
        <v>1</v>
      </c>
      <c r="R34" s="29">
        <v>1</v>
      </c>
      <c r="S34" s="25"/>
      <c r="T34" s="12"/>
    </row>
    <row r="35" spans="1:20">
      <c r="A35" s="417"/>
      <c r="B35" s="60" t="s">
        <v>46</v>
      </c>
      <c r="C35" s="76">
        <v>1</v>
      </c>
      <c r="D35" s="77"/>
      <c r="E35" s="48"/>
      <c r="F35" s="127"/>
      <c r="G35" s="128"/>
      <c r="H35" s="129"/>
      <c r="I35" s="130"/>
      <c r="J35" s="131"/>
      <c r="K35" s="129"/>
      <c r="L35" s="127"/>
      <c r="M35" s="128"/>
      <c r="N35" s="147"/>
      <c r="O35" s="158"/>
      <c r="P35" s="139"/>
      <c r="Q35" s="132">
        <v>1</v>
      </c>
      <c r="R35" s="133"/>
      <c r="S35" s="134"/>
      <c r="T35" s="129"/>
    </row>
    <row r="36" spans="1:20">
      <c r="A36" s="417"/>
      <c r="B36" s="60" t="s">
        <v>47</v>
      </c>
      <c r="C36" s="76"/>
      <c r="D36" s="77"/>
      <c r="E36" s="48">
        <v>1</v>
      </c>
      <c r="F36" s="127"/>
      <c r="G36" s="128"/>
      <c r="H36" s="129"/>
      <c r="I36" s="30">
        <v>1</v>
      </c>
      <c r="J36" s="31"/>
      <c r="K36" s="28"/>
      <c r="L36" s="26"/>
      <c r="M36" s="27"/>
      <c r="N36" s="144">
        <v>1</v>
      </c>
      <c r="O36" s="91"/>
      <c r="P36" s="136"/>
      <c r="Q36" s="48">
        <v>1</v>
      </c>
      <c r="R36" s="29"/>
      <c r="S36" s="25"/>
      <c r="T36" s="12">
        <v>1</v>
      </c>
    </row>
    <row r="37" spans="1:20">
      <c r="A37" s="417"/>
      <c r="B37" s="60" t="s">
        <v>48</v>
      </c>
      <c r="C37" s="76">
        <v>1</v>
      </c>
      <c r="D37" s="77"/>
      <c r="E37" s="48"/>
      <c r="F37" s="127"/>
      <c r="G37" s="128"/>
      <c r="H37" s="129"/>
      <c r="I37" s="30"/>
      <c r="J37" s="31"/>
      <c r="K37" s="28">
        <v>1</v>
      </c>
      <c r="L37" s="26"/>
      <c r="M37" s="27"/>
      <c r="N37" s="144">
        <v>1</v>
      </c>
      <c r="O37" s="91"/>
      <c r="P37" s="136"/>
      <c r="Q37" s="48">
        <v>1</v>
      </c>
      <c r="R37" s="29"/>
      <c r="S37" s="25"/>
      <c r="T37" s="12">
        <v>1</v>
      </c>
    </row>
    <row r="38" spans="1:20">
      <c r="A38" s="417"/>
      <c r="B38" s="60" t="s">
        <v>49</v>
      </c>
      <c r="C38" s="76"/>
      <c r="D38" s="77"/>
      <c r="E38" s="48">
        <v>1</v>
      </c>
      <c r="F38" s="127"/>
      <c r="G38" s="128"/>
      <c r="H38" s="129"/>
      <c r="I38" s="30"/>
      <c r="J38" s="31"/>
      <c r="K38" s="28">
        <v>1</v>
      </c>
      <c r="L38" s="26"/>
      <c r="M38" s="27"/>
      <c r="N38" s="144">
        <v>1</v>
      </c>
      <c r="O38" s="91"/>
      <c r="P38" s="136"/>
      <c r="Q38" s="48">
        <v>1</v>
      </c>
      <c r="R38" s="29"/>
      <c r="S38" s="25"/>
      <c r="T38" s="12">
        <v>1</v>
      </c>
    </row>
    <row r="39" spans="1:20">
      <c r="A39" s="417"/>
      <c r="B39" s="60" t="s">
        <v>50</v>
      </c>
      <c r="C39" s="76"/>
      <c r="D39" s="77">
        <v>1</v>
      </c>
      <c r="E39" s="48"/>
      <c r="F39" s="26"/>
      <c r="G39" s="27">
        <v>1</v>
      </c>
      <c r="H39" s="28"/>
      <c r="I39" s="30"/>
      <c r="J39" s="31">
        <v>1</v>
      </c>
      <c r="K39" s="28"/>
      <c r="L39" s="26"/>
      <c r="M39" s="27">
        <v>1</v>
      </c>
      <c r="N39" s="146"/>
      <c r="O39" s="157"/>
      <c r="P39" s="138">
        <v>1</v>
      </c>
      <c r="Q39" s="28"/>
      <c r="R39" s="29"/>
      <c r="S39" s="25">
        <v>1</v>
      </c>
      <c r="T39" s="28"/>
    </row>
    <row r="40" spans="1:20" ht="22.5">
      <c r="A40" s="417"/>
      <c r="B40" s="60" t="s">
        <v>51</v>
      </c>
      <c r="C40" s="76"/>
      <c r="D40" s="77"/>
      <c r="E40" s="48">
        <v>1</v>
      </c>
      <c r="F40" s="26">
        <v>1</v>
      </c>
      <c r="G40" s="27"/>
      <c r="H40" s="28"/>
      <c r="I40" s="30"/>
      <c r="J40" s="31"/>
      <c r="K40" s="28">
        <v>1</v>
      </c>
      <c r="L40" s="26"/>
      <c r="M40" s="27"/>
      <c r="N40" s="146">
        <v>1</v>
      </c>
      <c r="O40" s="157"/>
      <c r="P40" s="138"/>
      <c r="Q40" s="28">
        <v>1</v>
      </c>
      <c r="R40" s="29"/>
      <c r="S40" s="25"/>
      <c r="T40" s="135">
        <v>1</v>
      </c>
    </row>
    <row r="41" spans="1:20" ht="22.5">
      <c r="A41" s="417"/>
      <c r="B41" s="60" t="s">
        <v>52</v>
      </c>
      <c r="C41" s="76">
        <v>1</v>
      </c>
      <c r="D41" s="77"/>
      <c r="E41" s="48"/>
      <c r="F41" s="26">
        <v>1</v>
      </c>
      <c r="G41" s="27"/>
      <c r="H41" s="28"/>
      <c r="I41" s="30">
        <v>1</v>
      </c>
      <c r="J41" s="31"/>
      <c r="K41" s="28"/>
      <c r="L41" s="26">
        <v>1</v>
      </c>
      <c r="M41" s="27"/>
      <c r="N41" s="146"/>
      <c r="O41" s="157"/>
      <c r="P41" s="138">
        <v>1</v>
      </c>
      <c r="Q41" s="28"/>
      <c r="R41" s="29"/>
      <c r="S41" s="25">
        <v>1</v>
      </c>
      <c r="T41" s="71"/>
    </row>
    <row r="42" spans="1:20">
      <c r="A42" s="417"/>
      <c r="B42" s="60" t="s">
        <v>53</v>
      </c>
      <c r="C42" s="76">
        <v>1</v>
      </c>
      <c r="D42" s="77"/>
      <c r="E42" s="48"/>
      <c r="F42" s="26">
        <v>1</v>
      </c>
      <c r="G42" s="27"/>
      <c r="H42" s="28"/>
      <c r="I42" s="30"/>
      <c r="J42" s="31"/>
      <c r="K42" s="28">
        <v>1</v>
      </c>
      <c r="L42" s="26">
        <v>1</v>
      </c>
      <c r="M42" s="27"/>
      <c r="N42" s="146"/>
      <c r="O42" s="157">
        <v>1</v>
      </c>
      <c r="P42" s="138"/>
      <c r="Q42" s="28"/>
      <c r="R42" s="29"/>
      <c r="S42" s="25"/>
      <c r="T42" s="71">
        <v>1</v>
      </c>
    </row>
    <row r="43" spans="1:20" ht="22.5">
      <c r="A43" s="417"/>
      <c r="B43" s="60" t="s">
        <v>54</v>
      </c>
      <c r="C43" s="76">
        <v>1</v>
      </c>
      <c r="D43" s="77"/>
      <c r="E43" s="48"/>
      <c r="F43" s="26"/>
      <c r="G43" s="27">
        <v>1</v>
      </c>
      <c r="H43" s="48"/>
      <c r="I43" s="30"/>
      <c r="J43" s="31">
        <v>1</v>
      </c>
      <c r="K43" s="48"/>
      <c r="L43" s="26"/>
      <c r="M43" s="27">
        <v>1</v>
      </c>
      <c r="N43" s="144"/>
      <c r="O43" s="91"/>
      <c r="P43" s="136">
        <v>1</v>
      </c>
      <c r="Q43" s="48"/>
      <c r="R43" s="29"/>
      <c r="S43" s="25"/>
      <c r="T43" s="71">
        <v>1</v>
      </c>
    </row>
    <row r="44" spans="1:20">
      <c r="A44" s="417"/>
      <c r="B44" s="60" t="s">
        <v>55</v>
      </c>
      <c r="C44" s="83">
        <v>1</v>
      </c>
      <c r="D44" s="84"/>
      <c r="E44" s="85"/>
      <c r="F44" s="26">
        <v>1</v>
      </c>
      <c r="G44" s="27"/>
      <c r="H44" s="28"/>
      <c r="I44" s="30">
        <v>1</v>
      </c>
      <c r="J44" s="31"/>
      <c r="K44" s="28"/>
      <c r="L44" s="26">
        <v>1</v>
      </c>
      <c r="M44" s="27"/>
      <c r="N44" s="146"/>
      <c r="O44" s="157">
        <v>1</v>
      </c>
      <c r="P44" s="138"/>
      <c r="Q44" s="28"/>
      <c r="R44" s="29"/>
      <c r="S44" s="25"/>
      <c r="T44" s="28">
        <v>1</v>
      </c>
    </row>
    <row r="45" spans="1:20" ht="22.5">
      <c r="A45" s="417"/>
      <c r="B45" s="60" t="s">
        <v>56</v>
      </c>
      <c r="C45" s="163"/>
      <c r="D45" s="164"/>
      <c r="E45" s="165"/>
      <c r="F45" s="166"/>
      <c r="G45" s="167"/>
      <c r="H45" s="168"/>
      <c r="I45" s="130"/>
      <c r="J45" s="131"/>
      <c r="K45" s="168"/>
      <c r="L45" s="166"/>
      <c r="M45" s="167"/>
      <c r="N45" s="169"/>
      <c r="O45" s="170"/>
      <c r="P45" s="171"/>
      <c r="Q45" s="129"/>
      <c r="R45" s="35">
        <v>1</v>
      </c>
      <c r="S45" s="36"/>
      <c r="T45" s="32"/>
    </row>
    <row r="46" spans="1:20">
      <c r="A46" s="417"/>
      <c r="B46" s="60" t="s">
        <v>57</v>
      </c>
      <c r="C46" s="163"/>
      <c r="D46" s="164"/>
      <c r="E46" s="165"/>
      <c r="F46" s="166"/>
      <c r="G46" s="167"/>
      <c r="H46" s="168"/>
      <c r="I46" s="130"/>
      <c r="J46" s="131"/>
      <c r="K46" s="168"/>
      <c r="L46" s="166"/>
      <c r="M46" s="167"/>
      <c r="N46" s="169"/>
      <c r="O46" s="170"/>
      <c r="P46" s="171"/>
      <c r="Q46" s="129"/>
      <c r="R46" s="35">
        <v>1</v>
      </c>
      <c r="S46" s="36"/>
      <c r="T46" s="32"/>
    </row>
    <row r="47" spans="1:20">
      <c r="A47" s="417"/>
      <c r="B47" s="60" t="s">
        <v>58</v>
      </c>
      <c r="C47" s="83">
        <v>1</v>
      </c>
      <c r="D47" s="84"/>
      <c r="E47" s="85"/>
      <c r="F47" s="33">
        <v>1</v>
      </c>
      <c r="G47" s="34"/>
      <c r="H47" s="32"/>
      <c r="I47" s="30">
        <v>1</v>
      </c>
      <c r="J47" s="31"/>
      <c r="K47" s="32"/>
      <c r="L47" s="33">
        <v>1</v>
      </c>
      <c r="M47" s="34"/>
      <c r="N47" s="148"/>
      <c r="O47" s="157">
        <v>1</v>
      </c>
      <c r="P47" s="140"/>
      <c r="Q47" s="28"/>
      <c r="R47" s="35">
        <v>1</v>
      </c>
      <c r="S47" s="36"/>
      <c r="T47" s="32"/>
    </row>
    <row r="48" spans="1:20">
      <c r="A48" s="417"/>
      <c r="B48" s="61" t="s">
        <v>59</v>
      </c>
      <c r="C48" s="86">
        <v>1</v>
      </c>
      <c r="D48" s="87"/>
      <c r="E48" s="44"/>
      <c r="F48" s="33">
        <v>1</v>
      </c>
      <c r="G48" s="34"/>
      <c r="H48" s="32"/>
      <c r="I48" s="30">
        <v>1</v>
      </c>
      <c r="J48" s="31"/>
      <c r="K48" s="32"/>
      <c r="L48" s="33">
        <v>1</v>
      </c>
      <c r="M48" s="34"/>
      <c r="N48" s="148"/>
      <c r="O48" s="173">
        <v>1</v>
      </c>
      <c r="P48" s="140"/>
      <c r="Q48" s="32"/>
      <c r="R48" s="35">
        <v>1</v>
      </c>
      <c r="S48" s="36"/>
      <c r="T48" s="32"/>
    </row>
    <row r="49" spans="1:20" ht="22.5">
      <c r="A49" s="416" t="s">
        <v>60</v>
      </c>
      <c r="B49" s="59" t="s">
        <v>61</v>
      </c>
      <c r="C49" s="88">
        <v>1</v>
      </c>
      <c r="D49" s="89"/>
      <c r="E49" s="7"/>
      <c r="F49" s="175"/>
      <c r="G49" s="176"/>
      <c r="H49" s="177"/>
      <c r="I49" s="178"/>
      <c r="J49" s="179"/>
      <c r="K49" s="177"/>
      <c r="L49" s="175"/>
      <c r="M49" s="176"/>
      <c r="N49" s="180"/>
      <c r="O49" s="181"/>
      <c r="P49" s="182"/>
      <c r="Q49" s="183"/>
      <c r="R49" s="184"/>
      <c r="S49" s="185"/>
      <c r="T49" s="186"/>
    </row>
    <row r="50" spans="1:20" ht="22.5">
      <c r="A50" s="417"/>
      <c r="B50" s="75" t="s">
        <v>62</v>
      </c>
      <c r="C50" s="76">
        <v>1</v>
      </c>
      <c r="D50" s="77"/>
      <c r="E50" s="43"/>
      <c r="F50" s="187"/>
      <c r="G50" s="188"/>
      <c r="H50" s="132"/>
      <c r="I50" s="189"/>
      <c r="J50" s="190"/>
      <c r="K50" s="132"/>
      <c r="L50" s="187"/>
      <c r="M50" s="188"/>
      <c r="N50" s="147"/>
      <c r="O50" s="158"/>
      <c r="P50" s="139"/>
      <c r="Q50" s="132"/>
      <c r="R50" s="191"/>
      <c r="S50" s="192"/>
      <c r="T50" s="172"/>
    </row>
    <row r="51" spans="1:20">
      <c r="A51" s="417"/>
      <c r="B51" s="60" t="s">
        <v>63</v>
      </c>
      <c r="C51" s="193"/>
      <c r="D51" s="194"/>
      <c r="E51" s="195"/>
      <c r="F51" s="196"/>
      <c r="G51" s="197"/>
      <c r="H51" s="198"/>
      <c r="I51" s="199"/>
      <c r="J51" s="200"/>
      <c r="K51" s="198"/>
      <c r="L51" s="14">
        <v>1</v>
      </c>
      <c r="M51" s="13"/>
      <c r="N51" s="145"/>
      <c r="O51" s="196"/>
      <c r="P51" s="201"/>
      <c r="Q51" s="198"/>
      <c r="R51" s="202"/>
      <c r="S51" s="188"/>
      <c r="T51" s="203"/>
    </row>
    <row r="52" spans="1:20">
      <c r="A52" s="417"/>
      <c r="B52" s="60" t="s">
        <v>64</v>
      </c>
      <c r="C52" s="193"/>
      <c r="D52" s="194"/>
      <c r="E52" s="195"/>
      <c r="F52" s="196"/>
      <c r="G52" s="197"/>
      <c r="H52" s="198"/>
      <c r="I52" s="199"/>
      <c r="J52" s="200"/>
      <c r="K52" s="198"/>
      <c r="L52" s="14">
        <v>1</v>
      </c>
      <c r="M52" s="13"/>
      <c r="N52" s="145"/>
      <c r="O52" s="196"/>
      <c r="P52" s="201"/>
      <c r="Q52" s="198"/>
      <c r="R52" s="202"/>
      <c r="S52" s="188"/>
      <c r="T52" s="203"/>
    </row>
    <row r="53" spans="1:20" ht="22.5">
      <c r="A53" s="417"/>
      <c r="B53" s="60" t="s">
        <v>65</v>
      </c>
      <c r="C53" s="80">
        <v>1</v>
      </c>
      <c r="D53" s="81"/>
      <c r="E53" s="90"/>
      <c r="F53" s="196"/>
      <c r="G53" s="197"/>
      <c r="H53" s="198"/>
      <c r="I53" s="199"/>
      <c r="J53" s="200"/>
      <c r="K53" s="198"/>
      <c r="L53" s="26"/>
      <c r="M53" s="27"/>
      <c r="N53" s="146">
        <v>1</v>
      </c>
      <c r="O53" s="157"/>
      <c r="P53" s="138"/>
      <c r="Q53" s="28">
        <v>1</v>
      </c>
      <c r="R53" s="29"/>
      <c r="S53" s="25"/>
      <c r="T53" s="28">
        <v>1</v>
      </c>
    </row>
    <row r="54" spans="1:20" ht="22.5">
      <c r="A54" s="417"/>
      <c r="B54" s="60" t="s">
        <v>66</v>
      </c>
      <c r="C54" s="76">
        <v>1</v>
      </c>
      <c r="D54" s="77"/>
      <c r="E54" s="48"/>
      <c r="F54" s="127"/>
      <c r="G54" s="128"/>
      <c r="H54" s="129"/>
      <c r="I54" s="130"/>
      <c r="J54" s="131"/>
      <c r="K54" s="129"/>
      <c r="L54" s="127"/>
      <c r="M54" s="128"/>
      <c r="N54" s="204"/>
      <c r="O54" s="170"/>
      <c r="P54" s="205"/>
      <c r="Q54" s="129"/>
      <c r="R54" s="133"/>
      <c r="S54" s="134"/>
      <c r="T54" s="129"/>
    </row>
    <row r="55" spans="1:20">
      <c r="A55" s="417"/>
      <c r="B55" s="60" t="s">
        <v>67</v>
      </c>
      <c r="C55" s="76">
        <v>1</v>
      </c>
      <c r="D55" s="77"/>
      <c r="E55" s="43"/>
      <c r="F55" s="187"/>
      <c r="G55" s="188"/>
      <c r="H55" s="132"/>
      <c r="I55" s="189"/>
      <c r="J55" s="190"/>
      <c r="K55" s="132"/>
      <c r="L55" s="187"/>
      <c r="M55" s="188"/>
      <c r="N55" s="147"/>
      <c r="O55" s="158"/>
      <c r="P55" s="139"/>
      <c r="Q55" s="132"/>
      <c r="R55" s="191"/>
      <c r="S55" s="192"/>
      <c r="T55" s="172"/>
    </row>
    <row r="56" spans="1:20">
      <c r="A56" s="417"/>
      <c r="B56" s="60" t="s">
        <v>68</v>
      </c>
      <c r="C56" s="76"/>
      <c r="D56" s="77"/>
      <c r="E56" s="43">
        <v>1</v>
      </c>
      <c r="F56" s="127"/>
      <c r="G56" s="128"/>
      <c r="H56" s="129"/>
      <c r="I56" s="130"/>
      <c r="J56" s="131"/>
      <c r="K56" s="129"/>
      <c r="L56" s="127"/>
      <c r="M56" s="128"/>
      <c r="N56" s="147"/>
      <c r="O56" s="158"/>
      <c r="P56" s="139"/>
      <c r="Q56" s="132"/>
      <c r="R56" s="133"/>
      <c r="S56" s="134"/>
      <c r="T56" s="172"/>
    </row>
    <row r="57" spans="1:20">
      <c r="A57" s="417"/>
      <c r="B57" s="60" t="s">
        <v>69</v>
      </c>
      <c r="C57" s="76">
        <v>1</v>
      </c>
      <c r="D57" s="77"/>
      <c r="E57" s="43"/>
      <c r="F57" s="26">
        <v>1</v>
      </c>
      <c r="G57" s="27"/>
      <c r="H57" s="28"/>
      <c r="I57" s="199"/>
      <c r="J57" s="200"/>
      <c r="K57" s="198"/>
      <c r="L57" s="26"/>
      <c r="M57" s="27"/>
      <c r="N57" s="144">
        <v>1</v>
      </c>
      <c r="O57" s="91"/>
      <c r="P57" s="136"/>
      <c r="Q57" s="48">
        <v>1</v>
      </c>
      <c r="R57" s="29"/>
      <c r="S57" s="25"/>
      <c r="T57" s="71">
        <v>1</v>
      </c>
    </row>
    <row r="58" spans="1:20" ht="22.5">
      <c r="A58" s="417"/>
      <c r="B58" s="60" t="s">
        <v>70</v>
      </c>
      <c r="C58" s="76">
        <v>1</v>
      </c>
      <c r="D58" s="77"/>
      <c r="E58" s="43"/>
      <c r="F58" s="26">
        <v>1</v>
      </c>
      <c r="G58" s="27"/>
      <c r="H58" s="28"/>
      <c r="I58" s="130"/>
      <c r="J58" s="131"/>
      <c r="K58" s="129"/>
      <c r="L58" s="127"/>
      <c r="M58" s="128"/>
      <c r="N58" s="147"/>
      <c r="O58" s="91">
        <v>1</v>
      </c>
      <c r="P58" s="136"/>
      <c r="Q58" s="48"/>
      <c r="R58" s="133"/>
      <c r="S58" s="134"/>
      <c r="T58" s="172"/>
    </row>
    <row r="59" spans="1:20">
      <c r="A59" s="417"/>
      <c r="B59" s="60" t="s">
        <v>71</v>
      </c>
      <c r="C59" s="91">
        <v>1</v>
      </c>
      <c r="D59" s="77"/>
      <c r="E59" s="43"/>
      <c r="F59" s="26">
        <v>1</v>
      </c>
      <c r="G59" s="27"/>
      <c r="H59" s="28"/>
      <c r="I59" s="199"/>
      <c r="J59" s="200"/>
      <c r="K59" s="198"/>
      <c r="L59" s="26">
        <v>1</v>
      </c>
      <c r="M59" s="27"/>
      <c r="N59" s="144"/>
      <c r="O59" s="91">
        <v>1</v>
      </c>
      <c r="P59" s="136"/>
      <c r="Q59" s="48"/>
      <c r="R59" s="29"/>
      <c r="S59" s="25"/>
      <c r="T59" s="71">
        <v>1</v>
      </c>
    </row>
    <row r="60" spans="1:20">
      <c r="A60" s="417"/>
      <c r="B60" s="60" t="s">
        <v>72</v>
      </c>
      <c r="C60" s="158"/>
      <c r="D60" s="149"/>
      <c r="E60" s="132"/>
      <c r="F60" s="206"/>
      <c r="G60" s="207"/>
      <c r="H60" s="132"/>
      <c r="I60" s="206"/>
      <c r="J60" s="207"/>
      <c r="K60" s="132"/>
      <c r="L60" s="103">
        <v>1</v>
      </c>
      <c r="M60" s="104"/>
      <c r="N60" s="144"/>
      <c r="O60" s="91"/>
      <c r="P60" s="136"/>
      <c r="Q60" s="48">
        <v>1</v>
      </c>
      <c r="R60" s="29"/>
      <c r="S60" s="25"/>
      <c r="T60" s="71">
        <v>1</v>
      </c>
    </row>
    <row r="61" spans="1:20">
      <c r="A61" s="417"/>
      <c r="B61" s="60" t="s">
        <v>73</v>
      </c>
      <c r="C61" s="158"/>
      <c r="D61" s="149"/>
      <c r="E61" s="132"/>
      <c r="F61" s="206"/>
      <c r="G61" s="207"/>
      <c r="H61" s="132"/>
      <c r="I61" s="206"/>
      <c r="J61" s="207"/>
      <c r="K61" s="132"/>
      <c r="L61" s="206"/>
      <c r="M61" s="207"/>
      <c r="N61" s="147"/>
      <c r="O61" s="158"/>
      <c r="P61" s="139"/>
      <c r="Q61" s="132"/>
      <c r="R61" s="133"/>
      <c r="S61" s="134"/>
      <c r="T61" s="172"/>
    </row>
    <row r="62" spans="1:20" ht="15" customHeight="1">
      <c r="A62" s="417"/>
      <c r="B62" s="60" t="s">
        <v>74</v>
      </c>
      <c r="C62" s="91"/>
      <c r="D62" s="77"/>
      <c r="E62" s="48">
        <v>1</v>
      </c>
      <c r="F62" s="196"/>
      <c r="G62" s="197"/>
      <c r="H62" s="198"/>
      <c r="I62" s="206"/>
      <c r="J62" s="207"/>
      <c r="K62" s="132"/>
      <c r="L62" s="206"/>
      <c r="M62" s="207"/>
      <c r="N62" s="147"/>
      <c r="O62" s="158"/>
      <c r="P62" s="139"/>
      <c r="Q62" s="132"/>
      <c r="R62" s="133"/>
      <c r="S62" s="134"/>
      <c r="T62" s="172"/>
    </row>
    <row r="63" spans="1:20" ht="24.75" customHeight="1">
      <c r="A63" s="417"/>
      <c r="B63" s="60" t="s">
        <v>75</v>
      </c>
      <c r="C63" s="91"/>
      <c r="D63" s="77"/>
      <c r="E63" s="48">
        <v>1</v>
      </c>
      <c r="F63" s="196"/>
      <c r="G63" s="197"/>
      <c r="H63" s="198"/>
      <c r="I63" s="199"/>
      <c r="J63" s="200"/>
      <c r="K63" s="198"/>
      <c r="L63" s="103"/>
      <c r="M63" s="104"/>
      <c r="N63" s="144">
        <v>1</v>
      </c>
      <c r="O63" s="91"/>
      <c r="P63" s="136"/>
      <c r="Q63" s="48">
        <v>1</v>
      </c>
      <c r="R63" s="29"/>
      <c r="S63" s="25"/>
      <c r="T63" s="71">
        <v>1</v>
      </c>
    </row>
    <row r="64" spans="1:20" ht="24.75" customHeight="1">
      <c r="A64" s="417"/>
      <c r="B64" s="60" t="s">
        <v>76</v>
      </c>
      <c r="C64" s="91"/>
      <c r="D64" s="77"/>
      <c r="E64" s="48">
        <v>1</v>
      </c>
      <c r="F64" s="196"/>
      <c r="G64" s="197"/>
      <c r="H64" s="198"/>
      <c r="I64" s="199"/>
      <c r="J64" s="200"/>
      <c r="K64" s="198"/>
      <c r="L64" s="103"/>
      <c r="M64" s="150"/>
      <c r="N64" s="151">
        <v>1</v>
      </c>
      <c r="O64" s="161">
        <v>1</v>
      </c>
      <c r="P64" s="152"/>
      <c r="Q64" s="162"/>
      <c r="R64" s="35"/>
      <c r="S64" s="36"/>
      <c r="T64" s="71">
        <v>1</v>
      </c>
    </row>
    <row r="65" spans="1:20" ht="24.75" customHeight="1">
      <c r="A65" s="417"/>
      <c r="B65" s="60" t="s">
        <v>77</v>
      </c>
      <c r="C65" s="158"/>
      <c r="D65" s="149"/>
      <c r="E65" s="132"/>
      <c r="F65" s="206"/>
      <c r="G65" s="207"/>
      <c r="H65" s="132"/>
      <c r="I65" s="206"/>
      <c r="J65" s="207"/>
      <c r="K65" s="132"/>
      <c r="L65" s="206"/>
      <c r="M65" s="208"/>
      <c r="N65" s="209"/>
      <c r="O65" s="161">
        <v>1</v>
      </c>
      <c r="P65" s="152"/>
      <c r="Q65" s="162"/>
      <c r="R65" s="210"/>
      <c r="S65" s="211"/>
      <c r="T65" s="172"/>
    </row>
    <row r="66" spans="1:20" ht="24.75" customHeight="1">
      <c r="A66" s="417"/>
      <c r="B66" s="60" t="s">
        <v>78</v>
      </c>
      <c r="C66" s="158"/>
      <c r="D66" s="149"/>
      <c r="E66" s="132"/>
      <c r="F66" s="206"/>
      <c r="G66" s="207"/>
      <c r="H66" s="132"/>
      <c r="I66" s="206"/>
      <c r="J66" s="207"/>
      <c r="K66" s="132"/>
      <c r="L66" s="206"/>
      <c r="M66" s="208"/>
      <c r="N66" s="209"/>
      <c r="O66" s="161">
        <v>1</v>
      </c>
      <c r="P66" s="152"/>
      <c r="Q66" s="162"/>
      <c r="R66" s="210"/>
      <c r="S66" s="211"/>
      <c r="T66" s="172"/>
    </row>
    <row r="67" spans="1:20" ht="24.75" customHeight="1">
      <c r="A67" s="417"/>
      <c r="B67" s="60" t="s">
        <v>79</v>
      </c>
      <c r="C67" s="158"/>
      <c r="D67" s="149"/>
      <c r="E67" s="132"/>
      <c r="F67" s="206"/>
      <c r="G67" s="207"/>
      <c r="H67" s="132"/>
      <c r="I67" s="206"/>
      <c r="J67" s="207"/>
      <c r="K67" s="132"/>
      <c r="L67" s="206"/>
      <c r="M67" s="208"/>
      <c r="N67" s="209"/>
      <c r="O67" s="161">
        <v>1</v>
      </c>
      <c r="P67" s="152"/>
      <c r="Q67" s="162"/>
      <c r="R67" s="210"/>
      <c r="S67" s="211"/>
      <c r="T67" s="172"/>
    </row>
    <row r="68" spans="1:20">
      <c r="A68" s="418"/>
      <c r="B68" s="174" t="s">
        <v>80</v>
      </c>
      <c r="C68" s="159"/>
      <c r="D68" s="123">
        <v>1</v>
      </c>
      <c r="E68" s="160"/>
      <c r="F68" s="212"/>
      <c r="G68" s="213"/>
      <c r="H68" s="214"/>
      <c r="I68" s="212"/>
      <c r="J68" s="213"/>
      <c r="K68" s="214"/>
      <c r="L68" s="212"/>
      <c r="M68" s="213"/>
      <c r="N68" s="215"/>
      <c r="O68" s="216"/>
      <c r="P68" s="217"/>
      <c r="Q68" s="214"/>
      <c r="R68" s="212"/>
      <c r="S68" s="213"/>
      <c r="T68" s="214"/>
    </row>
    <row r="69" spans="1:20">
      <c r="A69" s="419" t="s">
        <v>81</v>
      </c>
      <c r="B69" s="52" t="s">
        <v>81</v>
      </c>
      <c r="C69" s="49">
        <f>SUM(C8:C68)</f>
        <v>36</v>
      </c>
      <c r="D69" s="49">
        <f>SUM(D8:D68)</f>
        <v>3</v>
      </c>
      <c r="E69" s="45">
        <f>SUM(E8:E68)</f>
        <v>13</v>
      </c>
      <c r="F69" s="45">
        <f t="shared" ref="F69:T69" si="0">SUM(F8:F68)</f>
        <v>29</v>
      </c>
      <c r="G69" s="45">
        <f t="shared" si="0"/>
        <v>2</v>
      </c>
      <c r="H69" s="45">
        <f t="shared" si="0"/>
        <v>5</v>
      </c>
      <c r="I69" s="45">
        <f t="shared" si="0"/>
        <v>17</v>
      </c>
      <c r="J69" s="45">
        <f t="shared" si="0"/>
        <v>3</v>
      </c>
      <c r="K69" s="45">
        <f t="shared" si="0"/>
        <v>16</v>
      </c>
      <c r="L69" s="45">
        <f t="shared" si="0"/>
        <v>24</v>
      </c>
      <c r="M69" s="45">
        <f t="shared" si="0"/>
        <v>3</v>
      </c>
      <c r="N69" s="45">
        <f t="shared" si="0"/>
        <v>17</v>
      </c>
      <c r="O69" s="45">
        <f t="shared" si="0"/>
        <v>26</v>
      </c>
      <c r="P69" s="45">
        <f t="shared" si="0"/>
        <v>5</v>
      </c>
      <c r="Q69" s="45">
        <f t="shared" si="0"/>
        <v>16</v>
      </c>
      <c r="R69" s="45">
        <f t="shared" si="0"/>
        <v>9</v>
      </c>
      <c r="S69" s="45">
        <f t="shared" si="0"/>
        <v>2</v>
      </c>
      <c r="T69" s="45">
        <f t="shared" si="0"/>
        <v>32</v>
      </c>
    </row>
    <row r="70" spans="1:20">
      <c r="A70" s="420"/>
      <c r="B70" s="53" t="s">
        <v>82</v>
      </c>
      <c r="C70" s="424"/>
      <c r="D70" s="425"/>
      <c r="E70" s="426"/>
      <c r="F70" s="424"/>
      <c r="G70" s="425"/>
      <c r="H70" s="426"/>
      <c r="I70" s="424"/>
      <c r="J70" s="425"/>
      <c r="K70" s="426"/>
      <c r="L70" s="424"/>
      <c r="M70" s="425"/>
      <c r="N70" s="426"/>
      <c r="O70" s="424"/>
      <c r="P70" s="425"/>
      <c r="Q70" s="426"/>
      <c r="R70" s="424"/>
      <c r="S70" s="425"/>
      <c r="T70" s="426"/>
    </row>
    <row r="71" spans="1:20" ht="50.45" customHeight="1">
      <c r="A71" s="412" t="s">
        <v>83</v>
      </c>
      <c r="B71" s="338"/>
      <c r="C71" s="338"/>
      <c r="D71" s="338"/>
      <c r="E71" s="338"/>
      <c r="F71" s="338"/>
      <c r="G71" s="338"/>
      <c r="H71" s="338"/>
      <c r="I71" s="338"/>
      <c r="J71" s="338"/>
      <c r="K71" s="338"/>
      <c r="L71" s="338"/>
      <c r="M71" s="338"/>
      <c r="N71" s="338"/>
      <c r="O71" s="413"/>
      <c r="P71" s="413"/>
      <c r="Q71" s="413"/>
      <c r="R71" s="338"/>
      <c r="S71" s="338"/>
      <c r="T71" s="339"/>
    </row>
    <row r="72" spans="1:20">
      <c r="A72" s="37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</row>
    <row r="73" spans="1:20" ht="15.75">
      <c r="A73" s="55" t="s">
        <v>84</v>
      </c>
      <c r="B73" s="67" t="s">
        <v>121</v>
      </c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114"/>
    </row>
    <row r="74" spans="1:20">
      <c r="A74" s="430"/>
      <c r="B74" s="431"/>
      <c r="C74" s="431"/>
      <c r="D74" s="431"/>
      <c r="E74" s="431"/>
      <c r="F74" s="431"/>
      <c r="G74" s="431"/>
      <c r="H74" s="431"/>
      <c r="I74" s="431"/>
      <c r="J74" s="431"/>
      <c r="K74" s="431"/>
      <c r="L74" s="431"/>
      <c r="M74" s="431"/>
      <c r="N74" s="431"/>
      <c r="O74" s="431"/>
      <c r="P74" s="431"/>
      <c r="Q74" s="431"/>
      <c r="R74" s="431"/>
      <c r="S74" s="431"/>
      <c r="T74" s="121"/>
    </row>
    <row r="75" spans="1:20">
      <c r="A75" s="5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115"/>
    </row>
    <row r="76" spans="1:20">
      <c r="A76" s="5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115"/>
    </row>
    <row r="77" spans="1:20">
      <c r="A77" s="5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115"/>
    </row>
    <row r="78" spans="1:20">
      <c r="A78" s="5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115"/>
    </row>
    <row r="79" spans="1:20">
      <c r="A79" s="5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115"/>
    </row>
    <row r="80" spans="1:20">
      <c r="A80" s="5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115"/>
    </row>
    <row r="81" spans="1:20">
      <c r="A81" s="5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115"/>
    </row>
    <row r="82" spans="1:20">
      <c r="A82" s="5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115"/>
    </row>
    <row r="83" spans="1:20">
      <c r="A83" s="5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115"/>
    </row>
    <row r="84" spans="1:20">
      <c r="A84" s="5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115"/>
    </row>
    <row r="85" spans="1:20">
      <c r="A85" s="5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115"/>
    </row>
    <row r="86" spans="1:20">
      <c r="A86" s="5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116"/>
      <c r="T86" s="115"/>
    </row>
    <row r="87" spans="1:20">
      <c r="A87" s="5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115"/>
    </row>
    <row r="88" spans="1:20">
      <c r="A88" s="5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115"/>
    </row>
    <row r="89" spans="1:20">
      <c r="A89" s="5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115"/>
    </row>
    <row r="90" spans="1:20">
      <c r="A90" s="5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115"/>
    </row>
    <row r="91" spans="1:20">
      <c r="A91" s="5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115"/>
    </row>
    <row r="92" spans="1:20">
      <c r="A92" s="5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117"/>
      <c r="T92" s="115"/>
    </row>
    <row r="93" spans="1:20">
      <c r="A93" s="5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115"/>
    </row>
    <row r="94" spans="1:20">
      <c r="A94" s="5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115"/>
    </row>
    <row r="95" spans="1:20">
      <c r="A95" s="5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115"/>
    </row>
    <row r="96" spans="1:20">
      <c r="A96" s="5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115"/>
    </row>
    <row r="97" spans="1:20">
      <c r="A97" s="5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115"/>
    </row>
    <row r="98" spans="1:20">
      <c r="A98" s="5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115"/>
    </row>
    <row r="99" spans="1:20">
      <c r="A99" s="5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115"/>
    </row>
    <row r="100" spans="1:20">
      <c r="A100" s="5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115"/>
    </row>
    <row r="101" spans="1:20">
      <c r="A101" s="5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115"/>
    </row>
    <row r="102" spans="1:20">
      <c r="A102" s="5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115"/>
    </row>
    <row r="103" spans="1:20">
      <c r="A103" s="5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115"/>
    </row>
    <row r="104" spans="1:20">
      <c r="A104" s="5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115"/>
    </row>
    <row r="105" spans="1:20">
      <c r="A105" s="5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115"/>
    </row>
    <row r="106" spans="1:20">
      <c r="A106" s="5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115"/>
    </row>
    <row r="107" spans="1:20">
      <c r="A107" s="5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115"/>
    </row>
    <row r="108" spans="1:20">
      <c r="A108" s="56" t="s">
        <v>85</v>
      </c>
      <c r="B108" s="46"/>
      <c r="C108" s="428"/>
      <c r="D108" s="428"/>
      <c r="E108" s="428"/>
      <c r="F108" s="428"/>
      <c r="G108" s="428"/>
      <c r="H108" s="428"/>
      <c r="I108" s="428"/>
      <c r="J108" s="428"/>
      <c r="K108" s="428"/>
      <c r="L108" s="428"/>
      <c r="M108" s="428"/>
      <c r="N108" s="428"/>
      <c r="O108" s="428"/>
      <c r="P108" s="428"/>
      <c r="Q108" s="428"/>
      <c r="R108" s="428"/>
      <c r="S108" s="428"/>
      <c r="T108" s="115"/>
    </row>
    <row r="109" spans="1:20">
      <c r="A109" s="429"/>
      <c r="B109" s="428"/>
      <c r="C109" s="428"/>
      <c r="D109" s="428"/>
      <c r="E109" s="428"/>
      <c r="F109" s="428"/>
      <c r="G109" s="428"/>
      <c r="H109" s="428"/>
      <c r="I109" s="428"/>
      <c r="J109" s="428"/>
      <c r="K109" s="428"/>
      <c r="L109" s="428"/>
      <c r="M109" s="428"/>
      <c r="N109" s="428"/>
      <c r="O109" s="428"/>
      <c r="P109" s="428"/>
      <c r="Q109" s="428"/>
      <c r="R109" s="428"/>
      <c r="S109" s="428"/>
      <c r="T109" s="115"/>
    </row>
    <row r="110" spans="1:20">
      <c r="A110" s="5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115"/>
    </row>
    <row r="111" spans="1:20">
      <c r="A111" s="5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115"/>
    </row>
    <row r="112" spans="1:20">
      <c r="A112" s="5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117"/>
      <c r="T112" s="115"/>
    </row>
    <row r="113" spans="1:20">
      <c r="A113" s="5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115"/>
    </row>
    <row r="114" spans="1:20">
      <c r="A114" s="5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115"/>
    </row>
    <row r="115" spans="1:20">
      <c r="A115" s="5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115"/>
    </row>
    <row r="116" spans="1:20">
      <c r="A116" s="5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115"/>
    </row>
    <row r="117" spans="1:20">
      <c r="A117" s="5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115"/>
    </row>
    <row r="118" spans="1:20">
      <c r="A118" s="5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115"/>
    </row>
    <row r="119" spans="1:20">
      <c r="A119" s="5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117"/>
      <c r="T119" s="115"/>
    </row>
    <row r="120" spans="1:20">
      <c r="A120" s="5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115"/>
    </row>
    <row r="121" spans="1:20">
      <c r="A121" s="5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115"/>
    </row>
    <row r="122" spans="1:20">
      <c r="A122" s="5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116"/>
      <c r="P122" s="116"/>
      <c r="Q122" s="116"/>
      <c r="S122" s="46"/>
      <c r="T122" s="115"/>
    </row>
    <row r="123" spans="1:20">
      <c r="A123" s="56" t="s">
        <v>86</v>
      </c>
      <c r="B123" s="46"/>
      <c r="C123" s="46"/>
      <c r="D123" s="46"/>
      <c r="E123" s="448" t="s">
        <v>122</v>
      </c>
      <c r="F123" s="432"/>
      <c r="G123" s="432"/>
      <c r="H123" s="432"/>
      <c r="I123" s="432"/>
      <c r="J123" s="432"/>
      <c r="K123" s="432"/>
      <c r="L123" s="432"/>
      <c r="M123" s="432"/>
      <c r="N123" s="432"/>
      <c r="O123" s="432"/>
      <c r="P123" s="432"/>
      <c r="Q123" s="432"/>
      <c r="R123" s="432"/>
      <c r="S123" s="432"/>
      <c r="T123" s="115"/>
    </row>
    <row r="124" spans="1:20">
      <c r="A124" s="427"/>
      <c r="B124" s="428"/>
      <c r="C124" s="428"/>
      <c r="D124" s="428"/>
      <c r="E124" s="428"/>
      <c r="F124" s="428"/>
      <c r="G124" s="428"/>
      <c r="H124" s="428"/>
      <c r="I124" s="428"/>
      <c r="J124" s="428"/>
      <c r="K124" s="428"/>
      <c r="L124" s="428"/>
      <c r="M124" s="428"/>
      <c r="N124" s="428"/>
      <c r="O124" s="428"/>
      <c r="P124" s="428"/>
      <c r="Q124" s="428"/>
      <c r="R124" s="428"/>
      <c r="S124" s="428"/>
      <c r="T124" s="115"/>
    </row>
    <row r="125" spans="1:20">
      <c r="A125" s="5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115"/>
    </row>
    <row r="126" spans="1:20">
      <c r="A126" s="5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117"/>
      <c r="T126" s="115"/>
    </row>
    <row r="127" spans="1:20">
      <c r="A127" s="5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115"/>
    </row>
    <row r="128" spans="1:20">
      <c r="A128" s="57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118"/>
      <c r="T128" s="122"/>
    </row>
    <row r="129" spans="1:20">
      <c r="A129" s="68"/>
      <c r="B129" s="67"/>
      <c r="C129" s="67"/>
      <c r="D129" s="67"/>
      <c r="E129" s="67"/>
      <c r="F129" s="67"/>
      <c r="G129" s="67"/>
      <c r="H129" s="67"/>
      <c r="I129" s="414"/>
      <c r="J129" s="414"/>
      <c r="K129" s="414"/>
      <c r="L129" s="414"/>
      <c r="M129" s="414"/>
      <c r="N129" s="414"/>
      <c r="O129" s="414"/>
      <c r="P129" s="414"/>
      <c r="Q129" s="414"/>
      <c r="R129" s="414"/>
      <c r="S129" s="414"/>
      <c r="T129" s="415"/>
    </row>
    <row r="130" spans="1:20" ht="15.75" customHeight="1">
      <c r="A130" s="433" t="s">
        <v>87</v>
      </c>
      <c r="B130" s="434"/>
      <c r="C130" s="434"/>
      <c r="D130" s="434"/>
      <c r="E130" s="434"/>
      <c r="F130" s="434"/>
      <c r="G130" s="434"/>
      <c r="H130" s="434"/>
      <c r="I130" s="434"/>
      <c r="J130" s="434"/>
      <c r="K130" s="434"/>
      <c r="L130" s="434"/>
      <c r="M130" s="434"/>
      <c r="N130" s="434"/>
      <c r="O130" s="434"/>
      <c r="P130" s="434"/>
      <c r="Q130" s="434"/>
      <c r="R130" s="434"/>
      <c r="S130" s="434"/>
      <c r="T130" s="435"/>
    </row>
    <row r="131" spans="1:20" ht="20.25">
      <c r="A131" s="119" t="s">
        <v>88</v>
      </c>
      <c r="B131" s="382">
        <f>SUM(C69+D69+F69+G69+I69+J69+L69+M69+O69+P69+R69+S69)</f>
        <v>159</v>
      </c>
      <c r="C131" s="383"/>
      <c r="D131" s="383"/>
      <c r="E131" s="384"/>
      <c r="F131" s="385">
        <v>1</v>
      </c>
      <c r="G131" s="386"/>
      <c r="H131" s="120" t="s">
        <v>89</v>
      </c>
      <c r="I131" s="1"/>
      <c r="J131" s="218">
        <v>0.89</v>
      </c>
      <c r="K131" s="401" t="s">
        <v>90</v>
      </c>
      <c r="L131" s="402"/>
      <c r="M131" s="402"/>
      <c r="N131" s="402"/>
      <c r="O131" s="402"/>
      <c r="P131" s="402"/>
      <c r="Q131" s="402"/>
      <c r="R131" s="402"/>
      <c r="S131" s="402"/>
      <c r="T131" s="403"/>
    </row>
    <row r="132" spans="1:20">
      <c r="A132" s="387" t="s">
        <v>91</v>
      </c>
      <c r="B132" s="372">
        <f>SUM(C69+F69+I69+L69+O69+R69)</f>
        <v>141</v>
      </c>
      <c r="C132" s="373"/>
      <c r="D132" s="373"/>
      <c r="E132" s="374"/>
      <c r="F132" s="391">
        <f>B132/B131</f>
        <v>0.8867924528301887</v>
      </c>
      <c r="G132" s="392"/>
      <c r="H132" s="38" t="s">
        <v>92</v>
      </c>
      <c r="I132" s="39"/>
      <c r="J132" s="410">
        <f>B131-B136</f>
        <v>60</v>
      </c>
      <c r="K132" s="404"/>
      <c r="L132" s="405"/>
      <c r="M132" s="405"/>
      <c r="N132" s="405"/>
      <c r="O132" s="405"/>
      <c r="P132" s="405"/>
      <c r="Q132" s="405"/>
      <c r="R132" s="405"/>
      <c r="S132" s="405"/>
      <c r="T132" s="406"/>
    </row>
    <row r="133" spans="1:20">
      <c r="A133" s="387"/>
      <c r="B133" s="388"/>
      <c r="C133" s="389"/>
      <c r="D133" s="389"/>
      <c r="E133" s="390"/>
      <c r="F133" s="393"/>
      <c r="G133" s="394"/>
      <c r="H133" s="40" t="s">
        <v>93</v>
      </c>
      <c r="I133" s="39"/>
      <c r="J133" s="410"/>
      <c r="K133" s="404"/>
      <c r="L133" s="405"/>
      <c r="M133" s="405"/>
      <c r="N133" s="405"/>
      <c r="O133" s="405"/>
      <c r="P133" s="405"/>
      <c r="Q133" s="405"/>
      <c r="R133" s="405"/>
      <c r="S133" s="405"/>
      <c r="T133" s="406"/>
    </row>
    <row r="134" spans="1:20">
      <c r="A134" s="387" t="s">
        <v>94</v>
      </c>
      <c r="B134" s="372">
        <f>SUM(D69+G69+J69+M69+P69+S69)</f>
        <v>18</v>
      </c>
      <c r="C134" s="373"/>
      <c r="D134" s="373"/>
      <c r="E134" s="374"/>
      <c r="F134" s="391">
        <f>B134/B131</f>
        <v>0.11320754716981132</v>
      </c>
      <c r="G134" s="392"/>
      <c r="H134" s="41"/>
      <c r="I134" s="1"/>
      <c r="J134" s="1"/>
      <c r="K134" s="404"/>
      <c r="L134" s="405"/>
      <c r="M134" s="405"/>
      <c r="N134" s="405"/>
      <c r="O134" s="405"/>
      <c r="P134" s="405"/>
      <c r="Q134" s="405"/>
      <c r="R134" s="405"/>
      <c r="S134" s="405"/>
      <c r="T134" s="406"/>
    </row>
    <row r="135" spans="1:20">
      <c r="A135" s="387"/>
      <c r="B135" s="388"/>
      <c r="C135" s="389"/>
      <c r="D135" s="389"/>
      <c r="E135" s="390"/>
      <c r="F135" s="393"/>
      <c r="G135" s="394"/>
      <c r="H135" s="41"/>
      <c r="I135" s="1"/>
      <c r="J135" s="1"/>
      <c r="K135" s="404"/>
      <c r="L135" s="405"/>
      <c r="M135" s="405"/>
      <c r="N135" s="405"/>
      <c r="O135" s="405"/>
      <c r="P135" s="405"/>
      <c r="Q135" s="405"/>
      <c r="R135" s="405"/>
      <c r="S135" s="405"/>
      <c r="T135" s="406"/>
    </row>
    <row r="136" spans="1:20">
      <c r="A136" s="370" t="s">
        <v>95</v>
      </c>
      <c r="B136" s="372">
        <f>SUM(E69+H69+K69+N69+Q69+T69)</f>
        <v>99</v>
      </c>
      <c r="C136" s="373"/>
      <c r="D136" s="373"/>
      <c r="E136" s="374"/>
      <c r="F136" s="378"/>
      <c r="G136" s="379"/>
      <c r="H136" s="41"/>
      <c r="I136" s="1"/>
      <c r="J136" s="1"/>
      <c r="K136" s="404"/>
      <c r="L136" s="405"/>
      <c r="M136" s="405"/>
      <c r="N136" s="405"/>
      <c r="O136" s="405"/>
      <c r="P136" s="405"/>
      <c r="Q136" s="405"/>
      <c r="R136" s="405"/>
      <c r="S136" s="405"/>
      <c r="T136" s="406"/>
    </row>
    <row r="137" spans="1:20">
      <c r="A137" s="371" t="s">
        <v>95</v>
      </c>
      <c r="B137" s="375"/>
      <c r="C137" s="376"/>
      <c r="D137" s="376"/>
      <c r="E137" s="377"/>
      <c r="F137" s="380"/>
      <c r="G137" s="381"/>
      <c r="H137" s="54"/>
      <c r="I137" s="51"/>
      <c r="J137" s="1"/>
      <c r="K137" s="407"/>
      <c r="L137" s="408"/>
      <c r="M137" s="408"/>
      <c r="N137" s="408"/>
      <c r="O137" s="408"/>
      <c r="P137" s="408"/>
      <c r="Q137" s="408"/>
      <c r="R137" s="408"/>
      <c r="S137" s="408"/>
      <c r="T137" s="409"/>
    </row>
    <row r="138" spans="1:20">
      <c r="A138" s="65" t="s">
        <v>96</v>
      </c>
      <c r="B138" s="66"/>
      <c r="C138" s="66"/>
      <c r="D138" s="66"/>
      <c r="E138" s="67"/>
      <c r="F138" s="67"/>
      <c r="G138" s="67"/>
      <c r="H138" s="67"/>
      <c r="I138" s="67"/>
      <c r="J138" s="395" t="s">
        <v>97</v>
      </c>
      <c r="K138" s="396"/>
      <c r="L138" s="396"/>
      <c r="M138" s="396"/>
      <c r="N138" s="396"/>
      <c r="O138" s="396"/>
      <c r="P138" s="396"/>
      <c r="Q138" s="396"/>
      <c r="R138" s="396"/>
      <c r="S138" s="396"/>
      <c r="T138" s="397"/>
    </row>
    <row r="139" spans="1:20">
      <c r="A139" s="69" t="s">
        <v>98</v>
      </c>
      <c r="B139" s="70"/>
      <c r="C139" s="70"/>
      <c r="D139" s="70"/>
      <c r="E139" s="58"/>
      <c r="F139" s="58"/>
      <c r="G139" s="58"/>
      <c r="H139" s="58"/>
      <c r="I139" s="58"/>
      <c r="J139" s="398" t="s">
        <v>99</v>
      </c>
      <c r="K139" s="399"/>
      <c r="L139" s="399"/>
      <c r="M139" s="399"/>
      <c r="N139" s="399"/>
      <c r="O139" s="399"/>
      <c r="P139" s="399"/>
      <c r="Q139" s="399"/>
      <c r="R139" s="399"/>
      <c r="S139" s="399"/>
      <c r="T139" s="400"/>
    </row>
    <row r="140" spans="1:20" ht="49.9" customHeight="1">
      <c r="A140" s="367" t="s">
        <v>100</v>
      </c>
      <c r="B140" s="368"/>
      <c r="C140" s="368"/>
      <c r="D140" s="368"/>
      <c r="E140" s="368"/>
      <c r="F140" s="368"/>
      <c r="G140" s="368"/>
      <c r="H140" s="368"/>
      <c r="I140" s="368"/>
      <c r="J140" s="368"/>
      <c r="K140" s="368"/>
      <c r="L140" s="368"/>
      <c r="M140" s="368"/>
      <c r="N140" s="368"/>
      <c r="O140" s="368"/>
      <c r="P140" s="368"/>
      <c r="Q140" s="368"/>
      <c r="R140" s="368"/>
      <c r="S140" s="368"/>
      <c r="T140" s="369"/>
    </row>
    <row r="141" spans="1:20">
      <c r="A141" t="s">
        <v>101</v>
      </c>
    </row>
  </sheetData>
  <mergeCells count="59">
    <mergeCell ref="J138:T138"/>
    <mergeCell ref="J139:T139"/>
    <mergeCell ref="A140:T140"/>
    <mergeCell ref="A134:A135"/>
    <mergeCell ref="B134:E135"/>
    <mergeCell ref="F134:G135"/>
    <mergeCell ref="A136:A137"/>
    <mergeCell ref="B136:E137"/>
    <mergeCell ref="F136:G137"/>
    <mergeCell ref="A124:S124"/>
    <mergeCell ref="I129:T129"/>
    <mergeCell ref="A130:T130"/>
    <mergeCell ref="B131:E131"/>
    <mergeCell ref="F131:G131"/>
    <mergeCell ref="K131:T137"/>
    <mergeCell ref="A132:A133"/>
    <mergeCell ref="B132:E133"/>
    <mergeCell ref="F132:G133"/>
    <mergeCell ref="J132:J133"/>
    <mergeCell ref="R70:T70"/>
    <mergeCell ref="A71:T71"/>
    <mergeCell ref="A74:S74"/>
    <mergeCell ref="C108:S108"/>
    <mergeCell ref="A109:S109"/>
    <mergeCell ref="E123:S123"/>
    <mergeCell ref="A69:A70"/>
    <mergeCell ref="C70:E70"/>
    <mergeCell ref="F70:H70"/>
    <mergeCell ref="I70:K70"/>
    <mergeCell ref="L70:N70"/>
    <mergeCell ref="O70:Q70"/>
    <mergeCell ref="O6:P6"/>
    <mergeCell ref="Q6:Q7"/>
    <mergeCell ref="R6:S6"/>
    <mergeCell ref="T6:T7"/>
    <mergeCell ref="A8:A48"/>
    <mergeCell ref="A49:A68"/>
    <mergeCell ref="F6:G6"/>
    <mergeCell ref="H6:H7"/>
    <mergeCell ref="I6:J6"/>
    <mergeCell ref="K6:K7"/>
    <mergeCell ref="L6:M6"/>
    <mergeCell ref="N6:N7"/>
    <mergeCell ref="I4:T4"/>
    <mergeCell ref="A5:B7"/>
    <mergeCell ref="C5:E5"/>
    <mergeCell ref="F5:H5"/>
    <mergeCell ref="I5:K5"/>
    <mergeCell ref="L5:N5"/>
    <mergeCell ref="O5:Q5"/>
    <mergeCell ref="R5:T5"/>
    <mergeCell ref="C6:D6"/>
    <mergeCell ref="E6:E7"/>
    <mergeCell ref="A1:B3"/>
    <mergeCell ref="C1:T1"/>
    <mergeCell ref="C2:T2"/>
    <mergeCell ref="C3:H3"/>
    <mergeCell ref="I3:M3"/>
    <mergeCell ref="R3:T3"/>
  </mergeCells>
  <printOptions horizontalCentered="1" verticalCentered="1"/>
  <pageMargins left="0" right="0" top="0" bottom="0" header="0.31496062992125984" footer="0.31496062992125984"/>
  <pageSetup paperSize="281" scale="65" fitToHeight="0" orientation="portrait"/>
  <rowBreaks count="1" manualBreakCount="1">
    <brk id="71" max="19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77DC5-EFB9-4B23-8896-A802142834F6}">
  <dimension ref="B2:E6"/>
  <sheetViews>
    <sheetView workbookViewId="0">
      <selection activeCell="C10" sqref="C10"/>
    </sheetView>
  </sheetViews>
  <sheetFormatPr defaultColWidth="11.42578125" defaultRowHeight="14.45"/>
  <cols>
    <col min="4" max="4" width="23.28515625" bestFit="1" customWidth="1"/>
    <col min="5" max="5" width="14.28515625" bestFit="1" customWidth="1"/>
  </cols>
  <sheetData>
    <row r="2" spans="2:5">
      <c r="B2" s="326" t="s">
        <v>123</v>
      </c>
      <c r="C2" s="327"/>
      <c r="D2" s="327"/>
      <c r="E2" s="327"/>
    </row>
    <row r="3" spans="2:5" ht="15" thickBot="1">
      <c r="B3" s="105" t="s">
        <v>124</v>
      </c>
      <c r="C3" s="106" t="s">
        <v>125</v>
      </c>
      <c r="D3" s="106" t="s">
        <v>126</v>
      </c>
      <c r="E3" s="106" t="s">
        <v>127</v>
      </c>
    </row>
    <row r="4" spans="2:5" ht="15" thickBot="1">
      <c r="B4" s="107"/>
      <c r="C4" s="108"/>
      <c r="D4" s="109"/>
      <c r="E4" s="110"/>
    </row>
    <row r="5" spans="2:5" ht="15" thickBot="1">
      <c r="B5" s="111"/>
      <c r="C5" s="108"/>
      <c r="D5" s="109"/>
      <c r="E5" s="110"/>
    </row>
    <row r="6" spans="2:5" ht="15" thickBot="1">
      <c r="B6" s="112"/>
      <c r="C6" s="113"/>
      <c r="D6" s="109"/>
      <c r="E6" s="110"/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Contabilidad</dc:creator>
  <cp:keywords/>
  <dc:description/>
  <cp:lastModifiedBy/>
  <cp:revision/>
  <dcterms:created xsi:type="dcterms:W3CDTF">2011-09-19T17:03:05Z</dcterms:created>
  <dcterms:modified xsi:type="dcterms:W3CDTF">2026-08-26T14:48:23Z</dcterms:modified>
  <cp:category/>
  <cp:contentStatus/>
</cp:coreProperties>
</file>