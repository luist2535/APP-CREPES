
<file path=[Content_Types].xml><?xml version="1.0" encoding="utf-8"?>
<Types xmlns="http://schemas.openxmlformats.org/package/2006/content-types">
  <Default Extension="png" ContentType="image/png"/>
  <Default Extension="svg" ContentType="image/svg"/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53.xml" ContentType="application/vnd.openxmlformats-officedocument.spreadsheetml.worksheet+xml"/>
  <Override PartName="/xl/worksheets/sheet56.xml" ContentType="application/vnd.openxmlformats-officedocument.spreadsheetml.worksheet+xml"/>
  <Override PartName="/xl/worksheets/sheet26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35.xml" ContentType="application/vnd.openxmlformats-officedocument.spreadsheetml.worksheet+xml"/>
  <Override PartName="/xl/worksheets/sheet45.xml" ContentType="application/vnd.openxmlformats-officedocument.spreadsheetml.worksheet+xml"/>
  <Override PartName="/xl/worksheets/sheet63.xml" ContentType="application/vnd.openxmlformats-officedocument.spreadsheetml.worksheet+xml"/>
  <Override PartName="/xl/worksheets/sheet41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3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37.xml" ContentType="application/vnd.openxmlformats-officedocument.spreadsheetml.worksheet+xml"/>
  <Override PartName="/xl/worksheets/sheet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Default Extension="vml" ContentType="application/vnd.openxmlformats-officedocument.vmlDrawing"/>
  <Override PartName="/xl/comments26.xml" ContentType="application/vnd.openxmlformats-officedocument.spreadsheetml.comments+xml"/>
  <Override PartName="/xl/comments35.xml" ContentType="application/vnd.openxmlformats-officedocument.spreadsheetml.comments+xml"/>
  <Override PartName="/xl/comments41.xml" ContentType="application/vnd.openxmlformats-officedocument.spreadsheetml.comments+xml"/>
  <Override PartName="/xl/comments6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5" lowestEdited="5" rupBuild="9303"/>
  <workbookPr defaultThemeVersion="164011" filterPrivacy="1"/>
  <bookViews>
    <workbookView xWindow="-110" yWindow="-110" windowWidth="19420" windowHeight="10420" firstSheet="12" activeTab="13"/>
  </bookViews>
  <sheets>
    <sheet sheetId="53" name="INICIO" state="visible" r:id="rId4"/>
    <sheet sheetId="56" name="CONFIG" state="hidden" r:id="rId5"/>
    <sheet sheetId="26" name="1. Prev_Frecuencias almacén" state="visible" r:id="rId6"/>
    <sheet sheetId="43" name="2. Prev_Frecu Caliente (dia)" state="visible" r:id="rId7"/>
    <sheet sheetId="44" name="3. Prev_Frecuenc Calient(noche)" state="visible" r:id="rId8"/>
    <sheet sheetId="35" name="7. Prev_Frecuencia Comedor" state="visible" r:id="rId9"/>
    <sheet sheetId="45" name="4. Prev_Frecuencia Despachos" state="visible" r:id="rId10"/>
    <sheet sheetId="63" name="5. Prev_Frecuencia Transportes" state="visible" r:id="rId11"/>
    <sheet sheetId="41" name="ACUMULADO-ALMACÉN" state="visible" r:id="rId12"/>
    <sheet sheetId="47" name="ACUMULADO-COCINA CALIENTE DIA" state="visible" r:id="rId13"/>
    <sheet sheetId="48" name="ACUMULADO-COCINA CALIENTE NOCHE" state="visible" r:id="rId14"/>
    <sheet sheetId="38" name="ACUMULADO-COMEDOR" state="visible" r:id="rId15"/>
    <sheet sheetId="49" name="ACUMULADO-DESPACHOS" state="visible" r:id="rId16"/>
    <sheet sheetId="50" name="ACUMULADO-TRANSPORTES" state="visible" r:id="rId17"/>
    <sheet sheetId="37" name="LISTA SEMANA" state="hidden" r:id="rId18"/>
    <sheet sheetId="62" name="LISTA AREA" state="hidden" r:id="rId19"/>
  </sheets>
  <definedNames>
    <definedName name="_xlnm._FilterDatabase">'ACUMULADO-TRANSPORTES'!$C$22:$E$29</definedName>
    <definedName name="_xlnm.Print_Area" localSheetId="5">'7. Prev_Frecuencia Comedor'!$B7:$B56</definedName>
  </definedNames>
  <calcPr calcId="171027"/>
</workbook>
</file>

<file path=xl/comments26.xml><?xml version="1.0" encoding="utf-8"?>
<comments xmlns="http://schemas.openxmlformats.org/spreadsheetml/2006/main">
  <authors>
    <author>Author</author>
  </authors>
  <commentList>
    <comment ref="B17" authorId="0">
      <text>
        <r>
          <rPr>
            <b/>
            <color indexed="81"/>
            <family val="2"/>
            <sz val="9"/>
            <rFont val="Tahoma"/>
          </rPr>
          <t>Maria Camacho Martinez:</t>
        </r>
        <r>
          <rPr>
            <color indexed="81"/>
            <family val="2"/>
            <sz val="9"/>
            <rFont val="Tahoma"/>
          </rPr>
          <t xml:space="preserve">
Inicia en Abril /19</t>
        </r>
      </text>
    </comment>
  </commentList>
</comments>
</file>

<file path=xl/comments35.xml><?xml version="1.0" encoding="utf-8"?>
<comments xmlns="http://schemas.openxmlformats.org/spreadsheetml/2006/main">
  <authors>
    <author>Author</author>
  </authors>
  <commentList>
    <comment ref="B59" authorId="0">
      <text/>
    </comment>
    <comment ref="B60" authorId="0">
      <text/>
    </comment>
    <comment ref="B61" authorId="0">
      <text/>
    </comment>
    <comment ref="B62" authorId="0">
      <text/>
    </comment>
  </commentList>
</comments>
</file>

<file path=xl/comments41.xml><?xml version="1.0" encoding="utf-8"?>
<comments xmlns="http://schemas.openxmlformats.org/spreadsheetml/2006/main">
  <authors>
    <author>Author</author>
  </authors>
  <commentList>
    <comment ref="C29" authorId="0">
      <text>
        <r>
          <rPr>
            <b/>
            <color indexed="81"/>
            <family val="2"/>
            <sz val="9"/>
            <rFont val="Tahoma"/>
          </rPr>
          <t>Maria Camacho Martinez:</t>
        </r>
        <r>
          <rPr>
            <color indexed="81"/>
            <family val="2"/>
            <sz val="9"/>
            <rFont val="Tahoma"/>
          </rPr>
          <t xml:space="preserve">
Inicia en Abril /19</t>
        </r>
      </text>
    </comment>
  </commentList>
</comments>
</file>

<file path=xl/comments62.xml><?xml version="1.0" encoding="utf-8"?>
<comments xmlns="http://schemas.openxmlformats.org/spreadsheetml/2006/main">
  <authors>
    <author>Author</author>
  </authors>
  <commentList>
    <comment ref="C9" authorId="0">
      <text>
        <r>
          <rPr>
            <b/>
            <color indexed="81"/>
            <family val="2"/>
            <sz val="9"/>
            <rFont val="Tahoma"/>
          </rPr>
          <t>Maria Camacho Martinez:</t>
        </r>
        <r>
          <rPr>
            <color indexed="81"/>
            <family val="2"/>
            <sz val="9"/>
            <rFont val="Tahoma"/>
          </rPr>
          <t xml:space="preserve">
Inicia en Abril /19</t>
        </r>
      </text>
    </comment>
    <comment ref="C208" authorId="0">
      <text/>
    </comment>
    <comment ref="C209" authorId="0">
      <text/>
    </comment>
    <comment ref="C210" authorId="0">
      <text/>
    </comment>
    <comment ref="C211" authorId="0">
      <text/>
    </comment>
  </commentList>
</comments>
</file>

<file path=xl/sharedStrings.xml><?xml version="1.0" encoding="utf-8"?>
<sst xmlns="http://schemas.openxmlformats.org/spreadsheetml/2006/main" count="3461" uniqueCount="256">
  <si>
    <t>SISTEMA DE AUDITORÍAS BPM</t>
  </si>
  <si>
    <t>ÁREA : COMEDOR</t>
  </si>
  <si>
    <t>SEMANA 1 - ENERO</t>
  </si>
  <si>
    <t>SEMANA 4 - DICIEMBRE</t>
  </si>
  <si>
    <t>Sistema</t>
  </si>
  <si>
    <t>ACTIVO</t>
  </si>
  <si>
    <t>PERIODO : SEMANA 1 - ENERO a SEMANA 4 - DICIEMBRE</t>
  </si>
  <si>
    <t>Área actual</t>
  </si>
  <si>
    <t>COMEDOR</t>
  </si>
  <si>
    <t>Última actualización</t>
  </si>
  <si>
    <t>ALMACÉN</t>
  </si>
  <si>
    <t>AREA</t>
  </si>
  <si>
    <t>HOJA</t>
  </si>
  <si>
    <t>1. Prev_Frecuencias almacén</t>
  </si>
  <si>
    <t>COCINA CALIENTE DIA</t>
  </si>
  <si>
    <t>2. Prev_Frecu Caliente (dia)</t>
  </si>
  <si>
    <t>COCINA CALIENTE NOCHE</t>
  </si>
  <si>
    <t>3. Prev_Frecuenc Calient(noche)</t>
  </si>
  <si>
    <t>7. Prev_Frecuencia Comedor</t>
  </si>
  <si>
    <t>DESPACHO</t>
  </si>
  <si>
    <t>4. Prev_Frecuencia Despachos</t>
  </si>
  <si>
    <t>TRANSPORTE</t>
  </si>
  <si>
    <t>5. Prev_Frecuencia Transportes</t>
  </si>
  <si>
    <t xml:space="preserve">ALMACEN   </t>
  </si>
  <si>
    <t>IR ACUMULADO</t>
  </si>
  <si>
    <t>SEMANA 2 - ENERO</t>
  </si>
  <si>
    <t>SEMANA 3 - ENERO</t>
  </si>
  <si>
    <t>SEMANA 4 - ENERO</t>
  </si>
  <si>
    <t>SEMANA 1 - FEBRERO</t>
  </si>
  <si>
    <t>SEMANA 2 - FEBRERO</t>
  </si>
  <si>
    <t>SEMANA 3 - FEBRERO</t>
  </si>
  <si>
    <t>SEMANA 4 - FEBRERO</t>
  </si>
  <si>
    <t>SEMANA 1 - MARZO</t>
  </si>
  <si>
    <t>SEMANA 2 - MARZO</t>
  </si>
  <si>
    <t>SEMANA 3 - MARZO</t>
  </si>
  <si>
    <t>SEMANA 4 - MARZO</t>
  </si>
  <si>
    <t>SEMANA 1 - ABRIL</t>
  </si>
  <si>
    <t>SEMANA 2 - ABRIL</t>
  </si>
  <si>
    <t>SEMANA 3 - ABRIL</t>
  </si>
  <si>
    <t>SEMANA 4 - ABRIL</t>
  </si>
  <si>
    <t>SEMANA 1 - MAYO</t>
  </si>
  <si>
    <t>SEMANA 2 - MAYO</t>
  </si>
  <si>
    <t>SEMANA 3 - MAYO</t>
  </si>
  <si>
    <t>SEMANA 4 - MAYO</t>
  </si>
  <si>
    <t>SEMANA 1 - JUNIO</t>
  </si>
  <si>
    <t>SEMANA 2 - JUNIO</t>
  </si>
  <si>
    <t>SEMANA 3 - JUNIO</t>
  </si>
  <si>
    <t>SEMANA 4 - JUNIO</t>
  </si>
  <si>
    <t>SEMANA 1 - JULIO</t>
  </si>
  <si>
    <t>SEMANA 2 - JULIO</t>
  </si>
  <si>
    <t>SEMANA 3 - JULIO</t>
  </si>
  <si>
    <t>SEMANA 4 - JULIO</t>
  </si>
  <si>
    <t>SEMANA 1 - AGOSTO</t>
  </si>
  <si>
    <t>SEMANA 2 - AGOSTO</t>
  </si>
  <si>
    <t>SEMANA 3 - AGOSTO</t>
  </si>
  <si>
    <t>SEMANA 4 - AGOSTO</t>
  </si>
  <si>
    <t>SEMANA 1 - SEPTIEMBRE</t>
  </si>
  <si>
    <t>SEMANA 2 - SEPTIEMBRE</t>
  </si>
  <si>
    <t>SEMANA 3 - SEPTIEMBRE</t>
  </si>
  <si>
    <t>SEMANA 4 - SEPTIEMBRE</t>
  </si>
  <si>
    <t>SEMANA 1 - OCTUBRE</t>
  </si>
  <si>
    <t>SEMANA 2 - OCTUBRE</t>
  </si>
  <si>
    <t>SEMANA 3 - OCTUBRE</t>
  </si>
  <si>
    <t>SEMANA 4 - OCTUBRE</t>
  </si>
  <si>
    <t>SEMANA 1 - NOVIEMBRE</t>
  </si>
  <si>
    <t>SEMANA 2 - NOVIEMBRE</t>
  </si>
  <si>
    <t>SEMANA 3 - NOVIEMBRE</t>
  </si>
  <si>
    <t>SEMANA 4 - NOVIEMBRE</t>
  </si>
  <si>
    <t>SEMANA 1 - DICIEMBRE</t>
  </si>
  <si>
    <t>SEMANA 2 -  DICIEMBRE</t>
  </si>
  <si>
    <t>SEMANA 3 -  DICIEMBRE</t>
  </si>
  <si>
    <t>Promedios</t>
  </si>
  <si>
    <t>Nueva frecuencia</t>
  </si>
  <si>
    <t>Instalaciones y Edificaciones</t>
  </si>
  <si>
    <t>Obtenidos</t>
  </si>
  <si>
    <t>Totales</t>
  </si>
  <si>
    <t>%</t>
  </si>
  <si>
    <t>Revisión semestral prevalencia 05/08/19</t>
  </si>
  <si>
    <t>Se mantienen las puertas cerradas previniendo el ingreso de plagas y la contaminación cruzada. Si se requiere su apertura, esta se hace lo más rápido posible</t>
  </si>
  <si>
    <t>Mensual</t>
  </si>
  <si>
    <t>92-100%</t>
  </si>
  <si>
    <t xml:space="preserve">Los puntos de higiene se encuentran con todos los recursos completos. </t>
  </si>
  <si>
    <t>Quincenal</t>
  </si>
  <si>
    <t>75-91</t>
  </si>
  <si>
    <t>Intervenciones de obra civil, son realizadas bajo el acompañamiento/supervisión de la persona responsable del programa de mantenimiento de planta física</t>
  </si>
  <si>
    <t>Semanal</t>
  </si>
  <si>
    <t>&lt;75%</t>
  </si>
  <si>
    <t>Las paredes, puertas, ventanas, pisos, medias cañas se encuentran limpios y en buen estado</t>
  </si>
  <si>
    <t xml:space="preserve">Las partes altas se encuentran limpias y en buen estado. No se evidencian posibles ingresos de roedores en el almacen, lote (Cra21) y bodegas (Cra20). </t>
  </si>
  <si>
    <t>Equipos y utensilios</t>
  </si>
  <si>
    <t>Los recipientes/equipos/utensilios se encuentran en buen estado, limpios y completos previniendo la aparición de contaminantes físicos</t>
  </si>
  <si>
    <t>El mantenimiento de equipos se realiza de manera que se previene la contaminación cruzada</t>
  </si>
  <si>
    <t xml:space="preserve">El kit de emergencia: Kit antiderrames y regadera de ojos funciona correctamente, se encuentran limpios y libres de obstrucciones. </t>
  </si>
  <si>
    <t>Personal manipulador de alimentos</t>
  </si>
  <si>
    <t>El personal manipulador no consume alimentos dentro de las áreas de manipulación</t>
  </si>
  <si>
    <t>El personal manipulador higieniza sus manos correcta y frecuentemente</t>
  </si>
  <si>
    <t>El personal no usa celulares en la áreas de manipulación</t>
  </si>
  <si>
    <t>El personal manipulador evita hablar, toser, estornudar durante la preparación de alimentos y es evidente el buen estado de salud</t>
  </si>
  <si>
    <t>El personal manipulador usa la dotación completa y adecuadamente</t>
  </si>
  <si>
    <t>Los flujos de personal previenen la contaminación cruzada</t>
  </si>
  <si>
    <t>El personal no se recuesta ni se sienta en equipos, mesones, o barras protectoras de paredes.</t>
  </si>
  <si>
    <t>El personal hace buen uso de los bebederos  / Dispensadores</t>
  </si>
  <si>
    <t>El personal manipulador no usa joyas, maquillaje, uñas largas o con esmalte,  colonia/perfume</t>
  </si>
  <si>
    <t>El personal manipulador nunca sale de las instalaciones con la dotación de trabajo</t>
  </si>
  <si>
    <t>Los visitantes/encargados de mantenimiento cumplen las normas de un manipulador de alimentos para permanecer o ingresa a la planta</t>
  </si>
  <si>
    <t>Requisitos higiénicos de fabricación</t>
  </si>
  <si>
    <t xml:space="preserve">Se cumple con el código de colores de canastillas </t>
  </si>
  <si>
    <t>El manejo de carros transportadores previene la contaminación cruzada</t>
  </si>
  <si>
    <t>La vida útil de los alimentos está vigente y la rotación es FIFO</t>
  </si>
  <si>
    <t xml:space="preserve">Se cuenta con un área para el almacenamiento de productos no conformes o que serán devueltos </t>
  </si>
  <si>
    <t>Los empaques están debidamente protegidos y latas de conservas se observan sin abolladuras o sin presencia de óxido</t>
  </si>
  <si>
    <t>Saneamiento</t>
  </si>
  <si>
    <t xml:space="preserve">Los productos químicos se usan adecuadamente y se almacenan en los lugares establecidos </t>
  </si>
  <si>
    <t>El manejo de elementos de L&amp;D previene la contaminación cruzada (escobas, esponjas, etc)</t>
  </si>
  <si>
    <t>Ubicar los equipos y/o superficies que entran en contacto directo con los alimentos, directamente en el piso en actividades de L&amp;D.</t>
  </si>
  <si>
    <t>Se manejan adecuadamente las rejillas de sifones de manera que se previene la contaminación cruzada</t>
  </si>
  <si>
    <t>Las superficies y ambientes se desinfectan con la frecuencia establecida</t>
  </si>
  <si>
    <t>Las actividades de limpieza, sólo se realizan si ha finalizado la producción</t>
  </si>
  <si>
    <t>Los vestieres, lockers se encuentran limpios y ordenados</t>
  </si>
  <si>
    <t>Las canecas de residuos sólidos se encuentran rotuladas, con la tapa puesta y con la bolsa correspondiente al código de color definido.</t>
  </si>
  <si>
    <t>Los habladores se mantienen limpios (incluyendo la parte trasera)</t>
  </si>
  <si>
    <t>Los pisos y paredes se mantienen limpios y lo mas escurridos posible</t>
  </si>
  <si>
    <t xml:space="preserve"> Almacenamiento, transportes, comercialización y distribución</t>
  </si>
  <si>
    <t>Los alimentos almacenados se encuentran en estanterias o sobre estiba o canasta de arrastre. Las canastillas se encuentran a una distancia mínima de 5 cm de las paredes</t>
  </si>
  <si>
    <t>El transporte de alimentos de un lugar a otro previene la contaminación cruzada</t>
  </si>
  <si>
    <t>El orden de almacenamiento previene la contaminación cruzada</t>
  </si>
  <si>
    <t>Las materias primas ingresan en buen estado a las áreas de manipulación</t>
  </si>
  <si>
    <t>La recepción de materias primas se realiza de manera que se previene la contaminación cruzada</t>
  </si>
  <si>
    <t>Registros</t>
  </si>
  <si>
    <t>Ante roturas de vidrios, se diligencia el formato correspondiente completa y correctamente</t>
  </si>
  <si>
    <t>Servicios Generales</t>
  </si>
  <si>
    <t>Limpieza de andén Calle 164</t>
  </si>
  <si>
    <t>Los pisos se encuentran limpios y no se evidencia acumulacion de polvo sobre superficies</t>
  </si>
  <si>
    <t>Los gabinetes de L&amp;D se encuentran en perfecto estado, limpios y con recursos completos.</t>
  </si>
  <si>
    <t>Cocina Caliente DÍA</t>
  </si>
  <si>
    <t>Los equipos tales como evaporadores, cortinas de aire, extractores, ductos, cortinas plasticas entre otros se encuentran limpios y en buen estado</t>
  </si>
  <si>
    <t>Los puntos de higiene se encuentran con todos los recursos completos. La concentración del desinfectante de las pocetas/botellas se encuentra dentro de los parámetros establecidos</t>
  </si>
  <si>
    <t>Las cortinas de aire se encuentran limpias y permanecen encedidas durante la manipulación de alimentos</t>
  </si>
  <si>
    <t>Los cuartos fríos/equipos de frío se mantienen cerrados y se encuentran funcionando correctamente</t>
  </si>
  <si>
    <t xml:space="preserve">Los techos encima de los cuartos frios se encuentran limpias y en buen estado. </t>
  </si>
  <si>
    <t>Los recipientes / equipo / elementos se encuentran limpios y secos</t>
  </si>
  <si>
    <r>
      <t xml:space="preserve">Los recipientes/equipos/utensilios se encuentran en buen estado y completos previniendo la aparición de contaminantes físicos. </t>
    </r>
    <r>
      <rPr>
        <color rgb="FFFF0000"/>
        <family val="2"/>
        <sz val="8"/>
        <rFont val="Arial"/>
      </rPr>
      <t>La presión de las máquinas clipeadoras cumple con el rango establecido</t>
    </r>
  </si>
  <si>
    <t>El personal manipulador higieniza sus manos correcta y frecuentemente. Hace higiene de botas para su ingreso a la planta</t>
  </si>
  <si>
    <t>El manejo y almacenamiento de guantes previene la contaminación cruzada</t>
  </si>
  <si>
    <t>El personal manipulador  cumple con el codigo de colores de uniformes y tapabocas. Usa la dotación completa y adecuadamente</t>
  </si>
  <si>
    <t>Se realiza desinfección de termómetros para la toma de temperaturas en el producto</t>
  </si>
  <si>
    <t>Recipientes y/o utensilios no entran en contacto directo con el piso</t>
  </si>
  <si>
    <t>Filtros, empaques etc permanecen en su sitio para la manipulación de alimentos (Ej. Filtro leche cruda)</t>
  </si>
  <si>
    <t xml:space="preserve">Los empaques están debidamente protegidos </t>
  </si>
  <si>
    <t>Los equipos y/o superficies que entran en contacto directo con los alimentos, que se ubican directamente en el piso en actividades de L&amp;D se higienizan luego de este proceso</t>
  </si>
  <si>
    <t>Las canecas de residuos se encuentran rotuladas, con la tapa pueta y con la bolsa correspondiente al codigo de color definido</t>
  </si>
  <si>
    <t>Los sifones y rejillas se observan limpias, en buen estado y previenen el paso de solidos hacia la tuberia</t>
  </si>
  <si>
    <t>Se cumple con el codigo de colores de baldes y utensilios.</t>
  </si>
  <si>
    <t>El manejo de toallas previene la contaminación cruzada</t>
  </si>
  <si>
    <t>Almacenamiento, transportes, comercialización y distribución</t>
  </si>
  <si>
    <t>Los proveedores cumplen con la dotación establecida para entregar insumos</t>
  </si>
  <si>
    <t>Se hace el traspaso de materiales de vidrio para evitar su ingreso a la planta</t>
  </si>
  <si>
    <t>Los registros se encuentran correcta y completamente diligenciados. Se evidencia su diligenciamiento en tiempo real</t>
  </si>
  <si>
    <t>Mantenimiento</t>
  </si>
  <si>
    <t>Los pisos, ventanas, lamparas, tablero,  paredes y el orden en general del cuarto del plomero se encuentran en buen estado.</t>
  </si>
  <si>
    <t>El cuarto contra incendios se encuentra limpio y ordenado</t>
  </si>
  <si>
    <t>Los cuarto de equipos de rotación (3er piso planta)</t>
  </si>
  <si>
    <t>El taller de mantenimiento se encuentra limpio y organizado. Se evidencia el correcto rotulado de productos quimicos.</t>
  </si>
  <si>
    <t>La subestación electrica se encuentra limpia y organizada.</t>
  </si>
  <si>
    <t>El cuarto de la UPS PPS se encuentra limpio y organizado</t>
  </si>
  <si>
    <t>La planta electrica se encuentra limpia y organizada.</t>
  </si>
  <si>
    <t>Los cuartos de rack frio PPS sótano se encuentra limpio y organizado</t>
  </si>
  <si>
    <t>El cuarto de equipos electricos de PDV para reparación (Waffleras, gofreras etc) se encuentra limpio y organizado.</t>
  </si>
  <si>
    <t>El anden de la cra 20 se encuentra limpio.</t>
  </si>
  <si>
    <t>Los baños de la cra 20 se encuentran limpios</t>
  </si>
  <si>
    <t>Los techos de la planta se encuentran limpios</t>
  </si>
  <si>
    <t>Los baños de los manipuladores se encuentran limpios y con los recursos completos</t>
  </si>
  <si>
    <t>Las escaleras de PPS al sotano estan limpias y en orden</t>
  </si>
  <si>
    <t>El puente (vidrios y estructura) se encuentra limpio</t>
  </si>
  <si>
    <t>El gabinete de limpieza de los baños de administración se encuentra organizado</t>
  </si>
  <si>
    <t>Los sofas y mesas del pasillo hacia mantenimiento ser encuentran limpios y en orden. Se evidencia el tratamiento de mantenimeinto de los muebles</t>
  </si>
  <si>
    <t>Cocina Caliente Noche</t>
  </si>
  <si>
    <t>Los techos encima de los cuartos frios se encuentran limpios y en buen estado.</t>
  </si>
  <si>
    <t>Los recipientes/equipos/utensilios se encuentran en buen estado y completos previniendo la aparición de contaminantes físicos. La presión de las máquinas clipeadoras cumple con el rango establecido</t>
  </si>
  <si>
    <t>Las canecas de residuos solidos se encuentran royuladas, con la tapa puesta y con la bolsa correspondiente al codigo de color definido</t>
  </si>
  <si>
    <t xml:space="preserve">Los proveedores cumplen con la dotacion establecida para entregar insumos </t>
  </si>
  <si>
    <t>La recepcion de materias primas se realiza de manera que se previene la contaminacion cruzada</t>
  </si>
  <si>
    <t>Revisión semestral prevalencia 05/08/2026</t>
  </si>
  <si>
    <t xml:space="preserve">Se mantienen las puertas cerradas (RACK) previniendo el ingreso de plagas y la contaminación cruzada. </t>
  </si>
  <si>
    <t>Las partes altas, campanas y extractores se encuentran limpios y en buen estado</t>
  </si>
  <si>
    <t xml:space="preserve">Se encuentra dotado el comedor con los elementos para la higiene de manos. </t>
  </si>
  <si>
    <t xml:space="preserve">Las paredes, puertas, ventanas, pisos, medias cañas se encuentran limpios y en buen estado. </t>
  </si>
  <si>
    <t>Las pocetas y griferias están limpias y en buen estado</t>
  </si>
  <si>
    <t>Equipos y Utensilios</t>
  </si>
  <si>
    <t>Los recipientes / equipos / utensilios se encuentran limpios, secos y previenen la aparición de contaminantes físicos</t>
  </si>
  <si>
    <t>Los equipos de frio se encuentran funcionando adecuadamente o se han tomado las acciones correctivas del caso, tienen rejillas, empaques y termómetros en buen estado.</t>
  </si>
  <si>
    <t>Personal Manipulador de alimentos</t>
  </si>
  <si>
    <t>El manejo de alimentos del personal previene la contaminación cruzada (no se come dentro de áreas de manipulación y son almacenados en el recipiente adecuado)</t>
  </si>
  <si>
    <t>El personal manipulador higieniza sus manos correcta y frecuentemente. Todo el personal cumple con normas de higiene personal, petos limpios, uñas limpias, cortas y sin esmalte, no usan maquillaje, no usan joyas.</t>
  </si>
  <si>
    <t>Personal administrativo ingresa en ropa de calle unicamente al platero; si requiere ingresar a la cocina debe usar gorro</t>
  </si>
  <si>
    <t>Se cumple con el código de colores de baldes, recipientes plásticos y utensilios</t>
  </si>
  <si>
    <t>Se realiza desinfección de termómetros para la toma de temperaturas en el producto. Termómetros están verificados.</t>
  </si>
  <si>
    <t>Recipientes y/o utensilios para alimentos no entran en contacto directo con el piso</t>
  </si>
  <si>
    <t>Los carros transportadores previenen la contaminación cruzada y se encuentran limpios</t>
  </si>
  <si>
    <t xml:space="preserve">Se identifican los productos no conformes o que serán devueltos </t>
  </si>
  <si>
    <t>Se hace desinfección adecuada de frutas y hortalizas</t>
  </si>
  <si>
    <t>El manejo de sobrantes del baño maría es adecuado</t>
  </si>
  <si>
    <t xml:space="preserve">La temperatura de alimentos en el baño maría se mantienen entre 70 y 80°C. </t>
  </si>
  <si>
    <t xml:space="preserve">Los alimentos o materias primas entregados por dirección de alimentos o PPS se usan en el menor tiempo posible </t>
  </si>
  <si>
    <t>Los productos químicos se usan adecuadamente, en las concentraciones establecidas y se almacenan en los lugares determinados. El manejo de elementos de L&amp;D previene la contaminación cruzada (botellas aspersoras, escobas, esponjas, etc)</t>
  </si>
  <si>
    <t xml:space="preserve">El área de almacenamiento de productos químicos de L&amp;D se encuentra en perfecto estado, limpio y con ventilación adecuada. </t>
  </si>
  <si>
    <t>Las superficies y ambientes se desinfectan con la frecuencia establecida, se realiza una vez termine el servicio.</t>
  </si>
  <si>
    <t>Dispensadores y/o equipos para  salsas, agua, jugo y gaseosa se encuentran limpios y en buen estado</t>
  </si>
  <si>
    <t xml:space="preserve">Los recipientes, utensilios y ollas se encuentran limpios, sin residuos de alimentos y la higiene se realiza de forma frecuente. </t>
  </si>
  <si>
    <t>Los habladores se mantienen limpios (incluyendo la parte trasera), a la vista y con la información actualizacda</t>
  </si>
  <si>
    <t>Los sifones y rejillas se observan limpias, en buen estado y previenen el paso de sólidos hacia la tubería.</t>
  </si>
  <si>
    <t xml:space="preserve">Los alimentos almacenados se encuentran en estanterias,  sobre estiba o canasta de arrastre. </t>
  </si>
  <si>
    <t>El orden de almacenamiento previene la contaminación cruzada (Crudos- cocidos, desinfectados- no desinfectados, almacenamiento en el pasillo salon juegos)</t>
  </si>
  <si>
    <t>Las materias primas ingresan en buen estado a las áreas de proceso y su manipulación se realiza de manera que se previene la contaminación cruzada</t>
  </si>
  <si>
    <t xml:space="preserve">Registros </t>
  </si>
  <si>
    <t>Los registros se encuentran correcta y completamente diligenciados. Se evidencia su diligenciamiento en tiempo real.</t>
  </si>
  <si>
    <t>Los pisos, pocetas,  puertas, paredes, calderas, gabinete de aseo, tablero de control, compresor , caneca de basuras de la terraza ubicada en el cuarto de calderas PPS, se mantienen limpios y en buen estado</t>
  </si>
  <si>
    <t>Retirados</t>
  </si>
  <si>
    <t>Las partes altas se encuentran limpias y en buen estado</t>
  </si>
  <si>
    <t>El manejo de elementos de L&amp;D previene la contaminación cruzada (botellas aspersoras, escobas, esponjas, etc)</t>
  </si>
  <si>
    <t>DESPACHOS</t>
  </si>
  <si>
    <t>Los puntos de higiene se encuentran con todos los recursos completos. La concentración del desinfectante de las pocetas se encuentra dentro de los parámetros establecidos</t>
  </si>
  <si>
    <t>Las paredes, puertas, ventanas, pisos, medias cañas se encuentran limpios y en buen estado; no se permite el ingreso de plagas</t>
  </si>
  <si>
    <t>El espaciodebajo de las escaleras de ampliación se encuentra en orden y limpio. No hay evidencia de plaga en la zona</t>
  </si>
  <si>
    <t>Los recipientes/equipos/utensilios se encuentran en buen estado y completos previniendo la aparición de contaminantes físicos</t>
  </si>
  <si>
    <t>El personal manipulador higieniza sus manos correcta y frecuentemente. Hace higiene de botas para su ingreso al centro de Despacho</t>
  </si>
  <si>
    <t>El personal manipulador  cumple con el codigo de colores de uniformes . Usa la dotación completa y adecuadamente</t>
  </si>
  <si>
    <t>Se cuenta con un área para el almacenamiento de productos no conformes o que serán devueltos y esta esta limpia.</t>
  </si>
  <si>
    <t xml:space="preserve">
Las canecas de residuos sólidos se encuentran rotuladas, con la tapa puesta y con la bolsa correspondiente al código de color definido.</t>
  </si>
  <si>
    <t>Las actividades de limpieza, sólo se realizan si ha finalizado el despacho</t>
  </si>
  <si>
    <t>El cuarto electrico Recursos humanos se encuentra limpio y organizado.</t>
  </si>
  <si>
    <t>El mantenimiento (limpieza) de equipos se realiza de manera que se previene la contaminación cruzada</t>
  </si>
  <si>
    <t>El anden de la Cra 21 se encuentra limpio</t>
  </si>
  <si>
    <t>La rampa y canalina de recibo 3 se encuentra limpia</t>
  </si>
  <si>
    <t>El cuarto</t>
  </si>
  <si>
    <t>El personal manipulador  cumple con el codigo de colores de uniformes. Usa la dotación completa y adecuadamente</t>
  </si>
  <si>
    <t>Los visitantes/encargados de mantenimiento cumplen las normas de un manipulador de alimentos para permanecer o ingresar a la zona</t>
  </si>
  <si>
    <t>Las devoluciones son descartadas una vez revisadas. La zona de almacenamiento temporal se mantiene limpia</t>
  </si>
  <si>
    <t>Los alimentos recibidos/almacenados/en espera se encuentran en estanterias o sobre estiba o canasta de arrastre. Las canastillas se encuentran a una distancia mínima de 5 cm de las paredes</t>
  </si>
  <si>
    <t>Los externos cumplen con la dotación establecida para manejo de alimentos</t>
  </si>
  <si>
    <t>IR A PLANTILLA</t>
  </si>
  <si>
    <t>obje1</t>
  </si>
  <si>
    <t>obje2</t>
  </si>
  <si>
    <t>PROMEDIOS</t>
  </si>
  <si>
    <t>FRECUENCIA</t>
  </si>
  <si>
    <t>AREA - ALMACÉN</t>
  </si>
  <si>
    <t>Ante roturas de vidrios, se diligencia el formato correspondiente completa y correctamente.</t>
  </si>
  <si>
    <t>AREA - COCINA CALIENTE DIA</t>
  </si>
  <si>
    <t>SEMANAL</t>
  </si>
  <si>
    <t>AREA - COCINA CALIENTE NOCHE</t>
  </si>
  <si>
    <t>AREA - COMEDOR</t>
  </si>
  <si>
    <t>AREA - DESPACHOS</t>
  </si>
  <si>
    <t>SEMANAS</t>
  </si>
  <si>
    <t>CATEGORIA</t>
  </si>
  <si>
    <t>ITEMS</t>
  </si>
  <si>
    <t>FILA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</si>
</sst>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color theme="1"/>
      <family val="2"/>
      <scheme val="minor"/>
      <sz val="11"/>
      <name val="Calibri"/>
    </font>
    <font>
      <b/>
      <color theme="3"/>
      <family val="2"/>
      <scheme val="minor"/>
      <sz val="11"/>
      <name val="Calibri"/>
    </font>
    <font>
      <color theme="3"/>
      <family val="2"/>
      <scheme val="minor"/>
      <sz val="11"/>
      <name val="Calibri"/>
    </font>
    <font>
      <b/>
      <color theme="3"/>
      <family val="2"/>
      <scheme val="minor"/>
      <sz val="10"/>
      <name val="Calibri"/>
    </font>
    <font>
      <color theme="1" tint="0.1499984740745262"/>
      <family val="2"/>
      <scheme val="minor"/>
      <sz val="11"/>
      <name val="Calibri"/>
    </font>
    <font>
      <b/>
      <color rgb="FF00B050"/>
      <family val="2"/>
      <scheme val="minor"/>
      <sz val="11"/>
      <name val="Calibri"/>
    </font>
    <font>
      <b/>
      <color rgb="FF007FDE"/>
      <family val="2"/>
      <scheme val="minor"/>
      <sz val="11"/>
      <name val="Calibri"/>
    </font>
    <font>
      <b/>
      <color rgb="FF007FDE"/>
      <family val="2"/>
      <scheme val="minor"/>
      <sz val="18"/>
      <name val="Calibri"/>
    </font>
    <font>
      <b/>
      <color rgb="FFFF0000"/>
      <family val="2"/>
      <scheme val="minor"/>
      <sz val="12"/>
      <name val="Calibri"/>
    </font>
    <font>
      <u/>
      <color theme="10"/>
      <family val="2"/>
      <scheme val="minor"/>
      <sz val="11"/>
      <name val="Calibri"/>
    </font>
    <font>
      <b/>
      <family val="2"/>
      <sz val="12"/>
      <name val="Arial"/>
    </font>
    <font>
      <b/>
      <color theme="1"/>
      <family val="2"/>
      <sz val="12"/>
      <name val="Arial"/>
    </font>
    <font>
      <b/>
      <color indexed="8"/>
      <family val="2"/>
      <sz val="12"/>
      <name val="Arial"/>
    </font>
    <font>
      <b/>
      <color theme="9" tint="-0.249977111117893"/>
      <family val="2"/>
      <scheme val="minor"/>
      <sz val="11"/>
      <name val="Calibri"/>
    </font>
    <font>
      <b/>
      <color theme="1"/>
      <family val="2"/>
      <scheme val="minor"/>
      <sz val="11"/>
      <name val="Calibri"/>
    </font>
    <font>
      <b/>
      <color indexed="8"/>
      <family val="2"/>
      <sz val="8"/>
      <name val="Arial"/>
    </font>
    <font>
      <b/>
      <i/>
      <color theme="1"/>
      <family val="2"/>
      <scheme val="minor"/>
      <sz val="11"/>
      <name val="Calibri"/>
    </font>
    <font>
      <color rgb="FFFF0000"/>
      <family val="2"/>
      <scheme val="minor"/>
      <sz val="12"/>
      <name val="Calibri"/>
    </font>
    <font>
      <family val="2"/>
      <sz val="8"/>
      <name val="Arial"/>
    </font>
    <font>
      <b/>
      <family val="2"/>
      <sz val="8"/>
      <name val="Arial"/>
    </font>
    <font>
      <color rgb="FFFF0000"/>
      <family val="2"/>
      <sz val="8"/>
      <name val="Arial"/>
    </font>
    <font>
      <color theme="1"/>
      <family val="2"/>
      <sz val="8"/>
      <name val="Arial"/>
    </font>
    <font>
      <b/>
      <color indexed="8"/>
      <family val="2"/>
      <sz val="9"/>
      <name val="Arial"/>
    </font>
    <font>
      <b/>
      <family val="2"/>
      <sz val="9"/>
      <name val="Arial"/>
    </font>
    <font>
      <family val="2"/>
      <scheme val="minor"/>
      <sz val="8"/>
      <name val="Calibri"/>
    </font>
    <font>
      <family val="2"/>
      <sz val="10"/>
      <name val="Arial"/>
    </font>
    <font>
      <b/>
      <family val="2"/>
      <sz val="10"/>
      <name val="Arial"/>
    </font>
    <font>
      <color theme="0"/>
      <family val="2"/>
      <scheme val="minor"/>
      <sz val="11"/>
      <name val="Calibri"/>
    </font>
    <font>
      <b/>
      <color rgb="FF32479E"/>
      <family val="2"/>
      <scheme val="minor"/>
      <sz val="10"/>
      <name val="Calibri"/>
    </font>
    <font>
      <b/>
      <color theme="0"/>
      <family val="2"/>
      <scheme val="minor"/>
      <sz val="16"/>
      <name val="Calibri"/>
    </font>
    <font>
      <b/>
      <color theme="0"/>
      <family val="2"/>
      <scheme val="minor"/>
      <sz val="11"/>
      <name val="Calibri"/>
    </font>
    <font>
      <color indexed="8"/>
      <family val="2"/>
      <scheme val="minor"/>
      <sz val="12"/>
      <name val="Calibri"/>
    </font>
    <font>
      <i/>
      <color theme="1"/>
      <family val="2"/>
      <scheme val="minor"/>
      <sz val="12"/>
      <name val="Calibri"/>
    </font>
    <font>
      <family val="2"/>
      <scheme val="minor"/>
      <sz val="12"/>
      <name val="Calibri"/>
    </font>
    <font>
      <b/>
      <color indexed="8"/>
      <family val="2"/>
      <scheme val="minor"/>
      <sz val="16"/>
      <name val="Calibri"/>
    </font>
    <font>
      <color rgb="FFFF0000"/>
      <family val="2"/>
      <scheme val="minor"/>
      <sz val="11"/>
      <name val="Calibri"/>
    </font>
    <font>
      <family val="2"/>
      <scheme val="minor"/>
      <sz val="11"/>
      <name val="Calibri"/>
    </font>
    <font>
      <b/>
      <family val="2"/>
      <sz val="16"/>
      <name val="Arial"/>
    </font>
    <font>
      <family val="2"/>
      <sz val="11"/>
      <name val="Arial"/>
    </font>
    <font>
      <color theme="1"/>
      <family val="2"/>
      <sz val="11"/>
      <name val="Arial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54F3D"/>
        <bgColor indexed="64"/>
      </patternFill>
    </fill>
    <fill>
      <patternFill patternType="solid">
        <fgColor rgb="FF32479E"/>
        <bgColor indexed="64"/>
      </patternFill>
    </fill>
    <fill>
      <patternFill patternType="solid">
        <fgColor theme="4"/>
        <bgColor theme="4"/>
      </patternFill>
    </fill>
  </fills>
  <borders count="70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/>
      <right style="medium"/>
      <top style="medium"/>
      <bottom/>
      <diagonal/>
    </border>
    <border>
      <left/>
      <right/>
      <top style="medium"/>
      <bottom style="medium"/>
      <diagonal/>
    </border>
    <border>
      <left/>
      <right style="medium"/>
      <top style="medium"/>
      <bottom style="medium"/>
      <diagonal/>
    </border>
    <border>
      <left/>
      <right style="thin"/>
      <top style="medium"/>
      <bottom style="medium"/>
      <diagonal/>
    </border>
    <border>
      <left style="medium"/>
      <right style="medium"/>
      <top/>
      <bottom/>
      <diagonal/>
    </border>
    <border>
      <left style="medium"/>
      <right style="medium"/>
      <top/>
      <bottom style="medium"/>
      <diagonal/>
    </border>
    <border>
      <left/>
      <right style="medium"/>
      <top style="medium"/>
      <bottom/>
      <diagonal/>
    </border>
    <border>
      <left style="medium"/>
      <right/>
      <top style="medium"/>
      <bottom/>
      <diagonal/>
    </border>
    <border>
      <left/>
      <right/>
      <top style="medium"/>
      <bottom/>
      <diagonal/>
    </border>
    <border>
      <left style="medium"/>
      <right/>
      <top style="medium"/>
      <bottom style="medium"/>
      <diagonal/>
    </border>
    <border>
      <left style="medium"/>
      <right style="thin"/>
      <top style="medium"/>
      <bottom style="thin"/>
      <diagonal/>
    </border>
    <border>
      <left style="thin"/>
      <right style="medium"/>
      <top style="medium"/>
      <bottom style="thin"/>
      <diagonal/>
    </border>
    <border>
      <left style="medium"/>
      <right style="medium"/>
      <top style="medium"/>
      <bottom style="medium"/>
      <diagonal/>
    </border>
    <border>
      <left/>
      <right style="medium"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/>
      <right style="thin"/>
      <top style="medium"/>
      <bottom/>
      <diagonal/>
    </border>
    <border>
      <left style="thin"/>
      <right style="medium"/>
      <top style="medium"/>
      <bottom/>
      <diagonal/>
    </border>
    <border>
      <left/>
      <right style="thin"/>
      <top style="medium"/>
      <bottom/>
      <diagonal/>
    </border>
    <border>
      <left style="thin"/>
      <right/>
      <top style="medium"/>
      <bottom/>
      <diagonal/>
    </border>
    <border>
      <left/>
      <right style="thin"/>
      <top style="thin"/>
      <bottom/>
      <diagonal/>
    </border>
    <border>
      <left style="thin"/>
      <right style="medium"/>
      <top style="thin"/>
      <bottom/>
      <diagonal/>
    </border>
    <border>
      <left/>
      <right/>
      <top/>
      <bottom style="thin"/>
      <diagonal/>
    </border>
    <border>
      <left style="medium"/>
      <right style="thin"/>
      <top style="medium"/>
      <bottom style="medium"/>
      <diagonal/>
    </border>
    <border>
      <left style="thin"/>
      <right/>
      <top style="medium"/>
      <bottom style="medium"/>
      <diagonal/>
    </border>
    <border>
      <left style="thin"/>
      <right style="thin"/>
      <top style="medium"/>
      <bottom style="medium"/>
      <diagonal/>
    </border>
    <border>
      <left style="medium"/>
      <right/>
      <top/>
      <bottom style="thin"/>
      <diagonal/>
    </border>
    <border>
      <left style="medium"/>
      <right style="thin"/>
      <top/>
      <bottom style="thin"/>
      <diagonal/>
    </border>
    <border>
      <left style="thin"/>
      <right style="thin"/>
      <top/>
      <bottom style="thin"/>
      <diagonal/>
    </border>
    <border>
      <left style="thin"/>
      <right style="medium"/>
      <top/>
      <bottom style="thin"/>
      <diagonal/>
    </border>
    <border>
      <left style="thin"/>
      <right/>
      <top/>
      <bottom style="thin"/>
      <diagonal/>
    </border>
    <border>
      <left style="medium"/>
      <right style="thin"/>
      <top style="thin"/>
      <bottom style="thin"/>
      <diagonal/>
    </border>
    <border>
      <left style="medium"/>
      <right/>
      <top style="thin"/>
      <bottom style="thin"/>
      <diagonal/>
    </border>
    <border>
      <left style="thin"/>
      <right style="medium"/>
      <top style="thin"/>
      <bottom style="thin"/>
      <diagonal/>
    </border>
    <border>
      <left style="thin"/>
      <right/>
      <top style="thin"/>
      <bottom style="thin"/>
      <diagonal/>
    </border>
    <border>
      <left style="medium"/>
      <right style="thin"/>
      <top style="thin"/>
      <bottom style="medium"/>
      <diagonal/>
    </border>
    <border>
      <left style="medium"/>
      <right style="thin"/>
      <top style="thin"/>
      <bottom/>
      <diagonal/>
    </border>
    <border>
      <left style="thin"/>
      <right style="thin"/>
      <top style="thin"/>
      <bottom/>
      <diagonal/>
    </border>
    <border>
      <left style="thin"/>
      <right/>
      <top style="thin"/>
      <bottom/>
      <diagonal/>
    </border>
    <border>
      <left style="medium"/>
      <right style="thin"/>
      <top/>
      <bottom style="medium"/>
      <diagonal/>
    </border>
    <border>
      <left style="thin"/>
      <right style="medium"/>
      <top/>
      <bottom style="medium"/>
      <diagonal/>
    </border>
    <border>
      <left style="thin"/>
      <right/>
      <top/>
      <bottom/>
      <diagonal/>
    </border>
    <border>
      <left style="medium"/>
      <right style="thin"/>
      <top/>
      <bottom/>
      <diagonal/>
    </border>
    <border>
      <left style="medium"/>
      <right/>
      <top style="thin"/>
      <bottom/>
      <diagonal/>
    </border>
    <border>
      <left style="thin"/>
      <right style="thin"/>
      <top style="thin"/>
      <bottom style="medium">
        <color indexed="64"/>
      </bottom>
      <diagonal/>
    </border>
    <border>
      <left style="thin"/>
      <right style="medium"/>
      <top style="thin"/>
      <bottom style="medium"/>
      <diagonal/>
    </border>
    <border>
      <left style="thin"/>
      <right/>
      <top style="thin"/>
      <bottom style="medium">
        <color indexed="64"/>
      </bottom>
      <diagonal/>
    </border>
    <border>
      <left style="medium"/>
      <right/>
      <top/>
      <bottom/>
      <diagonal/>
    </border>
    <border>
      <left/>
      <right/>
      <top style="thin"/>
      <bottom/>
      <diagonal/>
    </border>
    <border>
      <left style="medium"/>
      <right/>
      <top style="thin"/>
      <bottom style="medium"/>
      <diagonal/>
    </border>
    <border>
      <left style="medium"/>
      <right/>
      <top style="medium"/>
      <bottom style="thin"/>
      <diagonal/>
    </border>
    <border>
      <left style="medium">
        <color indexed="64"/>
      </left>
      <right style="medium">
        <color indexed="64"/>
      </right>
      <top style="thin"/>
      <bottom style="thin"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/>
      <diagonal/>
    </border>
    <border>
      <left style="medium">
        <color indexed="64"/>
      </left>
      <right style="medium">
        <color indexed="64"/>
      </right>
      <top style="thin"/>
      <bottom style="medium">
        <color indexed="64"/>
      </bottom>
      <diagonal/>
    </border>
    <border>
      <left style="thin"/>
      <right style="medium"/>
      <top/>
      <bottom/>
      <diagonal/>
    </border>
    <border>
      <left/>
      <right/>
      <top style="thin"/>
      <bottom style="thin"/>
      <diagonal/>
    </border>
    <border>
      <left style="medium">
        <color indexed="64"/>
      </left>
      <right style="medium">
        <color indexed="64"/>
      </right>
      <top style="thin"/>
      <bottom/>
      <diagonal/>
    </border>
    <border>
      <left style="thin"/>
      <right style="medium"/>
      <top style="medium"/>
      <bottom style="medium"/>
      <diagonal/>
    </border>
    <border>
      <left style="thin"/>
      <right style="thin"/>
      <top style="medium">
        <color indexed="64"/>
      </top>
      <bottom style="thin"/>
      <diagonal/>
    </border>
    <border>
      <left style="thin"/>
      <right style="thin"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/>
      <diagonal/>
    </border>
    <border>
      <left/>
      <right style="thin"/>
      <top style="thin"/>
      <bottom style="thin"/>
      <diagonal/>
    </border>
    <border>
      <left/>
      <right style="thin"/>
      <top/>
      <bottom style="thin"/>
      <diagonal/>
    </border>
    <border>
      <left/>
      <right style="thin"/>
      <top/>
      <bottom/>
      <diagonal/>
    </border>
    <border>
      <left/>
      <right/>
      <top/>
      <bottom style="thick">
        <color theme="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7">
    <xf numFmtId="0" fontId="0" fillId="0" borderId="0" xfId="0"/>
    <xf numFmtId="0" fontId="0" fillId="0" borderId="1" xfId="0" applyBorder="1"/>
    <xf numFmtId="0" fontId="0" fillId="2" borderId="0" xfId="0" applyFill="1"/>
    <xf numFmtId="0" fontId="1" fillId="2" borderId="0" xfId="0" applyFont="1" applyFill="1" applyAlignment="1">
      <alignment vertical="center"/>
    </xf>
    <xf numFmtId="0" fontId="2" fillId="0" borderId="0" xfId="0" applyFont="1"/>
    <xf numFmtId="0" fontId="3" fillId="3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22" fontId="5" fillId="0" borderId="2" xfId="0" applyNumberFormat="1" applyFont="1" applyBorder="1"/>
    <xf numFmtId="0" fontId="6" fillId="0" borderId="2" xfId="0" applyFont="1" applyBorder="1"/>
    <xf numFmtId="22" fontId="0" fillId="0" borderId="0" xfId="0" applyNumberFormat="1"/>
    <xf numFmtId="22" fontId="6" fillId="0" borderId="2" xfId="0" applyNumberFormat="1" applyFont="1" applyBorder="1" applyAlignment="1">
      <alignment horizontal="left"/>
    </xf>
    <xf numFmtId="0" fontId="7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left"/>
    </xf>
    <xf numFmtId="0" fontId="9" fillId="0" borderId="3" xfId="0" applyFont="1" applyBorder="1" applyAlignment="1">
      <alignment horizontal="right" vertical="center" wrapText="1"/>
    </xf>
    <xf numFmtId="0" fontId="10" fillId="0" borderId="4" xfId="0" applyFont="1" applyBorder="1" applyAlignment="1">
      <alignment vertical="center"/>
    </xf>
    <xf numFmtId="0" fontId="10" fillId="0" borderId="4" xfId="0" applyFont="1" applyBorder="1" applyAlignment="1">
      <alignment horizontal="center" vertical="center"/>
    </xf>
    <xf numFmtId="0" fontId="10" fillId="0" borderId="5" xfId="0" applyFont="1" applyBorder="1" applyAlignment="1">
      <alignment vertical="center"/>
    </xf>
    <xf numFmtId="0" fontId="10" fillId="0" borderId="6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1" fillId="0" borderId="7" xfId="0" applyFont="1" applyBorder="1" applyAlignment="1">
      <alignment vertical="center" wrapText="1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12" fillId="0" borderId="5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12" fillId="0" borderId="0" xfId="0" applyFont="1" applyAlignment="1">
      <alignment horizontal="center" vertical="center"/>
    </xf>
    <xf numFmtId="0" fontId="11" fillId="0" borderId="8" xfId="0" applyFont="1" applyBorder="1" applyAlignment="1">
      <alignment vertical="center" wrapText="1"/>
    </xf>
    <xf numFmtId="17" fontId="13" fillId="0" borderId="3" xfId="0" applyNumberFormat="1" applyFont="1" applyBorder="1" applyAlignment="1">
      <alignment horizontal="left" vertical="top"/>
    </xf>
    <xf numFmtId="0" fontId="0" fillId="0" borderId="8" xfId="0" applyBorder="1"/>
    <xf numFmtId="17" fontId="14" fillId="0" borderId="9" xfId="0" applyNumberFormat="1" applyFont="1" applyBorder="1" applyAlignment="1">
      <alignment horizontal="center"/>
    </xf>
    <xf numFmtId="49" fontId="14" fillId="4" borderId="10" xfId="0" applyNumberFormat="1" applyFont="1" applyFill="1" applyBorder="1" applyAlignment="1">
      <alignment horizontal="center"/>
    </xf>
    <xf numFmtId="49" fontId="14" fillId="4" borderId="11" xfId="0" applyNumberFormat="1" applyFont="1" applyFill="1" applyBorder="1" applyAlignment="1">
      <alignment horizontal="center"/>
    </xf>
    <xf numFmtId="49" fontId="14" fillId="4" borderId="9" xfId="0" applyNumberFormat="1" applyFont="1" applyFill="1" applyBorder="1" applyAlignment="1">
      <alignment horizontal="center"/>
    </xf>
    <xf numFmtId="49" fontId="14" fillId="4" borderId="12" xfId="0" applyNumberFormat="1" applyFont="1" applyFill="1" applyBorder="1" applyAlignment="1">
      <alignment horizontal="center"/>
    </xf>
    <xf numFmtId="49" fontId="14" fillId="4" borderId="4" xfId="0" applyNumberFormat="1" applyFont="1" applyFill="1" applyBorder="1" applyAlignment="1">
      <alignment horizontal="center"/>
    </xf>
    <xf numFmtId="49" fontId="14" fillId="4" borderId="5" xfId="0" applyNumberFormat="1" applyFont="1" applyFill="1" applyBorder="1" applyAlignment="1">
      <alignment horizontal="center"/>
    </xf>
    <xf numFmtId="49" fontId="14" fillId="5" borderId="12" xfId="0" applyNumberFormat="1" applyFont="1" applyFill="1" applyBorder="1" applyAlignment="1">
      <alignment horizontal="center"/>
    </xf>
    <xf numFmtId="49" fontId="14" fillId="5" borderId="4" xfId="0" applyNumberFormat="1" applyFont="1" applyFill="1" applyBorder="1" applyAlignment="1">
      <alignment horizontal="center"/>
    </xf>
    <xf numFmtId="49" fontId="14" fillId="5" borderId="5" xfId="0" applyNumberFormat="1" applyFont="1" applyFill="1" applyBorder="1" applyAlignment="1">
      <alignment horizontal="center"/>
    </xf>
    <xf numFmtId="49" fontId="14" fillId="6" borderId="12" xfId="0" applyNumberFormat="1" applyFont="1" applyFill="1" applyBorder="1" applyAlignment="1">
      <alignment horizontal="center"/>
    </xf>
    <xf numFmtId="49" fontId="14" fillId="6" borderId="4" xfId="0" applyNumberFormat="1" applyFont="1" applyFill="1" applyBorder="1" applyAlignment="1">
      <alignment horizontal="center"/>
    </xf>
    <xf numFmtId="49" fontId="14" fillId="6" borderId="5" xfId="0" applyNumberFormat="1" applyFont="1" applyFill="1" applyBorder="1" applyAlignment="1">
      <alignment horizontal="center"/>
    </xf>
    <xf numFmtId="49" fontId="14" fillId="7" borderId="12" xfId="0" applyNumberFormat="1" applyFont="1" applyFill="1" applyBorder="1" applyAlignment="1">
      <alignment horizontal="center"/>
    </xf>
    <xf numFmtId="49" fontId="14" fillId="7" borderId="4" xfId="0" applyNumberFormat="1" applyFont="1" applyFill="1" applyBorder="1" applyAlignment="1">
      <alignment horizontal="center"/>
    </xf>
    <xf numFmtId="49" fontId="14" fillId="7" borderId="5" xfId="0" applyNumberFormat="1" applyFont="1" applyFill="1" applyBorder="1" applyAlignment="1">
      <alignment horizontal="center"/>
    </xf>
    <xf numFmtId="49" fontId="14" fillId="8" borderId="12" xfId="0" applyNumberFormat="1" applyFont="1" applyFill="1" applyBorder="1" applyAlignment="1">
      <alignment horizontal="center"/>
    </xf>
    <xf numFmtId="49" fontId="14" fillId="8" borderId="4" xfId="0" applyNumberFormat="1" applyFont="1" applyFill="1" applyBorder="1" applyAlignment="1">
      <alignment horizontal="center"/>
    </xf>
    <xf numFmtId="49" fontId="14" fillId="8" borderId="5" xfId="0" applyNumberFormat="1" applyFont="1" applyFill="1" applyBorder="1" applyAlignment="1">
      <alignment horizontal="center"/>
    </xf>
    <xf numFmtId="49" fontId="14" fillId="9" borderId="12" xfId="0" applyNumberFormat="1" applyFont="1" applyFill="1" applyBorder="1" applyAlignment="1">
      <alignment horizontal="center"/>
    </xf>
    <xf numFmtId="49" fontId="14" fillId="9" borderId="4" xfId="0" applyNumberFormat="1" applyFont="1" applyFill="1" applyBorder="1" applyAlignment="1">
      <alignment horizontal="center"/>
    </xf>
    <xf numFmtId="49" fontId="14" fillId="9" borderId="5" xfId="0" applyNumberFormat="1" applyFont="1" applyFill="1" applyBorder="1" applyAlignment="1">
      <alignment horizontal="center"/>
    </xf>
    <xf numFmtId="49" fontId="14" fillId="10" borderId="12" xfId="0" applyNumberFormat="1" applyFont="1" applyFill="1" applyBorder="1" applyAlignment="1">
      <alignment horizontal="center"/>
    </xf>
    <xf numFmtId="49" fontId="14" fillId="10" borderId="4" xfId="0" applyNumberFormat="1" applyFont="1" applyFill="1" applyBorder="1" applyAlignment="1">
      <alignment horizontal="center"/>
    </xf>
    <xf numFmtId="49" fontId="14" fillId="10" borderId="5" xfId="0" applyNumberFormat="1" applyFont="1" applyFill="1" applyBorder="1" applyAlignment="1">
      <alignment horizontal="center"/>
    </xf>
    <xf numFmtId="49" fontId="14" fillId="11" borderId="12" xfId="0" applyNumberFormat="1" applyFont="1" applyFill="1" applyBorder="1" applyAlignment="1">
      <alignment horizontal="center"/>
    </xf>
    <xf numFmtId="49" fontId="14" fillId="11" borderId="4" xfId="0" applyNumberFormat="1" applyFont="1" applyFill="1" applyBorder="1" applyAlignment="1">
      <alignment horizontal="center"/>
    </xf>
    <xf numFmtId="49" fontId="14" fillId="11" borderId="5" xfId="0" applyNumberFormat="1" applyFont="1" applyFill="1" applyBorder="1" applyAlignment="1">
      <alignment horizontal="center"/>
    </xf>
    <xf numFmtId="49" fontId="14" fillId="12" borderId="12" xfId="0" applyNumberFormat="1" applyFont="1" applyFill="1" applyBorder="1" applyAlignment="1">
      <alignment horizontal="center"/>
    </xf>
    <xf numFmtId="49" fontId="14" fillId="12" borderId="4" xfId="0" applyNumberFormat="1" applyFont="1" applyFill="1" applyBorder="1" applyAlignment="1">
      <alignment horizontal="center"/>
    </xf>
    <xf numFmtId="49" fontId="14" fillId="12" borderId="5" xfId="0" applyNumberFormat="1" applyFont="1" applyFill="1" applyBorder="1" applyAlignment="1">
      <alignment horizontal="center"/>
    </xf>
    <xf numFmtId="49" fontId="14" fillId="13" borderId="12" xfId="0" applyNumberFormat="1" applyFont="1" applyFill="1" applyBorder="1" applyAlignment="1">
      <alignment horizontal="center"/>
    </xf>
    <xf numFmtId="49" fontId="14" fillId="13" borderId="4" xfId="0" applyNumberFormat="1" applyFont="1" applyFill="1" applyBorder="1" applyAlignment="1">
      <alignment horizontal="center"/>
    </xf>
    <xf numFmtId="49" fontId="14" fillId="13" borderId="5" xfId="0" applyNumberFormat="1" applyFont="1" applyFill="1" applyBorder="1" applyAlignment="1">
      <alignment horizontal="center"/>
    </xf>
    <xf numFmtId="49" fontId="14" fillId="14" borderId="12" xfId="0" applyNumberFormat="1" applyFont="1" applyFill="1" applyBorder="1" applyAlignment="1">
      <alignment horizontal="center"/>
    </xf>
    <xf numFmtId="49" fontId="14" fillId="14" borderId="4" xfId="0" applyNumberFormat="1" applyFont="1" applyFill="1" applyBorder="1" applyAlignment="1">
      <alignment horizontal="center"/>
    </xf>
    <xf numFmtId="49" fontId="14" fillId="14" borderId="5" xfId="0" applyNumberFormat="1" applyFont="1" applyFill="1" applyBorder="1" applyAlignment="1">
      <alignment horizontal="center"/>
    </xf>
    <xf numFmtId="0" fontId="14" fillId="7" borderId="13" xfId="0" applyFont="1" applyFill="1" applyBorder="1" applyAlignment="1">
      <alignment horizontal="center" vertical="center"/>
    </xf>
    <xf numFmtId="0" fontId="14" fillId="7" borderId="14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/>
    </xf>
    <xf numFmtId="0" fontId="15" fillId="15" borderId="19" xfId="0" applyFont="1" applyFill="1" applyBorder="1" applyAlignment="1">
      <alignment horizontal="center" vertical="center" wrapText="1"/>
    </xf>
    <xf numFmtId="0" fontId="15" fillId="15" borderId="20" xfId="0" applyFont="1" applyFill="1" applyBorder="1" applyAlignment="1">
      <alignment horizontal="center" vertical="center" wrapText="1"/>
    </xf>
    <xf numFmtId="0" fontId="15" fillId="15" borderId="21" xfId="0" applyFont="1" applyFill="1" applyBorder="1" applyAlignment="1">
      <alignment horizontal="center" vertical="center" wrapText="1"/>
    </xf>
    <xf numFmtId="0" fontId="14" fillId="7" borderId="22" xfId="0" applyFont="1" applyFill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 wrapText="1"/>
    </xf>
    <xf numFmtId="0" fontId="16" fillId="0" borderId="24" xfId="0" applyFont="1" applyBorder="1"/>
    <xf numFmtId="0" fontId="15" fillId="15" borderId="10" xfId="0" applyFont="1" applyFill="1" applyBorder="1" applyAlignment="1">
      <alignment vertical="center" wrapText="1"/>
    </xf>
    <xf numFmtId="0" fontId="15" fillId="15" borderId="0" xfId="0" applyFont="1" applyFill="1" applyAlignment="1">
      <alignment horizontal="center" vertical="center" wrapText="1"/>
    </xf>
    <xf numFmtId="0" fontId="15" fillId="15" borderId="25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/>
    </xf>
    <xf numFmtId="9" fontId="15" fillId="15" borderId="15" xfId="0" applyNumberFormat="1" applyFont="1" applyFill="1" applyBorder="1" applyAlignment="1">
      <alignment horizontal="center" vertical="center" wrapText="1"/>
    </xf>
    <xf numFmtId="0" fontId="15" fillId="15" borderId="27" xfId="0" applyFont="1" applyFill="1" applyBorder="1" applyAlignment="1">
      <alignment horizontal="center" vertical="center" wrapText="1"/>
    </xf>
    <xf numFmtId="9" fontId="15" fillId="15" borderId="12" xfId="0" applyNumberFormat="1" applyFont="1" applyFill="1" applyBorder="1" applyAlignment="1">
      <alignment horizontal="center" vertical="center" wrapText="1"/>
    </xf>
    <xf numFmtId="9" fontId="17" fillId="0" borderId="1" xfId="0" applyNumberFormat="1" applyFont="1" applyBorder="1" applyAlignment="1">
      <alignment horizontal="center"/>
    </xf>
    <xf numFmtId="0" fontId="0" fillId="16" borderId="1" xfId="0" applyFill="1" applyBorder="1" applyAlignment="1">
      <alignment horizontal="center"/>
    </xf>
    <xf numFmtId="0" fontId="16" fillId="0" borderId="24" xfId="0" applyFont="1" applyBorder="1" applyAlignment="1">
      <alignment horizontal="center"/>
    </xf>
    <xf numFmtId="0" fontId="18" fillId="0" borderId="13" xfId="0" applyFont="1" applyBorder="1" applyAlignment="1">
      <alignment wrapText="1"/>
    </xf>
    <xf numFmtId="9" fontId="0" fillId="0" borderId="28" xfId="0" applyNumberFormat="1" applyBorder="1"/>
    <xf numFmtId="0" fontId="0" fillId="0" borderId="29" xfId="0" applyBorder="1"/>
    <xf numFmtId="1" fontId="0" fillId="0" borderId="30" xfId="0" applyNumberFormat="1" applyBorder="1"/>
    <xf numFmtId="9" fontId="0" fillId="0" borderId="31" xfId="0" applyNumberFormat="1" applyBorder="1"/>
    <xf numFmtId="1" fontId="0" fillId="0" borderId="29" xfId="0" applyNumberFormat="1" applyBorder="1"/>
    <xf numFmtId="1" fontId="0" fillId="0" borderId="29" xfId="0" applyNumberFormat="1" applyBorder="1" applyAlignment="1">
      <alignment horizontal="center" vertical="center"/>
    </xf>
    <xf numFmtId="1" fontId="0" fillId="0" borderId="30" xfId="0" applyNumberFormat="1" applyBorder="1" applyAlignment="1">
      <alignment horizontal="center" vertical="center"/>
    </xf>
    <xf numFmtId="0" fontId="0" fillId="0" borderId="30" xfId="0" applyBorder="1"/>
    <xf numFmtId="9" fontId="0" fillId="0" borderId="32" xfId="0" applyNumberFormat="1" applyBorder="1"/>
    <xf numFmtId="0" fontId="0" fillId="12" borderId="1" xfId="0" applyFill="1" applyBorder="1" applyAlignment="1">
      <alignment horizontal="center"/>
    </xf>
    <xf numFmtId="9" fontId="14" fillId="0" borderId="1" xfId="0" applyNumberFormat="1" applyFont="1" applyBorder="1" applyAlignment="1">
      <alignment horizontal="center" vertical="center"/>
    </xf>
    <xf numFmtId="0" fontId="18" fillId="0" borderId="33" xfId="0" applyFont="1" applyBorder="1" applyAlignment="1">
      <alignment wrapText="1"/>
    </xf>
    <xf numFmtId="9" fontId="0" fillId="0" borderId="34" xfId="0" applyNumberFormat="1" applyBorder="1"/>
    <xf numFmtId="0" fontId="0" fillId="0" borderId="33" xfId="0" applyBorder="1"/>
    <xf numFmtId="1" fontId="0" fillId="0" borderId="1" xfId="0" applyNumberFormat="1" applyBorder="1"/>
    <xf numFmtId="9" fontId="0" fillId="0" borderId="35" xfId="0" applyNumberFormat="1" applyBorder="1"/>
    <xf numFmtId="1" fontId="0" fillId="0" borderId="33" xfId="0" applyNumberFormat="1" applyBorder="1"/>
    <xf numFmtId="1" fontId="0" fillId="0" borderId="3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9" fontId="0" fillId="0" borderId="36" xfId="0" applyNumberFormat="1" applyBorder="1"/>
    <xf numFmtId="0" fontId="1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33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17" borderId="1" xfId="0" applyFill="1" applyBorder="1" applyAlignment="1">
      <alignment horizontal="center"/>
    </xf>
    <xf numFmtId="0" fontId="18" fillId="0" borderId="37" xfId="0" applyFont="1" applyBorder="1" applyAlignment="1">
      <alignment wrapText="1"/>
    </xf>
    <xf numFmtId="0" fontId="0" fillId="0" borderId="38" xfId="0" applyBorder="1"/>
    <xf numFmtId="1" fontId="0" fillId="0" borderId="39" xfId="0" applyNumberFormat="1" applyBorder="1"/>
    <xf numFmtId="9" fontId="0" fillId="0" borderId="23" xfId="0" applyNumberFormat="1" applyBorder="1"/>
    <xf numFmtId="1" fontId="0" fillId="0" borderId="38" xfId="0" applyNumberFormat="1" applyBorder="1"/>
    <xf numFmtId="1" fontId="0" fillId="0" borderId="38" xfId="0" applyNumberFormat="1" applyBorder="1" applyAlignment="1">
      <alignment horizontal="center" vertical="center"/>
    </xf>
    <xf numFmtId="1" fontId="0" fillId="0" borderId="39" xfId="0" applyNumberFormat="1" applyBorder="1" applyAlignment="1">
      <alignment horizontal="center" vertical="center"/>
    </xf>
    <xf numFmtId="0" fontId="0" fillId="0" borderId="39" xfId="0" applyBorder="1"/>
    <xf numFmtId="9" fontId="0" fillId="0" borderId="40" xfId="0" applyNumberFormat="1" applyBorder="1"/>
    <xf numFmtId="0" fontId="19" fillId="18" borderId="15" xfId="0" applyFont="1" applyFill="1" applyBorder="1" applyAlignment="1">
      <alignment vertical="center" wrapText="1"/>
    </xf>
    <xf numFmtId="9" fontId="0" fillId="15" borderId="12" xfId="0" applyNumberFormat="1" applyFill="1" applyBorder="1"/>
    <xf numFmtId="9" fontId="0" fillId="15" borderId="25" xfId="0" applyNumberFormat="1" applyFill="1" applyBorder="1"/>
    <xf numFmtId="0" fontId="0" fillId="15" borderId="27" xfId="0" applyFill="1" applyBorder="1"/>
    <xf numFmtId="0" fontId="0" fillId="15" borderId="25" xfId="0" applyFill="1" applyBorder="1"/>
    <xf numFmtId="1" fontId="0" fillId="15" borderId="27" xfId="0" applyNumberFormat="1" applyFill="1" applyBorder="1"/>
    <xf numFmtId="1" fontId="0" fillId="15" borderId="25" xfId="0" applyNumberFormat="1" applyFill="1" applyBorder="1"/>
    <xf numFmtId="0" fontId="0" fillId="15" borderId="25" xfId="0" applyFill="1" applyBorder="1" applyAlignment="1">
      <alignment horizontal="center" vertical="center"/>
    </xf>
    <xf numFmtId="0" fontId="0" fillId="15" borderId="27" xfId="0" applyFill="1" applyBorder="1" applyAlignment="1">
      <alignment horizontal="center" vertical="center"/>
    </xf>
    <xf numFmtId="0" fontId="0" fillId="0" borderId="23" xfId="0" applyBorder="1" applyAlignment="1">
      <alignment horizontal="right"/>
    </xf>
    <xf numFmtId="0" fontId="18" fillId="0" borderId="41" xfId="0" applyFont="1" applyBorder="1" applyAlignment="1">
      <alignment wrapText="1"/>
    </xf>
    <xf numFmtId="0" fontId="0" fillId="0" borderId="42" xfId="0" applyBorder="1" applyAlignment="1">
      <alignment horizontal="right"/>
    </xf>
    <xf numFmtId="9" fontId="0" fillId="15" borderId="27" xfId="0" applyNumberFormat="1" applyFill="1" applyBorder="1"/>
    <xf numFmtId="9" fontId="0" fillId="15" borderId="25" xfId="0" applyNumberFormat="1" applyFill="1" applyBorder="1" applyAlignment="1">
      <alignment horizontal="center" vertical="center"/>
    </xf>
    <xf numFmtId="9" fontId="0" fillId="15" borderId="27" xfId="0" applyNumberFormat="1" applyFill="1" applyBorder="1" applyAlignment="1">
      <alignment horizontal="center" vertical="center"/>
    </xf>
    <xf numFmtId="0" fontId="18" fillId="0" borderId="29" xfId="0" applyFont="1" applyBorder="1" applyAlignment="1">
      <alignment wrapText="1"/>
    </xf>
    <xf numFmtId="0" fontId="20" fillId="0" borderId="33" xfId="0" applyFont="1" applyBorder="1" applyAlignment="1">
      <alignment wrapText="1"/>
    </xf>
    <xf numFmtId="0" fontId="21" fillId="0" borderId="33" xfId="0" applyFont="1" applyBorder="1" applyAlignment="1">
      <alignment horizontal="left" vertical="top" wrapText="1"/>
    </xf>
    <xf numFmtId="0" fontId="18" fillId="2" borderId="29" xfId="0" applyFont="1" applyFill="1" applyBorder="1" applyAlignment="1">
      <alignment wrapText="1"/>
    </xf>
    <xf numFmtId="0" fontId="18" fillId="0" borderId="38" xfId="0" applyFont="1" applyBorder="1" applyAlignment="1">
      <alignment wrapText="1"/>
    </xf>
    <xf numFmtId="0" fontId="18" fillId="19" borderId="17" xfId="0" applyFont="1" applyFill="1" applyBorder="1" applyAlignment="1">
      <alignment horizontal="left" vertical="center" wrapText="1"/>
    </xf>
    <xf numFmtId="9" fontId="0" fillId="0" borderId="43" xfId="0" applyNumberFormat="1" applyBorder="1"/>
    <xf numFmtId="0" fontId="19" fillId="18" borderId="12" xfId="0" applyFont="1" applyFill="1" applyBorder="1" applyAlignment="1">
      <alignment vertical="center" wrapText="1"/>
    </xf>
    <xf numFmtId="0" fontId="18" fillId="2" borderId="13" xfId="0" applyFont="1" applyFill="1" applyBorder="1" applyAlignment="1">
      <alignment wrapText="1"/>
    </xf>
    <xf numFmtId="0" fontId="18" fillId="2" borderId="44" xfId="0" applyFont="1" applyFill="1" applyBorder="1" applyAlignment="1">
      <alignment wrapText="1"/>
    </xf>
    <xf numFmtId="9" fontId="0" fillId="0" borderId="45" xfId="0" applyNumberFormat="1" applyBorder="1"/>
    <xf numFmtId="9" fontId="0" fillId="0" borderId="15" xfId="0" applyNumberFormat="1" applyBorder="1"/>
    <xf numFmtId="0" fontId="0" fillId="0" borderId="37" xfId="0" applyBorder="1"/>
    <xf numFmtId="1" fontId="0" fillId="0" borderId="46" xfId="0" applyNumberFormat="1" applyBorder="1"/>
    <xf numFmtId="9" fontId="0" fillId="0" borderId="47" xfId="0" applyNumberFormat="1" applyBorder="1"/>
    <xf numFmtId="1" fontId="0" fillId="0" borderId="37" xfId="0" applyNumberFormat="1" applyBorder="1"/>
    <xf numFmtId="1" fontId="0" fillId="0" borderId="37" xfId="0" applyNumberFormat="1" applyBorder="1" applyAlignment="1">
      <alignment horizontal="center" vertical="center"/>
    </xf>
    <xf numFmtId="1" fontId="0" fillId="0" borderId="46" xfId="0" applyNumberFormat="1" applyBorder="1" applyAlignment="1">
      <alignment horizontal="center" vertical="center"/>
    </xf>
    <xf numFmtId="0" fontId="0" fillId="0" borderId="46" xfId="0" applyBorder="1"/>
    <xf numFmtId="9" fontId="0" fillId="0" borderId="48" xfId="0" applyNumberFormat="1" applyBorder="1"/>
    <xf numFmtId="1" fontId="0" fillId="0" borderId="0" xfId="0" applyNumberFormat="1"/>
    <xf numFmtId="0" fontId="0" fillId="0" borderId="49" xfId="0" applyBorder="1" applyAlignment="1">
      <alignment horizontal="center" vertical="center"/>
    </xf>
    <xf numFmtId="0" fontId="22" fillId="15" borderId="15" xfId="0" applyFont="1" applyFill="1" applyBorder="1" applyAlignment="1">
      <alignment vertical="center" wrapText="1"/>
    </xf>
    <xf numFmtId="0" fontId="0" fillId="16" borderId="5" xfId="0" applyFill="1" applyBorder="1" applyAlignment="1">
      <alignment horizontal="center"/>
    </xf>
    <xf numFmtId="0" fontId="23" fillId="18" borderId="15" xfId="0" applyFont="1" applyFill="1" applyBorder="1" applyAlignment="1">
      <alignment vertical="center" wrapText="1"/>
    </xf>
    <xf numFmtId="0" fontId="18" fillId="0" borderId="10" xfId="0" applyFont="1" applyBorder="1" applyAlignment="1">
      <alignment wrapText="1"/>
    </xf>
    <xf numFmtId="0" fontId="18" fillId="0" borderId="1" xfId="0" applyFont="1" applyBorder="1" applyAlignment="1">
      <alignment vertical="center" wrapText="1"/>
    </xf>
    <xf numFmtId="9" fontId="0" fillId="0" borderId="50" xfId="0" applyNumberFormat="1" applyBorder="1"/>
    <xf numFmtId="0" fontId="18" fillId="0" borderId="51" xfId="0" applyFont="1" applyBorder="1" applyAlignment="1">
      <alignment wrapText="1"/>
    </xf>
    <xf numFmtId="0" fontId="18" fillId="0" borderId="52" xfId="0" applyFont="1" applyBorder="1" applyAlignment="1">
      <alignment vertical="center" wrapText="1"/>
    </xf>
    <xf numFmtId="0" fontId="18" fillId="0" borderId="34" xfId="0" applyFont="1" applyBorder="1" applyAlignment="1">
      <alignment vertical="center" wrapText="1"/>
    </xf>
    <xf numFmtId="0" fontId="18" fillId="0" borderId="28" xfId="0" applyFont="1" applyBorder="1" applyAlignment="1">
      <alignment wrapText="1"/>
    </xf>
    <xf numFmtId="0" fontId="18" fillId="0" borderId="53" xfId="0" applyFont="1" applyBorder="1" applyAlignment="1">
      <alignment wrapText="1"/>
    </xf>
    <xf numFmtId="0" fontId="18" fillId="0" borderId="45" xfId="0" applyFont="1" applyBorder="1" applyAlignment="1">
      <alignment vertical="center" wrapText="1"/>
    </xf>
    <xf numFmtId="0" fontId="18" fillId="0" borderId="54" xfId="0" applyFont="1" applyBorder="1" applyAlignment="1">
      <alignment vertical="center" wrapText="1"/>
    </xf>
    <xf numFmtId="0" fontId="18" fillId="0" borderId="53" xfId="0" applyFont="1" applyBorder="1" applyAlignment="1">
      <alignment vertical="center" wrapText="1"/>
    </xf>
    <xf numFmtId="0" fontId="21" fillId="0" borderId="53" xfId="0" applyFont="1" applyBorder="1" applyAlignment="1">
      <alignment vertical="center" wrapText="1"/>
    </xf>
    <xf numFmtId="0" fontId="18" fillId="0" borderId="55" xfId="0" applyFont="1" applyBorder="1" applyAlignment="1">
      <alignment vertical="center" wrapText="1"/>
    </xf>
    <xf numFmtId="0" fontId="18" fillId="2" borderId="28" xfId="0" applyFont="1" applyFill="1" applyBorder="1" applyAlignment="1">
      <alignment vertical="center" wrapText="1"/>
    </xf>
    <xf numFmtId="9" fontId="0" fillId="0" borderId="56" xfId="0" applyNumberFormat="1" applyBorder="1"/>
    <xf numFmtId="0" fontId="19" fillId="18" borderId="3" xfId="0" applyFont="1" applyFill="1" applyBorder="1" applyAlignment="1">
      <alignment vertical="center" wrapText="1"/>
    </xf>
    <xf numFmtId="9" fontId="0" fillId="15" borderId="4" xfId="0" applyNumberFormat="1" applyFill="1" applyBorder="1"/>
    <xf numFmtId="0" fontId="24" fillId="0" borderId="54" xfId="0" applyFont="1" applyBorder="1" applyAlignment="1">
      <alignment vertical="center" wrapText="1"/>
    </xf>
    <xf numFmtId="9" fontId="0" fillId="0" borderId="57" xfId="0" applyNumberFormat="1" applyBorder="1"/>
    <xf numFmtId="0" fontId="24" fillId="0" borderId="53" xfId="0" applyFont="1" applyBorder="1" applyAlignment="1">
      <alignment vertical="center" wrapText="1"/>
    </xf>
    <xf numFmtId="0" fontId="24" fillId="0" borderId="55" xfId="0" applyFont="1" applyBorder="1" applyAlignment="1">
      <alignment vertical="center" wrapText="1"/>
    </xf>
    <xf numFmtId="0" fontId="19" fillId="18" borderId="10" xfId="0" applyFont="1" applyFill="1" applyBorder="1" applyAlignment="1">
      <alignment vertical="center" wrapText="1"/>
    </xf>
    <xf numFmtId="9" fontId="0" fillId="15" borderId="10" xfId="0" applyNumberFormat="1" applyFill="1" applyBorder="1"/>
    <xf numFmtId="9" fontId="0" fillId="0" borderId="54" xfId="0" applyNumberFormat="1" applyBorder="1"/>
    <xf numFmtId="9" fontId="0" fillId="0" borderId="58" xfId="0" applyNumberFormat="1" applyBorder="1"/>
    <xf numFmtId="9" fontId="0" fillId="0" borderId="7" xfId="0" applyNumberFormat="1" applyBorder="1"/>
    <xf numFmtId="9" fontId="0" fillId="0" borderId="53" xfId="0" applyNumberFormat="1" applyBorder="1"/>
    <xf numFmtId="9" fontId="0" fillId="0" borderId="8" xfId="0" applyNumberFormat="1" applyBorder="1"/>
    <xf numFmtId="0" fontId="18" fillId="0" borderId="45" xfId="0" applyFont="1" applyBorder="1" applyAlignment="1">
      <alignment wrapText="1"/>
    </xf>
    <xf numFmtId="0" fontId="0" fillId="0" borderId="55" xfId="0" applyBorder="1" applyAlignment="1">
      <alignment horizontal="right"/>
    </xf>
    <xf numFmtId="0" fontId="18" fillId="0" borderId="29" xfId="0" applyFont="1" applyBorder="1" applyAlignment="1">
      <alignment vertical="center" wrapText="1"/>
    </xf>
    <xf numFmtId="0" fontId="18" fillId="0" borderId="33" xfId="0" applyFont="1" applyBorder="1" applyAlignment="1">
      <alignment vertical="center" wrapText="1"/>
    </xf>
    <xf numFmtId="0" fontId="18" fillId="0" borderId="44" xfId="0" applyFont="1" applyBorder="1" applyAlignment="1">
      <alignment wrapText="1"/>
    </xf>
    <xf numFmtId="0" fontId="18" fillId="0" borderId="38" xfId="0" applyFont="1" applyBorder="1" applyAlignment="1">
      <alignment vertical="center" wrapText="1"/>
    </xf>
    <xf numFmtId="0" fontId="21" fillId="0" borderId="33" xfId="0" applyFont="1" applyBorder="1" applyAlignment="1">
      <alignment vertical="center" wrapText="1"/>
    </xf>
    <xf numFmtId="0" fontId="18" fillId="19" borderId="25" xfId="0" applyFont="1" applyFill="1" applyBorder="1" applyAlignment="1">
      <alignment horizontal="left" vertical="center" wrapText="1"/>
    </xf>
    <xf numFmtId="9" fontId="0" fillId="0" borderId="12" xfId="0" applyNumberFormat="1" applyBorder="1"/>
    <xf numFmtId="0" fontId="25" fillId="0" borderId="0" xfId="0" applyFont="1"/>
    <xf numFmtId="0" fontId="25" fillId="0" borderId="0" xfId="0" applyFont="1" applyAlignment="1">
      <alignment horizontal="center" vertical="center"/>
    </xf>
    <xf numFmtId="0" fontId="25" fillId="17" borderId="0" xfId="0" applyFont="1" applyFill="1"/>
    <xf numFmtId="0" fontId="10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4" fillId="0" borderId="9" xfId="0" applyFont="1" applyBorder="1"/>
    <xf numFmtId="49" fontId="14" fillId="20" borderId="12" xfId="0" applyNumberFormat="1" applyFont="1" applyFill="1" applyBorder="1" applyAlignment="1">
      <alignment horizontal="center"/>
    </xf>
    <xf numFmtId="49" fontId="14" fillId="20" borderId="4" xfId="0" applyNumberFormat="1" applyFont="1" applyFill="1" applyBorder="1" applyAlignment="1">
      <alignment horizontal="center"/>
    </xf>
    <xf numFmtId="49" fontId="14" fillId="20" borderId="5" xfId="0" applyNumberFormat="1" applyFont="1" applyFill="1" applyBorder="1" applyAlignment="1">
      <alignment horizontal="center"/>
    </xf>
    <xf numFmtId="0" fontId="14" fillId="7" borderId="3" xfId="0" applyFont="1" applyFill="1" applyBorder="1" applyAlignment="1">
      <alignment horizontal="center" vertical="center"/>
    </xf>
    <xf numFmtId="0" fontId="14" fillId="7" borderId="3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6" fillId="0" borderId="0" xfId="0" applyFont="1"/>
    <xf numFmtId="0" fontId="25" fillId="0" borderId="4" xfId="0" applyFont="1" applyBorder="1"/>
    <xf numFmtId="0" fontId="25" fillId="0" borderId="12" xfId="0" applyFont="1" applyBorder="1"/>
    <xf numFmtId="0" fontId="15" fillId="15" borderId="15" xfId="0" applyFont="1" applyFill="1" applyBorder="1" applyAlignment="1">
      <alignment horizontal="left" vertical="center" wrapText="1"/>
    </xf>
    <xf numFmtId="0" fontId="15" fillId="15" borderId="5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 wrapText="1"/>
    </xf>
    <xf numFmtId="0" fontId="0" fillId="12" borderId="27" xfId="0" applyFill="1" applyBorder="1" applyAlignment="1">
      <alignment horizontal="center"/>
    </xf>
    <xf numFmtId="9" fontId="14" fillId="0" borderId="27" xfId="0" applyNumberFormat="1" applyFont="1" applyBorder="1" applyAlignment="1">
      <alignment horizontal="center" vertical="center"/>
    </xf>
    <xf numFmtId="0" fontId="15" fillId="15" borderId="3" xfId="0" applyFont="1" applyFill="1" applyBorder="1" applyAlignment="1">
      <alignment horizontal="left" vertical="center" wrapText="1"/>
    </xf>
    <xf numFmtId="9" fontId="15" fillId="15" borderId="59" xfId="0" applyNumberFormat="1" applyFont="1" applyFill="1" applyBorder="1" applyAlignment="1">
      <alignment horizontal="center" vertical="center" wrapText="1"/>
    </xf>
    <xf numFmtId="9" fontId="15" fillId="15" borderId="26" xfId="0" applyNumberFormat="1" applyFont="1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/>
    </xf>
    <xf numFmtId="0" fontId="14" fillId="0" borderId="30" xfId="0" applyFont="1" applyBorder="1" applyAlignment="1">
      <alignment horizontal="center" vertical="center"/>
    </xf>
    <xf numFmtId="0" fontId="18" fillId="0" borderId="54" xfId="0" applyFont="1" applyBorder="1" applyAlignment="1">
      <alignment wrapText="1"/>
    </xf>
    <xf numFmtId="9" fontId="0" fillId="0" borderId="0" xfId="0" applyNumberFormat="1"/>
    <xf numFmtId="0" fontId="25" fillId="0" borderId="27" xfId="0" applyFont="1" applyBorder="1"/>
    <xf numFmtId="0" fontId="25" fillId="0" borderId="25" xfId="0" applyFont="1" applyBorder="1"/>
    <xf numFmtId="0" fontId="19" fillId="18" borderId="27" xfId="0" applyFont="1" applyFill="1" applyBorder="1" applyAlignment="1">
      <alignment horizontal="left" vertical="center" wrapText="1"/>
    </xf>
    <xf numFmtId="0" fontId="18" fillId="2" borderId="54" xfId="0" applyFont="1" applyFill="1" applyBorder="1" applyAlignment="1">
      <alignment wrapText="1"/>
    </xf>
    <xf numFmtId="0" fontId="25" fillId="0" borderId="0" xfId="0" applyFont="1" applyAlignment="1">
      <alignment horizontal="right" vertical="center"/>
    </xf>
    <xf numFmtId="0" fontId="18" fillId="2" borderId="55" xfId="0" applyFont="1" applyFill="1" applyBorder="1" applyAlignment="1">
      <alignment horizontal="left" vertical="center" wrapText="1"/>
    </xf>
    <xf numFmtId="9" fontId="0" fillId="0" borderId="0" xfId="0" applyNumberFormat="1" applyAlignment="1">
      <alignment horizontal="right" vertical="center"/>
    </xf>
    <xf numFmtId="0" fontId="15" fillId="15" borderId="12" xfId="0" applyFont="1" applyFill="1" applyBorder="1" applyAlignment="1">
      <alignment horizontal="left" vertical="center" wrapText="1"/>
    </xf>
    <xf numFmtId="0" fontId="0" fillId="15" borderId="26" xfId="0" applyFill="1" applyBorder="1"/>
    <xf numFmtId="0" fontId="18" fillId="0" borderId="58" xfId="0" applyFont="1" applyBorder="1" applyAlignment="1">
      <alignment wrapText="1"/>
    </xf>
    <xf numFmtId="0" fontId="0" fillId="0" borderId="0" xfId="0" applyAlignment="1">
      <alignment horizontal="center"/>
    </xf>
    <xf numFmtId="0" fontId="20" fillId="0" borderId="53" xfId="0" applyFont="1" applyBorder="1" applyAlignment="1">
      <alignment wrapText="1"/>
    </xf>
    <xf numFmtId="0" fontId="20" fillId="0" borderId="55" xfId="0" applyFont="1" applyBorder="1" applyAlignment="1">
      <alignment wrapText="1"/>
    </xf>
    <xf numFmtId="0" fontId="19" fillId="18" borderId="49" xfId="0" applyFont="1" applyFill="1" applyBorder="1" applyAlignment="1">
      <alignment horizontal="left" vertical="center" wrapText="1"/>
    </xf>
    <xf numFmtId="0" fontId="0" fillId="15" borderId="36" xfId="0" applyFill="1" applyBorder="1"/>
    <xf numFmtId="0" fontId="20" fillId="0" borderId="58" xfId="0" applyFont="1" applyBorder="1" applyAlignment="1">
      <alignment wrapText="1"/>
    </xf>
    <xf numFmtId="0" fontId="19" fillId="18" borderId="12" xfId="0" applyFont="1" applyFill="1" applyBorder="1" applyAlignment="1">
      <alignment horizontal="left" vertical="center" wrapText="1"/>
    </xf>
    <xf numFmtId="0" fontId="25" fillId="0" borderId="0" xfId="0" applyFont="1" applyAlignment="1">
      <alignment vertical="center"/>
    </xf>
    <xf numFmtId="0" fontId="19" fillId="18" borderId="15" xfId="0" applyFont="1" applyFill="1" applyBorder="1" applyAlignment="1">
      <alignment horizontal="left" vertical="center" wrapText="1"/>
    </xf>
    <xf numFmtId="0" fontId="19" fillId="18" borderId="4" xfId="0" applyFont="1" applyFill="1" applyBorder="1" applyAlignment="1">
      <alignment horizontal="center" vertical="center" wrapText="1"/>
    </xf>
    <xf numFmtId="0" fontId="19" fillId="18" borderId="25" xfId="0" applyFont="1" applyFill="1" applyBorder="1" applyAlignment="1">
      <alignment horizontal="center" vertical="center" wrapText="1"/>
    </xf>
    <xf numFmtId="0" fontId="19" fillId="18" borderId="27" xfId="0" applyFont="1" applyFill="1" applyBorder="1" applyAlignment="1">
      <alignment horizontal="center" vertical="center" wrapText="1"/>
    </xf>
    <xf numFmtId="0" fontId="18" fillId="19" borderId="15" xfId="0" applyFont="1" applyFill="1" applyBorder="1" applyAlignment="1">
      <alignment horizontal="left" vertical="center" wrapText="1"/>
    </xf>
    <xf numFmtId="0" fontId="18" fillId="19" borderId="54" xfId="0" applyFont="1" applyFill="1" applyBorder="1" applyAlignment="1">
      <alignment horizontal="left" vertical="center" wrapText="1"/>
    </xf>
    <xf numFmtId="0" fontId="0" fillId="16" borderId="9" xfId="0" applyFill="1" applyBorder="1" applyAlignment="1">
      <alignment horizontal="center"/>
    </xf>
    <xf numFmtId="0" fontId="26" fillId="15" borderId="10" xfId="0" applyFont="1" applyFill="1" applyBorder="1"/>
    <xf numFmtId="0" fontId="25" fillId="0" borderId="11" xfId="0" applyFont="1" applyBorder="1"/>
    <xf numFmtId="0" fontId="26" fillId="15" borderId="17" xfId="0" applyFont="1" applyFill="1" applyBorder="1"/>
    <xf numFmtId="0" fontId="26" fillId="15" borderId="18" xfId="0" applyFont="1" applyFill="1" applyBorder="1"/>
    <xf numFmtId="9" fontId="15" fillId="15" borderId="19" xfId="0" applyNumberFormat="1" applyFont="1" applyFill="1" applyBorder="1" applyAlignment="1">
      <alignment horizontal="center" vertical="center" wrapText="1"/>
    </xf>
    <xf numFmtId="9" fontId="0" fillId="0" borderId="19" xfId="0" applyNumberFormat="1" applyBorder="1"/>
    <xf numFmtId="9" fontId="0" fillId="0" borderId="21" xfId="0" applyNumberFormat="1" applyBorder="1"/>
    <xf numFmtId="0" fontId="25" fillId="0" borderId="30" xfId="0" applyFont="1" applyBorder="1"/>
    <xf numFmtId="0" fontId="25" fillId="0" borderId="32" xfId="0" applyFont="1" applyBorder="1"/>
    <xf numFmtId="0" fontId="18" fillId="0" borderId="13" xfId="0" applyFont="1" applyBorder="1" applyAlignment="1">
      <alignment vertical="center" wrapText="1"/>
    </xf>
    <xf numFmtId="9" fontId="0" fillId="0" borderId="60" xfId="0" applyNumberFormat="1" applyBorder="1"/>
    <xf numFmtId="0" fontId="0" fillId="0" borderId="13" xfId="0" applyBorder="1"/>
    <xf numFmtId="1" fontId="0" fillId="0" borderId="60" xfId="0" applyNumberFormat="1" applyBorder="1"/>
    <xf numFmtId="9" fontId="0" fillId="0" borderId="14" xfId="0" applyNumberFormat="1" applyBorder="1"/>
    <xf numFmtId="1" fontId="0" fillId="0" borderId="13" xfId="0" applyNumberFormat="1" applyBorder="1"/>
    <xf numFmtId="1" fontId="0" fillId="0" borderId="13" xfId="0" applyNumberFormat="1" applyBorder="1" applyAlignment="1">
      <alignment horizontal="center" vertical="center"/>
    </xf>
    <xf numFmtId="1" fontId="0" fillId="0" borderId="60" xfId="0" applyNumberFormat="1" applyBorder="1" applyAlignment="1">
      <alignment horizontal="center" vertical="center"/>
    </xf>
    <xf numFmtId="0" fontId="0" fillId="0" borderId="60" xfId="0" applyBorder="1"/>
    <xf numFmtId="0" fontId="25" fillId="0" borderId="1" xfId="0" applyFont="1" applyBorder="1" applyAlignment="1">
      <alignment vertical="center"/>
    </xf>
    <xf numFmtId="0" fontId="25" fillId="0" borderId="36" xfId="0" applyFont="1" applyBorder="1" applyAlignment="1">
      <alignment vertical="center"/>
    </xf>
    <xf numFmtId="9" fontId="0" fillId="0" borderId="1" xfId="0" applyNumberFormat="1" applyBorder="1"/>
    <xf numFmtId="0" fontId="25" fillId="0" borderId="1" xfId="0" applyFont="1" applyBorder="1"/>
    <xf numFmtId="0" fontId="25" fillId="0" borderId="36" xfId="0" applyFont="1" applyBorder="1"/>
    <xf numFmtId="0" fontId="0" fillId="0" borderId="41" xfId="0" applyBorder="1"/>
    <xf numFmtId="0" fontId="0" fillId="0" borderId="61" xfId="0" applyBorder="1"/>
    <xf numFmtId="0" fontId="21" fillId="0" borderId="29" xfId="0" applyFont="1" applyBorder="1" applyAlignment="1">
      <alignment wrapText="1"/>
    </xf>
    <xf numFmtId="0" fontId="18" fillId="0" borderId="33" xfId="0" applyFont="1" applyBorder="1"/>
    <xf numFmtId="0" fontId="24" fillId="0" borderId="58" xfId="0" applyFont="1" applyBorder="1" applyAlignment="1">
      <alignment vertical="center" wrapText="1"/>
    </xf>
    <xf numFmtId="0" fontId="18" fillId="0" borderId="3" xfId="0" applyFont="1" applyBorder="1" applyAlignment="1">
      <alignment wrapText="1"/>
    </xf>
    <xf numFmtId="0" fontId="18" fillId="0" borderId="55" xfId="0" applyFont="1" applyBorder="1" applyAlignment="1">
      <alignment wrapText="1"/>
    </xf>
    <xf numFmtId="0" fontId="18" fillId="2" borderId="53" xfId="0" applyFont="1" applyFill="1" applyBorder="1" applyAlignment="1">
      <alignment wrapText="1"/>
    </xf>
    <xf numFmtId="0" fontId="18" fillId="0" borderId="62" xfId="0" applyFont="1" applyBorder="1" applyAlignment="1">
      <alignment wrapText="1"/>
    </xf>
    <xf numFmtId="0" fontId="27" fillId="0" borderId="0" xfId="0" applyFont="1"/>
    <xf numFmtId="0" fontId="9" fillId="0" borderId="0" xfId="0" applyFont="1"/>
    <xf numFmtId="0" fontId="28" fillId="3" borderId="0" xfId="0" applyFont="1" applyFill="1" applyAlignment="1">
      <alignment horizontal="center" vertical="center"/>
    </xf>
    <xf numFmtId="0" fontId="0" fillId="21" borderId="25" xfId="0" applyFill="1" applyBorder="1"/>
    <xf numFmtId="0" fontId="0" fillId="21" borderId="59" xfId="0" applyFill="1" applyBorder="1"/>
    <xf numFmtId="0" fontId="0" fillId="13" borderId="25" xfId="0" applyFill="1" applyBorder="1"/>
    <xf numFmtId="0" fontId="0" fillId="22" borderId="1" xfId="0" applyFill="1" applyBorder="1" applyAlignment="1">
      <alignment horizontal="center"/>
    </xf>
    <xf numFmtId="0" fontId="16" fillId="22" borderId="1" xfId="0" applyFont="1" applyFill="1" applyBorder="1" applyAlignment="1">
      <alignment horizontal="center"/>
    </xf>
    <xf numFmtId="0" fontId="29" fillId="23" borderId="1" xfId="0" applyFont="1" applyFill="1" applyBorder="1" applyAlignment="1">
      <alignment horizontal="center" vertical="center"/>
    </xf>
    <xf numFmtId="0" fontId="30" fillId="23" borderId="1" xfId="0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 wrapText="1"/>
    </xf>
    <xf numFmtId="9" fontId="32" fillId="0" borderId="63" xfId="0" applyNumberFormat="1" applyFont="1" applyBorder="1"/>
    <xf numFmtId="0" fontId="16" fillId="16" borderId="64" xfId="0" applyFont="1" applyFill="1" applyBorder="1" applyAlignment="1">
      <alignment horizontal="center"/>
    </xf>
    <xf numFmtId="0" fontId="33" fillId="3" borderId="1" xfId="0" applyFont="1" applyFill="1" applyBorder="1" applyAlignment="1">
      <alignment vertical="center" wrapText="1"/>
    </xf>
    <xf numFmtId="0" fontId="30" fillId="23" borderId="36" xfId="0" applyFont="1" applyFill="1" applyBorder="1" applyAlignment="1">
      <alignment horizontal="center" vertical="center"/>
    </xf>
    <xf numFmtId="0" fontId="30" fillId="23" borderId="57" xfId="0" applyFont="1" applyFill="1" applyBorder="1" applyAlignment="1">
      <alignment horizontal="center" vertical="center"/>
    </xf>
    <xf numFmtId="0" fontId="30" fillId="23" borderId="63" xfId="0" applyFont="1" applyFill="1" applyBorder="1" applyAlignment="1">
      <alignment horizontal="center" vertical="center"/>
    </xf>
    <xf numFmtId="0" fontId="34" fillId="3" borderId="40" xfId="0" applyFont="1" applyFill="1" applyBorder="1" applyAlignment="1">
      <alignment horizontal="center" vertical="center" wrapText="1"/>
    </xf>
    <xf numFmtId="0" fontId="34" fillId="3" borderId="50" xfId="0" applyFont="1" applyFill="1" applyBorder="1" applyAlignment="1">
      <alignment horizontal="center" vertical="center" wrapText="1"/>
    </xf>
    <xf numFmtId="0" fontId="34" fillId="3" borderId="22" xfId="0" applyFont="1" applyFill="1" applyBorder="1" applyAlignment="1">
      <alignment horizontal="center" vertical="center" wrapText="1"/>
    </xf>
    <xf numFmtId="0" fontId="16" fillId="16" borderId="24" xfId="0" applyFont="1" applyFill="1" applyBorder="1" applyAlignment="1">
      <alignment horizontal="center"/>
    </xf>
    <xf numFmtId="0" fontId="34" fillId="3" borderId="36" xfId="0" applyFont="1" applyFill="1" applyBorder="1" applyAlignment="1">
      <alignment horizontal="center" vertical="center" wrapText="1"/>
    </xf>
    <xf numFmtId="0" fontId="34" fillId="3" borderId="57" xfId="0" applyFont="1" applyFill="1" applyBorder="1" applyAlignment="1">
      <alignment horizontal="center" vertical="center" wrapText="1"/>
    </xf>
    <xf numFmtId="0" fontId="34" fillId="3" borderId="63" xfId="0" applyFont="1" applyFill="1" applyBorder="1" applyAlignment="1">
      <alignment horizontal="center" vertical="center" wrapText="1"/>
    </xf>
    <xf numFmtId="0" fontId="35" fillId="0" borderId="0" xfId="0" applyFont="1"/>
    <xf numFmtId="0" fontId="16" fillId="16" borderId="1" xfId="0" applyFont="1" applyFill="1" applyBorder="1" applyAlignment="1">
      <alignment horizontal="center"/>
    </xf>
    <xf numFmtId="0" fontId="36" fillId="0" borderId="0" xfId="0" applyFont="1"/>
    <xf numFmtId="0" fontId="37" fillId="3" borderId="36" xfId="0" applyFont="1" applyFill="1" applyBorder="1" applyAlignment="1">
      <alignment horizontal="center" vertical="center" wrapText="1"/>
    </xf>
    <xf numFmtId="0" fontId="37" fillId="3" borderId="57" xfId="0" applyFont="1" applyFill="1" applyBorder="1" applyAlignment="1">
      <alignment horizontal="center" vertical="center" wrapText="1"/>
    </xf>
    <xf numFmtId="0" fontId="37" fillId="3" borderId="63" xfId="0" applyFont="1" applyFill="1" applyBorder="1" applyAlignment="1">
      <alignment horizontal="center" vertical="center" wrapText="1"/>
    </xf>
    <xf numFmtId="0" fontId="18" fillId="19" borderId="1" xfId="0" applyFont="1" applyFill="1" applyBorder="1" applyAlignment="1">
      <alignment horizontal="left" vertical="center" wrapText="1"/>
    </xf>
    <xf numFmtId="0" fontId="18" fillId="2" borderId="1" xfId="0" applyFont="1" applyFill="1" applyBorder="1" applyAlignment="1">
      <alignment wrapText="1"/>
    </xf>
    <xf numFmtId="0" fontId="18" fillId="0" borderId="1" xfId="0" applyFont="1" applyBorder="1" applyAlignment="1">
      <alignment wrapText="1"/>
    </xf>
    <xf numFmtId="0" fontId="0" fillId="13" borderId="59" xfId="0" applyFill="1" applyBorder="1"/>
    <xf numFmtId="0" fontId="31" fillId="3" borderId="1" xfId="0" applyFont="1" applyFill="1" applyBorder="1" applyAlignment="1">
      <alignment horizontal="left" vertical="center" wrapText="1"/>
    </xf>
    <xf numFmtId="9" fontId="32" fillId="0" borderId="1" xfId="0" applyNumberFormat="1" applyFont="1" applyBorder="1" applyAlignment="1">
      <alignment horizontal="center"/>
    </xf>
    <xf numFmtId="0" fontId="33" fillId="3" borderId="1" xfId="0" applyFont="1" applyFill="1" applyBorder="1" applyAlignment="1">
      <alignment horizontal="left" vertical="center" wrapText="1"/>
    </xf>
    <xf numFmtId="0" fontId="33" fillId="3" borderId="1" xfId="0" applyFont="1" applyFill="1" applyBorder="1"/>
    <xf numFmtId="0" fontId="18" fillId="0" borderId="64" xfId="0" applyFont="1" applyBorder="1" applyAlignment="1">
      <alignment wrapText="1"/>
    </xf>
    <xf numFmtId="0" fontId="18" fillId="0" borderId="63" xfId="0" applyFont="1" applyBorder="1" applyAlignment="1">
      <alignment wrapText="1"/>
    </xf>
    <xf numFmtId="0" fontId="18" fillId="0" borderId="22" xfId="0" applyFont="1" applyBorder="1" applyAlignment="1">
      <alignment vertical="center" wrapText="1"/>
    </xf>
    <xf numFmtId="0" fontId="16" fillId="16" borderId="0" xfId="0" applyFont="1" applyFill="1" applyAlignment="1">
      <alignment horizontal="center"/>
    </xf>
    <xf numFmtId="0" fontId="16" fillId="16" borderId="32" xfId="0" applyFont="1" applyFill="1" applyBorder="1" applyAlignment="1">
      <alignment horizontal="center"/>
    </xf>
    <xf numFmtId="0" fontId="34" fillId="3" borderId="43" xfId="0" applyFont="1" applyFill="1" applyBorder="1" applyAlignment="1">
      <alignment horizontal="center" vertical="center" wrapText="1"/>
    </xf>
    <xf numFmtId="0" fontId="34" fillId="3" borderId="0" xfId="0" applyFont="1" applyFill="1" applyAlignment="1">
      <alignment horizontal="center" vertical="center" wrapText="1"/>
    </xf>
    <xf numFmtId="0" fontId="34" fillId="3" borderId="65" xfId="0" applyFont="1" applyFill="1" applyBorder="1" applyAlignment="1">
      <alignment horizontal="center" vertical="center" wrapText="1"/>
    </xf>
    <xf numFmtId="0" fontId="37" fillId="3" borderId="40" xfId="0" applyFont="1" applyFill="1" applyBorder="1" applyAlignment="1">
      <alignment horizontal="center" vertical="center" wrapText="1"/>
    </xf>
    <xf numFmtId="0" fontId="37" fillId="3" borderId="50" xfId="0" applyFont="1" applyFill="1" applyBorder="1" applyAlignment="1">
      <alignment horizontal="center" vertical="center" wrapText="1"/>
    </xf>
    <xf numFmtId="0" fontId="37" fillId="3" borderId="22" xfId="0" applyFont="1" applyFill="1" applyBorder="1" applyAlignment="1">
      <alignment horizontal="center" vertical="center" wrapText="1"/>
    </xf>
    <xf numFmtId="0" fontId="21" fillId="0" borderId="1" xfId="0" applyFont="1" applyBorder="1" applyAlignment="1">
      <alignment vertical="center" wrapText="1"/>
    </xf>
    <xf numFmtId="0" fontId="37" fillId="3" borderId="32" xfId="0" applyFont="1" applyFill="1" applyBorder="1" applyAlignment="1">
      <alignment horizontal="center" vertical="center" wrapText="1"/>
    </xf>
    <xf numFmtId="0" fontId="37" fillId="3" borderId="24" xfId="0" applyFont="1" applyFill="1" applyBorder="1" applyAlignment="1">
      <alignment horizontal="center" vertical="center" wrapText="1"/>
    </xf>
    <xf numFmtId="0" fontId="37" fillId="3" borderId="64" xfId="0" applyFont="1" applyFill="1" applyBorder="1" applyAlignment="1">
      <alignment horizontal="center" vertical="center" wrapText="1"/>
    </xf>
    <xf numFmtId="0" fontId="24" fillId="0" borderId="1" xfId="0" applyFont="1" applyBorder="1" applyAlignment="1">
      <alignment vertical="center" wrapText="1"/>
    </xf>
    <xf numFmtId="0" fontId="37" fillId="3" borderId="43" xfId="0" applyFont="1" applyFill="1" applyBorder="1" applyAlignment="1">
      <alignment horizontal="center"/>
    </xf>
    <xf numFmtId="0" fontId="37" fillId="3" borderId="0" xfId="0" applyFont="1" applyFill="1" applyAlignment="1">
      <alignment horizontal="center"/>
    </xf>
    <xf numFmtId="0" fontId="37" fillId="3" borderId="65" xfId="0" applyFont="1" applyFill="1" applyBorder="1" applyAlignment="1">
      <alignment horizontal="center"/>
    </xf>
    <xf numFmtId="0" fontId="18" fillId="0" borderId="30" xfId="0" applyFont="1" applyBorder="1" applyAlignment="1">
      <alignment wrapText="1"/>
    </xf>
    <xf numFmtId="14" fontId="0" fillId="0" borderId="0" xfId="0" applyNumberFormat="1"/>
    <xf numFmtId="0" fontId="18" fillId="2" borderId="30" xfId="0" applyFont="1" applyFill="1" applyBorder="1" applyAlignment="1">
      <alignment wrapText="1"/>
    </xf>
    <xf numFmtId="0" fontId="18" fillId="2" borderId="1" xfId="0" applyFont="1" applyFill="1" applyBorder="1" applyAlignment="1">
      <alignment horizontal="left" vertical="center" wrapText="1"/>
    </xf>
    <xf numFmtId="0" fontId="20" fillId="0" borderId="1" xfId="0" applyFont="1" applyBorder="1" applyAlignment="1">
      <alignment wrapText="1"/>
    </xf>
    <xf numFmtId="0" fontId="37" fillId="3" borderId="36" xfId="0" applyFont="1" applyFill="1" applyBorder="1" applyAlignment="1">
      <alignment horizontal="center"/>
    </xf>
    <xf numFmtId="0" fontId="37" fillId="3" borderId="57" xfId="0" applyFont="1" applyFill="1" applyBorder="1" applyAlignment="1">
      <alignment horizontal="center"/>
    </xf>
    <xf numFmtId="0" fontId="37" fillId="3" borderId="63" xfId="0" applyFont="1" applyFill="1" applyBorder="1" applyAlignment="1">
      <alignment horizontal="center"/>
    </xf>
    <xf numFmtId="0" fontId="37" fillId="3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vertical="center" wrapText="1"/>
    </xf>
    <xf numFmtId="0" fontId="37" fillId="3" borderId="1" xfId="0" applyFont="1" applyFill="1" applyBorder="1" applyAlignment="1">
      <alignment horizontal="center"/>
    </xf>
    <xf numFmtId="0" fontId="38" fillId="0" borderId="64" xfId="0" applyFont="1" applyBorder="1" applyAlignment="1">
      <alignment wrapText="1"/>
    </xf>
    <xf numFmtId="0" fontId="38" fillId="0" borderId="63" xfId="0" applyFont="1" applyBorder="1" applyAlignment="1">
      <alignment wrapText="1"/>
    </xf>
    <xf numFmtId="0" fontId="38" fillId="0" borderId="22" xfId="0" applyFont="1" applyBorder="1" applyAlignment="1">
      <alignment vertical="center" wrapText="1"/>
    </xf>
    <xf numFmtId="0" fontId="38" fillId="0" borderId="1" xfId="0" applyFont="1" applyBorder="1" applyAlignment="1">
      <alignment wrapText="1"/>
    </xf>
    <xf numFmtId="0" fontId="38" fillId="0" borderId="1" xfId="0" applyFont="1" applyBorder="1" applyAlignment="1">
      <alignment vertical="center" wrapText="1"/>
    </xf>
    <xf numFmtId="0" fontId="39" fillId="0" borderId="1" xfId="0" applyFont="1" applyBorder="1" applyAlignment="1">
      <alignment vertical="center" wrapText="1"/>
    </xf>
    <xf numFmtId="0" fontId="38" fillId="2" borderId="1" xfId="0" applyFont="1" applyFill="1" applyBorder="1" applyAlignment="1">
      <alignment vertical="center" wrapText="1"/>
    </xf>
    <xf numFmtId="0" fontId="38" fillId="19" borderId="1" xfId="0" applyFont="1" applyFill="1" applyBorder="1" applyAlignment="1">
      <alignment horizontal="left" vertical="center" wrapText="1"/>
    </xf>
    <xf numFmtId="0" fontId="36" fillId="0" borderId="1" xfId="0" applyFont="1" applyBorder="1" applyAlignment="1">
      <alignment vertical="center" wrapText="1"/>
    </xf>
    <xf numFmtId="0" fontId="30" fillId="24" borderId="66" xfId="0" applyFont="1" applyFill="1" applyBorder="1"/>
    <xf numFmtId="0" fontId="30" fillId="24" borderId="0" xfId="0" applyFont="1" applyFill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49" xfId="0" applyBorder="1"/>
    <xf numFmtId="0" fontId="0" fillId="0" borderId="16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23" fillId="18" borderId="3" xfId="0" applyFont="1" applyFill="1" applyBorder="1" applyAlignment="1">
      <alignment vertical="center" wrapText="1"/>
    </xf>
    <xf numFmtId="0" fontId="18" fillId="2" borderId="62" xfId="0" applyFont="1" applyFill="1" applyBorder="1" applyAlignment="1">
      <alignment wrapText="1"/>
    </xf>
    <xf numFmtId="0" fontId="23" fillId="15" borderId="3" xfId="0" applyFont="1" applyFill="1" applyBorder="1" applyAlignment="1">
      <alignment vertical="center" wrapText="1"/>
    </xf>
    <xf numFmtId="0" fontId="18" fillId="19" borderId="10" xfId="0" applyFont="1" applyFill="1" applyBorder="1" applyAlignment="1">
      <alignment horizontal="left" vertical="center" wrapText="1"/>
    </xf>
  </cellXfs>
  <cellStyles count="1">
    <cellStyle name="Normal" xfId="0" builtinId="0"/>
  </cellStyles>
  <dxfs count="181"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theme="6" tint="0.3999450666829432"/>
        </patternFill>
      </fill>
    </dxf>
    <dxf>
      <font>
        <color theme="1"/>
      </font>
      <fill>
        <patternFill>
          <bgColor rgb="FFF54F3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theme" Target="theme/theme1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53.xml"/><Relationship Id="rId5" Type="http://schemas.openxmlformats.org/officeDocument/2006/relationships/worksheet" Target="worksheets/sheet56.xml"/><Relationship Id="rId6" Type="http://schemas.openxmlformats.org/officeDocument/2006/relationships/worksheet" Target="worksheets/sheet26.xml"/><Relationship Id="rId7" Type="http://schemas.openxmlformats.org/officeDocument/2006/relationships/worksheet" Target="worksheets/sheet43.xml"/><Relationship Id="rId8" Type="http://schemas.openxmlformats.org/officeDocument/2006/relationships/worksheet" Target="worksheets/sheet44.xml"/><Relationship Id="rId9" Type="http://schemas.openxmlformats.org/officeDocument/2006/relationships/worksheet" Target="worksheets/sheet35.xml"/><Relationship Id="rId10" Type="http://schemas.openxmlformats.org/officeDocument/2006/relationships/worksheet" Target="worksheets/sheet45.xml"/><Relationship Id="rId11" Type="http://schemas.openxmlformats.org/officeDocument/2006/relationships/worksheet" Target="worksheets/sheet63.xml"/><Relationship Id="rId12" Type="http://schemas.openxmlformats.org/officeDocument/2006/relationships/worksheet" Target="worksheets/sheet41.xml"/><Relationship Id="rId13" Type="http://schemas.openxmlformats.org/officeDocument/2006/relationships/worksheet" Target="worksheets/sheet47.xml"/><Relationship Id="rId14" Type="http://schemas.openxmlformats.org/officeDocument/2006/relationships/worksheet" Target="worksheets/sheet48.xml"/><Relationship Id="rId15" Type="http://schemas.openxmlformats.org/officeDocument/2006/relationships/worksheet" Target="worksheets/sheet38.xml"/><Relationship Id="rId16" Type="http://schemas.openxmlformats.org/officeDocument/2006/relationships/worksheet" Target="worksheets/sheet49.xml"/><Relationship Id="rId17" Type="http://schemas.openxmlformats.org/officeDocument/2006/relationships/worksheet" Target="worksheets/sheet50.xml"/><Relationship Id="rId18" Type="http://schemas.openxmlformats.org/officeDocument/2006/relationships/worksheet" Target="worksheets/sheet37.xml"/><Relationship Id="rId19" Type="http://schemas.openxmlformats.org/officeDocument/2006/relationships/worksheet" Target="worksheets/sheet62.xml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3.png"/><Relationship Id="rId3" Type="http://schemas.openxmlformats.org/officeDocument/2006/relationships/image" Target="../media/image5.png"/><Relationship Id="rId4" Type="http://schemas.openxmlformats.org/officeDocument/2006/relationships/image" Target="../media/image7.png"/><Relationship Id="rId5" Type="http://schemas.openxmlformats.org/officeDocument/2006/relationships/image" Target="../media/image9.png"/><Relationship Id="rId6" Type="http://schemas.openxmlformats.org/officeDocument/2006/relationships/image" Target="../media/image11.png"/><Relationship Id="rId7" Type="http://schemas.openxmlformats.org/officeDocument/2006/relationships/image" Target="../media/image13.png"/><Relationship Id="rId8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22.png"/><Relationship Id="rId2" Type="http://schemas.openxmlformats.org/officeDocument/2006/relationships/image" Target="../media/image23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1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2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_rels/drawing13.xml.rels><?xml version="1.0" encoding="UTF-8" standalone="yes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image" Target="../media/image7.png"/><Relationship Id="rId3" Type="http://schemas.openxmlformats.org/officeDocument/2006/relationships/image" Target="../media/image9.png"/><Relationship Id="rId4" Type="http://schemas.openxmlformats.org/officeDocument/2006/relationships/image" Target="../media/image11.png"/><Relationship Id="rId5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84667</xdr:colOff>
      <xdr:row>0</xdr:row>
      <xdr:rowOff>74083</xdr:rowOff>
    </xdr:from>
    <xdr:to>
      <xdr:col>5</xdr:col>
      <xdr:colOff>1449917</xdr:colOff>
      <xdr:row>3</xdr:row>
      <xdr:rowOff>222248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3</xdr:col>
      <xdr:colOff>465666</xdr:colOff>
      <xdr:row>11</xdr:row>
      <xdr:rowOff>95249</xdr:rowOff>
    </xdr:from>
    <xdr:to>
      <xdr:col>4</xdr:col>
      <xdr:colOff>878417</xdr:colOff>
      <xdr:row>13</xdr:row>
      <xdr:rowOff>37195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2</xdr:col>
      <xdr:colOff>1396998</xdr:colOff>
      <xdr:row>18</xdr:row>
      <xdr:rowOff>74083</xdr:rowOff>
    </xdr:from>
    <xdr:to>
      <xdr:col>4</xdr:col>
      <xdr:colOff>1344083</xdr:colOff>
      <xdr:row>23</xdr:row>
      <xdr:rowOff>52916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5</xdr:col>
      <xdr:colOff>25399</xdr:colOff>
      <xdr:row>18</xdr:row>
      <xdr:rowOff>63500</xdr:rowOff>
    </xdr:from>
    <xdr:to>
      <xdr:col>6</xdr:col>
      <xdr:colOff>680266</xdr:colOff>
      <xdr:row>23</xdr:row>
      <xdr:rowOff>42316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833966</xdr:colOff>
      <xdr:row>18</xdr:row>
      <xdr:rowOff>50799</xdr:rowOff>
    </xdr:from>
    <xdr:to>
      <xdr:col>7</xdr:col>
      <xdr:colOff>1340666</xdr:colOff>
      <xdr:row>23</xdr:row>
      <xdr:rowOff>29615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5</xdr:col>
      <xdr:colOff>28573</xdr:colOff>
      <xdr:row>23</xdr:row>
      <xdr:rowOff>176742</xdr:rowOff>
    </xdr:from>
    <xdr:to>
      <xdr:col>6</xdr:col>
      <xdr:colOff>688731</xdr:colOff>
      <xdr:row>28</xdr:row>
      <xdr:rowOff>155558</xdr:rowOff>
    </xdr:to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6</xdr:col>
      <xdr:colOff>868888</xdr:colOff>
      <xdr:row>23</xdr:row>
      <xdr:rowOff>154517</xdr:rowOff>
    </xdr:from>
    <xdr:to>
      <xdr:col>7</xdr:col>
      <xdr:colOff>1380880</xdr:colOff>
      <xdr:row>28</xdr:row>
      <xdr:rowOff>133333</xdr:rowOff>
    </xdr:to>
    <xdr:pic>
      <xdr:nvPicPr>
        <xdr:cNvPr id="7" name="Picture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2</xdr:col>
      <xdr:colOff>1375830</xdr:colOff>
      <xdr:row>24</xdr:row>
      <xdr:rowOff>37041</xdr:rowOff>
    </xdr:from>
    <xdr:to>
      <xdr:col>4</xdr:col>
      <xdr:colOff>1311030</xdr:colOff>
      <xdr:row>29</xdr:row>
      <xdr:rowOff>15857</xdr:rowOff>
    </xdr:to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328085</xdr:colOff>
      <xdr:row>6</xdr:row>
      <xdr:rowOff>10583</xdr:rowOff>
    </xdr:from>
    <xdr:to>
      <xdr:col>1</xdr:col>
      <xdr:colOff>3259667</xdr:colOff>
      <xdr:row>29</xdr:row>
      <xdr:rowOff>137583</xdr:rowOff>
    </xdr:to>
    <xdr:pic>
      <xdr:nvPicPr>
        <xdr:cNvPr id="9" name="Picture 9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402034</xdr:colOff>
      <xdr:row>1</xdr:row>
      <xdr:rowOff>103243</xdr:rowOff>
    </xdr:from>
    <xdr:to>
      <xdr:col>1</xdr:col>
      <xdr:colOff>1179285</xdr:colOff>
      <xdr:row>3</xdr:row>
      <xdr:rowOff>158903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1551215</xdr:colOff>
      <xdr:row>1</xdr:row>
      <xdr:rowOff>117931</xdr:rowOff>
    </xdr:from>
    <xdr:to>
      <xdr:col>1</xdr:col>
      <xdr:colOff>1977573</xdr:colOff>
      <xdr:row>3</xdr:row>
      <xdr:rowOff>117929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54559</xdr:rowOff>
    </xdr:from>
    <xdr:to>
      <xdr:col>0</xdr:col>
      <xdr:colOff>777251</xdr:colOff>
      <xdr:row>3</xdr:row>
      <xdr:rowOff>107044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1447800</xdr:colOff>
      <xdr:row>1</xdr:row>
      <xdr:rowOff>101600</xdr:rowOff>
    </xdr:from>
    <xdr:to>
      <xdr:col>0</xdr:col>
      <xdr:colOff>1874158</xdr:colOff>
      <xdr:row>3</xdr:row>
      <xdr:rowOff>94341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57322</xdr:colOff>
      <xdr:row>1</xdr:row>
      <xdr:rowOff>119873</xdr:rowOff>
    </xdr:from>
    <xdr:to>
      <xdr:col>0</xdr:col>
      <xdr:colOff>716644</xdr:colOff>
      <xdr:row>3</xdr:row>
      <xdr:rowOff>172358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1297215</xdr:colOff>
      <xdr:row>1</xdr:row>
      <xdr:rowOff>99786</xdr:rowOff>
    </xdr:from>
    <xdr:to>
      <xdr:col>0</xdr:col>
      <xdr:colOff>1723573</xdr:colOff>
      <xdr:row>3</xdr:row>
      <xdr:rowOff>99784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203453</xdr:colOff>
      <xdr:row>1</xdr:row>
      <xdr:rowOff>142305</xdr:rowOff>
    </xdr:from>
    <xdr:to>
      <xdr:col>1</xdr:col>
      <xdr:colOff>853086</xdr:colOff>
      <xdr:row>4</xdr:row>
      <xdr:rowOff>54938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</xdr:col>
      <xdr:colOff>1270000</xdr:colOff>
      <xdr:row>2</xdr:row>
      <xdr:rowOff>0</xdr:rowOff>
    </xdr:from>
    <xdr:to>
      <xdr:col>1</xdr:col>
      <xdr:colOff>1696358</xdr:colOff>
      <xdr:row>3</xdr:row>
      <xdr:rowOff>195941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63368</xdr:colOff>
      <xdr:row>1</xdr:row>
      <xdr:rowOff>113825</xdr:rowOff>
    </xdr:from>
    <xdr:to>
      <xdr:col>0</xdr:col>
      <xdr:colOff>840619</xdr:colOff>
      <xdr:row>3</xdr:row>
      <xdr:rowOff>166310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1439333</xdr:colOff>
      <xdr:row>1</xdr:row>
      <xdr:rowOff>84666</xdr:rowOff>
    </xdr:from>
    <xdr:to>
      <xdr:col>0</xdr:col>
      <xdr:colOff>1865691</xdr:colOff>
      <xdr:row>3</xdr:row>
      <xdr:rowOff>81640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95118</xdr:colOff>
      <xdr:row>1</xdr:row>
      <xdr:rowOff>60909</xdr:rowOff>
    </xdr:from>
    <xdr:to>
      <xdr:col>0</xdr:col>
      <xdr:colOff>875544</xdr:colOff>
      <xdr:row>3</xdr:row>
      <xdr:rowOff>116569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1555750</xdr:colOff>
      <xdr:row>1</xdr:row>
      <xdr:rowOff>74084</xdr:rowOff>
    </xdr:from>
    <xdr:to>
      <xdr:col>0</xdr:col>
      <xdr:colOff>1982108</xdr:colOff>
      <xdr:row>3</xdr:row>
      <xdr:rowOff>71058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201082</xdr:colOff>
      <xdr:row>2</xdr:row>
      <xdr:rowOff>158750</xdr:rowOff>
    </xdr:from>
    <xdr:to>
      <xdr:col>1</xdr:col>
      <xdr:colOff>412750</xdr:colOff>
      <xdr:row>6</xdr:row>
      <xdr:rowOff>158750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158748</xdr:colOff>
      <xdr:row>9</xdr:row>
      <xdr:rowOff>198059</xdr:rowOff>
    </xdr:from>
    <xdr:to>
      <xdr:col>1</xdr:col>
      <xdr:colOff>732848</xdr:colOff>
      <xdr:row>11</xdr:row>
      <xdr:rowOff>18559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157237</xdr:colOff>
      <xdr:row>11</xdr:row>
      <xdr:rowOff>83758</xdr:rowOff>
    </xdr:from>
    <xdr:to>
      <xdr:col>1</xdr:col>
      <xdr:colOff>731337</xdr:colOff>
      <xdr:row>12</xdr:row>
      <xdr:rowOff>272558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165100</xdr:colOff>
      <xdr:row>15</xdr:row>
      <xdr:rowOff>75593</xdr:rowOff>
    </xdr:from>
    <xdr:to>
      <xdr:col>1</xdr:col>
      <xdr:colOff>739200</xdr:colOff>
      <xdr:row>17</xdr:row>
      <xdr:rowOff>137393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158447</xdr:colOff>
      <xdr:row>12</xdr:row>
      <xdr:rowOff>370112</xdr:rowOff>
    </xdr:from>
    <xdr:to>
      <xdr:col>1</xdr:col>
      <xdr:colOff>732547</xdr:colOff>
      <xdr:row>15</xdr:row>
      <xdr:rowOff>12397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206375</xdr:colOff>
      <xdr:row>2</xdr:row>
      <xdr:rowOff>103188</xdr:rowOff>
    </xdr:from>
    <xdr:to>
      <xdr:col>1</xdr:col>
      <xdr:colOff>261938</xdr:colOff>
      <xdr:row>6</xdr:row>
      <xdr:rowOff>39687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161778</xdr:colOff>
      <xdr:row>8</xdr:row>
      <xdr:rowOff>294216</xdr:rowOff>
    </xdr:from>
    <xdr:to>
      <xdr:col>1</xdr:col>
      <xdr:colOff>864692</xdr:colOff>
      <xdr:row>10</xdr:row>
      <xdr:rowOff>229016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160267</xdr:colOff>
      <xdr:row>10</xdr:row>
      <xdr:rowOff>319615</xdr:rowOff>
    </xdr:from>
    <xdr:to>
      <xdr:col>1</xdr:col>
      <xdr:colOff>863181</xdr:colOff>
      <xdr:row>12</xdr:row>
      <xdr:rowOff>100201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142730</xdr:colOff>
      <xdr:row>14</xdr:row>
      <xdr:rowOff>62893</xdr:rowOff>
    </xdr:from>
    <xdr:to>
      <xdr:col>1</xdr:col>
      <xdr:colOff>845644</xdr:colOff>
      <xdr:row>16</xdr:row>
      <xdr:rowOff>106550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161477</xdr:colOff>
      <xdr:row>12</xdr:row>
      <xdr:rowOff>159655</xdr:rowOff>
    </xdr:from>
    <xdr:to>
      <xdr:col>1</xdr:col>
      <xdr:colOff>864391</xdr:colOff>
      <xdr:row>14</xdr:row>
      <xdr:rowOff>12397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272143</xdr:colOff>
      <xdr:row>2</xdr:row>
      <xdr:rowOff>145143</xdr:rowOff>
    </xdr:from>
    <xdr:to>
      <xdr:col>1</xdr:col>
      <xdr:colOff>483811</xdr:colOff>
      <xdr:row>6</xdr:row>
      <xdr:rowOff>80131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183853</xdr:colOff>
      <xdr:row>9</xdr:row>
      <xdr:rowOff>52010</xdr:rowOff>
    </xdr:from>
    <xdr:to>
      <xdr:col>1</xdr:col>
      <xdr:colOff>923053</xdr:colOff>
      <xdr:row>10</xdr:row>
      <xdr:rowOff>293727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182342</xdr:colOff>
      <xdr:row>10</xdr:row>
      <xdr:rowOff>358926</xdr:rowOff>
    </xdr:from>
    <xdr:to>
      <xdr:col>1</xdr:col>
      <xdr:colOff>921542</xdr:colOff>
      <xdr:row>12</xdr:row>
      <xdr:rowOff>145559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190205</xdr:colOff>
      <xdr:row>14</xdr:row>
      <xdr:rowOff>156027</xdr:rowOff>
    </xdr:from>
    <xdr:to>
      <xdr:col>1</xdr:col>
      <xdr:colOff>929405</xdr:colOff>
      <xdr:row>17</xdr:row>
      <xdr:rowOff>59077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183552</xdr:colOff>
      <xdr:row>12</xdr:row>
      <xdr:rowOff>243113</xdr:rowOff>
    </xdr:from>
    <xdr:to>
      <xdr:col>1</xdr:col>
      <xdr:colOff>922752</xdr:colOff>
      <xdr:row>14</xdr:row>
      <xdr:rowOff>92831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264583</xdr:colOff>
      <xdr:row>2</xdr:row>
      <xdr:rowOff>232833</xdr:rowOff>
    </xdr:from>
    <xdr:to>
      <xdr:col>1</xdr:col>
      <xdr:colOff>476251</xdr:colOff>
      <xdr:row>6</xdr:row>
      <xdr:rowOff>169333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94650</xdr:colOff>
      <xdr:row>9</xdr:row>
      <xdr:rowOff>228902</xdr:rowOff>
    </xdr:from>
    <xdr:to>
      <xdr:col>1</xdr:col>
      <xdr:colOff>833850</xdr:colOff>
      <xdr:row>10</xdr:row>
      <xdr:rowOff>281631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93139</xdr:colOff>
      <xdr:row>10</xdr:row>
      <xdr:rowOff>346830</xdr:rowOff>
    </xdr:from>
    <xdr:to>
      <xdr:col>1</xdr:col>
      <xdr:colOff>832339</xdr:colOff>
      <xdr:row>12</xdr:row>
      <xdr:rowOff>127416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101002</xdr:colOff>
      <xdr:row>14</xdr:row>
      <xdr:rowOff>140908</xdr:rowOff>
    </xdr:from>
    <xdr:to>
      <xdr:col>1</xdr:col>
      <xdr:colOff>840202</xdr:colOff>
      <xdr:row>17</xdr:row>
      <xdr:rowOff>3136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94349</xdr:colOff>
      <xdr:row>12</xdr:row>
      <xdr:rowOff>224970</xdr:rowOff>
    </xdr:from>
    <xdr:to>
      <xdr:col>1</xdr:col>
      <xdr:colOff>833549</xdr:colOff>
      <xdr:row>14</xdr:row>
      <xdr:rowOff>77712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232834</xdr:colOff>
      <xdr:row>2</xdr:row>
      <xdr:rowOff>95250</xdr:rowOff>
    </xdr:from>
    <xdr:to>
      <xdr:col>1</xdr:col>
      <xdr:colOff>476250</xdr:colOff>
      <xdr:row>6</xdr:row>
      <xdr:rowOff>169334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162686</xdr:colOff>
      <xdr:row>9</xdr:row>
      <xdr:rowOff>83759</xdr:rowOff>
    </xdr:from>
    <xdr:to>
      <xdr:col>1</xdr:col>
      <xdr:colOff>901886</xdr:colOff>
      <xdr:row>10</xdr:row>
      <xdr:rowOff>325476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161175</xdr:colOff>
      <xdr:row>10</xdr:row>
      <xdr:rowOff>390675</xdr:rowOff>
    </xdr:from>
    <xdr:to>
      <xdr:col>1</xdr:col>
      <xdr:colOff>900375</xdr:colOff>
      <xdr:row>12</xdr:row>
      <xdr:rowOff>177308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169038</xdr:colOff>
      <xdr:row>14</xdr:row>
      <xdr:rowOff>187776</xdr:rowOff>
    </xdr:from>
    <xdr:to>
      <xdr:col>1</xdr:col>
      <xdr:colOff>908238</xdr:colOff>
      <xdr:row>17</xdr:row>
      <xdr:rowOff>48493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162385</xdr:colOff>
      <xdr:row>12</xdr:row>
      <xdr:rowOff>274862</xdr:rowOff>
    </xdr:from>
    <xdr:to>
      <xdr:col>1</xdr:col>
      <xdr:colOff>901585</xdr:colOff>
      <xdr:row>14</xdr:row>
      <xdr:rowOff>124580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264583</xdr:colOff>
      <xdr:row>2</xdr:row>
      <xdr:rowOff>201082</xdr:rowOff>
    </xdr:from>
    <xdr:to>
      <xdr:col>1</xdr:col>
      <xdr:colOff>550333</xdr:colOff>
      <xdr:row>6</xdr:row>
      <xdr:rowOff>296333</xdr:rowOff>
    </xdr:to>
    <xdr:pic>
      <xdr:nvPicPr>
        <xdr:cNvPr id="1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173270</xdr:colOff>
      <xdr:row>9</xdr:row>
      <xdr:rowOff>136676</xdr:rowOff>
    </xdr:from>
    <xdr:to>
      <xdr:col>1</xdr:col>
      <xdr:colOff>912470</xdr:colOff>
      <xdr:row>10</xdr:row>
      <xdr:rowOff>378392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171759</xdr:colOff>
      <xdr:row>11</xdr:row>
      <xdr:rowOff>30841</xdr:rowOff>
    </xdr:from>
    <xdr:to>
      <xdr:col>1</xdr:col>
      <xdr:colOff>910959</xdr:colOff>
      <xdr:row>12</xdr:row>
      <xdr:rowOff>230225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179622</xdr:colOff>
      <xdr:row>15</xdr:row>
      <xdr:rowOff>39610</xdr:rowOff>
    </xdr:from>
    <xdr:to>
      <xdr:col>1</xdr:col>
      <xdr:colOff>918822</xdr:colOff>
      <xdr:row>17</xdr:row>
      <xdr:rowOff>101410</xdr:rowOff>
    </xdr:to>
    <xdr:pic>
      <xdr:nvPicPr>
        <xdr:cNvPr id="4" name="Picture 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172969</xdr:colOff>
      <xdr:row>12</xdr:row>
      <xdr:rowOff>327779</xdr:rowOff>
    </xdr:from>
    <xdr:to>
      <xdr:col>1</xdr:col>
      <xdr:colOff>912169</xdr:colOff>
      <xdr:row>14</xdr:row>
      <xdr:rowOff>177497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name="Instalaciones_y_Edificaciones9" displayName="Instalaciones_y_Edificaciones9" ref="C21:E25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name="Instalaciones_y_Edificaciones2" displayName="Instalaciones_y_Edificaciones2" ref="C22:E29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name="Instalaciones_y_Edificaciones24" displayName="Instalaciones_y_Edificaciones24" ref="C20:E26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name="Instalaciones_y_Edificaciones" displayName="Instalaciones_y_Edificaciones" ref="C22:E26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name="Instalaciones_y_Edificaciones25" displayName="Instalaciones_y_Edificaciones25" ref="C22:E30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name="Instalaciones_y_Edificaciones256" displayName="Instalaciones_y_Edificaciones256" ref="C22:E29" totalsRowShown="1" headerRowCount="0">
  <autoFilter>
    <filterColumn colId="0" hiddenButton="1"/>
    <filterColumn colId="1" hiddenButton="1"/>
  </autoFilter>
  <tableColumns count="2">
    <tableColumn id="1" name="Columna1"/>
    <tableColumn id="2" name="Columna2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name="Tabla2" displayName="Tabla2" ref="A1:A47" totalsRowShown="1" headerRowCount="0">
  <autoFilter ref="A1:A47">
    <filterColumn colId="0" hiddenButton="1"/>
  </autoFilter>
  <tableColumns count="1">
    <tableColumn id="1" name="SEMANAS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name="Tabla28" displayName="Tabla28" ref="A1:E308" totalsRowShown="1" headerRowCount="0">
  <autoFilter ref="A1:E308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AREA"/>
    <tableColumn id="2" name="CATEGORIA"/>
    <tableColumn id="3" name="ITEMS"/>
    <tableColumn id="4" name="HOJA"/>
    <tableColumn id="5" name="FIL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6.xml.rels><?xml version="1.0" encoding="UTF-8" standalone="yes"?>
<Relationships xmlns="http://schemas.openxmlformats.org/package/2006/relationships"><Relationship Id="rId1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3" Type="http://schemas.openxmlformats.org/officeDocument/2006/relationships/drawing" Target="../drawings/drawing2.xml"/></Relationships>
</file>

<file path=xl/worksheets/_rels/sheet35.xml.rels><?xml version="1.0" encoding="UTF-8" standalone="yes"?>
<Relationships xmlns="http://schemas.openxmlformats.org/package/2006/relationships"><Relationship Id="rId1" Type="http://schemas.openxmlformats.org/officeDocument/2006/relationships/comments" Target="../comments35.xml"/><Relationship Id="rId2" Type="http://schemas.openxmlformats.org/officeDocument/2006/relationships/vmlDrawing" Target="../drawings/vmlDrawing35.vml"/><Relationship Id="rId3" Type="http://schemas.openxmlformats.org/officeDocument/2006/relationships/drawing" Target="../drawings/drawing5.xml"/></Relationships>
</file>

<file path=xl/worksheets/_rels/sheet37.xml.rels><?xml version="1.0" encoding="UTF-8" standalone="yes"?>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1.xml"/><Relationship Id="rId2" Type="http://schemas.openxmlformats.org/officeDocument/2006/relationships/table" Target="../tables/table4.xml"/></Relationships>
</file>

<file path=xl/worksheets/_rels/sheet41.xml.rels><?xml version="1.0" encoding="UTF-8" standalone="yes"?>
<Relationships xmlns="http://schemas.openxmlformats.org/package/2006/relationships"><Relationship Id="rId1" Type="http://schemas.openxmlformats.org/officeDocument/2006/relationships/comments" Target="../comments41.xml"/><Relationship Id="rId2" Type="http://schemas.openxmlformats.org/officeDocument/2006/relationships/vmlDrawing" Target="../drawings/vmlDrawing41.vml"/><Relationship Id="rId3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4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4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table" Target="../tables/table2.xml"/></Relationships>
</file>

<file path=xl/worksheets/_rels/sheet48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Relationship Id="rId2" Type="http://schemas.openxmlformats.org/officeDocument/2006/relationships/table" Target="../tables/table3.xml"/></Relationships>
</file>

<file path=xl/worksheets/_rels/sheet4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2.xml"/><Relationship Id="rId2" Type="http://schemas.openxmlformats.org/officeDocument/2006/relationships/table" Target="../tables/table5.xml"/></Relationships>
</file>

<file path=xl/worksheets/_rels/sheet5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3.xml"/><Relationship Id="rId2" Type="http://schemas.openxmlformats.org/officeDocument/2006/relationships/table" Target="../tables/table6.xml"/></Relationships>
</file>

<file path=xl/worksheets/_rels/sheet5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2.xml.rels><?xml version="1.0" encoding="UTF-8" standalone="yes"?>
<Relationships xmlns="http://schemas.openxmlformats.org/package/2006/relationships"><Relationship Id="rId1" Type="http://schemas.openxmlformats.org/officeDocument/2006/relationships/comments" Target="../comments62.xml"/><Relationship Id="rId2" Type="http://schemas.openxmlformats.org/officeDocument/2006/relationships/vmlDrawing" Target="../drawings/vmlDrawing62.vml"/><Relationship Id="rId3" Type="http://schemas.openxmlformats.org/officeDocument/2006/relationships/table" Target="../tables/table8.xml"/></Relationships>
</file>

<file path=xl/worksheets/_rels/sheet6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B1:FA79"/>
  <sheetViews>
    <sheetView workbookViewId="0" zoomScale="80" zoomScaleNormal="80">
      <pane xSplit="2" topLeftCell="EF1" activePane="topRight" state="frozen"/>
      <selection pane="topRight" activeCell="B3" sqref="B3"/>
    </sheetView>
  </sheetViews>
  <sheetFormatPr defaultRowHeight="14.5" outlineLevelRow="0" outlineLevelCol="0" x14ac:dyDescent="0.35" customHeight="1"/>
  <cols>
    <col min="1" max="1" width="3.36328125" customWidth="1"/>
    <col min="2" max="2" width="53.08984375" customWidth="1"/>
    <col min="3" max="3" width="4.54296875" customWidth="1"/>
    <col min="4" max="4" width="10.90625" customWidth="1"/>
    <col min="7" max="7" width="10.90625" customWidth="1"/>
    <col min="10" max="10" width="9.36328125" customWidth="1"/>
    <col min="13" max="13" width="9.36328125" customWidth="1"/>
    <col min="16" max="16" width="9.36328125" customWidth="1"/>
    <col min="19" max="19" width="9.36328125" customWidth="1"/>
    <col min="22" max="22" width="9.36328125" customWidth="1"/>
    <col min="25" max="25" width="9.36328125" customWidth="1"/>
    <col min="28" max="28" width="9.36328125" customWidth="1"/>
    <col min="31" max="31" width="9.36328125" customWidth="1"/>
    <col min="34" max="34" width="9.36328125" customWidth="1"/>
    <col min="37" max="37" width="9.36328125" customWidth="1"/>
    <col min="49" max="49" width="9.6328125" customWidth="1"/>
    <col min="51" max="51" width="12.6328125" customWidth="1"/>
    <col min="52" max="53" width="9" style="12" customWidth="1"/>
    <col min="56" max="56" width="9" style="12" customWidth="1"/>
    <col min="59" max="59" width="9" style="12" customWidth="1"/>
    <col min="62" max="62" width="9" style="12" customWidth="1"/>
    <col min="67" max="67" width="13" customWidth="1"/>
    <col min="68" max="68" width="10" customWidth="1"/>
    <col min="69" max="69" width="9" style="12" customWidth="1"/>
    <col min="71" max="71" width="10" customWidth="1"/>
    <col min="74" max="74" width="10.36328125" customWidth="1"/>
    <col min="75" max="75" width="9" style="12" customWidth="1"/>
    <col min="77" max="77" width="10.54296875" customWidth="1"/>
    <col min="80" max="80" width="10.08984375" customWidth="1"/>
    <col min="81" max="81" width="9" style="12" customWidth="1"/>
    <col min="83" max="83" width="10.54296875" customWidth="1"/>
    <col min="86" max="86" width="10.08984375" customWidth="1"/>
    <col min="87" max="87" width="9" style="12" customWidth="1"/>
    <col min="89" max="89" width="10.36328125" customWidth="1"/>
    <col min="92" max="92" width="9.90625" customWidth="1"/>
    <col min="93" max="93" width="9" style="12" customWidth="1"/>
    <col min="95" max="95" width="10.08984375" customWidth="1"/>
    <col min="98" max="98" width="10" customWidth="1"/>
    <col min="101" max="101" width="10.36328125" customWidth="1"/>
    <col min="104" max="104" width="13.54296875" customWidth="1"/>
    <col min="106" max="135" width="9" style="12" customWidth="1"/>
    <col min="136" max="136" width="13.54296875" customWidth="1"/>
    <col min="138" max="147" width="9" style="12" customWidth="1"/>
    <col min="148" max="148" width="10.08984375" style="12" customWidth="1"/>
    <col min="149" max="149" width="15.81640625" style="12" customWidth="1"/>
    <col min="150" max="154" width="3.54296875" customWidth="1"/>
    <col min="157" max="157" width="26.1796875" customWidth="1"/>
  </cols>
  <sheetData>
    <row r="1" ht="16" customHeight="1" spans="2:2" x14ac:dyDescent="0.25">
      <c r="B1" s="13" t="s">
        <v>23</v>
      </c>
    </row>
    <row r="2" ht="16" customHeight="1" spans="2:149" x14ac:dyDescent="0.25">
      <c r="B2" s="14" t="s">
        <v>24</v>
      </c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5"/>
      <c r="AZ2" s="16"/>
      <c r="BA2" s="16"/>
      <c r="BB2" s="15"/>
      <c r="BC2" s="15"/>
      <c r="BD2" s="16"/>
      <c r="BE2" s="15"/>
      <c r="BF2" s="15"/>
      <c r="BG2" s="16"/>
      <c r="BH2" s="15"/>
      <c r="BI2" s="15"/>
      <c r="BJ2" s="16"/>
      <c r="BK2" s="15"/>
      <c r="BL2" s="15"/>
      <c r="BM2" s="15"/>
      <c r="BN2" s="15"/>
      <c r="BO2" s="15"/>
      <c r="BP2" s="15"/>
      <c r="BQ2" s="16"/>
      <c r="BR2" s="15"/>
      <c r="BS2" s="15"/>
      <c r="BT2" s="15"/>
      <c r="BU2" s="15"/>
      <c r="BV2" s="15"/>
      <c r="BW2" s="16"/>
      <c r="BX2" s="15"/>
      <c r="BY2" s="15"/>
      <c r="BZ2" s="15"/>
      <c r="CA2" s="15"/>
      <c r="CB2" s="15"/>
      <c r="CC2" s="16"/>
      <c r="CD2" s="15"/>
      <c r="CE2" s="15"/>
      <c r="CF2" s="15"/>
      <c r="CG2" s="15"/>
      <c r="CH2" s="15"/>
      <c r="CI2" s="16"/>
      <c r="CJ2" s="15"/>
      <c r="CK2" s="15"/>
      <c r="CL2" s="15"/>
      <c r="CM2" s="15"/>
      <c r="CN2" s="15"/>
      <c r="CO2" s="16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5"/>
      <c r="DA2" s="17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6"/>
      <c r="EF2" s="15"/>
      <c r="EG2" s="18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  <c r="ES2" s="19"/>
    </row>
    <row r="3" ht="16" customHeight="1" spans="2:149" x14ac:dyDescent="0.25">
      <c r="B3" s="20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1"/>
      <c r="AZ3" s="22"/>
      <c r="BA3" s="22"/>
      <c r="BB3" s="21"/>
      <c r="BC3" s="21"/>
      <c r="BD3" s="22"/>
      <c r="BE3" s="21"/>
      <c r="BF3" s="21"/>
      <c r="BG3" s="22"/>
      <c r="BH3" s="21"/>
      <c r="BI3" s="21"/>
      <c r="BJ3" s="22"/>
      <c r="BK3" s="21"/>
      <c r="BL3" s="21"/>
      <c r="BM3" s="21"/>
      <c r="BN3" s="21"/>
      <c r="BO3" s="21"/>
      <c r="BP3" s="21"/>
      <c r="BQ3" s="22"/>
      <c r="BR3" s="21"/>
      <c r="BS3" s="21"/>
      <c r="BT3" s="21"/>
      <c r="BU3" s="21"/>
      <c r="BV3" s="21"/>
      <c r="BW3" s="22"/>
      <c r="BX3" s="21"/>
      <c r="BY3" s="21"/>
      <c r="BZ3" s="21"/>
      <c r="CA3" s="21"/>
      <c r="CB3" s="21"/>
      <c r="CC3" s="22"/>
      <c r="CD3" s="21"/>
      <c r="CE3" s="21"/>
      <c r="CF3" s="21"/>
      <c r="CG3" s="21"/>
      <c r="CH3" s="21"/>
      <c r="CI3" s="22"/>
      <c r="CJ3" s="21"/>
      <c r="CK3" s="21"/>
      <c r="CL3" s="21"/>
      <c r="CM3" s="21"/>
      <c r="CN3" s="21"/>
      <c r="CO3" s="22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3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2"/>
      <c r="EF3" s="21"/>
      <c r="EG3" s="24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</row>
    <row r="4" ht="16" customHeight="1" spans="2:149" x14ac:dyDescent="0.25">
      <c r="B4" s="26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6"/>
      <c r="BA4" s="16"/>
      <c r="BB4" s="15"/>
      <c r="BC4" s="15"/>
      <c r="BD4" s="16"/>
      <c r="BE4" s="15"/>
      <c r="BF4" s="15"/>
      <c r="BG4" s="16"/>
      <c r="BH4" s="15"/>
      <c r="BI4" s="15"/>
      <c r="BJ4" s="16"/>
      <c r="BK4" s="15"/>
      <c r="BL4" s="15"/>
      <c r="BM4" s="15"/>
      <c r="BN4" s="15"/>
      <c r="BO4" s="15"/>
      <c r="BP4" s="15"/>
      <c r="BQ4" s="16"/>
      <c r="BR4" s="15"/>
      <c r="BS4" s="15"/>
      <c r="BT4" s="15"/>
      <c r="BU4" s="15"/>
      <c r="BV4" s="15"/>
      <c r="BW4" s="16"/>
      <c r="BX4" s="15"/>
      <c r="BY4" s="15"/>
      <c r="BZ4" s="15"/>
      <c r="CA4" s="15"/>
      <c r="CB4" s="15"/>
      <c r="CC4" s="16"/>
      <c r="CD4" s="15"/>
      <c r="CE4" s="15"/>
      <c r="CF4" s="15"/>
      <c r="CG4" s="15"/>
      <c r="CH4" s="15"/>
      <c r="CI4" s="16"/>
      <c r="CJ4" s="15"/>
      <c r="CK4" s="15"/>
      <c r="CL4" s="15"/>
      <c r="CM4" s="15"/>
      <c r="CN4" s="15"/>
      <c r="CO4" s="16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7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5"/>
      <c r="EG4" s="18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</row>
    <row r="5" ht="18" customHeight="1" spans="2:2" x14ac:dyDescent="0.25">
      <c r="B5" s="27"/>
    </row>
    <row r="6" ht="15.75" customHeight="1" spans="2:149" x14ac:dyDescent="0.25">
      <c r="B6" s="28"/>
      <c r="C6" s="29"/>
      <c r="D6" s="30" t="s">
        <v>2</v>
      </c>
      <c r="E6" s="31"/>
      <c r="F6" s="32"/>
      <c r="G6" s="33" t="s">
        <v>25</v>
      </c>
      <c r="H6" s="34"/>
      <c r="I6" s="35"/>
      <c r="J6" s="33" t="s">
        <v>26</v>
      </c>
      <c r="K6" s="34"/>
      <c r="L6" s="35"/>
      <c r="M6" s="33" t="s">
        <v>27</v>
      </c>
      <c r="N6" s="34"/>
      <c r="O6" s="35"/>
      <c r="P6" s="36" t="s">
        <v>28</v>
      </c>
      <c r="Q6" s="37"/>
      <c r="R6" s="38"/>
      <c r="S6" s="36" t="s">
        <v>29</v>
      </c>
      <c r="T6" s="37"/>
      <c r="U6" s="38"/>
      <c r="V6" s="36" t="s">
        <v>30</v>
      </c>
      <c r="W6" s="37"/>
      <c r="X6" s="38"/>
      <c r="Y6" s="36" t="s">
        <v>31</v>
      </c>
      <c r="Z6" s="37"/>
      <c r="AA6" s="38"/>
      <c r="AB6" s="39" t="s">
        <v>32</v>
      </c>
      <c r="AC6" s="40"/>
      <c r="AD6" s="41"/>
      <c r="AE6" s="39" t="s">
        <v>33</v>
      </c>
      <c r="AF6" s="40"/>
      <c r="AG6" s="41"/>
      <c r="AH6" s="39" t="s">
        <v>34</v>
      </c>
      <c r="AI6" s="40"/>
      <c r="AJ6" s="41"/>
      <c r="AK6" s="39" t="s">
        <v>35</v>
      </c>
      <c r="AL6" s="40"/>
      <c r="AM6" s="41"/>
      <c r="AN6" s="42" t="s">
        <v>36</v>
      </c>
      <c r="AO6" s="43"/>
      <c r="AP6" s="44"/>
      <c r="AQ6" s="42" t="s">
        <v>37</v>
      </c>
      <c r="AR6" s="43"/>
      <c r="AS6" s="44"/>
      <c r="AT6" s="42" t="s">
        <v>38</v>
      </c>
      <c r="AU6" s="43"/>
      <c r="AV6" s="44"/>
      <c r="AW6" s="42" t="s">
        <v>39</v>
      </c>
      <c r="AX6" s="43"/>
      <c r="AY6" s="44"/>
      <c r="AZ6" s="45" t="s">
        <v>40</v>
      </c>
      <c r="BA6" s="46"/>
      <c r="BB6" s="47"/>
      <c r="BC6" s="45" t="s">
        <v>41</v>
      </c>
      <c r="BD6" s="46"/>
      <c r="BE6" s="47"/>
      <c r="BF6" s="45" t="s">
        <v>42</v>
      </c>
      <c r="BG6" s="46"/>
      <c r="BH6" s="47"/>
      <c r="BI6" s="45" t="s">
        <v>43</v>
      </c>
      <c r="BJ6" s="46"/>
      <c r="BK6" s="47"/>
      <c r="BL6" s="48" t="s">
        <v>44</v>
      </c>
      <c r="BM6" s="49"/>
      <c r="BN6" s="50"/>
      <c r="BO6" s="48" t="s">
        <v>45</v>
      </c>
      <c r="BP6" s="49"/>
      <c r="BQ6" s="50"/>
      <c r="BR6" s="48" t="s">
        <v>46</v>
      </c>
      <c r="BS6" s="49"/>
      <c r="BT6" s="50"/>
      <c r="BU6" s="48" t="s">
        <v>47</v>
      </c>
      <c r="BV6" s="49"/>
      <c r="BW6" s="50"/>
      <c r="BX6" s="45" t="s">
        <v>48</v>
      </c>
      <c r="BY6" s="46"/>
      <c r="BZ6" s="46"/>
      <c r="CA6" s="45" t="s">
        <v>49</v>
      </c>
      <c r="CB6" s="46"/>
      <c r="CC6" s="47"/>
      <c r="CD6" s="46" t="s">
        <v>50</v>
      </c>
      <c r="CE6" s="46"/>
      <c r="CF6" s="47"/>
      <c r="CG6" s="45" t="s">
        <v>51</v>
      </c>
      <c r="CH6" s="46"/>
      <c r="CI6" s="47"/>
      <c r="CJ6" s="51" t="s">
        <v>52</v>
      </c>
      <c r="CK6" s="52"/>
      <c r="CL6" s="53"/>
      <c r="CM6" s="51" t="s">
        <v>53</v>
      </c>
      <c r="CN6" s="52"/>
      <c r="CO6" s="53"/>
      <c r="CP6" s="51" t="s">
        <v>54</v>
      </c>
      <c r="CQ6" s="52"/>
      <c r="CR6" s="53"/>
      <c r="CS6" s="51" t="s">
        <v>55</v>
      </c>
      <c r="CT6" s="52"/>
      <c r="CU6" s="53"/>
      <c r="CV6" s="54" t="s">
        <v>56</v>
      </c>
      <c r="CW6" s="55"/>
      <c r="CX6" s="56"/>
      <c r="CY6" s="54" t="s">
        <v>57</v>
      </c>
      <c r="CZ6" s="55"/>
      <c r="DA6" s="56"/>
      <c r="DB6" s="54" t="s">
        <v>58</v>
      </c>
      <c r="DC6" s="55"/>
      <c r="DD6" s="56"/>
      <c r="DE6" s="54" t="s">
        <v>59</v>
      </c>
      <c r="DF6" s="55"/>
      <c r="DG6" s="56"/>
      <c r="DH6" s="57" t="s">
        <v>60</v>
      </c>
      <c r="DI6" s="58"/>
      <c r="DJ6" s="59"/>
      <c r="DK6" s="57" t="s">
        <v>61</v>
      </c>
      <c r="DL6" s="58"/>
      <c r="DM6" s="59"/>
      <c r="DN6" s="57" t="s">
        <v>62</v>
      </c>
      <c r="DO6" s="58"/>
      <c r="DP6" s="59"/>
      <c r="DQ6" s="57" t="s">
        <v>63</v>
      </c>
      <c r="DR6" s="58"/>
      <c r="DS6" s="59"/>
      <c r="DT6" s="60" t="s">
        <v>64</v>
      </c>
      <c r="DU6" s="61"/>
      <c r="DV6" s="62"/>
      <c r="DW6" s="60" t="s">
        <v>65</v>
      </c>
      <c r="DX6" s="61"/>
      <c r="DY6" s="62"/>
      <c r="DZ6" s="60" t="s">
        <v>66</v>
      </c>
      <c r="EA6" s="61"/>
      <c r="EB6" s="62"/>
      <c r="EC6" s="60" t="s">
        <v>67</v>
      </c>
      <c r="ED6" s="61"/>
      <c r="EE6" s="62"/>
      <c r="EF6" s="63" t="s">
        <v>68</v>
      </c>
      <c r="EG6" s="64"/>
      <c r="EH6" s="65"/>
      <c r="EI6" s="63" t="s">
        <v>69</v>
      </c>
      <c r="EJ6" s="64"/>
      <c r="EK6" s="65"/>
      <c r="EL6" s="63" t="s">
        <v>70</v>
      </c>
      <c r="EM6" s="64"/>
      <c r="EN6" s="65"/>
      <c r="EO6" s="63" t="s">
        <v>3</v>
      </c>
      <c r="EP6" s="64"/>
      <c r="EQ6" s="65"/>
      <c r="ER6" s="66" t="s">
        <v>71</v>
      </c>
      <c r="ES6" s="67" t="s">
        <v>72</v>
      </c>
    </row>
    <row r="7" ht="23" customHeight="1" spans="2:157" x14ac:dyDescent="0.25">
      <c r="B7" s="68" t="s">
        <v>73</v>
      </c>
      <c r="C7" s="69"/>
      <c r="D7" s="70" t="s">
        <v>74</v>
      </c>
      <c r="E7" s="71" t="s">
        <v>75</v>
      </c>
      <c r="F7" s="72" t="s">
        <v>76</v>
      </c>
      <c r="G7" s="73" t="s">
        <v>74</v>
      </c>
      <c r="H7" s="71" t="s">
        <v>75</v>
      </c>
      <c r="I7" s="72" t="s">
        <v>76</v>
      </c>
      <c r="J7" s="70" t="s">
        <v>74</v>
      </c>
      <c r="K7" s="71" t="s">
        <v>75</v>
      </c>
      <c r="L7" s="72" t="s">
        <v>76</v>
      </c>
      <c r="M7" s="70" t="s">
        <v>74</v>
      </c>
      <c r="N7" s="71" t="s">
        <v>75</v>
      </c>
      <c r="O7" s="72" t="s">
        <v>76</v>
      </c>
      <c r="P7" s="70" t="s">
        <v>74</v>
      </c>
      <c r="Q7" s="71" t="s">
        <v>75</v>
      </c>
      <c r="R7" s="72" t="s">
        <v>76</v>
      </c>
      <c r="S7" s="70" t="s">
        <v>74</v>
      </c>
      <c r="T7" s="71" t="s">
        <v>75</v>
      </c>
      <c r="U7" s="72" t="s">
        <v>76</v>
      </c>
      <c r="V7" s="70" t="s">
        <v>74</v>
      </c>
      <c r="W7" s="71" t="s">
        <v>75</v>
      </c>
      <c r="X7" s="72" t="s">
        <v>76</v>
      </c>
      <c r="Y7" s="70" t="s">
        <v>74</v>
      </c>
      <c r="Z7" s="71" t="s">
        <v>75</v>
      </c>
      <c r="AA7" s="72" t="s">
        <v>76</v>
      </c>
      <c r="AB7" s="70" t="s">
        <v>74</v>
      </c>
      <c r="AC7" s="71" t="s">
        <v>75</v>
      </c>
      <c r="AD7" s="72" t="s">
        <v>76</v>
      </c>
      <c r="AE7" s="70" t="s">
        <v>74</v>
      </c>
      <c r="AF7" s="71" t="s">
        <v>75</v>
      </c>
      <c r="AG7" s="72" t="s">
        <v>76</v>
      </c>
      <c r="AH7" s="70" t="s">
        <v>74</v>
      </c>
      <c r="AI7" s="71" t="s">
        <v>75</v>
      </c>
      <c r="AJ7" s="74" t="s">
        <v>76</v>
      </c>
      <c r="AK7" s="70" t="s">
        <v>74</v>
      </c>
      <c r="AL7" s="71" t="s">
        <v>75</v>
      </c>
      <c r="AM7" s="74" t="s">
        <v>76</v>
      </c>
      <c r="AN7" s="70" t="s">
        <v>74</v>
      </c>
      <c r="AO7" s="71" t="s">
        <v>75</v>
      </c>
      <c r="AP7" s="72" t="s">
        <v>76</v>
      </c>
      <c r="AQ7" s="70" t="s">
        <v>74</v>
      </c>
      <c r="AR7" s="71" t="s">
        <v>75</v>
      </c>
      <c r="AS7" s="72" t="s">
        <v>76</v>
      </c>
      <c r="AT7" s="70" t="s">
        <v>74</v>
      </c>
      <c r="AU7" s="71" t="s">
        <v>75</v>
      </c>
      <c r="AV7" s="72" t="s">
        <v>76</v>
      </c>
      <c r="AW7" s="70" t="s">
        <v>74</v>
      </c>
      <c r="AX7" s="71" t="s">
        <v>75</v>
      </c>
      <c r="AY7" s="74" t="s">
        <v>76</v>
      </c>
      <c r="AZ7" s="70" t="s">
        <v>74</v>
      </c>
      <c r="BA7" s="71" t="s">
        <v>75</v>
      </c>
      <c r="BB7" s="72" t="s">
        <v>76</v>
      </c>
      <c r="BC7" s="70" t="s">
        <v>74</v>
      </c>
      <c r="BD7" s="71" t="s">
        <v>75</v>
      </c>
      <c r="BE7" s="72" t="s">
        <v>76</v>
      </c>
      <c r="BF7" s="70" t="s">
        <v>74</v>
      </c>
      <c r="BG7" s="71" t="s">
        <v>75</v>
      </c>
      <c r="BH7" s="72" t="s">
        <v>76</v>
      </c>
      <c r="BI7" s="70" t="s">
        <v>74</v>
      </c>
      <c r="BJ7" s="71" t="s">
        <v>75</v>
      </c>
      <c r="BK7" s="72" t="s">
        <v>76</v>
      </c>
      <c r="BL7" s="70" t="s">
        <v>74</v>
      </c>
      <c r="BM7" s="71" t="s">
        <v>75</v>
      </c>
      <c r="BN7" s="72" t="s">
        <v>76</v>
      </c>
      <c r="BO7" s="70" t="s">
        <v>74</v>
      </c>
      <c r="BP7" s="71" t="s">
        <v>75</v>
      </c>
      <c r="BQ7" s="72" t="s">
        <v>76</v>
      </c>
      <c r="BR7" s="70" t="s">
        <v>74</v>
      </c>
      <c r="BS7" s="71" t="s">
        <v>75</v>
      </c>
      <c r="BT7" s="72" t="s">
        <v>76</v>
      </c>
      <c r="BU7" s="70" t="s">
        <v>74</v>
      </c>
      <c r="BV7" s="71" t="s">
        <v>75</v>
      </c>
      <c r="BW7" s="72" t="s">
        <v>76</v>
      </c>
      <c r="BX7" s="70" t="s">
        <v>74</v>
      </c>
      <c r="BY7" s="71" t="s">
        <v>75</v>
      </c>
      <c r="BZ7" s="72" t="s">
        <v>76</v>
      </c>
      <c r="CA7" s="70" t="s">
        <v>74</v>
      </c>
      <c r="CB7" s="71" t="s">
        <v>75</v>
      </c>
      <c r="CC7" s="72" t="s">
        <v>76</v>
      </c>
      <c r="CD7" s="70" t="s">
        <v>74</v>
      </c>
      <c r="CE7" s="71" t="s">
        <v>75</v>
      </c>
      <c r="CF7" s="72" t="s">
        <v>76</v>
      </c>
      <c r="CG7" s="70" t="s">
        <v>74</v>
      </c>
      <c r="CH7" s="71" t="s">
        <v>75</v>
      </c>
      <c r="CI7" s="74" t="s">
        <v>76</v>
      </c>
      <c r="CJ7" s="70" t="s">
        <v>74</v>
      </c>
      <c r="CK7" s="71" t="s">
        <v>75</v>
      </c>
      <c r="CL7" s="72" t="s">
        <v>76</v>
      </c>
      <c r="CM7" s="70" t="s">
        <v>74</v>
      </c>
      <c r="CN7" s="71" t="s">
        <v>75</v>
      </c>
      <c r="CO7" s="72" t="s">
        <v>76</v>
      </c>
      <c r="CP7" s="70" t="s">
        <v>74</v>
      </c>
      <c r="CQ7" s="71" t="s">
        <v>75</v>
      </c>
      <c r="CR7" s="72" t="s">
        <v>76</v>
      </c>
      <c r="CS7" s="70" t="s">
        <v>74</v>
      </c>
      <c r="CT7" s="71" t="s">
        <v>75</v>
      </c>
      <c r="CU7" s="74" t="s">
        <v>76</v>
      </c>
      <c r="CV7" s="70" t="s">
        <v>74</v>
      </c>
      <c r="CW7" s="71" t="s">
        <v>75</v>
      </c>
      <c r="CX7" s="72" t="s">
        <v>76</v>
      </c>
      <c r="CY7" s="70" t="s">
        <v>74</v>
      </c>
      <c r="CZ7" s="71" t="s">
        <v>75</v>
      </c>
      <c r="DA7" s="72" t="s">
        <v>76</v>
      </c>
      <c r="DB7" s="70" t="s">
        <v>74</v>
      </c>
      <c r="DC7" s="71" t="s">
        <v>75</v>
      </c>
      <c r="DD7" s="72" t="s">
        <v>76</v>
      </c>
      <c r="DE7" s="70" t="s">
        <v>74</v>
      </c>
      <c r="DF7" s="71" t="s">
        <v>75</v>
      </c>
      <c r="DG7" s="74" t="s">
        <v>76</v>
      </c>
      <c r="DH7" s="70" t="s">
        <v>74</v>
      </c>
      <c r="DI7" s="71" t="s">
        <v>75</v>
      </c>
      <c r="DJ7" s="72" t="s">
        <v>76</v>
      </c>
      <c r="DK7" s="70" t="s">
        <v>74</v>
      </c>
      <c r="DL7" s="71" t="s">
        <v>75</v>
      </c>
      <c r="DM7" s="72" t="s">
        <v>76</v>
      </c>
      <c r="DN7" s="70" t="s">
        <v>74</v>
      </c>
      <c r="DO7" s="71" t="s">
        <v>75</v>
      </c>
      <c r="DP7" s="72" t="s">
        <v>76</v>
      </c>
      <c r="DQ7" s="70" t="s">
        <v>74</v>
      </c>
      <c r="DR7" s="71" t="s">
        <v>75</v>
      </c>
      <c r="DS7" s="72" t="s">
        <v>76</v>
      </c>
      <c r="DT7" s="70" t="s">
        <v>74</v>
      </c>
      <c r="DU7" s="71" t="s">
        <v>75</v>
      </c>
      <c r="DV7" s="72" t="s">
        <v>76</v>
      </c>
      <c r="DW7" s="70" t="s">
        <v>74</v>
      </c>
      <c r="DX7" s="71" t="s">
        <v>75</v>
      </c>
      <c r="DY7" s="72" t="s">
        <v>76</v>
      </c>
      <c r="DZ7" s="70" t="s">
        <v>74</v>
      </c>
      <c r="EA7" s="71" t="s">
        <v>75</v>
      </c>
      <c r="EB7" s="72" t="s">
        <v>76</v>
      </c>
      <c r="EC7" s="70" t="s">
        <v>74</v>
      </c>
      <c r="ED7" s="71" t="s">
        <v>75</v>
      </c>
      <c r="EE7" s="72" t="s">
        <v>76</v>
      </c>
      <c r="EF7" s="70" t="s">
        <v>74</v>
      </c>
      <c r="EG7" s="71" t="s">
        <v>75</v>
      </c>
      <c r="EH7" s="72" t="s">
        <v>76</v>
      </c>
      <c r="EI7" s="70" t="s">
        <v>74</v>
      </c>
      <c r="EJ7" s="71" t="s">
        <v>75</v>
      </c>
      <c r="EK7" s="72" t="s">
        <v>76</v>
      </c>
      <c r="EL7" s="70" t="s">
        <v>74</v>
      </c>
      <c r="EM7" s="71" t="s">
        <v>75</v>
      </c>
      <c r="EN7" s="72" t="s">
        <v>76</v>
      </c>
      <c r="EO7" s="70" t="s">
        <v>74</v>
      </c>
      <c r="EP7" s="71" t="s">
        <v>75</v>
      </c>
      <c r="EQ7" s="72" t="s">
        <v>76</v>
      </c>
      <c r="ER7" s="75"/>
      <c r="ES7" s="76"/>
      <c r="EY7" s="77" t="s">
        <v>77</v>
      </c>
      <c r="EZ7" s="77"/>
      <c r="FA7" s="77"/>
    </row>
    <row r="8" ht="18" customHeight="1" spans="2:157" x14ac:dyDescent="0.25">
      <c r="B8" s="78"/>
      <c r="C8" s="79"/>
      <c r="D8" s="80"/>
      <c r="E8" s="81"/>
      <c r="F8" s="82">
        <f>AVERAGE(F9:F13)</f>
        <v>0</v>
      </c>
      <c r="G8" s="80"/>
      <c r="H8" s="83"/>
      <c r="I8" s="82">
        <f>AVERAGE(I9:I13)</f>
        <v>0</v>
      </c>
      <c r="J8" s="80"/>
      <c r="K8" s="83"/>
      <c r="L8" s="82">
        <f>AVERAGE(L9:L13)</f>
        <v>0</v>
      </c>
      <c r="M8" s="80"/>
      <c r="N8" s="83"/>
      <c r="O8" s="82">
        <f>AVERAGE(O9:O13)</f>
        <v>0</v>
      </c>
      <c r="P8" s="80"/>
      <c r="Q8" s="83"/>
      <c r="R8" s="82">
        <f>AVERAGE(R9:R13)</f>
        <v>0</v>
      </c>
      <c r="S8" s="80"/>
      <c r="T8" s="83"/>
      <c r="U8" s="82">
        <f>AVERAGE(U9:U13)</f>
        <v>0</v>
      </c>
      <c r="V8" s="80"/>
      <c r="W8" s="83"/>
      <c r="X8" s="82">
        <f>AVERAGE(X9:X13)</f>
        <v>0</v>
      </c>
      <c r="Y8" s="80"/>
      <c r="Z8" s="83"/>
      <c r="AA8" s="82">
        <f>AVERAGE(AA9:AA13)</f>
        <v>0</v>
      </c>
      <c r="AB8" s="80"/>
      <c r="AC8" s="83"/>
      <c r="AD8" s="82">
        <f>AVERAGE(AD9:AD13)</f>
        <v>0</v>
      </c>
      <c r="AE8" s="80"/>
      <c r="AF8" s="83"/>
      <c r="AG8" s="82">
        <f>AVERAGE(AG9:AG13)</f>
        <v>0</v>
      </c>
      <c r="AH8" s="80"/>
      <c r="AI8" s="83"/>
      <c r="AJ8" s="82">
        <f>AVERAGE(AJ9:AJ13)</f>
        <v>0</v>
      </c>
      <c r="AK8" s="80"/>
      <c r="AL8" s="83"/>
      <c r="AM8" s="82">
        <f>AVERAGE(AM9:AM13)</f>
        <v>0</v>
      </c>
      <c r="AN8" s="80"/>
      <c r="AO8" s="83"/>
      <c r="AP8" s="82">
        <f>AVERAGE(AP9:AP13)</f>
        <v>0</v>
      </c>
      <c r="AQ8" s="80"/>
      <c r="AR8" s="83"/>
      <c r="AS8" s="82">
        <f>AVERAGE(AS9:AS13)</f>
        <v>0</v>
      </c>
      <c r="AT8" s="80"/>
      <c r="AU8" s="83"/>
      <c r="AV8" s="82">
        <f>AVERAGE(AV9:AV13)</f>
        <v>0</v>
      </c>
      <c r="AW8" s="80"/>
      <c r="AX8" s="83"/>
      <c r="AY8" s="82">
        <f>AVERAGE(AY9:AY13)</f>
        <v>0</v>
      </c>
      <c r="AZ8" s="80"/>
      <c r="BA8" s="83"/>
      <c r="BB8" s="82">
        <f>AVERAGE(BB9:BB13)</f>
        <v>0</v>
      </c>
      <c r="BC8" s="80"/>
      <c r="BD8" s="83"/>
      <c r="BE8" s="82">
        <f>AVERAGE(BE9:BE13)</f>
        <v>0</v>
      </c>
      <c r="BF8" s="80"/>
      <c r="BG8" s="83"/>
      <c r="BH8" s="82">
        <f>AVERAGE(BH9:BH13)</f>
        <v>0</v>
      </c>
      <c r="BI8" s="80"/>
      <c r="BJ8" s="83"/>
      <c r="BK8" s="82">
        <f>AVERAGE(BK9:BK13)</f>
        <v>0</v>
      </c>
      <c r="BL8" s="80"/>
      <c r="BM8" s="83"/>
      <c r="BN8" s="82">
        <f>AVERAGE(BN9:BN13)</f>
        <v>0</v>
      </c>
      <c r="BO8" s="80"/>
      <c r="BP8" s="83"/>
      <c r="BQ8" s="82">
        <f>AVERAGE(BQ9:BQ13)</f>
        <v>0</v>
      </c>
      <c r="BR8" s="80"/>
      <c r="BS8" s="83"/>
      <c r="BT8" s="82">
        <f>AVERAGE(BT9:BT13)</f>
        <v>0</v>
      </c>
      <c r="BU8" s="80"/>
      <c r="BV8" s="83"/>
      <c r="BW8" s="82">
        <f>AVERAGE(BW9:BW13)</f>
        <v>0</v>
      </c>
      <c r="BX8" s="80"/>
      <c r="BY8" s="83"/>
      <c r="BZ8" s="82">
        <f>AVERAGE(BZ9:BZ13)</f>
        <v>0</v>
      </c>
      <c r="CA8" s="80"/>
      <c r="CB8" s="83"/>
      <c r="CC8" s="82">
        <f>AVERAGE(CC9:CC13)</f>
        <v>0</v>
      </c>
      <c r="CD8" s="80"/>
      <c r="CE8" s="83"/>
      <c r="CF8" s="82">
        <f>AVERAGE(CF9:CF13)</f>
        <v>0</v>
      </c>
      <c r="CG8" s="80"/>
      <c r="CH8" s="83"/>
      <c r="CI8" s="82">
        <f>AVERAGE(CI9:CI13)</f>
        <v>0</v>
      </c>
      <c r="CJ8" s="80"/>
      <c r="CK8" s="83"/>
      <c r="CL8" s="82">
        <f>AVERAGE(CL9:CL13)</f>
        <v>0</v>
      </c>
      <c r="CM8" s="80"/>
      <c r="CN8" s="83"/>
      <c r="CO8" s="82">
        <f>AVERAGE(CO9:CO13)</f>
        <v>0</v>
      </c>
      <c r="CP8" s="80"/>
      <c r="CQ8" s="83"/>
      <c r="CR8" s="82">
        <f>AVERAGE(CR9:CR13)</f>
        <v>0</v>
      </c>
      <c r="CS8" s="80"/>
      <c r="CT8" s="83"/>
      <c r="CU8" s="82">
        <f>AVERAGE(CU9:CU13)</f>
        <v>0</v>
      </c>
      <c r="CV8" s="80"/>
      <c r="CW8" s="83"/>
      <c r="CX8" s="82">
        <f>AVERAGE(CX9:CX13)</f>
        <v>0</v>
      </c>
      <c r="CY8" s="80"/>
      <c r="CZ8" s="83"/>
      <c r="DA8" s="82">
        <f>AVERAGE(DA9:DA13)</f>
        <v>0</v>
      </c>
      <c r="DB8" s="80"/>
      <c r="DC8" s="83"/>
      <c r="DD8" s="82">
        <f>AVERAGE(DD9:DD13)</f>
        <v>0</v>
      </c>
      <c r="DE8" s="80"/>
      <c r="DF8" s="83"/>
      <c r="DG8" s="82">
        <f>AVERAGE(DG9:DG13)</f>
        <v>0</v>
      </c>
      <c r="DH8" s="80"/>
      <c r="DI8" s="83"/>
      <c r="DJ8" s="82">
        <f>AVERAGE(DJ9:DJ13)</f>
        <v>0</v>
      </c>
      <c r="DK8" s="80"/>
      <c r="DL8" s="83"/>
      <c r="DM8" s="82">
        <f>AVERAGE(DM9:DM13)</f>
        <v>0</v>
      </c>
      <c r="DN8" s="80"/>
      <c r="DO8" s="83"/>
      <c r="DP8" s="82">
        <f>AVERAGE(DP9:DP13)</f>
        <v>0</v>
      </c>
      <c r="DQ8" s="80"/>
      <c r="DR8" s="83"/>
      <c r="DS8" s="82">
        <f>AVERAGE(DS9:DS13)</f>
        <v>0</v>
      </c>
      <c r="DT8" s="80"/>
      <c r="DU8" s="83"/>
      <c r="DV8" s="82">
        <f>AVERAGE(DV9:DV13)</f>
        <v>0</v>
      </c>
      <c r="DW8" s="80"/>
      <c r="DX8" s="83"/>
      <c r="DY8" s="82">
        <f>AVERAGE(DY9:DY13)</f>
        <v>0</v>
      </c>
      <c r="DZ8" s="80"/>
      <c r="EA8" s="83"/>
      <c r="EB8" s="82">
        <f>AVERAGE(EB9:EB13)</f>
        <v>0</v>
      </c>
      <c r="EC8" s="80"/>
      <c r="ED8" s="83"/>
      <c r="EE8" s="82">
        <f>AVERAGE(EE9:EE13)</f>
        <v>0</v>
      </c>
      <c r="EF8" s="80"/>
      <c r="EG8" s="83"/>
      <c r="EH8" s="82">
        <f>AVERAGE(EH9:EH13)</f>
        <v>0</v>
      </c>
      <c r="EI8" s="80"/>
      <c r="EJ8" s="83"/>
      <c r="EK8" s="82">
        <f>AVERAGE(EK9:EK13)</f>
        <v>0</v>
      </c>
      <c r="EL8" s="80"/>
      <c r="EM8" s="83"/>
      <c r="EN8" s="82">
        <f>AVERAGE(EN9:EN13)</f>
        <v>0</v>
      </c>
      <c r="EO8" s="80"/>
      <c r="EP8" s="83"/>
      <c r="EQ8" s="84">
        <f>AVERAGE(EQ9:EQ13)</f>
        <v>0</v>
      </c>
      <c r="ER8" s="85">
        <f t="array" ref="ER8">IFERROR(_xlfn.LET(
_xlpm.datos,CHOOSE({1;2;3;4;5;6;7;8;9;10;11;12;13;13;14;15;16;17;18;19;20;21;22;23;23;24;25;26;27;28;29;30;31;32;33;34;35;36;37;38;39;40;41;42;43;44;45;46;47},F8,I8,L8,O8,R8,U8,X8,AA8,AD8,AG8,AJ8,AM8,AP8,AS8,AV8,AY8,BB8,BE8,BH8,BK8,BQ8,BT8,BW8,BZ8,CC8,CF8,CI8,CL8,CO8,CR8,CU8,CX8,DA8,DD8,DG8,DJ8,DM8,DP8,DS8,DV8,DY8,EB8,EE8,EH8,EK8,EN8,EQ8),
AVERAGE(_xlfn._xlws.FILTER(_xlpm.datos,(_xlpm.datos&lt;&gt;0)*(_xlpm.datos&lt;&gt;"")))
),0)</f>
        <v>0</v>
      </c>
      <c r="ES8" s="86" t="str">
        <f t="array" ref="ES8">_xlfn.IFS(ER8&gt;=91.5%,"MENSUAL",ER8&gt;=75%,"QUINCENAL",ER8&lt;75%,"SEMANAL")</f>
        <v>SEMANAL</v>
      </c>
      <c r="EY8" s="87"/>
      <c r="EZ8" s="87"/>
      <c r="FA8" s="87"/>
    </row>
    <row r="9" ht="41.25" customHeight="1" spans="2:157" x14ac:dyDescent="0.25">
      <c r="B9" s="88" t="s">
        <v>78</v>
      </c>
      <c r="C9" s="89"/>
      <c r="D9" s="90">
        <v>4</v>
      </c>
      <c r="E9" s="91">
        <v>5</v>
      </c>
      <c r="F9" s="92">
        <f>D9/E9</f>
        <v>0</v>
      </c>
      <c r="G9" s="90"/>
      <c r="H9" s="91">
        <v>5</v>
      </c>
      <c r="I9" s="92">
        <f>G9/H9</f>
        <v>0</v>
      </c>
      <c r="J9" s="93"/>
      <c r="K9" s="91">
        <v>5</v>
      </c>
      <c r="L9" s="92">
        <f>J9/K9</f>
        <v>0</v>
      </c>
      <c r="M9" s="93"/>
      <c r="N9" s="91">
        <v>5</v>
      </c>
      <c r="O9" s="92">
        <f>M9/N9</f>
        <v>0</v>
      </c>
      <c r="P9" s="94"/>
      <c r="Q9" s="95">
        <v>5</v>
      </c>
      <c r="R9" s="92">
        <f>P9/Q9</f>
        <v>0</v>
      </c>
      <c r="S9" s="90"/>
      <c r="T9" s="95">
        <v>5</v>
      </c>
      <c r="U9" s="92">
        <f>S9/T9</f>
        <v>0</v>
      </c>
      <c r="V9" s="90"/>
      <c r="W9" s="95">
        <v>5</v>
      </c>
      <c r="X9" s="92">
        <f>V9/W9</f>
        <v>0</v>
      </c>
      <c r="Y9" s="90"/>
      <c r="Z9" s="95">
        <v>5</v>
      </c>
      <c r="AA9" s="92">
        <f>Y9/Z9</f>
        <v>0</v>
      </c>
      <c r="AB9" s="94"/>
      <c r="AC9" s="95">
        <v>5</v>
      </c>
      <c r="AD9" s="92">
        <f>AB9/AC9</f>
        <v>0</v>
      </c>
      <c r="AE9" s="94"/>
      <c r="AF9" s="95">
        <v>5</v>
      </c>
      <c r="AG9" s="92">
        <f>AE9/AF9</f>
        <v>0</v>
      </c>
      <c r="AH9" s="94"/>
      <c r="AI9" s="95">
        <v>5</v>
      </c>
      <c r="AJ9" s="92">
        <f>AH9/AI9</f>
        <v>0</v>
      </c>
      <c r="AK9" s="94"/>
      <c r="AL9" s="95">
        <v>5</v>
      </c>
      <c r="AM9" s="92">
        <f>AK9/AL9</f>
        <v>0</v>
      </c>
      <c r="AN9" s="90"/>
      <c r="AO9" s="96">
        <v>5</v>
      </c>
      <c r="AP9" s="92">
        <f>AN9/AO9</f>
        <v>0</v>
      </c>
      <c r="AQ9" s="90"/>
      <c r="AR9" s="96">
        <v>5</v>
      </c>
      <c r="AS9" s="92">
        <f>AQ9/AR9</f>
        <v>0</v>
      </c>
      <c r="AT9" s="90"/>
      <c r="AU9" s="96">
        <v>5</v>
      </c>
      <c r="AV9" s="92">
        <f>AT9/AU9</f>
        <v>0</v>
      </c>
      <c r="AW9" s="90"/>
      <c r="AX9" s="96">
        <v>5</v>
      </c>
      <c r="AY9" s="92">
        <f>AW9/AX9</f>
        <v>0</v>
      </c>
      <c r="AZ9" s="90"/>
      <c r="BA9" s="96">
        <v>5</v>
      </c>
      <c r="BB9" s="92">
        <f>AZ9/BA9</f>
        <v>0</v>
      </c>
      <c r="BC9" s="90"/>
      <c r="BD9" s="96">
        <v>5</v>
      </c>
      <c r="BE9" s="92">
        <f>BC9/BD9</f>
        <v>0</v>
      </c>
      <c r="BF9" s="90"/>
      <c r="BG9" s="96">
        <v>5</v>
      </c>
      <c r="BH9" s="92">
        <f>BF9/BG9</f>
        <v>0</v>
      </c>
      <c r="BI9" s="90"/>
      <c r="BJ9" s="96">
        <v>5</v>
      </c>
      <c r="BK9" s="92">
        <f>BI9/BJ9</f>
        <v>0</v>
      </c>
      <c r="BL9" s="90"/>
      <c r="BM9" s="96">
        <v>5</v>
      </c>
      <c r="BN9" s="92">
        <f>BL9/BM9</f>
        <v>0</v>
      </c>
      <c r="BO9" s="90"/>
      <c r="BP9" s="96">
        <v>5</v>
      </c>
      <c r="BQ9" s="92">
        <f>BO9/BP9</f>
        <v>0</v>
      </c>
      <c r="BR9" s="90"/>
      <c r="BS9" s="96">
        <v>5</v>
      </c>
      <c r="BT9" s="92">
        <f>BR9/BS9</f>
        <v>0</v>
      </c>
      <c r="BU9" s="90"/>
      <c r="BV9" s="96">
        <v>5</v>
      </c>
      <c r="BW9" s="92">
        <f>BU9/BV9</f>
        <v>0</v>
      </c>
      <c r="BX9" s="90"/>
      <c r="BY9" s="96">
        <v>5</v>
      </c>
      <c r="BZ9" s="92">
        <f>BX9/BY9</f>
        <v>0</v>
      </c>
      <c r="CA9" s="90"/>
      <c r="CB9" s="96">
        <v>5</v>
      </c>
      <c r="CC9" s="92">
        <f>CA9/CB9</f>
        <v>0</v>
      </c>
      <c r="CD9" s="90"/>
      <c r="CE9" s="96">
        <v>5</v>
      </c>
      <c r="CF9" s="92">
        <f>CD9/CE9</f>
        <v>0</v>
      </c>
      <c r="CG9" s="90"/>
      <c r="CH9" s="96">
        <v>5</v>
      </c>
      <c r="CI9" s="92">
        <f>CG9/CH9</f>
        <v>0</v>
      </c>
      <c r="CJ9" s="90"/>
      <c r="CK9" s="96">
        <v>5</v>
      </c>
      <c r="CL9" s="92">
        <f>CJ9/CK9</f>
        <v>0</v>
      </c>
      <c r="CM9" s="90"/>
      <c r="CN9" s="96">
        <v>5</v>
      </c>
      <c r="CO9" s="92">
        <f>CM9/CN9</f>
        <v>0</v>
      </c>
      <c r="CP9" s="90"/>
      <c r="CQ9" s="96">
        <v>5</v>
      </c>
      <c r="CR9" s="92">
        <f>CP9/CQ9</f>
        <v>0</v>
      </c>
      <c r="CS9" s="90"/>
      <c r="CT9" s="96">
        <v>5</v>
      </c>
      <c r="CU9" s="92">
        <f>CS9/CT9</f>
        <v>0</v>
      </c>
      <c r="CV9" s="90"/>
      <c r="CW9" s="96">
        <v>5</v>
      </c>
      <c r="CX9" s="92">
        <f>CV9/CW9</f>
        <v>0</v>
      </c>
      <c r="CY9" s="90"/>
      <c r="CZ9" s="96">
        <v>5</v>
      </c>
      <c r="DA9" s="92">
        <f>CY9/CZ9</f>
        <v>0</v>
      </c>
      <c r="DB9" s="90"/>
      <c r="DC9" s="96">
        <v>5</v>
      </c>
      <c r="DD9" s="92">
        <f>DB9/DC9</f>
        <v>0</v>
      </c>
      <c r="DE9" s="90"/>
      <c r="DF9" s="96">
        <v>5</v>
      </c>
      <c r="DG9" s="92">
        <f>DE9/DF9</f>
        <v>0</v>
      </c>
      <c r="DH9" s="90"/>
      <c r="DI9" s="96">
        <v>5</v>
      </c>
      <c r="DJ9" s="92">
        <f>DH9/DI9</f>
        <v>0</v>
      </c>
      <c r="DK9" s="90"/>
      <c r="DL9" s="96">
        <v>5</v>
      </c>
      <c r="DM9" s="92">
        <f>DK9/DL9</f>
        <v>0</v>
      </c>
      <c r="DN9" s="90"/>
      <c r="DO9" s="96">
        <v>5</v>
      </c>
      <c r="DP9" s="92">
        <f>DN9/DO9</f>
        <v>0</v>
      </c>
      <c r="DQ9" s="90"/>
      <c r="DR9" s="96">
        <v>5</v>
      </c>
      <c r="DS9" s="92">
        <f>DQ9/DR9</f>
        <v>0</v>
      </c>
      <c r="DT9" s="90"/>
      <c r="DU9" s="96">
        <v>5</v>
      </c>
      <c r="DV9" s="92">
        <f>DT9/DU9</f>
        <v>0</v>
      </c>
      <c r="DW9" s="90"/>
      <c r="DX9" s="96">
        <v>5</v>
      </c>
      <c r="DY9" s="92">
        <f>DW9/DX9</f>
        <v>0</v>
      </c>
      <c r="DZ9" s="90"/>
      <c r="EA9" s="96">
        <v>5</v>
      </c>
      <c r="EB9" s="92">
        <f>DZ9/EA9</f>
        <v>0</v>
      </c>
      <c r="EC9" s="90"/>
      <c r="ED9" s="96">
        <v>5</v>
      </c>
      <c r="EE9" s="92">
        <f>EC9/ED9</f>
        <v>0</v>
      </c>
      <c r="EF9" s="90"/>
      <c r="EG9" s="96">
        <v>5</v>
      </c>
      <c r="EH9" s="92">
        <f>EF9/EG9</f>
        <v>0</v>
      </c>
      <c r="EI9" s="90"/>
      <c r="EJ9" s="96">
        <v>5</v>
      </c>
      <c r="EK9" s="92">
        <f>EI9/EJ9</f>
        <v>0</v>
      </c>
      <c r="EL9" s="90"/>
      <c r="EM9" s="96">
        <v>5</v>
      </c>
      <c r="EN9" s="92">
        <f>EL9/EM9</f>
        <v>0</v>
      </c>
      <c r="EO9" s="90"/>
      <c r="EP9" s="96">
        <v>5</v>
      </c>
      <c r="EQ9" s="97">
        <f>EO9/EP9</f>
        <v>0</v>
      </c>
      <c r="ER9" s="85">
        <f t="array" ref="ER9">IFERROR(_xlfn.LET(
_xlpm.datos,CHOOSE({1;2;3;4;5;6;7;8;9;10;11;12;13;13;14;15;16;17;18;19;20;21;22;23;23;24;25;26;27;28;29;30;31;32;33;34;35;36;37;38;39;40;41;42;43;44;45;46;47},F9,I9,L9,O9,R9,U9,X9,AA9,AD9,AG9,AJ9,AM9,AP9,AS9,AV9,AY9,BB9,BE9,BH9,BK9,BQ9,BT9,BW9,BZ9,CC9,CF9,CI9,CL9,CO9,CR9,CU9,CX9,DA9,DD9,DG9,DJ9,DM9,DP9,DS9,DV9,DY9,EB9,EE9,EH9,EK9,EN9,EQ9),
AVERAGE(_xlfn._xlws.FILTER(_xlpm.datos,(_xlpm.datos&lt;&gt;0)*(_xlpm.datos&lt;&gt;"")))
),0)</f>
        <v>0</v>
      </c>
      <c r="ES9" s="86" t="str">
        <f t="array" ref="ES9">_xlfn.IFS(ER9&gt;=91.5%,"MENSUAL",ER9&gt;=75%,"QUINCENAL",ER9&lt;75%,"SEMANAL")</f>
        <v>SEMANAL</v>
      </c>
      <c r="EY9" s="98">
        <v>1</v>
      </c>
      <c r="EZ9" s="98" t="s">
        <v>79</v>
      </c>
      <c r="FA9" s="99" t="s">
        <v>80</v>
      </c>
    </row>
    <row r="10" ht="17.25" customHeight="1" spans="2:157" x14ac:dyDescent="0.25">
      <c r="B10" s="100" t="s">
        <v>81</v>
      </c>
      <c r="C10" s="101"/>
      <c r="D10" s="102"/>
      <c r="E10" s="103">
        <v>5</v>
      </c>
      <c r="F10" s="104">
        <f t="shared" ref="F10:F13" si="0">D10/E10</f>
        <v>0</v>
      </c>
      <c r="G10" s="102"/>
      <c r="H10" s="103">
        <v>5</v>
      </c>
      <c r="I10" s="104">
        <f t="shared" ref="I10:I13" si="1">G10/H10</f>
        <v>0</v>
      </c>
      <c r="J10" s="105"/>
      <c r="K10" s="103">
        <v>5</v>
      </c>
      <c r="L10" s="104">
        <f t="shared" ref="L10:L13" si="2">J10/K10</f>
        <v>0</v>
      </c>
      <c r="M10" s="105"/>
      <c r="N10" s="103">
        <v>5</v>
      </c>
      <c r="O10" s="104">
        <f t="shared" ref="O10:O13" si="3">M10/N10</f>
        <v>0</v>
      </c>
      <c r="P10" s="106"/>
      <c r="Q10" s="107">
        <v>5</v>
      </c>
      <c r="R10" s="104">
        <f t="shared" ref="R10:R13" si="4">P10/Q10</f>
        <v>0</v>
      </c>
      <c r="S10" s="102"/>
      <c r="T10" s="107">
        <v>5</v>
      </c>
      <c r="U10" s="104">
        <f t="shared" ref="U10:U13" si="5">S10/T10</f>
        <v>0</v>
      </c>
      <c r="V10" s="102"/>
      <c r="W10" s="107">
        <v>5</v>
      </c>
      <c r="X10" s="104">
        <f t="shared" ref="X10:X13" si="6">V10/W10</f>
        <v>0</v>
      </c>
      <c r="Y10" s="102"/>
      <c r="Z10" s="107">
        <v>5</v>
      </c>
      <c r="AA10" s="104">
        <f t="shared" ref="AA10:AA13" si="7">Y10/Z10</f>
        <v>0</v>
      </c>
      <c r="AB10" s="106"/>
      <c r="AC10" s="107">
        <v>5</v>
      </c>
      <c r="AD10" s="104">
        <f t="shared" ref="AD10:AD13" si="8">AB10/AC10</f>
        <v>0</v>
      </c>
      <c r="AE10" s="106"/>
      <c r="AF10" s="107">
        <v>5</v>
      </c>
      <c r="AG10" s="104">
        <f t="shared" ref="AG10:AG13" si="9">AE10/AF10</f>
        <v>0</v>
      </c>
      <c r="AH10" s="106"/>
      <c r="AI10" s="107">
        <v>5</v>
      </c>
      <c r="AJ10" s="104">
        <f t="shared" ref="AJ10:AJ13" si="10">AH10/AI10</f>
        <v>0</v>
      </c>
      <c r="AK10" s="106"/>
      <c r="AL10" s="107">
        <v>5</v>
      </c>
      <c r="AM10" s="104">
        <f t="shared" ref="AM10:AM13" si="11">AK10/AL10</f>
        <v>0</v>
      </c>
      <c r="AN10" s="102"/>
      <c r="AO10" s="1">
        <v>5</v>
      </c>
      <c r="AP10" s="104">
        <f t="shared" ref="AP10:AP13" si="12">AN10/AO10</f>
        <v>0</v>
      </c>
      <c r="AQ10" s="102"/>
      <c r="AR10" s="1">
        <v>5</v>
      </c>
      <c r="AS10" s="104">
        <f t="shared" ref="AS10:AS13" si="13">AQ10/AR10</f>
        <v>0</v>
      </c>
      <c r="AT10" s="102"/>
      <c r="AU10" s="1">
        <v>5</v>
      </c>
      <c r="AV10" s="104">
        <f t="shared" ref="AV10:AV13" si="14">AT10/AU10</f>
        <v>0</v>
      </c>
      <c r="AW10" s="102"/>
      <c r="AX10" s="1">
        <v>5</v>
      </c>
      <c r="AY10" s="104">
        <f t="shared" ref="AY10:AY13" si="15">AW10/AX10</f>
        <v>0</v>
      </c>
      <c r="AZ10" s="102"/>
      <c r="BA10" s="1">
        <v>5</v>
      </c>
      <c r="BB10" s="104">
        <f t="shared" ref="BB10:BB13" si="16">AZ10/BA10</f>
        <v>0</v>
      </c>
      <c r="BC10" s="102"/>
      <c r="BD10" s="1">
        <v>5</v>
      </c>
      <c r="BE10" s="104">
        <f t="shared" ref="BE10:BE13" si="17">BC10/BD10</f>
        <v>0</v>
      </c>
      <c r="BF10" s="102"/>
      <c r="BG10" s="1">
        <v>5</v>
      </c>
      <c r="BH10" s="104">
        <f t="shared" ref="BH10:BH13" si="18">BF10/BG10</f>
        <v>0</v>
      </c>
      <c r="BI10" s="102"/>
      <c r="BJ10" s="1">
        <v>5</v>
      </c>
      <c r="BK10" s="104">
        <f t="shared" ref="BK10:BK13" si="19">BI10/BJ10</f>
        <v>0</v>
      </c>
      <c r="BL10" s="102"/>
      <c r="BM10" s="1">
        <v>5</v>
      </c>
      <c r="BN10" s="104">
        <f t="shared" ref="BN10:BN13" si="20">BL10/BM10</f>
        <v>0</v>
      </c>
      <c r="BO10" s="102"/>
      <c r="BP10" s="1">
        <v>5</v>
      </c>
      <c r="BQ10" s="104">
        <f t="shared" ref="BQ10:BQ13" si="21">BO10/BP10</f>
        <v>0</v>
      </c>
      <c r="BR10" s="102"/>
      <c r="BS10" s="1">
        <v>5</v>
      </c>
      <c r="BT10" s="104">
        <f t="shared" ref="BT10:BT13" si="22">BR10/BS10</f>
        <v>0</v>
      </c>
      <c r="BU10" s="102"/>
      <c r="BV10" s="1">
        <v>5</v>
      </c>
      <c r="BW10" s="104">
        <f t="shared" ref="BW10:BW13" si="23">BU10/BV10</f>
        <v>0</v>
      </c>
      <c r="BX10" s="102"/>
      <c r="BY10" s="1">
        <v>5</v>
      </c>
      <c r="BZ10" s="104">
        <f t="shared" ref="BZ10:BZ13" si="24">BX10/BY10</f>
        <v>0</v>
      </c>
      <c r="CA10" s="102"/>
      <c r="CB10" s="1">
        <v>5</v>
      </c>
      <c r="CC10" s="104">
        <f t="shared" ref="CC10:CC13" si="25">CA10/CB10</f>
        <v>0</v>
      </c>
      <c r="CD10" s="102"/>
      <c r="CE10" s="1">
        <v>5</v>
      </c>
      <c r="CF10" s="104">
        <f t="shared" ref="CF10:CF13" si="26">CD10/CE10</f>
        <v>0</v>
      </c>
      <c r="CG10" s="102"/>
      <c r="CH10" s="1">
        <v>5</v>
      </c>
      <c r="CI10" s="104">
        <f t="shared" ref="CI10:CI13" si="27">CG10/CH10</f>
        <v>0</v>
      </c>
      <c r="CJ10" s="102"/>
      <c r="CK10" s="1">
        <v>5</v>
      </c>
      <c r="CL10" s="104">
        <f t="shared" ref="CL10:CL13" si="28">CJ10/CK10</f>
        <v>0</v>
      </c>
      <c r="CM10" s="102"/>
      <c r="CN10" s="1">
        <v>5</v>
      </c>
      <c r="CO10" s="104">
        <f t="shared" ref="CO10:CO13" si="29">CM10/CN10</f>
        <v>0</v>
      </c>
      <c r="CP10" s="102"/>
      <c r="CQ10" s="1">
        <v>5</v>
      </c>
      <c r="CR10" s="104">
        <f t="shared" ref="CR10:CR13" si="30">CP10/CQ10</f>
        <v>0</v>
      </c>
      <c r="CS10" s="102"/>
      <c r="CT10" s="1">
        <v>5</v>
      </c>
      <c r="CU10" s="104">
        <f t="shared" ref="CU10:CU13" si="31">CS10/CT10</f>
        <v>0</v>
      </c>
      <c r="CV10" s="102"/>
      <c r="CW10" s="1">
        <v>5</v>
      </c>
      <c r="CX10" s="104">
        <f t="shared" ref="CX10:CX13" si="32">CV10/CW10</f>
        <v>0</v>
      </c>
      <c r="CY10" s="102"/>
      <c r="CZ10" s="1">
        <v>5</v>
      </c>
      <c r="DA10" s="104">
        <f t="shared" ref="DA10:DA13" si="33">CY10/CZ10</f>
        <v>0</v>
      </c>
      <c r="DB10" s="102"/>
      <c r="DC10" s="1">
        <v>5</v>
      </c>
      <c r="DD10" s="104">
        <f t="shared" ref="DD10:DD13" si="34">DB10/DC10</f>
        <v>0</v>
      </c>
      <c r="DE10" s="102"/>
      <c r="DF10" s="1">
        <v>5</v>
      </c>
      <c r="DG10" s="104">
        <f t="shared" ref="DG10:DG13" si="35">DE10/DF10</f>
        <v>0</v>
      </c>
      <c r="DH10" s="102"/>
      <c r="DI10" s="1">
        <v>5</v>
      </c>
      <c r="DJ10" s="104">
        <f t="shared" ref="DJ10:DJ13" si="36">DH10/DI10</f>
        <v>0</v>
      </c>
      <c r="DK10" s="102"/>
      <c r="DL10" s="1">
        <v>5</v>
      </c>
      <c r="DM10" s="104">
        <f t="shared" ref="DM10:DM13" si="37">DK10/DL10</f>
        <v>0</v>
      </c>
      <c r="DN10" s="102"/>
      <c r="DO10" s="1">
        <v>5</v>
      </c>
      <c r="DP10" s="104">
        <f t="shared" ref="DP10:DP13" si="38">DN10/DO10</f>
        <v>0</v>
      </c>
      <c r="DQ10" s="102"/>
      <c r="DR10" s="1">
        <v>5</v>
      </c>
      <c r="DS10" s="104">
        <f t="shared" ref="DS10:DS13" si="39">DQ10/DR10</f>
        <v>0</v>
      </c>
      <c r="DT10" s="102"/>
      <c r="DU10" s="1">
        <v>5</v>
      </c>
      <c r="DV10" s="104">
        <f t="shared" ref="DV10:DV13" si="40">DT10/DU10</f>
        <v>0</v>
      </c>
      <c r="DW10" s="102"/>
      <c r="DX10" s="1">
        <v>5</v>
      </c>
      <c r="DY10" s="104">
        <f t="shared" ref="DY10:DY13" si="41">DW10/DX10</f>
        <v>0</v>
      </c>
      <c r="DZ10" s="102"/>
      <c r="EA10" s="1">
        <v>5</v>
      </c>
      <c r="EB10" s="104">
        <f t="shared" ref="EB10:EB13" si="42">DZ10/EA10</f>
        <v>0</v>
      </c>
      <c r="EC10" s="102"/>
      <c r="ED10" s="1">
        <v>5</v>
      </c>
      <c r="EE10" s="104">
        <f t="shared" ref="EE10:EE13" si="43">EC10/ED10</f>
        <v>0</v>
      </c>
      <c r="EF10" s="102"/>
      <c r="EG10" s="1">
        <v>5</v>
      </c>
      <c r="EH10" s="104">
        <f t="shared" ref="EH10:EH13" si="44">EF10/EG10</f>
        <v>0</v>
      </c>
      <c r="EI10" s="102"/>
      <c r="EJ10" s="1">
        <v>5</v>
      </c>
      <c r="EK10" s="104">
        <f t="shared" ref="EK10:EK13" si="45">EI10/EJ10</f>
        <v>0</v>
      </c>
      <c r="EL10" s="102"/>
      <c r="EM10" s="1">
        <v>5</v>
      </c>
      <c r="EN10" s="104">
        <f t="shared" ref="EN10:EN13" si="46">EL10/EM10</f>
        <v>0</v>
      </c>
      <c r="EO10" s="102"/>
      <c r="EP10" s="1">
        <v>5</v>
      </c>
      <c r="EQ10" s="108">
        <f t="shared" ref="EQ10:EQ13" si="47">EO10/EP10</f>
        <v>0</v>
      </c>
      <c r="ER10" s="85">
        <f t="array" ref="ER10">IFERROR(_xlfn.LET(
_xlpm.datos,CHOOSE({1;2;3;4;5;6;7;8;9;10;11;12;13;13;14;15;16;17;18;19;20;21;22;23;23;24;25;26;27;28;29;30;31;32;33;34;35;36;37;38;39;40;41;42;43;44;45;46;47},F10,I10,L10,O10,R10,U10,X10,AA10,AD10,AG10,AJ10,AM10,AP10,AS10,AV10,AY10,BB10,BE10,BH10,BK10,BQ10,BT10,BW10,BZ10,CC10,CF10,CI10,CL10,CO10,CR10,CU10,CX10,DA10,DD10,DG10,DJ10,DM10,DP10,DS10,DV10,DY10,EB10,EE10,EH10,EK10,EN10,EQ10),
AVERAGE(_xlfn._xlws.FILTER(_xlpm.datos,(_xlpm.datos&lt;&gt;0)*(_xlpm.datos&lt;&gt;"")))
),0)</f>
        <v>0</v>
      </c>
      <c r="ES10" s="86" t="str">
        <f t="array" ref="ES10">_xlfn.IFS(ER10&gt;=91.5%,"MENSUAL",ER10&gt;=75%,"QUINCENAL",ER10&lt;75%,"SEMANAL")</f>
        <v>SEMANAL</v>
      </c>
      <c r="EY10" s="86">
        <v>2</v>
      </c>
      <c r="EZ10" s="86" t="s">
        <v>82</v>
      </c>
      <c r="FA10" s="109" t="s">
        <v>83</v>
      </c>
    </row>
    <row r="11" ht="41.25" customHeight="1" spans="2:157" x14ac:dyDescent="0.25">
      <c r="B11" s="100" t="s">
        <v>84</v>
      </c>
      <c r="C11" s="101"/>
      <c r="D11" s="102"/>
      <c r="E11" s="103">
        <v>5</v>
      </c>
      <c r="F11" s="104">
        <f t="shared" si="0"/>
        <v>0</v>
      </c>
      <c r="G11" s="102"/>
      <c r="H11" s="103">
        <v>5</v>
      </c>
      <c r="I11" s="104">
        <f t="shared" si="1"/>
        <v>0</v>
      </c>
      <c r="J11" s="105"/>
      <c r="K11" s="103">
        <v>5</v>
      </c>
      <c r="L11" s="104">
        <f t="shared" si="2"/>
        <v>0</v>
      </c>
      <c r="M11" s="105"/>
      <c r="N11" s="103">
        <v>5</v>
      </c>
      <c r="O11" s="104">
        <f t="shared" si="3"/>
        <v>0</v>
      </c>
      <c r="P11" s="106"/>
      <c r="Q11" s="107">
        <v>5</v>
      </c>
      <c r="R11" s="104">
        <f t="shared" si="4"/>
        <v>0</v>
      </c>
      <c r="S11" s="102"/>
      <c r="T11" s="107">
        <v>5</v>
      </c>
      <c r="U11" s="104">
        <f t="shared" si="5"/>
        <v>0</v>
      </c>
      <c r="V11" s="102"/>
      <c r="W11" s="110">
        <v>5</v>
      </c>
      <c r="X11" s="104">
        <f t="shared" si="6"/>
        <v>0</v>
      </c>
      <c r="Y11" s="105"/>
      <c r="Z11" s="111">
        <v>5</v>
      </c>
      <c r="AA11" s="104">
        <f t="shared" si="7"/>
        <v>0</v>
      </c>
      <c r="AB11" s="102"/>
      <c r="AC11" s="111">
        <v>5</v>
      </c>
      <c r="AD11" s="104">
        <f t="shared" si="8"/>
        <v>0</v>
      </c>
      <c r="AE11" s="105"/>
      <c r="AF11" s="111">
        <v>5</v>
      </c>
      <c r="AG11" s="104">
        <f t="shared" si="9"/>
        <v>0</v>
      </c>
      <c r="AH11" s="105"/>
      <c r="AI11" s="111">
        <v>5</v>
      </c>
      <c r="AJ11" s="104">
        <f t="shared" si="10"/>
        <v>0</v>
      </c>
      <c r="AK11" s="105"/>
      <c r="AL11" s="111">
        <v>5</v>
      </c>
      <c r="AM11" s="104">
        <f t="shared" si="11"/>
        <v>0</v>
      </c>
      <c r="AN11" s="102"/>
      <c r="AO11" s="1">
        <v>5</v>
      </c>
      <c r="AP11" s="104">
        <f t="shared" si="12"/>
        <v>0</v>
      </c>
      <c r="AQ11" s="102"/>
      <c r="AR11" s="1">
        <v>5</v>
      </c>
      <c r="AS11" s="104">
        <f t="shared" si="13"/>
        <v>0</v>
      </c>
      <c r="AT11" s="102"/>
      <c r="AU11" s="1">
        <v>5</v>
      </c>
      <c r="AV11" s="104">
        <f t="shared" si="14"/>
        <v>0</v>
      </c>
      <c r="AW11" s="102"/>
      <c r="AX11" s="1">
        <v>5</v>
      </c>
      <c r="AY11" s="104">
        <f t="shared" si="15"/>
        <v>0</v>
      </c>
      <c r="AZ11" s="112"/>
      <c r="BA11" s="113">
        <v>5</v>
      </c>
      <c r="BB11" s="104">
        <f t="shared" si="16"/>
        <v>0</v>
      </c>
      <c r="BC11" s="112"/>
      <c r="BD11" s="113">
        <v>5</v>
      </c>
      <c r="BE11" s="104">
        <f t="shared" si="17"/>
        <v>0</v>
      </c>
      <c r="BF11" s="112"/>
      <c r="BG11" s="113">
        <v>5</v>
      </c>
      <c r="BH11" s="104">
        <f t="shared" si="18"/>
        <v>0</v>
      </c>
      <c r="BI11" s="102"/>
      <c r="BJ11" s="1">
        <v>5</v>
      </c>
      <c r="BK11" s="104">
        <f t="shared" si="19"/>
        <v>0</v>
      </c>
      <c r="BL11" s="102"/>
      <c r="BM11" s="1">
        <v>5</v>
      </c>
      <c r="BN11" s="104">
        <f t="shared" si="20"/>
        <v>0</v>
      </c>
      <c r="BO11" s="102"/>
      <c r="BP11" s="1">
        <v>5</v>
      </c>
      <c r="BQ11" s="104">
        <f t="shared" si="21"/>
        <v>0</v>
      </c>
      <c r="BR11" s="102"/>
      <c r="BS11" s="1">
        <v>5</v>
      </c>
      <c r="BT11" s="104">
        <f t="shared" si="22"/>
        <v>0</v>
      </c>
      <c r="BU11" s="102"/>
      <c r="BV11" s="1">
        <v>5</v>
      </c>
      <c r="BW11" s="104">
        <f t="shared" si="23"/>
        <v>0</v>
      </c>
      <c r="BX11" s="112"/>
      <c r="BY11" s="113">
        <v>5</v>
      </c>
      <c r="BZ11" s="104">
        <f t="shared" si="24"/>
        <v>0</v>
      </c>
      <c r="CA11" s="112"/>
      <c r="CB11" s="113">
        <v>5</v>
      </c>
      <c r="CC11" s="104">
        <f t="shared" si="25"/>
        <v>0</v>
      </c>
      <c r="CD11" s="112"/>
      <c r="CE11" s="113">
        <v>5</v>
      </c>
      <c r="CF11" s="104">
        <f t="shared" si="26"/>
        <v>0</v>
      </c>
      <c r="CG11" s="102"/>
      <c r="CH11" s="1">
        <v>5</v>
      </c>
      <c r="CI11" s="104">
        <f t="shared" si="27"/>
        <v>0</v>
      </c>
      <c r="CJ11" s="102"/>
      <c r="CK11" s="1">
        <v>5</v>
      </c>
      <c r="CL11" s="104">
        <f t="shared" si="28"/>
        <v>0</v>
      </c>
      <c r="CM11" s="102"/>
      <c r="CN11" s="1">
        <v>5</v>
      </c>
      <c r="CO11" s="104">
        <f t="shared" si="29"/>
        <v>0</v>
      </c>
      <c r="CP11" s="112"/>
      <c r="CQ11" s="113">
        <v>5</v>
      </c>
      <c r="CR11" s="104">
        <f t="shared" si="30"/>
        <v>0</v>
      </c>
      <c r="CS11" s="112"/>
      <c r="CT11" s="113">
        <v>5</v>
      </c>
      <c r="CU11" s="104">
        <f t="shared" si="31"/>
        <v>0</v>
      </c>
      <c r="CV11" s="112"/>
      <c r="CW11" s="113">
        <v>5</v>
      </c>
      <c r="CX11" s="104">
        <f t="shared" si="32"/>
        <v>0</v>
      </c>
      <c r="CY11" s="102"/>
      <c r="CZ11" s="1">
        <v>5</v>
      </c>
      <c r="DA11" s="104">
        <f t="shared" si="33"/>
        <v>0</v>
      </c>
      <c r="DB11" s="112"/>
      <c r="DC11" s="113">
        <v>5</v>
      </c>
      <c r="DD11" s="104">
        <f t="shared" si="34"/>
        <v>0</v>
      </c>
      <c r="DE11" s="112"/>
      <c r="DF11" s="113">
        <v>5</v>
      </c>
      <c r="DG11" s="104">
        <f t="shared" si="35"/>
        <v>0</v>
      </c>
      <c r="DH11" s="112"/>
      <c r="DI11" s="113">
        <v>5</v>
      </c>
      <c r="DJ11" s="104">
        <f t="shared" si="36"/>
        <v>0</v>
      </c>
      <c r="DK11" s="112"/>
      <c r="DL11" s="113">
        <v>5</v>
      </c>
      <c r="DM11" s="104">
        <f t="shared" si="37"/>
        <v>0</v>
      </c>
      <c r="DN11" s="112"/>
      <c r="DO11" s="113">
        <v>5</v>
      </c>
      <c r="DP11" s="104">
        <f t="shared" si="38"/>
        <v>0</v>
      </c>
      <c r="DQ11" s="102"/>
      <c r="DR11" s="1">
        <v>5</v>
      </c>
      <c r="DS11" s="104">
        <f t="shared" si="39"/>
        <v>0</v>
      </c>
      <c r="DT11" s="102"/>
      <c r="DU11" s="1">
        <v>5</v>
      </c>
      <c r="DV11" s="104">
        <f t="shared" si="40"/>
        <v>0</v>
      </c>
      <c r="DW11" s="102"/>
      <c r="DX11" s="1">
        <v>5</v>
      </c>
      <c r="DY11" s="104">
        <f t="shared" si="41"/>
        <v>0</v>
      </c>
      <c r="DZ11" s="112"/>
      <c r="EA11" s="113">
        <v>5</v>
      </c>
      <c r="EB11" s="104">
        <f t="shared" si="42"/>
        <v>0</v>
      </c>
      <c r="EC11" s="112"/>
      <c r="ED11" s="113">
        <v>5</v>
      </c>
      <c r="EE11" s="104">
        <f t="shared" si="43"/>
        <v>0</v>
      </c>
      <c r="EF11" s="112"/>
      <c r="EG11" s="113">
        <v>5</v>
      </c>
      <c r="EH11" s="104">
        <f t="shared" si="44"/>
        <v>0</v>
      </c>
      <c r="EI11" s="102"/>
      <c r="EJ11" s="1">
        <v>5</v>
      </c>
      <c r="EK11" s="104">
        <f t="shared" si="45"/>
        <v>0</v>
      </c>
      <c r="EL11" s="112"/>
      <c r="EM11" s="113">
        <v>5</v>
      </c>
      <c r="EN11" s="104">
        <f t="shared" si="46"/>
        <v>0</v>
      </c>
      <c r="EO11" s="112"/>
      <c r="EP11" s="113">
        <v>5</v>
      </c>
      <c r="EQ11" s="108">
        <f t="shared" si="47"/>
        <v>0</v>
      </c>
      <c r="ER11" s="85">
        <f t="array" ref="ER11">IFERROR(_xlfn.LET(
_xlpm.datos,CHOOSE({1;2;3;4;5;6;7;8;9;10;11;12;13;13;14;15;16;17;18;19;20;21;22;23;23;24;25;26;27;28;29;30;31;32;33;34;35;36;37;38;39;40;41;42;43;44;45;46;47},F11,I11,L11,O11,R11,U11,X11,AA11,AD11,AG11,AJ11,AM11,AP11,AS11,AV11,AY11,BB11,BE11,BH11,BK11,BQ11,BT11,BW11,BZ11,CC11,CF11,CI11,CL11,CO11,CR11,CU11,CX11,DA11,DD11,DG11,DJ11,DM11,DP11,DS11,DV11,DY11,EB11,EE11,EH11,EK11,EN11,EQ11),
AVERAGE(_xlfn._xlws.FILTER(_xlpm.datos,(_xlpm.datos&lt;&gt;0)*(_xlpm.datos&lt;&gt;"")))
),0)</f>
        <v>0</v>
      </c>
      <c r="ES11" s="86" t="str">
        <f t="array" ref="ES11">_xlfn.IFS(ER11&gt;=91.5%,"MENSUAL",ER11&gt;=75%,"QUINCENAL",ER11&lt;75%,"SEMANAL")</f>
        <v>SEMANAL</v>
      </c>
      <c r="EY11" s="114">
        <v>3</v>
      </c>
      <c r="EZ11" s="114" t="s">
        <v>85</v>
      </c>
      <c r="FA11" s="109" t="s">
        <v>86</v>
      </c>
    </row>
    <row r="12" ht="24.75" customHeight="1" spans="2:149" x14ac:dyDescent="0.25">
      <c r="B12" s="100" t="s">
        <v>87</v>
      </c>
      <c r="C12" s="101"/>
      <c r="D12" s="102"/>
      <c r="E12" s="103">
        <v>5</v>
      </c>
      <c r="F12" s="104">
        <f t="shared" si="0"/>
        <v>0</v>
      </c>
      <c r="G12" s="102"/>
      <c r="H12" s="103">
        <v>5</v>
      </c>
      <c r="I12" s="104">
        <f t="shared" si="1"/>
        <v>0</v>
      </c>
      <c r="J12" s="105"/>
      <c r="K12" s="103">
        <v>5</v>
      </c>
      <c r="L12" s="104">
        <f t="shared" si="2"/>
        <v>0</v>
      </c>
      <c r="M12" s="105"/>
      <c r="N12" s="103">
        <v>5</v>
      </c>
      <c r="O12" s="104">
        <f t="shared" si="3"/>
        <v>0</v>
      </c>
      <c r="P12" s="106"/>
      <c r="Q12" s="107">
        <v>5</v>
      </c>
      <c r="R12" s="104">
        <f t="shared" si="4"/>
        <v>0</v>
      </c>
      <c r="S12" s="102"/>
      <c r="T12" s="107">
        <v>5</v>
      </c>
      <c r="U12" s="104">
        <f t="shared" si="5"/>
        <v>0</v>
      </c>
      <c r="V12" s="102"/>
      <c r="W12" s="107">
        <v>5</v>
      </c>
      <c r="X12" s="104">
        <f t="shared" si="6"/>
        <v>0</v>
      </c>
      <c r="Y12" s="102"/>
      <c r="Z12" s="107">
        <v>5</v>
      </c>
      <c r="AA12" s="104">
        <f t="shared" si="7"/>
        <v>0</v>
      </c>
      <c r="AB12" s="106"/>
      <c r="AC12" s="107">
        <v>5</v>
      </c>
      <c r="AD12" s="104">
        <f t="shared" si="8"/>
        <v>0</v>
      </c>
      <c r="AE12" s="106"/>
      <c r="AF12" s="107">
        <v>5</v>
      </c>
      <c r="AG12" s="104">
        <f t="shared" si="9"/>
        <v>0</v>
      </c>
      <c r="AH12" s="106"/>
      <c r="AI12" s="107">
        <v>5</v>
      </c>
      <c r="AJ12" s="104">
        <f t="shared" si="10"/>
        <v>0</v>
      </c>
      <c r="AK12" s="106"/>
      <c r="AL12" s="107">
        <v>5</v>
      </c>
      <c r="AM12" s="104">
        <f t="shared" si="11"/>
        <v>0</v>
      </c>
      <c r="AN12" s="102"/>
      <c r="AO12" s="1">
        <v>5</v>
      </c>
      <c r="AP12" s="104">
        <f t="shared" si="12"/>
        <v>0</v>
      </c>
      <c r="AQ12" s="102"/>
      <c r="AR12" s="1">
        <v>5</v>
      </c>
      <c r="AS12" s="104">
        <f t="shared" si="13"/>
        <v>0</v>
      </c>
      <c r="AT12" s="102"/>
      <c r="AU12" s="1">
        <v>5</v>
      </c>
      <c r="AV12" s="104">
        <f t="shared" si="14"/>
        <v>0</v>
      </c>
      <c r="AW12" s="102"/>
      <c r="AX12" s="1">
        <v>5</v>
      </c>
      <c r="AY12" s="104">
        <f t="shared" si="15"/>
        <v>0</v>
      </c>
      <c r="AZ12" s="102"/>
      <c r="BA12" s="1">
        <v>5</v>
      </c>
      <c r="BB12" s="104">
        <f t="shared" si="16"/>
        <v>0</v>
      </c>
      <c r="BC12" s="102"/>
      <c r="BD12" s="1">
        <v>5</v>
      </c>
      <c r="BE12" s="104">
        <f t="shared" si="17"/>
        <v>0</v>
      </c>
      <c r="BF12" s="102"/>
      <c r="BG12" s="1">
        <v>5</v>
      </c>
      <c r="BH12" s="104">
        <f t="shared" si="18"/>
        <v>0</v>
      </c>
      <c r="BI12" s="102"/>
      <c r="BJ12" s="1">
        <v>5</v>
      </c>
      <c r="BK12" s="104">
        <f t="shared" si="19"/>
        <v>0</v>
      </c>
      <c r="BL12" s="102"/>
      <c r="BM12" s="1">
        <v>5</v>
      </c>
      <c r="BN12" s="104">
        <f t="shared" si="20"/>
        <v>0</v>
      </c>
      <c r="BO12" s="102"/>
      <c r="BP12" s="1">
        <v>5</v>
      </c>
      <c r="BQ12" s="104">
        <f t="shared" si="21"/>
        <v>0</v>
      </c>
      <c r="BR12" s="102"/>
      <c r="BS12" s="1">
        <v>5</v>
      </c>
      <c r="BT12" s="104">
        <f t="shared" si="22"/>
        <v>0</v>
      </c>
      <c r="BU12" s="102"/>
      <c r="BV12" s="1">
        <v>5</v>
      </c>
      <c r="BW12" s="104">
        <f t="shared" si="23"/>
        <v>0</v>
      </c>
      <c r="BX12" s="102"/>
      <c r="BY12" s="1">
        <v>5</v>
      </c>
      <c r="BZ12" s="104">
        <f t="shared" si="24"/>
        <v>0</v>
      </c>
      <c r="CA12" s="102"/>
      <c r="CB12" s="1">
        <v>5</v>
      </c>
      <c r="CC12" s="104">
        <f t="shared" si="25"/>
        <v>0</v>
      </c>
      <c r="CD12" s="102"/>
      <c r="CE12" s="1">
        <v>5</v>
      </c>
      <c r="CF12" s="104">
        <f t="shared" si="26"/>
        <v>0</v>
      </c>
      <c r="CG12" s="102"/>
      <c r="CH12" s="1">
        <v>5</v>
      </c>
      <c r="CI12" s="104">
        <f t="shared" si="27"/>
        <v>0</v>
      </c>
      <c r="CJ12" s="102"/>
      <c r="CK12" s="1">
        <v>5</v>
      </c>
      <c r="CL12" s="104">
        <f t="shared" si="28"/>
        <v>0</v>
      </c>
      <c r="CM12" s="102"/>
      <c r="CN12" s="1">
        <v>5</v>
      </c>
      <c r="CO12" s="104">
        <f t="shared" si="29"/>
        <v>0</v>
      </c>
      <c r="CP12" s="102"/>
      <c r="CQ12" s="1">
        <v>5</v>
      </c>
      <c r="CR12" s="104">
        <f t="shared" si="30"/>
        <v>0</v>
      </c>
      <c r="CS12" s="102"/>
      <c r="CT12" s="1">
        <v>5</v>
      </c>
      <c r="CU12" s="104">
        <f t="shared" si="31"/>
        <v>0</v>
      </c>
      <c r="CV12" s="102"/>
      <c r="CW12" s="1">
        <v>5</v>
      </c>
      <c r="CX12" s="104">
        <f t="shared" si="32"/>
        <v>0</v>
      </c>
      <c r="CY12" s="102"/>
      <c r="CZ12" s="1">
        <v>5</v>
      </c>
      <c r="DA12" s="104">
        <f t="shared" si="33"/>
        <v>0</v>
      </c>
      <c r="DB12" s="102"/>
      <c r="DC12" s="1">
        <v>5</v>
      </c>
      <c r="DD12" s="104">
        <f t="shared" si="34"/>
        <v>0</v>
      </c>
      <c r="DE12" s="102"/>
      <c r="DF12" s="1">
        <v>5</v>
      </c>
      <c r="DG12" s="104">
        <f t="shared" si="35"/>
        <v>0</v>
      </c>
      <c r="DH12" s="102"/>
      <c r="DI12" s="1">
        <v>5</v>
      </c>
      <c r="DJ12" s="104">
        <f t="shared" si="36"/>
        <v>0</v>
      </c>
      <c r="DK12" s="102"/>
      <c r="DL12" s="1">
        <v>5</v>
      </c>
      <c r="DM12" s="104">
        <f t="shared" si="37"/>
        <v>0</v>
      </c>
      <c r="DN12" s="102"/>
      <c r="DO12" s="1">
        <v>5</v>
      </c>
      <c r="DP12" s="104">
        <f t="shared" si="38"/>
        <v>0</v>
      </c>
      <c r="DQ12" s="102"/>
      <c r="DR12" s="1">
        <v>5</v>
      </c>
      <c r="DS12" s="104">
        <f t="shared" si="39"/>
        <v>0</v>
      </c>
      <c r="DT12" s="102"/>
      <c r="DU12" s="1">
        <v>5</v>
      </c>
      <c r="DV12" s="104">
        <f t="shared" si="40"/>
        <v>0</v>
      </c>
      <c r="DW12" s="102"/>
      <c r="DX12" s="1">
        <v>5</v>
      </c>
      <c r="DY12" s="104">
        <f t="shared" si="41"/>
        <v>0</v>
      </c>
      <c r="DZ12" s="102"/>
      <c r="EA12" s="1">
        <v>5</v>
      </c>
      <c r="EB12" s="104">
        <f t="shared" si="42"/>
        <v>0</v>
      </c>
      <c r="EC12" s="102"/>
      <c r="ED12" s="1">
        <v>5</v>
      </c>
      <c r="EE12" s="104">
        <f t="shared" si="43"/>
        <v>0</v>
      </c>
      <c r="EF12" s="102"/>
      <c r="EG12" s="1">
        <v>5</v>
      </c>
      <c r="EH12" s="104">
        <f t="shared" si="44"/>
        <v>0</v>
      </c>
      <c r="EI12" s="102"/>
      <c r="EJ12" s="1">
        <v>5</v>
      </c>
      <c r="EK12" s="104">
        <f t="shared" si="45"/>
        <v>0</v>
      </c>
      <c r="EL12" s="102"/>
      <c r="EM12" s="1">
        <v>5</v>
      </c>
      <c r="EN12" s="104">
        <f t="shared" si="46"/>
        <v>0</v>
      </c>
      <c r="EO12" s="102"/>
      <c r="EP12" s="1">
        <v>5</v>
      </c>
      <c r="EQ12" s="108">
        <f t="shared" si="47"/>
        <v>0</v>
      </c>
      <c r="ER12" s="85">
        <f t="array" ref="ER12">IFERROR(_xlfn.LET(
_xlpm.datos,CHOOSE({1;2;3;4;5;6;7;8;9;10;11;12;13;13;14;15;16;17;18;19;20;21;22;23;23;24;25;26;27;28;29;30;31;32;33;34;35;36;37;38;39;40;41;42;43;44;45;46;47},F12,I12,L12,O12,R12,U12,X12,AA12,AD12,AG12,AJ12,AM12,AP12,AS12,AV12,AY12,BB12,BE12,BH12,BK12,BQ12,BT12,BW12,BZ12,CC12,CF12,CI12,CL12,CO12,CR12,CU12,CX12,DA12,DD12,DG12,DJ12,DM12,DP12,DS12,DV12,DY12,EB12,EE12,EH12,EK12,EN12,EQ12),
AVERAGE(_xlfn._xlws.FILTER(_xlpm.datos,(_xlpm.datos&lt;&gt;0)*(_xlpm.datos&lt;&gt;"")))
),0)</f>
        <v>0</v>
      </c>
      <c r="ES12" s="86" t="str">
        <f t="array" ref="ES12">_xlfn.IFS(ER12&gt;=91.5%,"MENSUAL",ER12&gt;=75%,"QUINCENAL",ER12&lt;75%,"SEMANAL")</f>
        <v>SEMANAL</v>
      </c>
    </row>
    <row r="13" ht="36" customHeight="1" spans="2:149" x14ac:dyDescent="0.25">
      <c r="B13" s="115" t="s">
        <v>88</v>
      </c>
      <c r="C13" s="101"/>
      <c r="D13" s="116"/>
      <c r="E13" s="117">
        <v>5</v>
      </c>
      <c r="F13" s="118">
        <f t="shared" si="0"/>
        <v>0</v>
      </c>
      <c r="G13" s="116"/>
      <c r="H13" s="117">
        <v>5</v>
      </c>
      <c r="I13" s="118">
        <f t="shared" si="1"/>
        <v>0</v>
      </c>
      <c r="J13" s="119"/>
      <c r="K13" s="117">
        <v>5</v>
      </c>
      <c r="L13" s="118">
        <f t="shared" si="2"/>
        <v>0</v>
      </c>
      <c r="M13" s="119"/>
      <c r="N13" s="117">
        <v>5</v>
      </c>
      <c r="O13" s="118">
        <f t="shared" si="3"/>
        <v>0</v>
      </c>
      <c r="P13" s="120"/>
      <c r="Q13" s="121">
        <v>5</v>
      </c>
      <c r="R13" s="118">
        <f t="shared" si="4"/>
        <v>0</v>
      </c>
      <c r="S13" s="116"/>
      <c r="T13" s="121">
        <v>5</v>
      </c>
      <c r="U13" s="118">
        <f t="shared" si="5"/>
        <v>0</v>
      </c>
      <c r="V13" s="116"/>
      <c r="W13" s="121">
        <v>5</v>
      </c>
      <c r="X13" s="118">
        <f t="shared" si="6"/>
        <v>0</v>
      </c>
      <c r="Y13" s="116"/>
      <c r="Z13" s="121">
        <v>5</v>
      </c>
      <c r="AA13" s="118">
        <f t="shared" si="7"/>
        <v>0</v>
      </c>
      <c r="AB13" s="120"/>
      <c r="AC13" s="121">
        <v>5</v>
      </c>
      <c r="AD13" s="118">
        <f t="shared" si="8"/>
        <v>0</v>
      </c>
      <c r="AE13" s="120"/>
      <c r="AF13" s="121">
        <v>5</v>
      </c>
      <c r="AG13" s="118">
        <f t="shared" si="9"/>
        <v>0</v>
      </c>
      <c r="AH13" s="120"/>
      <c r="AI13" s="121">
        <v>5</v>
      </c>
      <c r="AJ13" s="118">
        <f t="shared" si="10"/>
        <v>0</v>
      </c>
      <c r="AK13" s="120"/>
      <c r="AL13" s="121">
        <v>5</v>
      </c>
      <c r="AM13" s="118">
        <f t="shared" si="11"/>
        <v>0</v>
      </c>
      <c r="AN13" s="116"/>
      <c r="AO13" s="122">
        <v>5</v>
      </c>
      <c r="AP13" s="118">
        <f t="shared" si="12"/>
        <v>0</v>
      </c>
      <c r="AQ13" s="116"/>
      <c r="AR13" s="122">
        <v>5</v>
      </c>
      <c r="AS13" s="118">
        <f t="shared" si="13"/>
        <v>0</v>
      </c>
      <c r="AT13" s="116"/>
      <c r="AU13" s="122">
        <v>5</v>
      </c>
      <c r="AV13" s="118">
        <f t="shared" si="14"/>
        <v>0</v>
      </c>
      <c r="AW13" s="116"/>
      <c r="AX13" s="122">
        <v>5</v>
      </c>
      <c r="AY13" s="118">
        <f t="shared" si="15"/>
        <v>0</v>
      </c>
      <c r="AZ13" s="116"/>
      <c r="BA13" s="122">
        <v>5</v>
      </c>
      <c r="BB13" s="118">
        <f t="shared" si="16"/>
        <v>0</v>
      </c>
      <c r="BC13" s="116"/>
      <c r="BD13" s="122">
        <v>5</v>
      </c>
      <c r="BE13" s="118">
        <f t="shared" si="17"/>
        <v>0</v>
      </c>
      <c r="BF13" s="116"/>
      <c r="BG13" s="122">
        <v>5</v>
      </c>
      <c r="BH13" s="118">
        <f t="shared" si="18"/>
        <v>0</v>
      </c>
      <c r="BI13" s="116"/>
      <c r="BJ13" s="122">
        <v>5</v>
      </c>
      <c r="BK13" s="118">
        <f t="shared" si="19"/>
        <v>0</v>
      </c>
      <c r="BL13" s="116"/>
      <c r="BM13" s="122">
        <v>5</v>
      </c>
      <c r="BN13" s="118">
        <f t="shared" si="20"/>
        <v>0</v>
      </c>
      <c r="BO13" s="116"/>
      <c r="BP13" s="122">
        <v>5</v>
      </c>
      <c r="BQ13" s="118">
        <f t="shared" si="21"/>
        <v>0</v>
      </c>
      <c r="BR13" s="116"/>
      <c r="BS13" s="122">
        <v>5</v>
      </c>
      <c r="BT13" s="118">
        <f t="shared" si="22"/>
        <v>0</v>
      </c>
      <c r="BU13" s="116"/>
      <c r="BV13" s="122">
        <v>5</v>
      </c>
      <c r="BW13" s="118">
        <f t="shared" si="23"/>
        <v>0</v>
      </c>
      <c r="BX13" s="116"/>
      <c r="BY13" s="122">
        <v>5</v>
      </c>
      <c r="BZ13" s="118">
        <f t="shared" si="24"/>
        <v>0</v>
      </c>
      <c r="CA13" s="116"/>
      <c r="CB13" s="122">
        <v>5</v>
      </c>
      <c r="CC13" s="118">
        <f t="shared" si="25"/>
        <v>0</v>
      </c>
      <c r="CD13" s="116"/>
      <c r="CE13" s="122">
        <v>5</v>
      </c>
      <c r="CF13" s="118">
        <f t="shared" si="26"/>
        <v>0</v>
      </c>
      <c r="CG13" s="116"/>
      <c r="CH13" s="122">
        <v>5</v>
      </c>
      <c r="CI13" s="118">
        <f t="shared" si="27"/>
        <v>0</v>
      </c>
      <c r="CJ13" s="116"/>
      <c r="CK13" s="122">
        <v>5</v>
      </c>
      <c r="CL13" s="118">
        <f t="shared" si="28"/>
        <v>0</v>
      </c>
      <c r="CM13" s="116"/>
      <c r="CN13" s="122">
        <v>5</v>
      </c>
      <c r="CO13" s="118">
        <f t="shared" si="29"/>
        <v>0</v>
      </c>
      <c r="CP13" s="116"/>
      <c r="CQ13" s="122">
        <v>5</v>
      </c>
      <c r="CR13" s="118">
        <f t="shared" si="30"/>
        <v>0</v>
      </c>
      <c r="CS13" s="116"/>
      <c r="CT13" s="122">
        <v>5</v>
      </c>
      <c r="CU13" s="118">
        <f t="shared" si="31"/>
        <v>0</v>
      </c>
      <c r="CV13" s="116"/>
      <c r="CW13" s="122">
        <v>5</v>
      </c>
      <c r="CX13" s="118">
        <f t="shared" si="32"/>
        <v>0</v>
      </c>
      <c r="CY13" s="116"/>
      <c r="CZ13" s="122">
        <v>5</v>
      </c>
      <c r="DA13" s="118">
        <f t="shared" si="33"/>
        <v>0</v>
      </c>
      <c r="DB13" s="116"/>
      <c r="DC13" s="122">
        <v>5</v>
      </c>
      <c r="DD13" s="118">
        <f t="shared" si="34"/>
        <v>0</v>
      </c>
      <c r="DE13" s="116"/>
      <c r="DF13" s="122">
        <v>5</v>
      </c>
      <c r="DG13" s="118">
        <f t="shared" si="35"/>
        <v>0</v>
      </c>
      <c r="DH13" s="116"/>
      <c r="DI13" s="122">
        <v>5</v>
      </c>
      <c r="DJ13" s="118">
        <f t="shared" si="36"/>
        <v>0</v>
      </c>
      <c r="DK13" s="116"/>
      <c r="DL13" s="122">
        <v>5</v>
      </c>
      <c r="DM13" s="118">
        <f t="shared" si="37"/>
        <v>0</v>
      </c>
      <c r="DN13" s="116"/>
      <c r="DO13" s="122">
        <v>5</v>
      </c>
      <c r="DP13" s="118">
        <f t="shared" si="38"/>
        <v>0</v>
      </c>
      <c r="DQ13" s="116"/>
      <c r="DR13" s="122">
        <v>5</v>
      </c>
      <c r="DS13" s="118">
        <f t="shared" si="39"/>
        <v>0</v>
      </c>
      <c r="DT13" s="116"/>
      <c r="DU13" s="122">
        <v>5</v>
      </c>
      <c r="DV13" s="118">
        <f t="shared" si="40"/>
        <v>0</v>
      </c>
      <c r="DW13" s="116"/>
      <c r="DX13" s="122">
        <v>5</v>
      </c>
      <c r="DY13" s="118">
        <f t="shared" si="41"/>
        <v>0</v>
      </c>
      <c r="DZ13" s="116"/>
      <c r="EA13" s="122">
        <v>5</v>
      </c>
      <c r="EB13" s="118">
        <f t="shared" si="42"/>
        <v>0</v>
      </c>
      <c r="EC13" s="116"/>
      <c r="ED13" s="122">
        <v>5</v>
      </c>
      <c r="EE13" s="118">
        <f t="shared" si="43"/>
        <v>0</v>
      </c>
      <c r="EF13" s="116"/>
      <c r="EG13" s="122">
        <v>5</v>
      </c>
      <c r="EH13" s="118">
        <f t="shared" si="44"/>
        <v>0</v>
      </c>
      <c r="EI13" s="116"/>
      <c r="EJ13" s="122">
        <v>5</v>
      </c>
      <c r="EK13" s="118">
        <f t="shared" si="45"/>
        <v>0</v>
      </c>
      <c r="EL13" s="116"/>
      <c r="EM13" s="122">
        <v>5</v>
      </c>
      <c r="EN13" s="118">
        <f t="shared" si="46"/>
        <v>0</v>
      </c>
      <c r="EO13" s="116"/>
      <c r="EP13" s="122">
        <v>5</v>
      </c>
      <c r="EQ13" s="123">
        <f t="shared" si="47"/>
        <v>0</v>
      </c>
      <c r="ER13" s="85">
        <f t="array" ref="ER13">IFERROR(_xlfn.LET(
_xlpm.datos,CHOOSE({1;2;3;4;5;6;7;8;9;10;11;12;13;13;14;15;16;17;18;19;20;21;22;23;23;24;25;26;27;28;29;30;31;32;33;34;35;36;37;38;39;40;41;42;43;44;45;46;47},F13,I13,L13,O13,R13,U13,X13,AA13,AD13,AG13,AJ13,AM13,AP13,AS13,AV13,AY13,BB13,BE13,BH13,BK13,BQ13,BT13,BW13,BZ13,CC13,CF13,CI13,CL13,CO13,CR13,CU13,CX13,DA13,DD13,DG13,DJ13,DM13,DP13,DS13,DV13,DY13,EB13,EE13,EH13,EK13,EN13,EQ13),
AVERAGE(_xlfn._xlws.FILTER(_xlpm.datos,(_xlpm.datos&lt;&gt;0)*(_xlpm.datos&lt;&gt;"")))
),0)</f>
        <v>0</v>
      </c>
      <c r="ES13" s="86" t="str">
        <f t="array" ref="ES13">_xlfn.IFS(ER13&gt;=91.5%,"MENSUAL",ER13&gt;=75%,"QUINCENAL",ER13&lt;75%,"SEMANAL")</f>
        <v>SEMANAL</v>
      </c>
    </row>
    <row r="14" ht="16" customHeight="1" spans="2:149" x14ac:dyDescent="0.25">
      <c r="B14" s="124" t="s">
        <v>89</v>
      </c>
      <c r="C14" s="125"/>
      <c r="D14" s="126"/>
      <c r="E14" s="127"/>
      <c r="F14" s="82">
        <f>AVERAGE(F15:F17)</f>
        <v>0</v>
      </c>
      <c r="G14" s="126"/>
      <c r="H14" s="127"/>
      <c r="I14" s="82">
        <f>AVERAGE(I15:I17)</f>
        <v>0</v>
      </c>
      <c r="J14" s="126"/>
      <c r="K14" s="127"/>
      <c r="L14" s="82">
        <f>AVERAGE(L15:L17)</f>
        <v>0</v>
      </c>
      <c r="M14" s="126"/>
      <c r="N14" s="127"/>
      <c r="O14" s="82">
        <f>AVERAGE(O15:O17)</f>
        <v>0</v>
      </c>
      <c r="P14" s="126"/>
      <c r="Q14" s="127"/>
      <c r="R14" s="82">
        <f>AVERAGE(R15:R17)</f>
        <v>0</v>
      </c>
      <c r="S14" s="126"/>
      <c r="T14" s="127"/>
      <c r="U14" s="82">
        <f>AVERAGE(U15:U17)</f>
        <v>0</v>
      </c>
      <c r="V14" s="126"/>
      <c r="W14" s="127"/>
      <c r="X14" s="82">
        <f>AVERAGE(X15:X17)</f>
        <v>0</v>
      </c>
      <c r="Y14" s="126"/>
      <c r="Z14" s="127"/>
      <c r="AA14" s="82">
        <f>AVERAGE(AA15:AA17)</f>
        <v>0</v>
      </c>
      <c r="AB14" s="126"/>
      <c r="AC14" s="127"/>
      <c r="AD14" s="82">
        <f>AVERAGE(AD15:AD17)</f>
        <v>0</v>
      </c>
      <c r="AE14" s="126"/>
      <c r="AF14" s="127"/>
      <c r="AG14" s="82">
        <f>AVERAGE(AG15:AG17)</f>
        <v>0</v>
      </c>
      <c r="AH14" s="126"/>
      <c r="AI14" s="127"/>
      <c r="AJ14" s="82">
        <f>AVERAGE(AJ15:AJ17)</f>
        <v>0</v>
      </c>
      <c r="AK14" s="126"/>
      <c r="AL14" s="127"/>
      <c r="AM14" s="82">
        <f>AVERAGE(AM15:AM17)</f>
        <v>0</v>
      </c>
      <c r="AN14" s="128"/>
      <c r="AO14" s="127"/>
      <c r="AP14" s="82">
        <f>AVERAGE(AP15:AP17)</f>
        <v>0</v>
      </c>
      <c r="AQ14" s="128"/>
      <c r="AR14" s="129"/>
      <c r="AS14" s="82">
        <f>AVERAGE(AS15:AS17)</f>
        <v>0</v>
      </c>
      <c r="AT14" s="130"/>
      <c r="AU14" s="129"/>
      <c r="AV14" s="82">
        <f>AVERAGE(AV15:AV17)</f>
        <v>0</v>
      </c>
      <c r="AW14" s="128"/>
      <c r="AX14" s="127"/>
      <c r="AY14" s="82">
        <f>AVERAGE(AY15:AY17)</f>
        <v>0</v>
      </c>
      <c r="AZ14" s="131"/>
      <c r="BA14" s="132"/>
      <c r="BB14" s="82">
        <f>AVERAGE(BB15:BB17)</f>
        <v>0</v>
      </c>
      <c r="BC14" s="128"/>
      <c r="BD14" s="132"/>
      <c r="BE14" s="82">
        <f>AVERAGE(BE15:BE17)</f>
        <v>0</v>
      </c>
      <c r="BF14" s="128"/>
      <c r="BG14" s="132"/>
      <c r="BH14" s="82">
        <f>AVERAGE(BH15:BH17)</f>
        <v>0</v>
      </c>
      <c r="BI14" s="128"/>
      <c r="BJ14" s="132"/>
      <c r="BK14" s="82">
        <f>AVERAGE(BK15:BK17)</f>
        <v>0</v>
      </c>
      <c r="BL14" s="128"/>
      <c r="BM14" s="132"/>
      <c r="BN14" s="82">
        <f>AVERAGE(BN15:BN17)</f>
        <v>0</v>
      </c>
      <c r="BO14" s="128"/>
      <c r="BP14" s="132"/>
      <c r="BQ14" s="82">
        <f>AVERAGE(BQ15:BQ17)</f>
        <v>0</v>
      </c>
      <c r="BR14" s="128"/>
      <c r="BS14" s="132"/>
      <c r="BT14" s="82">
        <f>AVERAGE(BT15:BT17)</f>
        <v>0</v>
      </c>
      <c r="BU14" s="128"/>
      <c r="BV14" s="132"/>
      <c r="BW14" s="82">
        <f>AVERAGE(BW15:BW17)</f>
        <v>0</v>
      </c>
      <c r="BX14" s="128"/>
      <c r="BY14" s="132"/>
      <c r="BZ14" s="82">
        <f>AVERAGE(BZ15:BZ17)</f>
        <v>0</v>
      </c>
      <c r="CA14" s="126"/>
      <c r="CB14" s="127"/>
      <c r="CC14" s="82">
        <f>AVERAGE(CC15:CC17)</f>
        <v>0</v>
      </c>
      <c r="CD14" s="126"/>
      <c r="CE14" s="127"/>
      <c r="CF14" s="82">
        <f>AVERAGE(CF15:CF17)</f>
        <v>0</v>
      </c>
      <c r="CG14" s="126"/>
      <c r="CH14" s="127"/>
      <c r="CI14" s="82">
        <f>AVERAGE(CI15:CI17)</f>
        <v>0</v>
      </c>
      <c r="CJ14" s="126"/>
      <c r="CK14" s="127"/>
      <c r="CL14" s="82">
        <f>AVERAGE(CL15:CL17)</f>
        <v>0</v>
      </c>
      <c r="CM14" s="126"/>
      <c r="CN14" s="127"/>
      <c r="CO14" s="82">
        <f>AVERAGE(CO15:CO17)</f>
        <v>0</v>
      </c>
      <c r="CP14" s="126"/>
      <c r="CQ14" s="127"/>
      <c r="CR14" s="82">
        <f>AVERAGE(CR15:CR17)</f>
        <v>0</v>
      </c>
      <c r="CS14" s="126"/>
      <c r="CT14" s="127"/>
      <c r="CU14" s="82">
        <f>AVERAGE(CU15:CU17)</f>
        <v>0</v>
      </c>
      <c r="CV14" s="126"/>
      <c r="CW14" s="127"/>
      <c r="CX14" s="82">
        <f>AVERAGE(CX15:CX17)</f>
        <v>0</v>
      </c>
      <c r="CY14" s="126"/>
      <c r="CZ14" s="127"/>
      <c r="DA14" s="82">
        <f>AVERAGE(DA15:DA17)</f>
        <v>0</v>
      </c>
      <c r="DB14" s="126"/>
      <c r="DC14" s="127"/>
      <c r="DD14" s="82">
        <f>AVERAGE(DD15:DD17)</f>
        <v>0</v>
      </c>
      <c r="DE14" s="126"/>
      <c r="DF14" s="127"/>
      <c r="DG14" s="82">
        <f>AVERAGE(DG15:DG17)</f>
        <v>0</v>
      </c>
      <c r="DH14" s="126"/>
      <c r="DI14" s="127"/>
      <c r="DJ14" s="82">
        <f>AVERAGE(DJ15:DJ17)</f>
        <v>0</v>
      </c>
      <c r="DK14" s="126"/>
      <c r="DL14" s="127"/>
      <c r="DM14" s="82">
        <f>AVERAGE(DM15:DM17)</f>
        <v>0</v>
      </c>
      <c r="DN14" s="126"/>
      <c r="DO14" s="127"/>
      <c r="DP14" s="82">
        <f>AVERAGE(DP15:DP17)</f>
        <v>0</v>
      </c>
      <c r="DQ14" s="126"/>
      <c r="DR14" s="127"/>
      <c r="DS14" s="82">
        <f>AVERAGE(DS15:DS17)</f>
        <v>0</v>
      </c>
      <c r="DT14" s="126"/>
      <c r="DU14" s="127"/>
      <c r="DV14" s="82">
        <f>AVERAGE(DV15:DV17)</f>
        <v>0</v>
      </c>
      <c r="DW14" s="126"/>
      <c r="DX14" s="127"/>
      <c r="DY14" s="82">
        <f>AVERAGE(DY15:DY17)</f>
        <v>0</v>
      </c>
      <c r="DZ14" s="126"/>
      <c r="EA14" s="127"/>
      <c r="EB14" s="82">
        <f>AVERAGE(EB15:EB17)</f>
        <v>0</v>
      </c>
      <c r="EC14" s="126"/>
      <c r="ED14" s="127"/>
      <c r="EE14" s="82">
        <f>AVERAGE(EE15:EE17)</f>
        <v>0</v>
      </c>
      <c r="EF14" s="126"/>
      <c r="EG14" s="127"/>
      <c r="EH14" s="82">
        <f>AVERAGE(EH15:EH17)</f>
        <v>0</v>
      </c>
      <c r="EI14" s="126"/>
      <c r="EJ14" s="127"/>
      <c r="EK14" s="82">
        <f>AVERAGE(EK15:EK17)</f>
        <v>0</v>
      </c>
      <c r="EL14" s="126"/>
      <c r="EM14" s="127"/>
      <c r="EN14" s="82">
        <f>AVERAGE(EN15:EN17)</f>
        <v>0</v>
      </c>
      <c r="EO14" s="126"/>
      <c r="EP14" s="127"/>
      <c r="EQ14" s="84">
        <f>AVERAGE(EQ15:EQ17)</f>
        <v>0</v>
      </c>
      <c r="ER14" s="85">
        <f t="array" ref="ER14">IFERROR(_xlfn.LET(
_xlpm.datos,CHOOSE({1;2;3;4;5;6;7;8;9;10;11;12;13;13;14;15;16;17;18;19;20;21;22;23;23;24;25;26;27;28;29;30;31;32;33;34;35;36;37;38;39;40;41;42;43;44;45;46;47},F14,I14,L14,O14,R14,U14,X14,AA14,AD14,AG14,AJ14,AM14,AP14,AS14,AV14,AY14,BB14,BE14,BH14,BK14,BQ14,BT14,BW14,BZ14,CC14,CF14,CI14,CL14,CO14,CR14,CU14,CX14,DA14,DD14,DG14,DJ14,DM14,DP14,DS14,DV14,DY14,EB14,EE14,EH14,EK14,EN14,EQ14),
AVERAGE(_xlfn._xlws.FILTER(_xlpm.datos,(_xlpm.datos&lt;&gt;0)*(_xlpm.datos&lt;&gt;"")))
),0)</f>
        <v>0</v>
      </c>
      <c r="ES14" s="86" t="str">
        <f t="array" ref="ES14">_xlfn.IFS(ER14&gt;=91.5%,"MENSUAL",ER14&gt;=75%,"QUINCENAL",ER14&lt;75%,"SEMANAL")</f>
        <v>SEMANAL</v>
      </c>
    </row>
    <row r="15" ht="27" customHeight="1" spans="2:149" x14ac:dyDescent="0.25">
      <c r="B15" s="100" t="s">
        <v>90</v>
      </c>
      <c r="C15" s="101"/>
      <c r="D15" s="90"/>
      <c r="E15" s="91">
        <v>5</v>
      </c>
      <c r="F15" s="92">
        <f>D15/E15</f>
        <v>0</v>
      </c>
      <c r="G15" s="90"/>
      <c r="H15" s="91">
        <v>5</v>
      </c>
      <c r="I15" s="92">
        <f>G15/H15</f>
        <v>0</v>
      </c>
      <c r="J15" s="93"/>
      <c r="K15" s="91">
        <v>5</v>
      </c>
      <c r="L15" s="92">
        <f>J15/K15</f>
        <v>0</v>
      </c>
      <c r="M15" s="93"/>
      <c r="N15" s="91">
        <v>5</v>
      </c>
      <c r="O15" s="92">
        <f>M15/N15</f>
        <v>0</v>
      </c>
      <c r="P15" s="94"/>
      <c r="Q15" s="95">
        <v>5</v>
      </c>
      <c r="R15" s="92">
        <f>P15/Q15</f>
        <v>0</v>
      </c>
      <c r="S15" s="90"/>
      <c r="T15" s="95">
        <v>5</v>
      </c>
      <c r="U15" s="92">
        <f>S15/T15</f>
        <v>0</v>
      </c>
      <c r="V15" s="90"/>
      <c r="W15" s="95">
        <v>5</v>
      </c>
      <c r="X15" s="92">
        <f>V15/W15</f>
        <v>0</v>
      </c>
      <c r="Y15" s="90"/>
      <c r="Z15" s="95">
        <v>5</v>
      </c>
      <c r="AA15" s="92">
        <f>Y15/Z15</f>
        <v>0</v>
      </c>
      <c r="AB15" s="94"/>
      <c r="AC15" s="95">
        <v>5</v>
      </c>
      <c r="AD15" s="92">
        <f>AB15/AC15</f>
        <v>0</v>
      </c>
      <c r="AE15" s="94"/>
      <c r="AF15" s="95">
        <v>5</v>
      </c>
      <c r="AG15" s="92">
        <f>AE15/AF15</f>
        <v>0</v>
      </c>
      <c r="AH15" s="94"/>
      <c r="AI15" s="95">
        <v>5</v>
      </c>
      <c r="AJ15" s="92">
        <f>AH15/AI15</f>
        <v>0</v>
      </c>
      <c r="AK15" s="94"/>
      <c r="AL15" s="95">
        <v>5</v>
      </c>
      <c r="AM15" s="92">
        <f>AK15/AL15</f>
        <v>0</v>
      </c>
      <c r="AN15" s="90"/>
      <c r="AO15" s="96">
        <v>5</v>
      </c>
      <c r="AP15" s="92">
        <f>AN15/AO15</f>
        <v>0</v>
      </c>
      <c r="AQ15" s="90"/>
      <c r="AR15" s="96">
        <v>5</v>
      </c>
      <c r="AS15" s="92">
        <f>AQ15/AR15</f>
        <v>0</v>
      </c>
      <c r="AT15" s="90"/>
      <c r="AU15" s="96">
        <v>5</v>
      </c>
      <c r="AV15" s="92">
        <f>AT15/AU15</f>
        <v>0</v>
      </c>
      <c r="AW15" s="90"/>
      <c r="AX15" s="96">
        <v>5</v>
      </c>
      <c r="AY15" s="92">
        <f>AW15/AX15</f>
        <v>0</v>
      </c>
      <c r="AZ15" s="90"/>
      <c r="BA15" s="96">
        <v>5</v>
      </c>
      <c r="BB15" s="92">
        <f>AZ15/BA15</f>
        <v>0</v>
      </c>
      <c r="BC15" s="90"/>
      <c r="BD15" s="96">
        <v>5</v>
      </c>
      <c r="BE15" s="92">
        <f>BC15/BD15</f>
        <v>0</v>
      </c>
      <c r="BF15" s="90"/>
      <c r="BG15" s="96">
        <v>5</v>
      </c>
      <c r="BH15" s="92">
        <f>BF15/BG15</f>
        <v>0</v>
      </c>
      <c r="BI15" s="90"/>
      <c r="BJ15" s="96">
        <v>5</v>
      </c>
      <c r="BK15" s="92">
        <f>BI15/BJ15</f>
        <v>0</v>
      </c>
      <c r="BL15" s="90"/>
      <c r="BM15" s="96">
        <v>5</v>
      </c>
      <c r="BN15" s="92">
        <f>BL15/BM15</f>
        <v>0</v>
      </c>
      <c r="BO15" s="90"/>
      <c r="BP15" s="96">
        <v>5</v>
      </c>
      <c r="BQ15" s="92">
        <f>BO15/BP15</f>
        <v>0</v>
      </c>
      <c r="BR15" s="90"/>
      <c r="BS15" s="96">
        <v>5</v>
      </c>
      <c r="BT15" s="92">
        <f>BR15/BS15</f>
        <v>0</v>
      </c>
      <c r="BU15" s="90"/>
      <c r="BV15" s="96">
        <v>5</v>
      </c>
      <c r="BW15" s="92">
        <f>BU15/BV15</f>
        <v>0</v>
      </c>
      <c r="BX15" s="90"/>
      <c r="BY15" s="96">
        <v>5</v>
      </c>
      <c r="BZ15" s="92">
        <f>BX15/BY15</f>
        <v>0</v>
      </c>
      <c r="CA15" s="90"/>
      <c r="CB15" s="96">
        <v>5</v>
      </c>
      <c r="CC15" s="92">
        <f>CA15/CB15</f>
        <v>0</v>
      </c>
      <c r="CD15" s="90"/>
      <c r="CE15" s="96">
        <v>5</v>
      </c>
      <c r="CF15" s="92">
        <f>CD15/CE15</f>
        <v>0</v>
      </c>
      <c r="CG15" s="90"/>
      <c r="CH15" s="96">
        <v>5</v>
      </c>
      <c r="CI15" s="92">
        <f>CG15/CH15</f>
        <v>0</v>
      </c>
      <c r="CJ15" s="90"/>
      <c r="CK15" s="96">
        <v>5</v>
      </c>
      <c r="CL15" s="92">
        <f>CJ15/CK15</f>
        <v>0</v>
      </c>
      <c r="CM15" s="90"/>
      <c r="CN15" s="96">
        <v>5</v>
      </c>
      <c r="CO15" s="92">
        <f>CM15/CN15</f>
        <v>0</v>
      </c>
      <c r="CP15" s="90"/>
      <c r="CQ15" s="96">
        <v>5</v>
      </c>
      <c r="CR15" s="92">
        <f>CP15/CQ15</f>
        <v>0</v>
      </c>
      <c r="CS15" s="90"/>
      <c r="CT15" s="96">
        <v>5</v>
      </c>
      <c r="CU15" s="92">
        <f>CS15/CT15</f>
        <v>0</v>
      </c>
      <c r="CV15" s="90"/>
      <c r="CW15" s="96">
        <v>5</v>
      </c>
      <c r="CX15" s="92">
        <f>CV15/CW15</f>
        <v>0</v>
      </c>
      <c r="CY15" s="90"/>
      <c r="CZ15" s="96">
        <v>5</v>
      </c>
      <c r="DA15" s="92">
        <f>CY15/CZ15</f>
        <v>0</v>
      </c>
      <c r="DB15" s="90"/>
      <c r="DC15" s="96">
        <v>5</v>
      </c>
      <c r="DD15" s="92">
        <f>DB15/DC15</f>
        <v>0</v>
      </c>
      <c r="DE15" s="90"/>
      <c r="DF15" s="96">
        <v>5</v>
      </c>
      <c r="DG15" s="92">
        <f>DE15/DF15</f>
        <v>0</v>
      </c>
      <c r="DH15" s="90"/>
      <c r="DI15" s="96">
        <v>5</v>
      </c>
      <c r="DJ15" s="92">
        <f>DH15/DI15</f>
        <v>0</v>
      </c>
      <c r="DK15" s="90"/>
      <c r="DL15" s="96">
        <v>5</v>
      </c>
      <c r="DM15" s="92">
        <f>DK15/DL15</f>
        <v>0</v>
      </c>
      <c r="DN15" s="90"/>
      <c r="DO15" s="96">
        <v>5</v>
      </c>
      <c r="DP15" s="92">
        <f>DN15/DO15</f>
        <v>0</v>
      </c>
      <c r="DQ15" s="90"/>
      <c r="DR15" s="96">
        <v>5</v>
      </c>
      <c r="DS15" s="92">
        <f>DQ15/DR15</f>
        <v>0</v>
      </c>
      <c r="DT15" s="90"/>
      <c r="DU15" s="96">
        <v>5</v>
      </c>
      <c r="DV15" s="92">
        <f>DT15/DU15</f>
        <v>0</v>
      </c>
      <c r="DW15" s="90"/>
      <c r="DX15" s="96">
        <v>5</v>
      </c>
      <c r="DY15" s="92">
        <f>DW15/DX15</f>
        <v>0</v>
      </c>
      <c r="DZ15" s="90"/>
      <c r="EA15" s="96">
        <v>5</v>
      </c>
      <c r="EB15" s="92">
        <f>DZ15/EA15</f>
        <v>0</v>
      </c>
      <c r="EC15" s="90"/>
      <c r="ED15" s="96">
        <v>5</v>
      </c>
      <c r="EE15" s="92">
        <f>EC15/ED15</f>
        <v>0</v>
      </c>
      <c r="EF15" s="90"/>
      <c r="EG15" s="96">
        <v>5</v>
      </c>
      <c r="EH15" s="92">
        <f>EF15/EG15</f>
        <v>0</v>
      </c>
      <c r="EI15" s="90"/>
      <c r="EJ15" s="96">
        <v>5</v>
      </c>
      <c r="EK15" s="92">
        <f>EI15/EJ15</f>
        <v>0</v>
      </c>
      <c r="EL15" s="90"/>
      <c r="EM15" s="96">
        <v>5</v>
      </c>
      <c r="EN15" s="92">
        <f>EL15/EM15</f>
        <v>0</v>
      </c>
      <c r="EO15" s="90"/>
      <c r="EP15" s="96">
        <v>5</v>
      </c>
      <c r="EQ15" s="97">
        <f>EO15/EP15</f>
        <v>0</v>
      </c>
      <c r="ER15" s="85">
        <f t="array" ref="ER15">IFERROR(_xlfn.LET(
_xlpm.datos,CHOOSE({1;2;3;4;5;6;7;8;9;10;11;12;13;13;14;15;16;17;18;19;20;21;22;23;23;24;25;26;27;28;29;30;31;32;33;34;35;36;37;38;39;40;41;42;43;44;45;46;47},F15,I15,L15,O15,R15,U15,X15,AA15,AD15,AG15,AJ15,AM15,AP15,AS15,AV15,AY15,BB15,BE15,BH15,BK15,BQ15,BT15,BW15,BZ15,CC15,CF15,CI15,CL15,CO15,CR15,CU15,CX15,DA15,DD15,DG15,DJ15,DM15,DP15,DS15,DV15,DY15,EB15,EE15,EH15,EK15,EN15,EQ15),
AVERAGE(_xlfn._xlws.FILTER(_xlpm.datos,(_xlpm.datos&lt;&gt;0)*(_xlpm.datos&lt;&gt;"")))
),0)</f>
        <v>0</v>
      </c>
      <c r="ES15" s="86" t="str">
        <f t="array" ref="ES15">_xlfn.IFS(ER15&gt;=91.5%,"MENSUAL",ER15&gt;=75%,"QUINCENAL",ER15&lt;75%,"SEMANAL")</f>
        <v>SEMANAL</v>
      </c>
    </row>
    <row r="16" ht="28.5" customHeight="1" spans="2:149" x14ac:dyDescent="0.25">
      <c r="B16" s="100" t="s">
        <v>91</v>
      </c>
      <c r="C16" s="133"/>
      <c r="D16" s="102"/>
      <c r="E16" s="103">
        <v>5</v>
      </c>
      <c r="F16" s="104">
        <f t="shared" ref="F16:F17" si="48">D16/E16</f>
        <v>0</v>
      </c>
      <c r="G16" s="102"/>
      <c r="H16" s="103">
        <v>5</v>
      </c>
      <c r="I16" s="104">
        <f t="shared" ref="I16:I17" si="49">G16/H16</f>
        <v>0</v>
      </c>
      <c r="J16" s="105"/>
      <c r="K16" s="103">
        <v>5</v>
      </c>
      <c r="L16" s="104">
        <f t="shared" ref="L16:L17" si="50">J16/K16</f>
        <v>0</v>
      </c>
      <c r="M16" s="105"/>
      <c r="N16" s="103">
        <v>5</v>
      </c>
      <c r="O16" s="104">
        <f t="shared" ref="O16:O17" si="51">M16/N16</f>
        <v>0</v>
      </c>
      <c r="P16" s="106"/>
      <c r="Q16" s="107">
        <v>5</v>
      </c>
      <c r="R16" s="104">
        <f t="shared" ref="R16:R17" si="52">P16/Q16</f>
        <v>0</v>
      </c>
      <c r="S16" s="102"/>
      <c r="T16" s="107">
        <v>5</v>
      </c>
      <c r="U16" s="104">
        <f t="shared" ref="U16:U17" si="53">S16/T16</f>
        <v>0</v>
      </c>
      <c r="V16" s="102"/>
      <c r="W16" s="107">
        <v>5</v>
      </c>
      <c r="X16" s="104">
        <f t="shared" ref="X16:X17" si="54">V16/W16</f>
        <v>0</v>
      </c>
      <c r="Y16" s="102"/>
      <c r="Z16" s="107">
        <v>5</v>
      </c>
      <c r="AA16" s="104">
        <f t="shared" ref="AA16:AA17" si="55">Y16/Z16</f>
        <v>0</v>
      </c>
      <c r="AB16" s="106"/>
      <c r="AC16" s="107">
        <v>5</v>
      </c>
      <c r="AD16" s="104">
        <f t="shared" ref="AD16:AD17" si="56">AB16/AC16</f>
        <v>0</v>
      </c>
      <c r="AE16" s="106"/>
      <c r="AF16" s="107">
        <v>5</v>
      </c>
      <c r="AG16" s="104">
        <f t="shared" ref="AG16:AG17" si="57">AE16/AF16</f>
        <v>0</v>
      </c>
      <c r="AH16" s="106"/>
      <c r="AI16" s="107">
        <v>5</v>
      </c>
      <c r="AJ16" s="104">
        <f t="shared" ref="AJ16:AJ17" si="58">AH16/AI16</f>
        <v>0</v>
      </c>
      <c r="AK16" s="106"/>
      <c r="AL16" s="107">
        <v>5</v>
      </c>
      <c r="AM16" s="104">
        <f t="shared" ref="AM16:AM17" si="59">AK16/AL16</f>
        <v>0</v>
      </c>
      <c r="AN16" s="102"/>
      <c r="AO16" s="1">
        <v>5</v>
      </c>
      <c r="AP16" s="104">
        <f t="shared" ref="AP16:AP17" si="60">AN16/AO16</f>
        <v>0</v>
      </c>
      <c r="AQ16" s="102"/>
      <c r="AR16" s="1">
        <v>5</v>
      </c>
      <c r="AS16" s="104">
        <f t="shared" ref="AS16:AS17" si="61">AQ16/AR16</f>
        <v>0</v>
      </c>
      <c r="AT16" s="102"/>
      <c r="AU16" s="1">
        <v>5</v>
      </c>
      <c r="AV16" s="104">
        <f t="shared" ref="AV16:AV17" si="62">AT16/AU16</f>
        <v>0</v>
      </c>
      <c r="AW16" s="102"/>
      <c r="AX16" s="1">
        <v>5</v>
      </c>
      <c r="AY16" s="104">
        <f t="shared" ref="AY16:AY17" si="63">AW16/AX16</f>
        <v>0</v>
      </c>
      <c r="AZ16" s="102"/>
      <c r="BA16" s="1">
        <v>5</v>
      </c>
      <c r="BB16" s="104">
        <f t="shared" ref="BB16:BB17" si="64">AZ16/BA16</f>
        <v>0</v>
      </c>
      <c r="BC16" s="102"/>
      <c r="BD16" s="1">
        <v>5</v>
      </c>
      <c r="BE16" s="104">
        <f t="shared" ref="BE16:BE17" si="65">BC16/BD16</f>
        <v>0</v>
      </c>
      <c r="BF16" s="102"/>
      <c r="BG16" s="1">
        <v>5</v>
      </c>
      <c r="BH16" s="104">
        <f t="shared" ref="BH16:BH17" si="66">BF16/BG16</f>
        <v>0</v>
      </c>
      <c r="BI16" s="102"/>
      <c r="BJ16" s="1">
        <v>5</v>
      </c>
      <c r="BK16" s="104">
        <f t="shared" ref="BK16:BK17" si="67">BI16/BJ16</f>
        <v>0</v>
      </c>
      <c r="BL16" s="102"/>
      <c r="BM16" s="1">
        <v>5</v>
      </c>
      <c r="BN16" s="104">
        <f t="shared" ref="BN16:BN17" si="68">BL16/BM16</f>
        <v>0</v>
      </c>
      <c r="BO16" s="102"/>
      <c r="BP16" s="1">
        <v>5</v>
      </c>
      <c r="BQ16" s="104">
        <f t="shared" ref="BQ16:BQ17" si="69">BO16/BP16</f>
        <v>0</v>
      </c>
      <c r="BR16" s="102"/>
      <c r="BS16" s="1">
        <v>5</v>
      </c>
      <c r="BT16" s="104">
        <f t="shared" ref="BT16:BT17" si="70">BR16/BS16</f>
        <v>0</v>
      </c>
      <c r="BU16" s="102"/>
      <c r="BV16" s="1">
        <v>5</v>
      </c>
      <c r="BW16" s="104">
        <f t="shared" ref="BW16:BW17" si="71">BU16/BV16</f>
        <v>0</v>
      </c>
      <c r="BX16" s="102"/>
      <c r="BY16" s="1">
        <v>5</v>
      </c>
      <c r="BZ16" s="104">
        <f t="shared" ref="BZ16:BZ17" si="72">BX16/BY16</f>
        <v>0</v>
      </c>
      <c r="CA16" s="102"/>
      <c r="CB16" s="1">
        <v>5</v>
      </c>
      <c r="CC16" s="104">
        <f t="shared" ref="CC16:CC17" si="73">CA16/CB16</f>
        <v>0</v>
      </c>
      <c r="CD16" s="102"/>
      <c r="CE16" s="1">
        <v>5</v>
      </c>
      <c r="CF16" s="104">
        <f t="shared" ref="CF16:CF17" si="74">CD16/CE16</f>
        <v>0</v>
      </c>
      <c r="CG16" s="102"/>
      <c r="CH16" s="1">
        <v>5</v>
      </c>
      <c r="CI16" s="104">
        <f t="shared" ref="CI16:CI17" si="75">CG16/CH16</f>
        <v>0</v>
      </c>
      <c r="CJ16" s="102"/>
      <c r="CK16" s="1">
        <v>5</v>
      </c>
      <c r="CL16" s="104">
        <f t="shared" ref="CL16:CL17" si="76">CJ16/CK16</f>
        <v>0</v>
      </c>
      <c r="CM16" s="102"/>
      <c r="CN16" s="1">
        <v>5</v>
      </c>
      <c r="CO16" s="104">
        <f t="shared" ref="CO16:CO17" si="77">CM16/CN16</f>
        <v>0</v>
      </c>
      <c r="CP16" s="102"/>
      <c r="CQ16" s="1">
        <v>5</v>
      </c>
      <c r="CR16" s="104">
        <f t="shared" ref="CR16:CR17" si="78">CP16/CQ16</f>
        <v>0</v>
      </c>
      <c r="CS16" s="102"/>
      <c r="CT16" s="1">
        <v>5</v>
      </c>
      <c r="CU16" s="104">
        <f t="shared" ref="CU16:CU17" si="79">CS16/CT16</f>
        <v>0</v>
      </c>
      <c r="CV16" s="102"/>
      <c r="CW16" s="1">
        <v>5</v>
      </c>
      <c r="CX16" s="104">
        <f t="shared" ref="CX16:CX17" si="80">CV16/CW16</f>
        <v>0</v>
      </c>
      <c r="CY16" s="102"/>
      <c r="CZ16" s="1">
        <v>5</v>
      </c>
      <c r="DA16" s="104">
        <f t="shared" ref="DA16:DA17" si="81">CY16/CZ16</f>
        <v>0</v>
      </c>
      <c r="DB16" s="102"/>
      <c r="DC16" s="1">
        <v>5</v>
      </c>
      <c r="DD16" s="104">
        <f t="shared" ref="DD16:DD17" si="82">DB16/DC16</f>
        <v>0</v>
      </c>
      <c r="DE16" s="102"/>
      <c r="DF16" s="1">
        <v>5</v>
      </c>
      <c r="DG16" s="104">
        <f t="shared" ref="DG16:DG17" si="83">DE16/DF16</f>
        <v>0</v>
      </c>
      <c r="DH16" s="102"/>
      <c r="DI16" s="1">
        <v>5</v>
      </c>
      <c r="DJ16" s="104">
        <f t="shared" ref="DJ16:DJ17" si="84">DH16/DI16</f>
        <v>0</v>
      </c>
      <c r="DK16" s="102"/>
      <c r="DL16" s="1">
        <v>5</v>
      </c>
      <c r="DM16" s="104">
        <f t="shared" ref="DM16:DM17" si="85">DK16/DL16</f>
        <v>0</v>
      </c>
      <c r="DN16" s="102"/>
      <c r="DO16" s="1">
        <v>5</v>
      </c>
      <c r="DP16" s="104">
        <f t="shared" ref="DP16:DP17" si="86">DN16/DO16</f>
        <v>0</v>
      </c>
      <c r="DQ16" s="102"/>
      <c r="DR16" s="1">
        <v>5</v>
      </c>
      <c r="DS16" s="104">
        <f t="shared" ref="DS16:DS17" si="87">DQ16/DR16</f>
        <v>0</v>
      </c>
      <c r="DT16" s="102"/>
      <c r="DU16" s="1">
        <v>5</v>
      </c>
      <c r="DV16" s="104">
        <f t="shared" ref="DV16:DV17" si="88">DT16/DU16</f>
        <v>0</v>
      </c>
      <c r="DW16" s="102"/>
      <c r="DX16" s="1">
        <v>5</v>
      </c>
      <c r="DY16" s="104">
        <f t="shared" ref="DY16:DY17" si="89">DW16/DX16</f>
        <v>0</v>
      </c>
      <c r="DZ16" s="102"/>
      <c r="EA16" s="1">
        <v>5</v>
      </c>
      <c r="EB16" s="104">
        <f t="shared" ref="EB16:EB17" si="90">DZ16/EA16</f>
        <v>0</v>
      </c>
      <c r="EC16" s="102"/>
      <c r="ED16" s="1">
        <v>5</v>
      </c>
      <c r="EE16" s="104">
        <f t="shared" ref="EE16:EE17" si="91">EC16/ED16</f>
        <v>0</v>
      </c>
      <c r="EF16" s="102"/>
      <c r="EG16" s="1">
        <v>5</v>
      </c>
      <c r="EH16" s="104">
        <f t="shared" ref="EH16:EH17" si="92">EF16/EG16</f>
        <v>0</v>
      </c>
      <c r="EI16" s="102"/>
      <c r="EJ16" s="1">
        <v>5</v>
      </c>
      <c r="EK16" s="104">
        <f t="shared" ref="EK16:EK17" si="93">EI16/EJ16</f>
        <v>0</v>
      </c>
      <c r="EL16" s="102"/>
      <c r="EM16" s="1">
        <v>5</v>
      </c>
      <c r="EN16" s="104">
        <f t="shared" ref="EN16:EN17" si="94">EL16/EM16</f>
        <v>0</v>
      </c>
      <c r="EO16" s="102"/>
      <c r="EP16" s="1">
        <v>5</v>
      </c>
      <c r="EQ16" s="108">
        <f t="shared" ref="EQ16:EQ17" si="95">EO16/EP16</f>
        <v>0</v>
      </c>
      <c r="ER16" s="85">
        <f t="array" ref="ER16">IFERROR(_xlfn.LET(
_xlpm.datos,CHOOSE({1;2;3;4;5;6;7;8;9;10;11;12;13;13;14;15;16;17;18;19;20;21;22;23;23;24;25;26;27;28;29;30;31;32;33;34;35;36;37;38;39;40;41;42;43;44;45;46;47},F16,I16,L16,O16,R16,U16,X16,AA16,AD16,AG16,AJ16,AM16,AP16,AS16,AV16,AY16,BB16,BE16,BH16,BK16,BQ16,BT16,BW16,BZ16,CC16,CF16,CI16,CL16,CO16,CR16,CU16,CX16,DA16,DD16,DG16,DJ16,DM16,DP16,DS16,DV16,DY16,EB16,EE16,EH16,EK16,EN16,EQ16),
AVERAGE(_xlfn._xlws.FILTER(_xlpm.datos,(_xlpm.datos&lt;&gt;0)*(_xlpm.datos&lt;&gt;"")))
),0)</f>
        <v>0</v>
      </c>
      <c r="ES16" s="86" t="str">
        <f t="array" ref="ES16">_xlfn.IFS(ER16&gt;=91.5%,"MENSUAL",ER16&gt;=75%,"QUINCENAL",ER16&lt;75%,"SEMANAL")</f>
        <v>SEMANAL</v>
      </c>
    </row>
    <row r="17" ht="28.5" customHeight="1" spans="2:149" x14ac:dyDescent="0.25">
      <c r="B17" s="134" t="s">
        <v>92</v>
      </c>
      <c r="C17" s="135"/>
      <c r="D17" s="102"/>
      <c r="E17" s="103">
        <v>5</v>
      </c>
      <c r="F17" s="104">
        <f t="shared" si="48"/>
        <v>0</v>
      </c>
      <c r="G17" s="102"/>
      <c r="H17" s="103">
        <v>5</v>
      </c>
      <c r="I17" s="104">
        <f t="shared" si="49"/>
        <v>0</v>
      </c>
      <c r="J17" s="105"/>
      <c r="K17" s="103">
        <v>5</v>
      </c>
      <c r="L17" s="104">
        <f t="shared" si="50"/>
        <v>0</v>
      </c>
      <c r="M17" s="105"/>
      <c r="N17" s="103">
        <v>5</v>
      </c>
      <c r="O17" s="104">
        <f t="shared" si="51"/>
        <v>0</v>
      </c>
      <c r="P17" s="106"/>
      <c r="Q17" s="107">
        <v>5</v>
      </c>
      <c r="R17" s="104">
        <f t="shared" si="52"/>
        <v>0</v>
      </c>
      <c r="S17" s="102"/>
      <c r="T17" s="107">
        <v>5</v>
      </c>
      <c r="U17" s="104">
        <f t="shared" si="53"/>
        <v>0</v>
      </c>
      <c r="V17" s="102"/>
      <c r="W17" s="1">
        <v>5</v>
      </c>
      <c r="X17" s="104">
        <f t="shared" si="54"/>
        <v>0</v>
      </c>
      <c r="Y17" s="105"/>
      <c r="Z17" s="103">
        <v>5</v>
      </c>
      <c r="AA17" s="104">
        <f t="shared" si="55"/>
        <v>0</v>
      </c>
      <c r="AB17" s="102"/>
      <c r="AC17" s="103">
        <v>5</v>
      </c>
      <c r="AD17" s="104">
        <f t="shared" si="56"/>
        <v>0</v>
      </c>
      <c r="AE17" s="105"/>
      <c r="AF17" s="103">
        <v>5</v>
      </c>
      <c r="AG17" s="104">
        <f t="shared" si="57"/>
        <v>0</v>
      </c>
      <c r="AH17" s="105"/>
      <c r="AI17" s="103">
        <v>5</v>
      </c>
      <c r="AJ17" s="104">
        <f t="shared" si="58"/>
        <v>0</v>
      </c>
      <c r="AK17" s="105"/>
      <c r="AL17" s="103">
        <v>5</v>
      </c>
      <c r="AM17" s="104">
        <f t="shared" si="59"/>
        <v>0</v>
      </c>
      <c r="AN17" s="102"/>
      <c r="AO17" s="1">
        <v>5</v>
      </c>
      <c r="AP17" s="104">
        <f t="shared" si="60"/>
        <v>0</v>
      </c>
      <c r="AQ17" s="102"/>
      <c r="AR17" s="1">
        <v>5</v>
      </c>
      <c r="AS17" s="104">
        <f t="shared" si="61"/>
        <v>0</v>
      </c>
      <c r="AT17" s="102"/>
      <c r="AU17" s="1">
        <v>5</v>
      </c>
      <c r="AV17" s="104">
        <f t="shared" si="62"/>
        <v>0</v>
      </c>
      <c r="AW17" s="102"/>
      <c r="AX17" s="1">
        <v>5</v>
      </c>
      <c r="AY17" s="104">
        <f t="shared" si="63"/>
        <v>0</v>
      </c>
      <c r="AZ17" s="112"/>
      <c r="BA17" s="113">
        <v>5</v>
      </c>
      <c r="BB17" s="104">
        <f t="shared" si="64"/>
        <v>0</v>
      </c>
      <c r="BC17" s="112"/>
      <c r="BD17" s="113">
        <v>5</v>
      </c>
      <c r="BE17" s="104">
        <f t="shared" si="65"/>
        <v>0</v>
      </c>
      <c r="BF17" s="112"/>
      <c r="BG17" s="113">
        <v>5</v>
      </c>
      <c r="BH17" s="104">
        <f t="shared" si="66"/>
        <v>0</v>
      </c>
      <c r="BI17" s="102"/>
      <c r="BJ17" s="1">
        <v>5</v>
      </c>
      <c r="BK17" s="104">
        <f t="shared" si="67"/>
        <v>0</v>
      </c>
      <c r="BL17" s="102"/>
      <c r="BM17" s="1">
        <v>5</v>
      </c>
      <c r="BN17" s="104">
        <f t="shared" si="68"/>
        <v>0</v>
      </c>
      <c r="BO17" s="102"/>
      <c r="BP17" s="1">
        <v>5</v>
      </c>
      <c r="BQ17" s="104">
        <f t="shared" si="69"/>
        <v>0</v>
      </c>
      <c r="BR17" s="102"/>
      <c r="BS17" s="1">
        <v>5</v>
      </c>
      <c r="BT17" s="104">
        <f t="shared" si="70"/>
        <v>0</v>
      </c>
      <c r="BU17" s="102"/>
      <c r="BV17" s="1">
        <v>5</v>
      </c>
      <c r="BW17" s="104">
        <f t="shared" si="71"/>
        <v>0</v>
      </c>
      <c r="BX17" s="112"/>
      <c r="BY17" s="113">
        <v>5</v>
      </c>
      <c r="BZ17" s="104">
        <f t="shared" si="72"/>
        <v>0</v>
      </c>
      <c r="CA17" s="112"/>
      <c r="CB17" s="113">
        <v>5</v>
      </c>
      <c r="CC17" s="104">
        <f t="shared" si="73"/>
        <v>0</v>
      </c>
      <c r="CD17" s="112"/>
      <c r="CE17" s="113">
        <v>5</v>
      </c>
      <c r="CF17" s="104">
        <f t="shared" si="74"/>
        <v>0</v>
      </c>
      <c r="CG17" s="102"/>
      <c r="CH17" s="1">
        <v>5</v>
      </c>
      <c r="CI17" s="104">
        <f t="shared" si="75"/>
        <v>0</v>
      </c>
      <c r="CJ17" s="102"/>
      <c r="CK17" s="1">
        <v>5</v>
      </c>
      <c r="CL17" s="104">
        <f t="shared" si="76"/>
        <v>0</v>
      </c>
      <c r="CM17" s="102"/>
      <c r="CN17" s="1">
        <v>5</v>
      </c>
      <c r="CO17" s="104">
        <f t="shared" si="77"/>
        <v>0</v>
      </c>
      <c r="CP17" s="112"/>
      <c r="CQ17" s="113">
        <v>5</v>
      </c>
      <c r="CR17" s="104">
        <f t="shared" si="78"/>
        <v>0</v>
      </c>
      <c r="CS17" s="112"/>
      <c r="CT17" s="113">
        <v>5</v>
      </c>
      <c r="CU17" s="104">
        <f t="shared" si="79"/>
        <v>0</v>
      </c>
      <c r="CV17" s="112"/>
      <c r="CW17" s="113">
        <v>5</v>
      </c>
      <c r="CX17" s="104">
        <f t="shared" si="80"/>
        <v>0</v>
      </c>
      <c r="CY17" s="102"/>
      <c r="CZ17" s="1">
        <v>5</v>
      </c>
      <c r="DA17" s="104">
        <f t="shared" si="81"/>
        <v>0</v>
      </c>
      <c r="DB17" s="112"/>
      <c r="DC17" s="113">
        <v>5</v>
      </c>
      <c r="DD17" s="104">
        <f t="shared" si="82"/>
        <v>0</v>
      </c>
      <c r="DE17" s="112"/>
      <c r="DF17" s="113">
        <v>5</v>
      </c>
      <c r="DG17" s="104">
        <f t="shared" si="83"/>
        <v>0</v>
      </c>
      <c r="DH17" s="112"/>
      <c r="DI17" s="113">
        <v>5</v>
      </c>
      <c r="DJ17" s="104">
        <f t="shared" si="84"/>
        <v>0</v>
      </c>
      <c r="DK17" s="112"/>
      <c r="DL17" s="113">
        <v>5</v>
      </c>
      <c r="DM17" s="104">
        <f t="shared" si="85"/>
        <v>0</v>
      </c>
      <c r="DN17" s="112"/>
      <c r="DO17" s="113">
        <v>5</v>
      </c>
      <c r="DP17" s="104">
        <f t="shared" si="86"/>
        <v>0</v>
      </c>
      <c r="DQ17" s="102"/>
      <c r="DR17" s="1">
        <v>5</v>
      </c>
      <c r="DS17" s="104">
        <f t="shared" si="87"/>
        <v>0</v>
      </c>
      <c r="DT17" s="102"/>
      <c r="DU17" s="1">
        <v>5</v>
      </c>
      <c r="DV17" s="104">
        <f t="shared" si="88"/>
        <v>0</v>
      </c>
      <c r="DW17" s="102"/>
      <c r="DX17" s="1">
        <v>5</v>
      </c>
      <c r="DY17" s="104">
        <f t="shared" si="89"/>
        <v>0</v>
      </c>
      <c r="DZ17" s="112"/>
      <c r="EA17" s="113">
        <v>5</v>
      </c>
      <c r="EB17" s="104">
        <f t="shared" si="90"/>
        <v>0</v>
      </c>
      <c r="EC17" s="112"/>
      <c r="ED17" s="113">
        <v>5</v>
      </c>
      <c r="EE17" s="104">
        <f t="shared" si="91"/>
        <v>0</v>
      </c>
      <c r="EF17" s="112"/>
      <c r="EG17" s="113">
        <v>5</v>
      </c>
      <c r="EH17" s="104">
        <f t="shared" si="92"/>
        <v>0</v>
      </c>
      <c r="EI17" s="102"/>
      <c r="EJ17" s="1">
        <v>5</v>
      </c>
      <c r="EK17" s="104">
        <f t="shared" si="93"/>
        <v>0</v>
      </c>
      <c r="EL17" s="112"/>
      <c r="EM17" s="113">
        <v>5</v>
      </c>
      <c r="EN17" s="104">
        <f t="shared" si="94"/>
        <v>0</v>
      </c>
      <c r="EO17" s="112"/>
      <c r="EP17" s="113">
        <v>5</v>
      </c>
      <c r="EQ17" s="108">
        <f t="shared" si="95"/>
        <v>0</v>
      </c>
      <c r="ER17" s="85">
        <f t="array" ref="ER17">IFERROR(_xlfn.LET(
_xlpm.datos,CHOOSE({1;2;3;4;5;6;7;8;9;10;11;12;13;13;14;15;16;17;18;19;20;21;22;23;23;24;25;26;27;28;29;30;31;32;33;34;35;36;37;38;39;40;41;42;43;44;45;46;47},F17,I17,L17,O17,R17,U17,X17,AA17,AD17,AG17,AJ17,AM17,AP17,AS17,AV17,AY17,BB17,BE17,BH17,BK17,BQ17,BT17,BW17,BZ17,CC17,CF17,CI17,CL17,CO17,CR17,CU17,CX17,DA17,DD17,DG17,DJ17,DM17,DP17,DS17,DV17,DY17,EB17,EE17,EH17,EK17,EN17,EQ17),
AVERAGE(_xlfn._xlws.FILTER(_xlpm.datos,(_xlpm.datos&lt;&gt;0)*(_xlpm.datos&lt;&gt;"")))
),0)</f>
        <v>0</v>
      </c>
      <c r="ES17" s="86" t="str">
        <f t="array" ref="ES17">_xlfn.IFS(ER17&gt;=91.5%,"MENSUAL",ER17&gt;=75%,"QUINCENAL",ER17&lt;75%,"SEMANAL")</f>
        <v>SEMANAL</v>
      </c>
    </row>
    <row r="18" ht="16" customHeight="1" spans="2:149" x14ac:dyDescent="0.25">
      <c r="B18" s="124" t="s">
        <v>93</v>
      </c>
      <c r="C18" s="125"/>
      <c r="D18" s="126"/>
      <c r="E18" s="127"/>
      <c r="F18" s="82">
        <f>AVERAGE(F19:F29)</f>
        <v>0</v>
      </c>
      <c r="G18" s="126"/>
      <c r="H18" s="127"/>
      <c r="I18" s="82">
        <f>AVERAGE(I19:I29)</f>
        <v>0</v>
      </c>
      <c r="J18" s="126"/>
      <c r="K18" s="127"/>
      <c r="L18" s="82">
        <f>AVERAGE(L19:L29)</f>
        <v>0</v>
      </c>
      <c r="M18" s="126"/>
      <c r="N18" s="127"/>
      <c r="O18" s="82">
        <f>AVERAGE(O19:O29)</f>
        <v>0</v>
      </c>
      <c r="P18" s="126"/>
      <c r="Q18" s="127"/>
      <c r="R18" s="82">
        <f>AVERAGE(R19:R29)</f>
        <v>0</v>
      </c>
      <c r="S18" s="126"/>
      <c r="T18" s="127"/>
      <c r="U18" s="82">
        <f>AVERAGE(U19:U29)</f>
        <v>0</v>
      </c>
      <c r="V18" s="126"/>
      <c r="W18" s="127"/>
      <c r="X18" s="82">
        <f>AVERAGE(X19:X29)</f>
        <v>0</v>
      </c>
      <c r="Y18" s="126"/>
      <c r="Z18" s="127"/>
      <c r="AA18" s="82">
        <f>AVERAGE(AA19:AA29)</f>
        <v>0</v>
      </c>
      <c r="AB18" s="126"/>
      <c r="AC18" s="127"/>
      <c r="AD18" s="82">
        <f>AVERAGE(AD19:AD29)</f>
        <v>0</v>
      </c>
      <c r="AE18" s="126"/>
      <c r="AF18" s="127"/>
      <c r="AG18" s="82">
        <f>AVERAGE(AG19:AG29)</f>
        <v>0</v>
      </c>
      <c r="AH18" s="126"/>
      <c r="AI18" s="127"/>
      <c r="AJ18" s="82">
        <f>AVERAGE(AJ19:AJ29)</f>
        <v>0</v>
      </c>
      <c r="AK18" s="126"/>
      <c r="AL18" s="127"/>
      <c r="AM18" s="82">
        <f>AVERAGE(AM19:AM29)</f>
        <v>0</v>
      </c>
      <c r="AN18" s="128"/>
      <c r="AO18" s="127"/>
      <c r="AP18" s="82">
        <f>AVERAGE(AP19:AP29)</f>
        <v>0</v>
      </c>
      <c r="AQ18" s="128"/>
      <c r="AR18" s="129"/>
      <c r="AS18" s="82">
        <f>AVERAGE(AS19:AS29)</f>
        <v>0</v>
      </c>
      <c r="AT18" s="130"/>
      <c r="AU18" s="129"/>
      <c r="AV18" s="82">
        <f>AVERAGE(AV19:AV29)</f>
        <v>0</v>
      </c>
      <c r="AW18" s="128"/>
      <c r="AX18" s="127"/>
      <c r="AY18" s="82">
        <f>AVERAGE(AY19:AY29)</f>
        <v>0</v>
      </c>
      <c r="AZ18" s="131"/>
      <c r="BA18" s="132"/>
      <c r="BB18" s="82">
        <f>AVERAGE(BB19:BB29)</f>
        <v>0</v>
      </c>
      <c r="BC18" s="128"/>
      <c r="BD18" s="132"/>
      <c r="BE18" s="82">
        <f>AVERAGE(BE19:BE29)</f>
        <v>0</v>
      </c>
      <c r="BF18" s="128"/>
      <c r="BG18" s="132"/>
      <c r="BH18" s="82">
        <f>AVERAGE(BH19:BH29)</f>
        <v>0</v>
      </c>
      <c r="BI18" s="128"/>
      <c r="BJ18" s="132"/>
      <c r="BK18" s="82">
        <f>AVERAGE(BK19:BK29)</f>
        <v>0</v>
      </c>
      <c r="BL18" s="128"/>
      <c r="BM18" s="132"/>
      <c r="BN18" s="82">
        <f>AVERAGE(BN19:BN29)</f>
        <v>0</v>
      </c>
      <c r="BO18" s="128"/>
      <c r="BP18" s="132"/>
      <c r="BQ18" s="82">
        <f>AVERAGE(BQ19:BQ29)</f>
        <v>0</v>
      </c>
      <c r="BR18" s="128"/>
      <c r="BS18" s="132"/>
      <c r="BT18" s="82">
        <f>AVERAGE(BT19:BT29)</f>
        <v>0</v>
      </c>
      <c r="BU18" s="128"/>
      <c r="BV18" s="132"/>
      <c r="BW18" s="82">
        <f>AVERAGE(BW19:BW29)</f>
        <v>0</v>
      </c>
      <c r="BX18" s="128"/>
      <c r="BY18" s="132"/>
      <c r="BZ18" s="82">
        <f>AVERAGE(BZ19:BZ29)</f>
        <v>0</v>
      </c>
      <c r="CA18" s="126"/>
      <c r="CB18" s="127"/>
      <c r="CC18" s="82">
        <f>AVERAGE(CC19:CC29)</f>
        <v>0</v>
      </c>
      <c r="CD18" s="126"/>
      <c r="CE18" s="127"/>
      <c r="CF18" s="82">
        <f>AVERAGE(CF19:CF29)</f>
        <v>0</v>
      </c>
      <c r="CG18" s="126"/>
      <c r="CH18" s="127"/>
      <c r="CI18" s="82">
        <f>AVERAGE(CI19:CI29)</f>
        <v>0</v>
      </c>
      <c r="CJ18" s="126"/>
      <c r="CK18" s="127"/>
      <c r="CL18" s="82">
        <f>AVERAGE(CL19:CL29)</f>
        <v>0</v>
      </c>
      <c r="CM18" s="126"/>
      <c r="CN18" s="127"/>
      <c r="CO18" s="82">
        <f>AVERAGE(CO19:CO29)</f>
        <v>0</v>
      </c>
      <c r="CP18" s="126"/>
      <c r="CQ18" s="127"/>
      <c r="CR18" s="82">
        <f>AVERAGE(CR19:CR29)</f>
        <v>0</v>
      </c>
      <c r="CS18" s="126"/>
      <c r="CT18" s="127"/>
      <c r="CU18" s="82">
        <f>AVERAGE(CU19:CU29)</f>
        <v>0</v>
      </c>
      <c r="CV18" s="126"/>
      <c r="CW18" s="127"/>
      <c r="CX18" s="82">
        <f>AVERAGE(CX19:CX29)</f>
        <v>0</v>
      </c>
      <c r="CY18" s="126"/>
      <c r="CZ18" s="127"/>
      <c r="DA18" s="82">
        <f>AVERAGE(DA19:DA29)</f>
        <v>0</v>
      </c>
      <c r="DB18" s="126"/>
      <c r="DC18" s="127"/>
      <c r="DD18" s="82">
        <f>AVERAGE(DD19:DD29)</f>
        <v>0</v>
      </c>
      <c r="DE18" s="126"/>
      <c r="DF18" s="127"/>
      <c r="DG18" s="82">
        <f>AVERAGE(DG19:DG29)</f>
        <v>0</v>
      </c>
      <c r="DH18" s="126"/>
      <c r="DI18" s="127"/>
      <c r="DJ18" s="82">
        <f>AVERAGE(DJ19:DJ29)</f>
        <v>0</v>
      </c>
      <c r="DK18" s="126"/>
      <c r="DL18" s="127"/>
      <c r="DM18" s="82">
        <f>AVERAGE(DM19:DM29)</f>
        <v>0</v>
      </c>
      <c r="DN18" s="126"/>
      <c r="DO18" s="127"/>
      <c r="DP18" s="82">
        <f>AVERAGE(DP19:DP29)</f>
        <v>0</v>
      </c>
      <c r="DQ18" s="126"/>
      <c r="DR18" s="127"/>
      <c r="DS18" s="82">
        <f>AVERAGE(DS19:DS29)</f>
        <v>0</v>
      </c>
      <c r="DT18" s="126"/>
      <c r="DU18" s="127"/>
      <c r="DV18" s="82">
        <f>AVERAGE(DV19:DV29)</f>
        <v>0</v>
      </c>
      <c r="DW18" s="126"/>
      <c r="DX18" s="127"/>
      <c r="DY18" s="82">
        <f>AVERAGE(DY19:DY29)</f>
        <v>0</v>
      </c>
      <c r="DZ18" s="126"/>
      <c r="EA18" s="127"/>
      <c r="EB18" s="82">
        <f>AVERAGE(EB19:EB29)</f>
        <v>0</v>
      </c>
      <c r="EC18" s="126"/>
      <c r="ED18" s="127"/>
      <c r="EE18" s="82">
        <f>AVERAGE(EE19:EE29)</f>
        <v>0</v>
      </c>
      <c r="EF18" s="126"/>
      <c r="EG18" s="127"/>
      <c r="EH18" s="82">
        <f>AVERAGE(EH19:EH29)</f>
        <v>0</v>
      </c>
      <c r="EI18" s="126"/>
      <c r="EJ18" s="127"/>
      <c r="EK18" s="82">
        <f>AVERAGE(EK19:EK29)</f>
        <v>0</v>
      </c>
      <c r="EL18" s="126"/>
      <c r="EM18" s="127"/>
      <c r="EN18" s="82">
        <f>AVERAGE(EN19:EN29)</f>
        <v>0</v>
      </c>
      <c r="EO18" s="126"/>
      <c r="EP18" s="127"/>
      <c r="EQ18" s="84">
        <f>AVERAGE(EQ19:EQ29)</f>
        <v>0</v>
      </c>
      <c r="ER18" s="85">
        <f t="array" ref="ER18">IFERROR(_xlfn.LET(
_xlpm.datos,CHOOSE({1;2;3;4;5;6;7;8;9;10;11;12;13;13;14;15;16;17;18;19;20;21;22;23;23;24;25;26;27;28;29;30;31;32;33;34;35;36;37;38;39;40;41;42;43;44;45;46;47},F18,I18,L18,O18,R18,U18,X18,AA18,AD18,AG18,AJ18,AM18,AP18,AS18,AV18,AY18,BB18,BE18,BH18,BK18,BQ18,BT18,BW18,BZ18,CC18,CF18,CI18,CL18,CO18,CR18,CU18,CX18,DA18,DD18,DG18,DJ18,DM18,DP18,DS18,DV18,DY18,EB18,EE18,EH18,EK18,EN18,EQ18),
AVERAGE(_xlfn._xlws.FILTER(_xlpm.datos,(_xlpm.datos&lt;&gt;0)*(_xlpm.datos&lt;&gt;"")))
),0)</f>
        <v>0</v>
      </c>
      <c r="ES18" s="86" t="str">
        <f t="array" ref="ES18">_xlfn.IFS(ER18&gt;=91.5%,"MENSUAL",ER18&gt;=75%,"QUINCENAL",ER18&lt;75%,"SEMANAL")</f>
        <v>SEMANAL</v>
      </c>
    </row>
    <row r="19" ht="21.5" customHeight="1" spans="2:149" x14ac:dyDescent="0.25">
      <c r="B19" s="88" t="s">
        <v>94</v>
      </c>
      <c r="C19" s="101"/>
      <c r="D19" s="90"/>
      <c r="E19" s="91">
        <v>5</v>
      </c>
      <c r="F19" s="92">
        <f>D19/E19</f>
        <v>0</v>
      </c>
      <c r="G19" s="90"/>
      <c r="H19" s="91">
        <v>5</v>
      </c>
      <c r="I19" s="92">
        <f>G19/H19</f>
        <v>0</v>
      </c>
      <c r="J19" s="93"/>
      <c r="K19" s="91">
        <v>5</v>
      </c>
      <c r="L19" s="92">
        <f>J19/K19</f>
        <v>0</v>
      </c>
      <c r="M19" s="93"/>
      <c r="N19" s="91">
        <v>5</v>
      </c>
      <c r="O19" s="92">
        <f>M19/N19</f>
        <v>0</v>
      </c>
      <c r="P19" s="94"/>
      <c r="Q19" s="95">
        <v>5</v>
      </c>
      <c r="R19" s="92">
        <f>P19/Q19</f>
        <v>0</v>
      </c>
      <c r="S19" s="90"/>
      <c r="T19" s="95">
        <v>5</v>
      </c>
      <c r="U19" s="92">
        <f>S19/T19</f>
        <v>0</v>
      </c>
      <c r="V19" s="90"/>
      <c r="W19" s="95">
        <v>5</v>
      </c>
      <c r="X19" s="92">
        <f>V19/W19</f>
        <v>0</v>
      </c>
      <c r="Y19" s="90"/>
      <c r="Z19" s="95">
        <v>5</v>
      </c>
      <c r="AA19" s="92">
        <f>Y19/Z19</f>
        <v>0</v>
      </c>
      <c r="AB19" s="94"/>
      <c r="AC19" s="95">
        <v>5</v>
      </c>
      <c r="AD19" s="92">
        <f>AB19/AC19</f>
        <v>0</v>
      </c>
      <c r="AE19" s="94"/>
      <c r="AF19" s="95">
        <v>5</v>
      </c>
      <c r="AG19" s="92">
        <f>AE19/AF19</f>
        <v>0</v>
      </c>
      <c r="AH19" s="94"/>
      <c r="AI19" s="95">
        <v>5</v>
      </c>
      <c r="AJ19" s="92">
        <f>AH19/AI19</f>
        <v>0</v>
      </c>
      <c r="AK19" s="94"/>
      <c r="AL19" s="95">
        <v>5</v>
      </c>
      <c r="AM19" s="92">
        <f>AK19/AL19</f>
        <v>0</v>
      </c>
      <c r="AN19" s="90"/>
      <c r="AO19" s="96">
        <v>5</v>
      </c>
      <c r="AP19" s="92">
        <f>AN19/AO19</f>
        <v>0</v>
      </c>
      <c r="AQ19" s="90"/>
      <c r="AR19" s="96">
        <v>5</v>
      </c>
      <c r="AS19" s="92">
        <f>AQ19/AR19</f>
        <v>0</v>
      </c>
      <c r="AT19" s="90"/>
      <c r="AU19" s="96">
        <v>5</v>
      </c>
      <c r="AV19" s="92">
        <f>AT19/AU19</f>
        <v>0</v>
      </c>
      <c r="AW19" s="90"/>
      <c r="AX19" s="96">
        <v>5</v>
      </c>
      <c r="AY19" s="92">
        <f>AW19/AX19</f>
        <v>0</v>
      </c>
      <c r="AZ19" s="90"/>
      <c r="BA19" s="96">
        <v>5</v>
      </c>
      <c r="BB19" s="92">
        <f>AZ19/BA19</f>
        <v>0</v>
      </c>
      <c r="BC19" s="90"/>
      <c r="BD19" s="96">
        <v>5</v>
      </c>
      <c r="BE19" s="92">
        <f>BC19/BD19</f>
        <v>0</v>
      </c>
      <c r="BF19" s="90"/>
      <c r="BG19" s="96">
        <v>5</v>
      </c>
      <c r="BH19" s="92">
        <f>BF19/BG19</f>
        <v>0</v>
      </c>
      <c r="BI19" s="90"/>
      <c r="BJ19" s="96">
        <v>5</v>
      </c>
      <c r="BK19" s="92">
        <f>BI19/BJ19</f>
        <v>0</v>
      </c>
      <c r="BL19" s="90"/>
      <c r="BM19" s="96">
        <v>5</v>
      </c>
      <c r="BN19" s="92">
        <f>BL19/BM19</f>
        <v>0</v>
      </c>
      <c r="BO19" s="90"/>
      <c r="BP19" s="96">
        <v>5</v>
      </c>
      <c r="BQ19" s="92">
        <f>BO19/BP19</f>
        <v>0</v>
      </c>
      <c r="BR19" s="90"/>
      <c r="BS19" s="96">
        <v>5</v>
      </c>
      <c r="BT19" s="92">
        <f>BR19/BS19</f>
        <v>0</v>
      </c>
      <c r="BU19" s="90"/>
      <c r="BV19" s="96">
        <v>5</v>
      </c>
      <c r="BW19" s="92">
        <f>BU19/BV19</f>
        <v>0</v>
      </c>
      <c r="BX19" s="90"/>
      <c r="BY19" s="96">
        <v>5</v>
      </c>
      <c r="BZ19" s="92">
        <f>BX19/BY19</f>
        <v>0</v>
      </c>
      <c r="CA19" s="90"/>
      <c r="CB19" s="96">
        <v>5</v>
      </c>
      <c r="CC19" s="92">
        <f>CA19/CB19</f>
        <v>0</v>
      </c>
      <c r="CD19" s="90"/>
      <c r="CE19" s="96">
        <v>5</v>
      </c>
      <c r="CF19" s="92">
        <f>CD19/CE19</f>
        <v>0</v>
      </c>
      <c r="CG19" s="90"/>
      <c r="CH19" s="96">
        <v>5</v>
      </c>
      <c r="CI19" s="92">
        <f>CG19/CH19</f>
        <v>0</v>
      </c>
      <c r="CJ19" s="90"/>
      <c r="CK19" s="96">
        <v>5</v>
      </c>
      <c r="CL19" s="92">
        <f>CJ19/CK19</f>
        <v>0</v>
      </c>
      <c r="CM19" s="90"/>
      <c r="CN19" s="96">
        <v>5</v>
      </c>
      <c r="CO19" s="92">
        <f>CM19/CN19</f>
        <v>0</v>
      </c>
      <c r="CP19" s="90"/>
      <c r="CQ19" s="96">
        <v>5</v>
      </c>
      <c r="CR19" s="92">
        <f>CP19/CQ19</f>
        <v>0</v>
      </c>
      <c r="CS19" s="90"/>
      <c r="CT19" s="96">
        <v>5</v>
      </c>
      <c r="CU19" s="92">
        <f>CS19/CT19</f>
        <v>0</v>
      </c>
      <c r="CV19" s="90"/>
      <c r="CW19" s="96">
        <v>5</v>
      </c>
      <c r="CX19" s="92">
        <f>CV19/CW19</f>
        <v>0</v>
      </c>
      <c r="CY19" s="90"/>
      <c r="CZ19" s="96">
        <v>5</v>
      </c>
      <c r="DA19" s="92">
        <f>CY19/CZ19</f>
        <v>0</v>
      </c>
      <c r="DB19" s="90"/>
      <c r="DC19" s="96">
        <v>5</v>
      </c>
      <c r="DD19" s="92">
        <f>DB19/DC19</f>
        <v>0</v>
      </c>
      <c r="DE19" s="90"/>
      <c r="DF19" s="96">
        <v>5</v>
      </c>
      <c r="DG19" s="92">
        <f>DE19/DF19</f>
        <v>0</v>
      </c>
      <c r="DH19" s="90"/>
      <c r="DI19" s="96">
        <v>5</v>
      </c>
      <c r="DJ19" s="92">
        <f>DH19/DI19</f>
        <v>0</v>
      </c>
      <c r="DK19" s="90"/>
      <c r="DL19" s="96">
        <v>5</v>
      </c>
      <c r="DM19" s="92">
        <f>DK19/DL19</f>
        <v>0</v>
      </c>
      <c r="DN19" s="90"/>
      <c r="DO19" s="96">
        <v>5</v>
      </c>
      <c r="DP19" s="92">
        <f>DN19/DO19</f>
        <v>0</v>
      </c>
      <c r="DQ19" s="90"/>
      <c r="DR19" s="96">
        <v>5</v>
      </c>
      <c r="DS19" s="92">
        <f>DQ19/DR19</f>
        <v>0</v>
      </c>
      <c r="DT19" s="90"/>
      <c r="DU19" s="96">
        <v>5</v>
      </c>
      <c r="DV19" s="92">
        <f>DT19/DU19</f>
        <v>0</v>
      </c>
      <c r="DW19" s="90"/>
      <c r="DX19" s="96">
        <v>5</v>
      </c>
      <c r="DY19" s="92">
        <f>DW19/DX19</f>
        <v>0</v>
      </c>
      <c r="DZ19" s="90"/>
      <c r="EA19" s="96">
        <v>5</v>
      </c>
      <c r="EB19" s="92">
        <f>DZ19/EA19</f>
        <v>0</v>
      </c>
      <c r="EC19" s="90"/>
      <c r="ED19" s="96">
        <v>5</v>
      </c>
      <c r="EE19" s="92">
        <f>EC19/ED19</f>
        <v>0</v>
      </c>
      <c r="EF19" s="90"/>
      <c r="EG19" s="96">
        <v>5</v>
      </c>
      <c r="EH19" s="92">
        <f>EF19/EG19</f>
        <v>0</v>
      </c>
      <c r="EI19" s="90"/>
      <c r="EJ19" s="96">
        <v>5</v>
      </c>
      <c r="EK19" s="92">
        <f>EI19/EJ19</f>
        <v>0</v>
      </c>
      <c r="EL19" s="90"/>
      <c r="EM19" s="96">
        <v>5</v>
      </c>
      <c r="EN19" s="92">
        <f>EL19/EM19</f>
        <v>0</v>
      </c>
      <c r="EO19" s="90"/>
      <c r="EP19" s="96">
        <v>5</v>
      </c>
      <c r="EQ19" s="97">
        <f>EO19/EP19</f>
        <v>0</v>
      </c>
      <c r="ER19" s="85">
        <f t="array" ref="ER19">IFERROR(_xlfn.LET(
_xlpm.datos,CHOOSE({1;2;3;4;5;6;7;8;9;10;11;12;13;13;14;15;16;17;18;19;20;21;22;23;23;24;25;26;27;28;29;30;31;32;33;34;35;36;37;38;39;40;41;42;43;44;45;46;47},F19,I19,L19,O19,R19,U19,X19,AA19,AD19,AG19,AJ19,AM19,AP19,AS19,AV19,AY19,BB19,BE19,BH19,BK19,BQ19,BT19,BW19,BZ19,CC19,CF19,CI19,CL19,CO19,CR19,CU19,CX19,DA19,DD19,DG19,DJ19,DM19,DP19,DS19,DV19,DY19,EB19,EE19,EH19,EK19,EN19,EQ19),
AVERAGE(_xlfn._xlws.FILTER(_xlpm.datos,(_xlpm.datos&lt;&gt;0)*(_xlpm.datos&lt;&gt;"")))
),0)</f>
        <v>0</v>
      </c>
      <c r="ES19" s="86" t="str">
        <f t="array" ref="ES19">_xlfn.IFS(ER19&gt;=91.5%,"MENSUAL",ER19&gt;=75%,"QUINCENAL",ER19&lt;75%,"SEMANAL")</f>
        <v>SEMANAL</v>
      </c>
    </row>
    <row r="20" ht="15.5" customHeight="1" spans="2:149" x14ac:dyDescent="0.25">
      <c r="B20" s="100" t="s">
        <v>95</v>
      </c>
      <c r="C20" s="101"/>
      <c r="D20" s="102"/>
      <c r="E20" s="103">
        <v>5</v>
      </c>
      <c r="F20" s="104">
        <f t="shared" ref="F20:F23" si="96">D20/E20</f>
        <v>0</v>
      </c>
      <c r="G20" s="102"/>
      <c r="H20" s="103">
        <v>5</v>
      </c>
      <c r="I20" s="104">
        <f t="shared" ref="I20:I23" si="97">G20/H20</f>
        <v>0</v>
      </c>
      <c r="J20" s="105"/>
      <c r="K20" s="103">
        <v>5</v>
      </c>
      <c r="L20" s="104">
        <f t="shared" ref="L20:L23" si="98">J20/K20</f>
        <v>0</v>
      </c>
      <c r="M20" s="105"/>
      <c r="N20" s="103">
        <v>5</v>
      </c>
      <c r="O20" s="104">
        <f t="shared" ref="O20:O23" si="99">M20/N20</f>
        <v>0</v>
      </c>
      <c r="P20" s="106"/>
      <c r="Q20" s="107">
        <v>5</v>
      </c>
      <c r="R20" s="104">
        <f t="shared" ref="R20:R23" si="100">P20/Q20</f>
        <v>0</v>
      </c>
      <c r="S20" s="102"/>
      <c r="T20" s="107">
        <v>5</v>
      </c>
      <c r="U20" s="104">
        <f t="shared" ref="U20:U23" si="101">S20/T20</f>
        <v>0</v>
      </c>
      <c r="V20" s="102"/>
      <c r="W20" s="107">
        <v>5</v>
      </c>
      <c r="X20" s="104">
        <f t="shared" ref="X20:X23" si="102">V20/W20</f>
        <v>0</v>
      </c>
      <c r="Y20" s="102"/>
      <c r="Z20" s="107">
        <v>5</v>
      </c>
      <c r="AA20" s="104">
        <f t="shared" ref="AA20:AA23" si="103">Y20/Z20</f>
        <v>0</v>
      </c>
      <c r="AB20" s="106"/>
      <c r="AC20" s="107">
        <v>5</v>
      </c>
      <c r="AD20" s="104">
        <f t="shared" ref="AD20:AD23" si="104">AB20/AC20</f>
        <v>0</v>
      </c>
      <c r="AE20" s="106"/>
      <c r="AF20" s="107">
        <v>5</v>
      </c>
      <c r="AG20" s="104">
        <f t="shared" ref="AG20:AG23" si="105">AE20/AF20</f>
        <v>0</v>
      </c>
      <c r="AH20" s="106"/>
      <c r="AI20" s="107">
        <v>5</v>
      </c>
      <c r="AJ20" s="104">
        <f t="shared" ref="AJ20:AJ23" si="106">AH20/AI20</f>
        <v>0</v>
      </c>
      <c r="AK20" s="106"/>
      <c r="AL20" s="107">
        <v>5</v>
      </c>
      <c r="AM20" s="104">
        <f t="shared" ref="AM20:AM23" si="107">AK20/AL20</f>
        <v>0</v>
      </c>
      <c r="AN20" s="102"/>
      <c r="AO20" s="1">
        <v>5</v>
      </c>
      <c r="AP20" s="104">
        <f t="shared" ref="AP20:AP23" si="108">AN20/AO20</f>
        <v>0</v>
      </c>
      <c r="AQ20" s="102"/>
      <c r="AR20" s="1">
        <v>5</v>
      </c>
      <c r="AS20" s="104">
        <f t="shared" ref="AS20:AS23" si="109">AQ20/AR20</f>
        <v>0</v>
      </c>
      <c r="AT20" s="102"/>
      <c r="AU20" s="1">
        <v>5</v>
      </c>
      <c r="AV20" s="104">
        <f t="shared" ref="AV20:AV23" si="110">AT20/AU20</f>
        <v>0</v>
      </c>
      <c r="AW20" s="102"/>
      <c r="AX20" s="1">
        <v>5</v>
      </c>
      <c r="AY20" s="104">
        <f t="shared" ref="AY20:AY23" si="111">AW20/AX20</f>
        <v>0</v>
      </c>
      <c r="AZ20" s="102"/>
      <c r="BA20" s="1">
        <v>5</v>
      </c>
      <c r="BB20" s="104">
        <f t="shared" ref="BB20:BB23" si="112">AZ20/BA20</f>
        <v>0</v>
      </c>
      <c r="BC20" s="102"/>
      <c r="BD20" s="1">
        <v>5</v>
      </c>
      <c r="BE20" s="104">
        <f t="shared" ref="BE20:BE23" si="113">BC20/BD20</f>
        <v>0</v>
      </c>
      <c r="BF20" s="102"/>
      <c r="BG20" s="1">
        <v>5</v>
      </c>
      <c r="BH20" s="104">
        <f t="shared" ref="BH20:BH23" si="114">BF20/BG20</f>
        <v>0</v>
      </c>
      <c r="BI20" s="102"/>
      <c r="BJ20" s="1">
        <v>5</v>
      </c>
      <c r="BK20" s="104">
        <f t="shared" ref="BK20:BK23" si="115">BI20/BJ20</f>
        <v>0</v>
      </c>
      <c r="BL20" s="102"/>
      <c r="BM20" s="1">
        <v>5</v>
      </c>
      <c r="BN20" s="104">
        <f t="shared" ref="BN20:BN23" si="116">BL20/BM20</f>
        <v>0</v>
      </c>
      <c r="BO20" s="102"/>
      <c r="BP20" s="1">
        <v>5</v>
      </c>
      <c r="BQ20" s="104">
        <f t="shared" ref="BQ20:BQ23" si="117">BO20/BP20</f>
        <v>0</v>
      </c>
      <c r="BR20" s="102"/>
      <c r="BS20" s="1">
        <v>5</v>
      </c>
      <c r="BT20" s="104">
        <f t="shared" ref="BT20:BT23" si="118">BR20/BS20</f>
        <v>0</v>
      </c>
      <c r="BU20" s="102"/>
      <c r="BV20" s="1">
        <v>5</v>
      </c>
      <c r="BW20" s="104">
        <f t="shared" ref="BW20:BW23" si="119">BU20/BV20</f>
        <v>0</v>
      </c>
      <c r="BX20" s="102"/>
      <c r="BY20" s="1">
        <v>5</v>
      </c>
      <c r="BZ20" s="104">
        <f t="shared" ref="BZ20:BZ23" si="120">BX20/BY20</f>
        <v>0</v>
      </c>
      <c r="CA20" s="102"/>
      <c r="CB20" s="1">
        <v>5</v>
      </c>
      <c r="CC20" s="104">
        <f t="shared" ref="CC20:CC23" si="121">CA20/CB20</f>
        <v>0</v>
      </c>
      <c r="CD20" s="102"/>
      <c r="CE20" s="1">
        <v>5</v>
      </c>
      <c r="CF20" s="104">
        <f t="shared" ref="CF20:CF23" si="122">CD20/CE20</f>
        <v>0</v>
      </c>
      <c r="CG20" s="102"/>
      <c r="CH20" s="1">
        <v>5</v>
      </c>
      <c r="CI20" s="104">
        <f t="shared" ref="CI20:CI23" si="123">CG20/CH20</f>
        <v>0</v>
      </c>
      <c r="CJ20" s="102"/>
      <c r="CK20" s="1">
        <v>5</v>
      </c>
      <c r="CL20" s="104">
        <f t="shared" ref="CL20:CL23" si="124">CJ20/CK20</f>
        <v>0</v>
      </c>
      <c r="CM20" s="102"/>
      <c r="CN20" s="1">
        <v>5</v>
      </c>
      <c r="CO20" s="104">
        <f t="shared" ref="CO20:CO23" si="125">CM20/CN20</f>
        <v>0</v>
      </c>
      <c r="CP20" s="102"/>
      <c r="CQ20" s="1">
        <v>5</v>
      </c>
      <c r="CR20" s="104">
        <f t="shared" ref="CR20:CR23" si="126">CP20/CQ20</f>
        <v>0</v>
      </c>
      <c r="CS20" s="102"/>
      <c r="CT20" s="1">
        <v>5</v>
      </c>
      <c r="CU20" s="104">
        <f t="shared" ref="CU20:CU23" si="127">CS20/CT20</f>
        <v>0</v>
      </c>
      <c r="CV20" s="102"/>
      <c r="CW20" s="1">
        <v>5</v>
      </c>
      <c r="CX20" s="104">
        <f t="shared" ref="CX20:CX23" si="128">CV20/CW20</f>
        <v>0</v>
      </c>
      <c r="CY20" s="102"/>
      <c r="CZ20" s="1">
        <v>5</v>
      </c>
      <c r="DA20" s="104">
        <f t="shared" ref="DA20:DA23" si="129">CY20/CZ20</f>
        <v>0</v>
      </c>
      <c r="DB20" s="102"/>
      <c r="DC20" s="1">
        <v>5</v>
      </c>
      <c r="DD20" s="104">
        <f t="shared" ref="DD20:DD23" si="130">DB20/DC20</f>
        <v>0</v>
      </c>
      <c r="DE20" s="102"/>
      <c r="DF20" s="1">
        <v>5</v>
      </c>
      <c r="DG20" s="104">
        <f t="shared" ref="DG20:DG23" si="131">DE20/DF20</f>
        <v>0</v>
      </c>
      <c r="DH20" s="102"/>
      <c r="DI20" s="1">
        <v>5</v>
      </c>
      <c r="DJ20" s="104">
        <f t="shared" ref="DJ20:DJ23" si="132">DH20/DI20</f>
        <v>0</v>
      </c>
      <c r="DK20" s="102"/>
      <c r="DL20" s="1">
        <v>5</v>
      </c>
      <c r="DM20" s="104">
        <f t="shared" ref="DM20:DM23" si="133">DK20/DL20</f>
        <v>0</v>
      </c>
      <c r="DN20" s="102"/>
      <c r="DO20" s="1">
        <v>5</v>
      </c>
      <c r="DP20" s="104">
        <f t="shared" ref="DP20:DP23" si="134">DN20/DO20</f>
        <v>0</v>
      </c>
      <c r="DQ20" s="102"/>
      <c r="DR20" s="1">
        <v>5</v>
      </c>
      <c r="DS20" s="104">
        <f t="shared" ref="DS20:DS23" si="135">DQ20/DR20</f>
        <v>0</v>
      </c>
      <c r="DT20" s="102"/>
      <c r="DU20" s="1">
        <v>5</v>
      </c>
      <c r="DV20" s="104">
        <f t="shared" ref="DV20:DV23" si="136">DT20/DU20</f>
        <v>0</v>
      </c>
      <c r="DW20" s="102"/>
      <c r="DX20" s="1">
        <v>5</v>
      </c>
      <c r="DY20" s="104">
        <f t="shared" ref="DY20:DY23" si="137">DW20/DX20</f>
        <v>0</v>
      </c>
      <c r="DZ20" s="102"/>
      <c r="EA20" s="1">
        <v>5</v>
      </c>
      <c r="EB20" s="104">
        <f t="shared" ref="EB20:EB23" si="138">DZ20/EA20</f>
        <v>0</v>
      </c>
      <c r="EC20" s="102"/>
      <c r="ED20" s="1">
        <v>5</v>
      </c>
      <c r="EE20" s="104">
        <f t="shared" ref="EE20:EE23" si="139">EC20/ED20</f>
        <v>0</v>
      </c>
      <c r="EF20" s="102"/>
      <c r="EG20" s="1">
        <v>5</v>
      </c>
      <c r="EH20" s="104">
        <f t="shared" ref="EH20:EH23" si="140">EF20/EG20</f>
        <v>0</v>
      </c>
      <c r="EI20" s="102"/>
      <c r="EJ20" s="1">
        <v>5</v>
      </c>
      <c r="EK20" s="104">
        <f t="shared" ref="EK20:EK23" si="141">EI20/EJ20</f>
        <v>0</v>
      </c>
      <c r="EL20" s="102"/>
      <c r="EM20" s="1">
        <v>5</v>
      </c>
      <c r="EN20" s="104">
        <f t="shared" ref="EN20:EN23" si="142">EL20/EM20</f>
        <v>0</v>
      </c>
      <c r="EO20" s="102"/>
      <c r="EP20" s="1">
        <v>5</v>
      </c>
      <c r="EQ20" s="108">
        <f t="shared" ref="EQ20:EQ23" si="143">EO20/EP20</f>
        <v>0</v>
      </c>
      <c r="ER20" s="85">
        <f t="array" ref="ER20">IFERROR(_xlfn.LET(
_xlpm.datos,CHOOSE({1;2;3;4;5;6;7;8;9;10;11;12;13;13;14;15;16;17;18;19;20;21;22;23;23;24;25;26;27;28;29;30;31;32;33;34;35;36;37;38;39;40;41;42;43;44;45;46;47},F20,I20,L20,O20,R20,U20,X20,AA20,AD20,AG20,AJ20,AM20,AP20,AS20,AV20,AY20,BB20,BE20,BH20,BK20,BQ20,BT20,BW20,BZ20,CC20,CF20,CI20,CL20,CO20,CR20,CU20,CX20,DA20,DD20,DG20,DJ20,DM20,DP20,DS20,DV20,DY20,EB20,EE20,EH20,EK20,EN20,EQ20),
AVERAGE(_xlfn._xlws.FILTER(_xlpm.datos,(_xlpm.datos&lt;&gt;0)*(_xlpm.datos&lt;&gt;"")))
),0)</f>
        <v>0</v>
      </c>
      <c r="ES20" s="86" t="str">
        <f t="array" ref="ES20">_xlfn.IFS(ER20&gt;=91.5%,"MENSUAL",ER20&gt;=75%,"QUINCENAL",ER20&lt;75%,"SEMANAL")</f>
        <v>SEMANAL</v>
      </c>
    </row>
    <row r="21" ht="15.5" customHeight="1" spans="2:149" x14ac:dyDescent="0.25">
      <c r="B21" s="100" t="s">
        <v>96</v>
      </c>
      <c r="C21" s="101"/>
      <c r="D21" s="102"/>
      <c r="E21" s="103">
        <v>5</v>
      </c>
      <c r="F21" s="104">
        <f t="shared" si="96"/>
        <v>0</v>
      </c>
      <c r="G21" s="102"/>
      <c r="H21" s="103">
        <v>5</v>
      </c>
      <c r="I21" s="104">
        <f t="shared" si="97"/>
        <v>0</v>
      </c>
      <c r="J21" s="105"/>
      <c r="K21" s="103">
        <v>5</v>
      </c>
      <c r="L21" s="104">
        <f t="shared" si="98"/>
        <v>0</v>
      </c>
      <c r="M21" s="105"/>
      <c r="N21" s="103">
        <v>5</v>
      </c>
      <c r="O21" s="104">
        <f t="shared" si="99"/>
        <v>0</v>
      </c>
      <c r="P21" s="106"/>
      <c r="Q21" s="107">
        <v>5</v>
      </c>
      <c r="R21" s="104">
        <f t="shared" si="100"/>
        <v>0</v>
      </c>
      <c r="S21" s="102"/>
      <c r="T21" s="107">
        <v>5</v>
      </c>
      <c r="U21" s="104">
        <f t="shared" si="101"/>
        <v>0</v>
      </c>
      <c r="V21" s="102"/>
      <c r="W21" s="1">
        <v>5</v>
      </c>
      <c r="X21" s="104">
        <f t="shared" si="102"/>
        <v>0</v>
      </c>
      <c r="Y21" s="105"/>
      <c r="Z21" s="103">
        <v>5</v>
      </c>
      <c r="AA21" s="104">
        <f t="shared" si="103"/>
        <v>0</v>
      </c>
      <c r="AB21" s="102"/>
      <c r="AC21" s="103">
        <v>5</v>
      </c>
      <c r="AD21" s="104">
        <f t="shared" si="104"/>
        <v>0</v>
      </c>
      <c r="AE21" s="105"/>
      <c r="AF21" s="103">
        <v>5</v>
      </c>
      <c r="AG21" s="104">
        <f t="shared" si="105"/>
        <v>0</v>
      </c>
      <c r="AH21" s="105"/>
      <c r="AI21" s="103">
        <v>5</v>
      </c>
      <c r="AJ21" s="104">
        <f t="shared" si="106"/>
        <v>0</v>
      </c>
      <c r="AK21" s="105"/>
      <c r="AL21" s="103">
        <v>5</v>
      </c>
      <c r="AM21" s="104">
        <f t="shared" si="107"/>
        <v>0</v>
      </c>
      <c r="AN21" s="102"/>
      <c r="AO21" s="1">
        <v>5</v>
      </c>
      <c r="AP21" s="104">
        <f t="shared" si="108"/>
        <v>0</v>
      </c>
      <c r="AQ21" s="102"/>
      <c r="AR21" s="1">
        <v>5</v>
      </c>
      <c r="AS21" s="104">
        <f t="shared" si="109"/>
        <v>0</v>
      </c>
      <c r="AT21" s="102"/>
      <c r="AU21" s="1">
        <v>5</v>
      </c>
      <c r="AV21" s="104">
        <f t="shared" si="110"/>
        <v>0</v>
      </c>
      <c r="AW21" s="102"/>
      <c r="AX21" s="1">
        <v>5</v>
      </c>
      <c r="AY21" s="104">
        <f t="shared" si="111"/>
        <v>0</v>
      </c>
      <c r="AZ21" s="112"/>
      <c r="BA21" s="113">
        <v>5</v>
      </c>
      <c r="BB21" s="104">
        <f t="shared" si="112"/>
        <v>0</v>
      </c>
      <c r="BC21" s="112"/>
      <c r="BD21" s="113">
        <v>5</v>
      </c>
      <c r="BE21" s="104">
        <f t="shared" si="113"/>
        <v>0</v>
      </c>
      <c r="BF21" s="112"/>
      <c r="BG21" s="113">
        <v>5</v>
      </c>
      <c r="BH21" s="104">
        <f t="shared" si="114"/>
        <v>0</v>
      </c>
      <c r="BI21" s="102"/>
      <c r="BJ21" s="1">
        <v>5</v>
      </c>
      <c r="BK21" s="104">
        <f t="shared" si="115"/>
        <v>0</v>
      </c>
      <c r="BL21" s="102"/>
      <c r="BM21" s="1">
        <v>5</v>
      </c>
      <c r="BN21" s="104">
        <f t="shared" si="116"/>
        <v>0</v>
      </c>
      <c r="BO21" s="102"/>
      <c r="BP21" s="1">
        <v>5</v>
      </c>
      <c r="BQ21" s="104">
        <f t="shared" si="117"/>
        <v>0</v>
      </c>
      <c r="BR21" s="102"/>
      <c r="BS21" s="1">
        <v>5</v>
      </c>
      <c r="BT21" s="104">
        <f t="shared" si="118"/>
        <v>0</v>
      </c>
      <c r="BU21" s="102"/>
      <c r="BV21" s="1">
        <v>5</v>
      </c>
      <c r="BW21" s="104">
        <f t="shared" si="119"/>
        <v>0</v>
      </c>
      <c r="BX21" s="112"/>
      <c r="BY21" s="113">
        <v>5</v>
      </c>
      <c r="BZ21" s="104">
        <f t="shared" si="120"/>
        <v>0</v>
      </c>
      <c r="CA21" s="112"/>
      <c r="CB21" s="113">
        <v>5</v>
      </c>
      <c r="CC21" s="104">
        <f t="shared" si="121"/>
        <v>0</v>
      </c>
      <c r="CD21" s="112"/>
      <c r="CE21" s="113">
        <v>5</v>
      </c>
      <c r="CF21" s="104">
        <f t="shared" si="122"/>
        <v>0</v>
      </c>
      <c r="CG21" s="102"/>
      <c r="CH21" s="1">
        <v>5</v>
      </c>
      <c r="CI21" s="104">
        <f t="shared" si="123"/>
        <v>0</v>
      </c>
      <c r="CJ21" s="102"/>
      <c r="CK21" s="1">
        <v>5</v>
      </c>
      <c r="CL21" s="104">
        <f t="shared" si="124"/>
        <v>0</v>
      </c>
      <c r="CM21" s="102"/>
      <c r="CN21" s="1">
        <v>5</v>
      </c>
      <c r="CO21" s="104">
        <f t="shared" si="125"/>
        <v>0</v>
      </c>
      <c r="CP21" s="112"/>
      <c r="CQ21" s="113">
        <v>5</v>
      </c>
      <c r="CR21" s="104">
        <f t="shared" si="126"/>
        <v>0</v>
      </c>
      <c r="CS21" s="112"/>
      <c r="CT21" s="113">
        <v>5</v>
      </c>
      <c r="CU21" s="104">
        <f t="shared" si="127"/>
        <v>0</v>
      </c>
      <c r="CV21" s="112"/>
      <c r="CW21" s="113">
        <v>5</v>
      </c>
      <c r="CX21" s="104">
        <f t="shared" si="128"/>
        <v>0</v>
      </c>
      <c r="CY21" s="102"/>
      <c r="CZ21" s="1">
        <v>5</v>
      </c>
      <c r="DA21" s="104">
        <f t="shared" si="129"/>
        <v>0</v>
      </c>
      <c r="DB21" s="112"/>
      <c r="DC21" s="113">
        <v>5</v>
      </c>
      <c r="DD21" s="104">
        <f t="shared" si="130"/>
        <v>0</v>
      </c>
      <c r="DE21" s="112"/>
      <c r="DF21" s="113">
        <v>5</v>
      </c>
      <c r="DG21" s="104">
        <f t="shared" si="131"/>
        <v>0</v>
      </c>
      <c r="DH21" s="112"/>
      <c r="DI21" s="113">
        <v>5</v>
      </c>
      <c r="DJ21" s="104">
        <f t="shared" si="132"/>
        <v>0</v>
      </c>
      <c r="DK21" s="112"/>
      <c r="DL21" s="113">
        <v>5</v>
      </c>
      <c r="DM21" s="104">
        <f t="shared" si="133"/>
        <v>0</v>
      </c>
      <c r="DN21" s="112"/>
      <c r="DO21" s="113">
        <v>5</v>
      </c>
      <c r="DP21" s="104">
        <f t="shared" si="134"/>
        <v>0</v>
      </c>
      <c r="DQ21" s="102"/>
      <c r="DR21" s="1">
        <v>5</v>
      </c>
      <c r="DS21" s="104">
        <f t="shared" si="135"/>
        <v>0</v>
      </c>
      <c r="DT21" s="102"/>
      <c r="DU21" s="1">
        <v>5</v>
      </c>
      <c r="DV21" s="104">
        <f t="shared" si="136"/>
        <v>0</v>
      </c>
      <c r="DW21" s="102"/>
      <c r="DX21" s="1">
        <v>5</v>
      </c>
      <c r="DY21" s="104">
        <f t="shared" si="137"/>
        <v>0</v>
      </c>
      <c r="DZ21" s="112"/>
      <c r="EA21" s="113">
        <v>5</v>
      </c>
      <c r="EB21" s="104">
        <f t="shared" si="138"/>
        <v>0</v>
      </c>
      <c r="EC21" s="112"/>
      <c r="ED21" s="113">
        <v>5</v>
      </c>
      <c r="EE21" s="104">
        <f t="shared" si="139"/>
        <v>0</v>
      </c>
      <c r="EF21" s="112"/>
      <c r="EG21" s="113">
        <v>5</v>
      </c>
      <c r="EH21" s="104">
        <f t="shared" si="140"/>
        <v>0</v>
      </c>
      <c r="EI21" s="102"/>
      <c r="EJ21" s="1">
        <v>5</v>
      </c>
      <c r="EK21" s="104">
        <f t="shared" si="141"/>
        <v>0</v>
      </c>
      <c r="EL21" s="112"/>
      <c r="EM21" s="113">
        <v>5</v>
      </c>
      <c r="EN21" s="104">
        <f t="shared" si="142"/>
        <v>0</v>
      </c>
      <c r="EO21" s="112"/>
      <c r="EP21" s="113">
        <v>5</v>
      </c>
      <c r="EQ21" s="108">
        <f t="shared" si="143"/>
        <v>0</v>
      </c>
      <c r="ER21" s="85">
        <f t="array" ref="ER21">IFERROR(_xlfn.LET(
_xlpm.datos,CHOOSE({1;2;3;4;5;6;7;8;9;10;11;12;13;13;14;15;16;17;18;19;20;21;22;23;23;24;25;26;27;28;29;30;31;32;33;34;35;36;37;38;39;40;41;42;43;44;45;46;47},F21,I21,L21,O21,R21,U21,X21,AA21,AD21,AG21,AJ21,AM21,AP21,AS21,AV21,AY21,BB21,BE21,BH21,BK21,BQ21,BT21,BW21,BZ21,CC21,CF21,CI21,CL21,CO21,CR21,CU21,CX21,DA21,DD21,DG21,DJ21,DM21,DP21,DS21,DV21,DY21,EB21,EE21,EH21,EK21,EN21,EQ21),
AVERAGE(_xlfn._xlws.FILTER(_xlpm.datos,(_xlpm.datos&lt;&gt;0)*(_xlpm.datos&lt;&gt;"")))
),0)</f>
        <v>0</v>
      </c>
      <c r="ES21" s="86" t="str">
        <f t="array" ref="ES21">_xlfn.IFS(ER21&gt;=91.5%,"MENSUAL",ER21&gt;=75%,"QUINCENAL",ER21&lt;75%,"SEMANAL")</f>
        <v>SEMANAL</v>
      </c>
    </row>
    <row r="22" ht="21.5" customHeight="1" spans="2:149" x14ac:dyDescent="0.25">
      <c r="B22" s="100" t="s">
        <v>97</v>
      </c>
      <c r="C22" s="101"/>
      <c r="D22" s="102"/>
      <c r="E22" s="103">
        <v>5</v>
      </c>
      <c r="F22" s="104">
        <f t="shared" si="96"/>
        <v>0</v>
      </c>
      <c r="G22" s="102"/>
      <c r="H22" s="103">
        <v>5</v>
      </c>
      <c r="I22" s="104">
        <f t="shared" si="97"/>
        <v>0</v>
      </c>
      <c r="J22" s="105"/>
      <c r="K22" s="103">
        <v>5</v>
      </c>
      <c r="L22" s="104">
        <f t="shared" si="98"/>
        <v>0</v>
      </c>
      <c r="M22" s="105"/>
      <c r="N22" s="103">
        <v>5</v>
      </c>
      <c r="O22" s="104">
        <f t="shared" si="99"/>
        <v>0</v>
      </c>
      <c r="P22" s="106"/>
      <c r="Q22" s="107">
        <v>5</v>
      </c>
      <c r="R22" s="104">
        <f t="shared" si="100"/>
        <v>0</v>
      </c>
      <c r="S22" s="102"/>
      <c r="T22" s="107">
        <v>5</v>
      </c>
      <c r="U22" s="104">
        <f t="shared" si="101"/>
        <v>0</v>
      </c>
      <c r="V22" s="102"/>
      <c r="W22" s="107">
        <v>5</v>
      </c>
      <c r="X22" s="104">
        <f t="shared" si="102"/>
        <v>0</v>
      </c>
      <c r="Y22" s="102"/>
      <c r="Z22" s="107">
        <v>5</v>
      </c>
      <c r="AA22" s="104">
        <f t="shared" si="103"/>
        <v>0</v>
      </c>
      <c r="AB22" s="106"/>
      <c r="AC22" s="107">
        <v>5</v>
      </c>
      <c r="AD22" s="104">
        <f t="shared" si="104"/>
        <v>0</v>
      </c>
      <c r="AE22" s="106"/>
      <c r="AF22" s="107">
        <v>5</v>
      </c>
      <c r="AG22" s="104">
        <f t="shared" si="105"/>
        <v>0</v>
      </c>
      <c r="AH22" s="106"/>
      <c r="AI22" s="107">
        <v>5</v>
      </c>
      <c r="AJ22" s="104">
        <f t="shared" si="106"/>
        <v>0</v>
      </c>
      <c r="AK22" s="106"/>
      <c r="AL22" s="107">
        <v>5</v>
      </c>
      <c r="AM22" s="104">
        <f t="shared" si="107"/>
        <v>0</v>
      </c>
      <c r="AN22" s="102"/>
      <c r="AO22" s="1">
        <v>5</v>
      </c>
      <c r="AP22" s="104">
        <f t="shared" si="108"/>
        <v>0</v>
      </c>
      <c r="AQ22" s="102"/>
      <c r="AR22" s="1">
        <v>5</v>
      </c>
      <c r="AS22" s="104">
        <f t="shared" si="109"/>
        <v>0</v>
      </c>
      <c r="AT22" s="102"/>
      <c r="AU22" s="1">
        <v>5</v>
      </c>
      <c r="AV22" s="104">
        <f t="shared" si="110"/>
        <v>0</v>
      </c>
      <c r="AW22" s="102"/>
      <c r="AX22" s="1">
        <v>5</v>
      </c>
      <c r="AY22" s="104">
        <f t="shared" si="111"/>
        <v>0</v>
      </c>
      <c r="AZ22" s="102"/>
      <c r="BA22" s="1">
        <v>5</v>
      </c>
      <c r="BB22" s="104">
        <f t="shared" si="112"/>
        <v>0</v>
      </c>
      <c r="BC22" s="102"/>
      <c r="BD22" s="1">
        <v>5</v>
      </c>
      <c r="BE22" s="104">
        <f t="shared" si="113"/>
        <v>0</v>
      </c>
      <c r="BF22" s="102"/>
      <c r="BG22" s="1">
        <v>5</v>
      </c>
      <c r="BH22" s="104">
        <f t="shared" si="114"/>
        <v>0</v>
      </c>
      <c r="BI22" s="102"/>
      <c r="BJ22" s="1">
        <v>5</v>
      </c>
      <c r="BK22" s="104">
        <f t="shared" si="115"/>
        <v>0</v>
      </c>
      <c r="BL22" s="102"/>
      <c r="BM22" s="1">
        <v>5</v>
      </c>
      <c r="BN22" s="104">
        <f t="shared" si="116"/>
        <v>0</v>
      </c>
      <c r="BO22" s="102"/>
      <c r="BP22" s="1">
        <v>5</v>
      </c>
      <c r="BQ22" s="104">
        <f t="shared" si="117"/>
        <v>0</v>
      </c>
      <c r="BR22" s="102"/>
      <c r="BS22" s="1">
        <v>5</v>
      </c>
      <c r="BT22" s="104">
        <f t="shared" si="118"/>
        <v>0</v>
      </c>
      <c r="BU22" s="102"/>
      <c r="BV22" s="1">
        <v>5</v>
      </c>
      <c r="BW22" s="104">
        <f t="shared" si="119"/>
        <v>0</v>
      </c>
      <c r="BX22" s="102"/>
      <c r="BY22" s="1">
        <v>5</v>
      </c>
      <c r="BZ22" s="104">
        <f t="shared" si="120"/>
        <v>0</v>
      </c>
      <c r="CA22" s="102"/>
      <c r="CB22" s="1">
        <v>5</v>
      </c>
      <c r="CC22" s="104">
        <f t="shared" si="121"/>
        <v>0</v>
      </c>
      <c r="CD22" s="102"/>
      <c r="CE22" s="1">
        <v>5</v>
      </c>
      <c r="CF22" s="104">
        <f t="shared" si="122"/>
        <v>0</v>
      </c>
      <c r="CG22" s="102"/>
      <c r="CH22" s="1">
        <v>5</v>
      </c>
      <c r="CI22" s="104">
        <f t="shared" si="123"/>
        <v>0</v>
      </c>
      <c r="CJ22" s="102"/>
      <c r="CK22" s="1">
        <v>5</v>
      </c>
      <c r="CL22" s="104">
        <f t="shared" si="124"/>
        <v>0</v>
      </c>
      <c r="CM22" s="102"/>
      <c r="CN22" s="1">
        <v>5</v>
      </c>
      <c r="CO22" s="104">
        <f t="shared" si="125"/>
        <v>0</v>
      </c>
      <c r="CP22" s="102"/>
      <c r="CQ22" s="1">
        <v>5</v>
      </c>
      <c r="CR22" s="104">
        <f t="shared" si="126"/>
        <v>0</v>
      </c>
      <c r="CS22" s="102"/>
      <c r="CT22" s="1">
        <v>5</v>
      </c>
      <c r="CU22" s="104">
        <f t="shared" si="127"/>
        <v>0</v>
      </c>
      <c r="CV22" s="102"/>
      <c r="CW22" s="1">
        <v>5</v>
      </c>
      <c r="CX22" s="104">
        <f t="shared" si="128"/>
        <v>0</v>
      </c>
      <c r="CY22" s="102"/>
      <c r="CZ22" s="1">
        <v>5</v>
      </c>
      <c r="DA22" s="104">
        <f t="shared" si="129"/>
        <v>0</v>
      </c>
      <c r="DB22" s="102"/>
      <c r="DC22" s="1">
        <v>5</v>
      </c>
      <c r="DD22" s="104">
        <f t="shared" si="130"/>
        <v>0</v>
      </c>
      <c r="DE22" s="102"/>
      <c r="DF22" s="1">
        <v>5</v>
      </c>
      <c r="DG22" s="104">
        <f t="shared" si="131"/>
        <v>0</v>
      </c>
      <c r="DH22" s="102"/>
      <c r="DI22" s="1">
        <v>5</v>
      </c>
      <c r="DJ22" s="104">
        <f t="shared" si="132"/>
        <v>0</v>
      </c>
      <c r="DK22" s="102"/>
      <c r="DL22" s="1">
        <v>5</v>
      </c>
      <c r="DM22" s="104">
        <f t="shared" si="133"/>
        <v>0</v>
      </c>
      <c r="DN22" s="102"/>
      <c r="DO22" s="1">
        <v>5</v>
      </c>
      <c r="DP22" s="104">
        <f t="shared" si="134"/>
        <v>0</v>
      </c>
      <c r="DQ22" s="102"/>
      <c r="DR22" s="1">
        <v>5</v>
      </c>
      <c r="DS22" s="104">
        <f t="shared" si="135"/>
        <v>0</v>
      </c>
      <c r="DT22" s="102"/>
      <c r="DU22" s="1">
        <v>5</v>
      </c>
      <c r="DV22" s="104">
        <f t="shared" si="136"/>
        <v>0</v>
      </c>
      <c r="DW22" s="102"/>
      <c r="DX22" s="1">
        <v>5</v>
      </c>
      <c r="DY22" s="104">
        <f t="shared" si="137"/>
        <v>0</v>
      </c>
      <c r="DZ22" s="102"/>
      <c r="EA22" s="1">
        <v>5</v>
      </c>
      <c r="EB22" s="104">
        <f t="shared" si="138"/>
        <v>0</v>
      </c>
      <c r="EC22" s="102"/>
      <c r="ED22" s="1">
        <v>5</v>
      </c>
      <c r="EE22" s="104">
        <f t="shared" si="139"/>
        <v>0</v>
      </c>
      <c r="EF22" s="102"/>
      <c r="EG22" s="1">
        <v>5</v>
      </c>
      <c r="EH22" s="104">
        <f t="shared" si="140"/>
        <v>0</v>
      </c>
      <c r="EI22" s="102"/>
      <c r="EJ22" s="1">
        <v>5</v>
      </c>
      <c r="EK22" s="104">
        <f t="shared" si="141"/>
        <v>0</v>
      </c>
      <c r="EL22" s="102"/>
      <c r="EM22" s="1">
        <v>5</v>
      </c>
      <c r="EN22" s="104">
        <f t="shared" si="142"/>
        <v>0</v>
      </c>
      <c r="EO22" s="102"/>
      <c r="EP22" s="1">
        <v>5</v>
      </c>
      <c r="EQ22" s="108">
        <f t="shared" si="143"/>
        <v>0</v>
      </c>
      <c r="ER22" s="85">
        <f t="array" ref="ER22">IFERROR(_xlfn.LET(
_xlpm.datos,CHOOSE({1;2;3;4;5;6;7;8;9;10;11;12;13;13;14;15;16;17;18;19;20;21;22;23;23;24;25;26;27;28;29;30;31;32;33;34;35;36;37;38;39;40;41;42;43;44;45;46;47},F22,I22,L22,O22,R22,U22,X22,AA22,AD22,AG22,AJ22,AM22,AP22,AS22,AV22,AY22,BB22,BE22,BH22,BK22,BQ22,BT22,BW22,BZ22,CC22,CF22,CI22,CL22,CO22,CR22,CU22,CX22,DA22,DD22,DG22,DJ22,DM22,DP22,DS22,DV22,DY22,EB22,EE22,EH22,EK22,EN22,EQ22),
AVERAGE(_xlfn._xlws.FILTER(_xlpm.datos,(_xlpm.datos&lt;&gt;0)*(_xlpm.datos&lt;&gt;"")))
),0)</f>
        <v>0</v>
      </c>
      <c r="ES22" s="86" t="str">
        <f t="array" ref="ES22">_xlfn.IFS(ER22&gt;=91.5%,"MENSUAL",ER22&gt;=75%,"QUINCENAL",ER22&lt;75%,"SEMANAL")</f>
        <v>SEMANAL</v>
      </c>
    </row>
    <row r="23" ht="15.5" customHeight="1" spans="2:149" x14ac:dyDescent="0.25">
      <c r="B23" s="100" t="s">
        <v>98</v>
      </c>
      <c r="C23" s="101"/>
      <c r="D23" s="116"/>
      <c r="E23" s="117">
        <v>5</v>
      </c>
      <c r="F23" s="118">
        <f t="shared" si="96"/>
        <v>0</v>
      </c>
      <c r="G23" s="116"/>
      <c r="H23" s="117">
        <v>5</v>
      </c>
      <c r="I23" s="118">
        <f t="shared" si="97"/>
        <v>0</v>
      </c>
      <c r="J23" s="119"/>
      <c r="K23" s="117">
        <v>5</v>
      </c>
      <c r="L23" s="118">
        <f t="shared" si="98"/>
        <v>0</v>
      </c>
      <c r="M23" s="119"/>
      <c r="N23" s="117">
        <v>5</v>
      </c>
      <c r="O23" s="118">
        <f t="shared" si="99"/>
        <v>0</v>
      </c>
      <c r="P23" s="120"/>
      <c r="Q23" s="121">
        <v>5</v>
      </c>
      <c r="R23" s="118">
        <f t="shared" si="100"/>
        <v>0</v>
      </c>
      <c r="S23" s="116"/>
      <c r="T23" s="121">
        <v>5</v>
      </c>
      <c r="U23" s="118">
        <f t="shared" si="101"/>
        <v>0</v>
      </c>
      <c r="V23" s="116"/>
      <c r="W23" s="121">
        <v>5</v>
      </c>
      <c r="X23" s="118">
        <f t="shared" si="102"/>
        <v>0</v>
      </c>
      <c r="Y23" s="116"/>
      <c r="Z23" s="121">
        <v>5</v>
      </c>
      <c r="AA23" s="118">
        <f t="shared" si="103"/>
        <v>0</v>
      </c>
      <c r="AB23" s="120"/>
      <c r="AC23" s="121">
        <v>5</v>
      </c>
      <c r="AD23" s="118">
        <f t="shared" si="104"/>
        <v>0</v>
      </c>
      <c r="AE23" s="120"/>
      <c r="AF23" s="121">
        <v>5</v>
      </c>
      <c r="AG23" s="118">
        <f t="shared" si="105"/>
        <v>0</v>
      </c>
      <c r="AH23" s="120"/>
      <c r="AI23" s="121">
        <v>5</v>
      </c>
      <c r="AJ23" s="118">
        <f t="shared" si="106"/>
        <v>0</v>
      </c>
      <c r="AK23" s="120"/>
      <c r="AL23" s="121">
        <v>5</v>
      </c>
      <c r="AM23" s="118">
        <f t="shared" si="107"/>
        <v>0</v>
      </c>
      <c r="AN23" s="116"/>
      <c r="AO23" s="122">
        <v>5</v>
      </c>
      <c r="AP23" s="118">
        <f t="shared" si="108"/>
        <v>0</v>
      </c>
      <c r="AQ23" s="116"/>
      <c r="AR23" s="122">
        <v>5</v>
      </c>
      <c r="AS23" s="118">
        <f t="shared" si="109"/>
        <v>0</v>
      </c>
      <c r="AT23" s="116"/>
      <c r="AU23" s="122">
        <v>5</v>
      </c>
      <c r="AV23" s="118">
        <f t="shared" si="110"/>
        <v>0</v>
      </c>
      <c r="AW23" s="116"/>
      <c r="AX23" s="122">
        <v>5</v>
      </c>
      <c r="AY23" s="118">
        <f t="shared" si="111"/>
        <v>0</v>
      </c>
      <c r="AZ23" s="116"/>
      <c r="BA23" s="122">
        <v>5</v>
      </c>
      <c r="BB23" s="118">
        <f t="shared" si="112"/>
        <v>0</v>
      </c>
      <c r="BC23" s="116"/>
      <c r="BD23" s="122">
        <v>5</v>
      </c>
      <c r="BE23" s="118">
        <f t="shared" si="113"/>
        <v>0</v>
      </c>
      <c r="BF23" s="116"/>
      <c r="BG23" s="122">
        <v>5</v>
      </c>
      <c r="BH23" s="118">
        <f t="shared" si="114"/>
        <v>0</v>
      </c>
      <c r="BI23" s="116"/>
      <c r="BJ23" s="122">
        <v>5</v>
      </c>
      <c r="BK23" s="118">
        <f t="shared" si="115"/>
        <v>0</v>
      </c>
      <c r="BL23" s="116"/>
      <c r="BM23" s="122">
        <v>5</v>
      </c>
      <c r="BN23" s="118">
        <f t="shared" si="116"/>
        <v>0</v>
      </c>
      <c r="BO23" s="116"/>
      <c r="BP23" s="122">
        <v>5</v>
      </c>
      <c r="BQ23" s="118">
        <f t="shared" si="117"/>
        <v>0</v>
      </c>
      <c r="BR23" s="116"/>
      <c r="BS23" s="122">
        <v>5</v>
      </c>
      <c r="BT23" s="118">
        <f t="shared" si="118"/>
        <v>0</v>
      </c>
      <c r="BU23" s="116"/>
      <c r="BV23" s="122">
        <v>5</v>
      </c>
      <c r="BW23" s="118">
        <f t="shared" si="119"/>
        <v>0</v>
      </c>
      <c r="BX23" s="116"/>
      <c r="BY23" s="122">
        <v>5</v>
      </c>
      <c r="BZ23" s="118">
        <f t="shared" si="120"/>
        <v>0</v>
      </c>
      <c r="CA23" s="116"/>
      <c r="CB23" s="122">
        <v>5</v>
      </c>
      <c r="CC23" s="118">
        <f t="shared" si="121"/>
        <v>0</v>
      </c>
      <c r="CD23" s="116"/>
      <c r="CE23" s="122">
        <v>5</v>
      </c>
      <c r="CF23" s="118">
        <f t="shared" si="122"/>
        <v>0</v>
      </c>
      <c r="CG23" s="116"/>
      <c r="CH23" s="122">
        <v>5</v>
      </c>
      <c r="CI23" s="118">
        <f t="shared" si="123"/>
        <v>0</v>
      </c>
      <c r="CJ23" s="116"/>
      <c r="CK23" s="122">
        <v>5</v>
      </c>
      <c r="CL23" s="118">
        <f t="shared" si="124"/>
        <v>0</v>
      </c>
      <c r="CM23" s="116"/>
      <c r="CN23" s="122">
        <v>5</v>
      </c>
      <c r="CO23" s="118">
        <f t="shared" si="125"/>
        <v>0</v>
      </c>
      <c r="CP23" s="116"/>
      <c r="CQ23" s="122">
        <v>5</v>
      </c>
      <c r="CR23" s="118">
        <f t="shared" si="126"/>
        <v>0</v>
      </c>
      <c r="CS23" s="116"/>
      <c r="CT23" s="122">
        <v>5</v>
      </c>
      <c r="CU23" s="118">
        <f t="shared" si="127"/>
        <v>0</v>
      </c>
      <c r="CV23" s="116"/>
      <c r="CW23" s="122">
        <v>5</v>
      </c>
      <c r="CX23" s="118">
        <f t="shared" si="128"/>
        <v>0</v>
      </c>
      <c r="CY23" s="116"/>
      <c r="CZ23" s="122">
        <v>5</v>
      </c>
      <c r="DA23" s="118">
        <f t="shared" si="129"/>
        <v>0</v>
      </c>
      <c r="DB23" s="116"/>
      <c r="DC23" s="122">
        <v>5</v>
      </c>
      <c r="DD23" s="118">
        <f t="shared" si="130"/>
        <v>0</v>
      </c>
      <c r="DE23" s="116"/>
      <c r="DF23" s="122">
        <v>5</v>
      </c>
      <c r="DG23" s="118">
        <f t="shared" si="131"/>
        <v>0</v>
      </c>
      <c r="DH23" s="116"/>
      <c r="DI23" s="122">
        <v>5</v>
      </c>
      <c r="DJ23" s="118">
        <f t="shared" si="132"/>
        <v>0</v>
      </c>
      <c r="DK23" s="116"/>
      <c r="DL23" s="122">
        <v>5</v>
      </c>
      <c r="DM23" s="118">
        <f t="shared" si="133"/>
        <v>0</v>
      </c>
      <c r="DN23" s="116"/>
      <c r="DO23" s="122">
        <v>5</v>
      </c>
      <c r="DP23" s="118">
        <f t="shared" si="134"/>
        <v>0</v>
      </c>
      <c r="DQ23" s="116"/>
      <c r="DR23" s="122">
        <v>5</v>
      </c>
      <c r="DS23" s="118">
        <f t="shared" si="135"/>
        <v>0</v>
      </c>
      <c r="DT23" s="116"/>
      <c r="DU23" s="122">
        <v>5</v>
      </c>
      <c r="DV23" s="118">
        <f t="shared" si="136"/>
        <v>0</v>
      </c>
      <c r="DW23" s="116"/>
      <c r="DX23" s="122">
        <v>5</v>
      </c>
      <c r="DY23" s="118">
        <f t="shared" si="137"/>
        <v>0</v>
      </c>
      <c r="DZ23" s="116"/>
      <c r="EA23" s="122">
        <v>5</v>
      </c>
      <c r="EB23" s="118">
        <f t="shared" si="138"/>
        <v>0</v>
      </c>
      <c r="EC23" s="116"/>
      <c r="ED23" s="122">
        <v>5</v>
      </c>
      <c r="EE23" s="118">
        <f t="shared" si="139"/>
        <v>0</v>
      </c>
      <c r="EF23" s="116"/>
      <c r="EG23" s="122">
        <v>5</v>
      </c>
      <c r="EH23" s="118">
        <f t="shared" si="140"/>
        <v>0</v>
      </c>
      <c r="EI23" s="116"/>
      <c r="EJ23" s="122">
        <v>5</v>
      </c>
      <c r="EK23" s="118">
        <f t="shared" si="141"/>
        <v>0</v>
      </c>
      <c r="EL23" s="116"/>
      <c r="EM23" s="122">
        <v>5</v>
      </c>
      <c r="EN23" s="118">
        <f t="shared" si="142"/>
        <v>0</v>
      </c>
      <c r="EO23" s="116"/>
      <c r="EP23" s="122">
        <v>5</v>
      </c>
      <c r="EQ23" s="123">
        <f t="shared" si="143"/>
        <v>0</v>
      </c>
      <c r="ER23" s="85">
        <f t="array" ref="ER23">IFERROR(_xlfn.LET(
_xlpm.datos,CHOOSE({1;2;3;4;5;6;7;8;9;10;11;12;13;13;14;15;16;17;18;19;20;21;22;23;23;24;25;26;27;28;29;30;31;32;33;34;35;36;37;38;39;40;41;42;43;44;45;46;47},F23,I23,L23,O23,R23,U23,X23,AA23,AD23,AG23,AJ23,AM23,AP23,AS23,AV23,AY23,BB23,BE23,BH23,BK23,BQ23,BT23,BW23,BZ23,CC23,CF23,CI23,CL23,CO23,CR23,CU23,CX23,DA23,DD23,DG23,DJ23,DM23,DP23,DS23,DV23,DY23,EB23,EE23,EH23,EK23,EN23,EQ23),
AVERAGE(_xlfn._xlws.FILTER(_xlpm.datos,(_xlpm.datos&lt;&gt;0)*(_xlpm.datos&lt;&gt;"")))
),0)</f>
        <v>0</v>
      </c>
      <c r="ES23" s="86" t="str">
        <f t="array" ref="ES23">_xlfn.IFS(ER23&gt;=91.5%,"MENSUAL",ER23&gt;=75%,"QUINCENAL",ER23&lt;75%,"SEMANAL")</f>
        <v>SEMANAL</v>
      </c>
    </row>
    <row r="24" ht="15.5" customHeight="1" spans="2:149" x14ac:dyDescent="0.25">
      <c r="B24" s="100" t="s">
        <v>99</v>
      </c>
      <c r="C24" s="101"/>
      <c r="D24" s="90"/>
      <c r="E24" s="91">
        <v>5</v>
      </c>
      <c r="F24" s="92">
        <f>D24/E24</f>
        <v>0</v>
      </c>
      <c r="G24" s="90"/>
      <c r="H24" s="91">
        <v>5</v>
      </c>
      <c r="I24" s="92">
        <f>G24/H24</f>
        <v>0</v>
      </c>
      <c r="J24" s="93"/>
      <c r="K24" s="91">
        <v>5</v>
      </c>
      <c r="L24" s="92">
        <f>J24/K24</f>
        <v>0</v>
      </c>
      <c r="M24" s="93"/>
      <c r="N24" s="91">
        <v>5</v>
      </c>
      <c r="O24" s="92">
        <f>M24/N24</f>
        <v>0</v>
      </c>
      <c r="P24" s="94"/>
      <c r="Q24" s="95">
        <v>5</v>
      </c>
      <c r="R24" s="92">
        <f>P24/Q24</f>
        <v>0</v>
      </c>
      <c r="S24" s="90"/>
      <c r="T24" s="95">
        <v>5</v>
      </c>
      <c r="U24" s="92">
        <f>S24/T24</f>
        <v>0</v>
      </c>
      <c r="V24" s="90"/>
      <c r="W24" s="95">
        <v>5</v>
      </c>
      <c r="X24" s="92">
        <f>V24/W24</f>
        <v>0</v>
      </c>
      <c r="Y24" s="90"/>
      <c r="Z24" s="95">
        <v>5</v>
      </c>
      <c r="AA24" s="92">
        <f>Y24/Z24</f>
        <v>0</v>
      </c>
      <c r="AB24" s="94"/>
      <c r="AC24" s="95">
        <v>5</v>
      </c>
      <c r="AD24" s="92">
        <f>AB24/AC24</f>
        <v>0</v>
      </c>
      <c r="AE24" s="94"/>
      <c r="AF24" s="95">
        <v>5</v>
      </c>
      <c r="AG24" s="92">
        <f>AE24/AF24</f>
        <v>0</v>
      </c>
      <c r="AH24" s="94"/>
      <c r="AI24" s="95">
        <v>5</v>
      </c>
      <c r="AJ24" s="92">
        <f>AH24/AI24</f>
        <v>0</v>
      </c>
      <c r="AK24" s="94"/>
      <c r="AL24" s="95">
        <v>5</v>
      </c>
      <c r="AM24" s="92">
        <f>AK24/AL24</f>
        <v>0</v>
      </c>
      <c r="AN24" s="90"/>
      <c r="AO24" s="96">
        <v>5</v>
      </c>
      <c r="AP24" s="92">
        <f>AN24/AO24</f>
        <v>0</v>
      </c>
      <c r="AQ24" s="90"/>
      <c r="AR24" s="96">
        <v>5</v>
      </c>
      <c r="AS24" s="92">
        <f>AQ24/AR24</f>
        <v>0</v>
      </c>
      <c r="AT24" s="90"/>
      <c r="AU24" s="96">
        <v>5</v>
      </c>
      <c r="AV24" s="92">
        <f>AT24/AU24</f>
        <v>0</v>
      </c>
      <c r="AW24" s="90"/>
      <c r="AX24" s="96">
        <v>5</v>
      </c>
      <c r="AY24" s="92">
        <f>AW24/AX24</f>
        <v>0</v>
      </c>
      <c r="AZ24" s="90"/>
      <c r="BA24" s="96">
        <v>5</v>
      </c>
      <c r="BB24" s="92">
        <f>AZ24/BA24</f>
        <v>0</v>
      </c>
      <c r="BC24" s="90"/>
      <c r="BD24" s="96">
        <v>5</v>
      </c>
      <c r="BE24" s="92">
        <f>BC24/BD24</f>
        <v>0</v>
      </c>
      <c r="BF24" s="90"/>
      <c r="BG24" s="96">
        <v>5</v>
      </c>
      <c r="BH24" s="92">
        <f>BF24/BG24</f>
        <v>0</v>
      </c>
      <c r="BI24" s="90"/>
      <c r="BJ24" s="96">
        <v>5</v>
      </c>
      <c r="BK24" s="92">
        <f>BI24/BJ24</f>
        <v>0</v>
      </c>
      <c r="BL24" s="90"/>
      <c r="BM24" s="96">
        <v>5</v>
      </c>
      <c r="BN24" s="92">
        <f>BL24/BM24</f>
        <v>0</v>
      </c>
      <c r="BO24" s="90"/>
      <c r="BP24" s="96">
        <v>5</v>
      </c>
      <c r="BQ24" s="92">
        <f>BO24/BP24</f>
        <v>0</v>
      </c>
      <c r="BR24" s="90"/>
      <c r="BS24" s="96">
        <v>5</v>
      </c>
      <c r="BT24" s="92">
        <f>BR24/BS24</f>
        <v>0</v>
      </c>
      <c r="BU24" s="90"/>
      <c r="BV24" s="96">
        <v>5</v>
      </c>
      <c r="BW24" s="92">
        <f>BU24/BV24</f>
        <v>0</v>
      </c>
      <c r="BX24" s="90"/>
      <c r="BY24" s="96">
        <v>5</v>
      </c>
      <c r="BZ24" s="92">
        <f>BX24/BY24</f>
        <v>0</v>
      </c>
      <c r="CA24" s="90"/>
      <c r="CB24" s="96">
        <v>5</v>
      </c>
      <c r="CC24" s="92">
        <f>CA24/CB24</f>
        <v>0</v>
      </c>
      <c r="CD24" s="90"/>
      <c r="CE24" s="96">
        <v>5</v>
      </c>
      <c r="CF24" s="92">
        <f>CD24/CE24</f>
        <v>0</v>
      </c>
      <c r="CG24" s="90"/>
      <c r="CH24" s="96">
        <v>5</v>
      </c>
      <c r="CI24" s="92">
        <f>CG24/CH24</f>
        <v>0</v>
      </c>
      <c r="CJ24" s="90"/>
      <c r="CK24" s="96">
        <v>5</v>
      </c>
      <c r="CL24" s="92">
        <f>CJ24/CK24</f>
        <v>0</v>
      </c>
      <c r="CM24" s="90"/>
      <c r="CN24" s="96">
        <v>5</v>
      </c>
      <c r="CO24" s="92">
        <f>CM24/CN24</f>
        <v>0</v>
      </c>
      <c r="CP24" s="90"/>
      <c r="CQ24" s="96">
        <v>5</v>
      </c>
      <c r="CR24" s="92">
        <f>CP24/CQ24</f>
        <v>0</v>
      </c>
      <c r="CS24" s="90"/>
      <c r="CT24" s="96">
        <v>5</v>
      </c>
      <c r="CU24" s="92">
        <f>CS24/CT24</f>
        <v>0</v>
      </c>
      <c r="CV24" s="90"/>
      <c r="CW24" s="96">
        <v>5</v>
      </c>
      <c r="CX24" s="92">
        <f>CV24/CW24</f>
        <v>0</v>
      </c>
      <c r="CY24" s="90"/>
      <c r="CZ24" s="96">
        <v>5</v>
      </c>
      <c r="DA24" s="92">
        <f>CY24/CZ24</f>
        <v>0</v>
      </c>
      <c r="DB24" s="90"/>
      <c r="DC24" s="96">
        <v>5</v>
      </c>
      <c r="DD24" s="92">
        <f>DB24/DC24</f>
        <v>0</v>
      </c>
      <c r="DE24" s="90"/>
      <c r="DF24" s="96">
        <v>5</v>
      </c>
      <c r="DG24" s="92">
        <f>DE24/DF24</f>
        <v>0</v>
      </c>
      <c r="DH24" s="90"/>
      <c r="DI24" s="96">
        <v>5</v>
      </c>
      <c r="DJ24" s="92">
        <f>DH24/DI24</f>
        <v>0</v>
      </c>
      <c r="DK24" s="90"/>
      <c r="DL24" s="96">
        <v>5</v>
      </c>
      <c r="DM24" s="92">
        <f>DK24/DL24</f>
        <v>0</v>
      </c>
      <c r="DN24" s="90"/>
      <c r="DO24" s="96">
        <v>5</v>
      </c>
      <c r="DP24" s="92">
        <f>DN24/DO24</f>
        <v>0</v>
      </c>
      <c r="DQ24" s="90"/>
      <c r="DR24" s="96">
        <v>5</v>
      </c>
      <c r="DS24" s="92">
        <f>DQ24/DR24</f>
        <v>0</v>
      </c>
      <c r="DT24" s="90"/>
      <c r="DU24" s="96">
        <v>5</v>
      </c>
      <c r="DV24" s="92">
        <f>DT24/DU24</f>
        <v>0</v>
      </c>
      <c r="DW24" s="90"/>
      <c r="DX24" s="96">
        <v>5</v>
      </c>
      <c r="DY24" s="92">
        <f>DW24/DX24</f>
        <v>0</v>
      </c>
      <c r="DZ24" s="90"/>
      <c r="EA24" s="96">
        <v>5</v>
      </c>
      <c r="EB24" s="92">
        <f>DZ24/EA24</f>
        <v>0</v>
      </c>
      <c r="EC24" s="90"/>
      <c r="ED24" s="96">
        <v>5</v>
      </c>
      <c r="EE24" s="92">
        <f>EC24/ED24</f>
        <v>0</v>
      </c>
      <c r="EF24" s="90"/>
      <c r="EG24" s="96">
        <v>5</v>
      </c>
      <c r="EH24" s="92">
        <f>EF24/EG24</f>
        <v>0</v>
      </c>
      <c r="EI24" s="90"/>
      <c r="EJ24" s="96">
        <v>5</v>
      </c>
      <c r="EK24" s="92">
        <f>EI24/EJ24</f>
        <v>0</v>
      </c>
      <c r="EL24" s="90"/>
      <c r="EM24" s="96">
        <v>5</v>
      </c>
      <c r="EN24" s="92">
        <f>EL24/EM24</f>
        <v>0</v>
      </c>
      <c r="EO24" s="90"/>
      <c r="EP24" s="96">
        <v>5</v>
      </c>
      <c r="EQ24" s="97">
        <f>EO24/EP24</f>
        <v>0</v>
      </c>
      <c r="ER24" s="85">
        <f t="array" ref="ER24">IFERROR(_xlfn.LET(
_xlpm.datos,CHOOSE({1;2;3;4;5;6;7;8;9;10;11;12;13;13;14;15;16;17;18;19;20;21;22;23;23;24;25;26;27;28;29;30;31;32;33;34;35;36;37;38;39;40;41;42;43;44;45;46;47},F24,I24,L24,O24,R24,U24,X24,AA24,AD24,AG24,AJ24,AM24,AP24,AS24,AV24,AY24,BB24,BE24,BH24,BK24,BQ24,BT24,BW24,BZ24,CC24,CF24,CI24,CL24,CO24,CR24,CU24,CX24,DA24,DD24,DG24,DJ24,DM24,DP24,DS24,DV24,DY24,EB24,EE24,EH24,EK24,EN24,EQ24),
AVERAGE(_xlfn._xlws.FILTER(_xlpm.datos,(_xlpm.datos&lt;&gt;0)*(_xlpm.datos&lt;&gt;"")))
),0)</f>
        <v>0</v>
      </c>
      <c r="ES24" s="86" t="str">
        <f t="array" ref="ES24">_xlfn.IFS(ER24&gt;=91.5%,"MENSUAL",ER24&gt;=75%,"QUINCENAL",ER24&lt;75%,"SEMANAL")</f>
        <v>SEMANAL</v>
      </c>
    </row>
    <row r="25" ht="21.5" customHeight="1" spans="2:149" x14ac:dyDescent="0.25">
      <c r="B25" s="100" t="s">
        <v>100</v>
      </c>
      <c r="C25" s="101"/>
      <c r="D25" s="102"/>
      <c r="E25" s="103">
        <v>5</v>
      </c>
      <c r="F25" s="104">
        <f t="shared" ref="F25:F28" si="144">D25/E25</f>
        <v>0</v>
      </c>
      <c r="G25" s="102"/>
      <c r="H25" s="103">
        <v>5</v>
      </c>
      <c r="I25" s="104">
        <f t="shared" ref="I25:I28" si="145">G25/H25</f>
        <v>0</v>
      </c>
      <c r="J25" s="105"/>
      <c r="K25" s="103">
        <v>5</v>
      </c>
      <c r="L25" s="104">
        <f t="shared" ref="L25:L28" si="146">J25/K25</f>
        <v>0</v>
      </c>
      <c r="M25" s="105"/>
      <c r="N25" s="103">
        <v>5</v>
      </c>
      <c r="O25" s="104">
        <f t="shared" ref="O25:O28" si="147">M25/N25</f>
        <v>0</v>
      </c>
      <c r="P25" s="106"/>
      <c r="Q25" s="107">
        <v>5</v>
      </c>
      <c r="R25" s="104">
        <f t="shared" ref="R25:R28" si="148">P25/Q25</f>
        <v>0</v>
      </c>
      <c r="S25" s="102"/>
      <c r="T25" s="107">
        <v>5</v>
      </c>
      <c r="U25" s="104">
        <f t="shared" ref="U25:U28" si="149">S25/T25</f>
        <v>0</v>
      </c>
      <c r="V25" s="102"/>
      <c r="W25" s="107">
        <v>5</v>
      </c>
      <c r="X25" s="104">
        <f t="shared" ref="X25:X28" si="150">V25/W25</f>
        <v>0</v>
      </c>
      <c r="Y25" s="102"/>
      <c r="Z25" s="107">
        <v>5</v>
      </c>
      <c r="AA25" s="104">
        <f t="shared" ref="AA25:AA28" si="151">Y25/Z25</f>
        <v>0</v>
      </c>
      <c r="AB25" s="106"/>
      <c r="AC25" s="107">
        <v>5</v>
      </c>
      <c r="AD25" s="104">
        <f t="shared" ref="AD25:AD28" si="152">AB25/AC25</f>
        <v>0</v>
      </c>
      <c r="AE25" s="106"/>
      <c r="AF25" s="107">
        <v>5</v>
      </c>
      <c r="AG25" s="104">
        <f t="shared" ref="AG25:AG28" si="153">AE25/AF25</f>
        <v>0</v>
      </c>
      <c r="AH25" s="106"/>
      <c r="AI25" s="107">
        <v>5</v>
      </c>
      <c r="AJ25" s="104">
        <f t="shared" ref="AJ25:AJ28" si="154">AH25/AI25</f>
        <v>0</v>
      </c>
      <c r="AK25" s="106"/>
      <c r="AL25" s="107">
        <v>5</v>
      </c>
      <c r="AM25" s="104">
        <f t="shared" ref="AM25:AM28" si="155">AK25/AL25</f>
        <v>0</v>
      </c>
      <c r="AN25" s="102"/>
      <c r="AO25" s="1">
        <v>5</v>
      </c>
      <c r="AP25" s="104">
        <f t="shared" ref="AP25:AP28" si="156">AN25/AO25</f>
        <v>0</v>
      </c>
      <c r="AQ25" s="102"/>
      <c r="AR25" s="1">
        <v>5</v>
      </c>
      <c r="AS25" s="104">
        <f t="shared" ref="AS25:AS28" si="157">AQ25/AR25</f>
        <v>0</v>
      </c>
      <c r="AT25" s="102"/>
      <c r="AU25" s="1">
        <v>5</v>
      </c>
      <c r="AV25" s="104">
        <f t="shared" ref="AV25:AV28" si="158">AT25/AU25</f>
        <v>0</v>
      </c>
      <c r="AW25" s="102"/>
      <c r="AX25" s="1">
        <v>5</v>
      </c>
      <c r="AY25" s="104">
        <f t="shared" ref="AY25:AY28" si="159">AW25/AX25</f>
        <v>0</v>
      </c>
      <c r="AZ25" s="102"/>
      <c r="BA25" s="1">
        <v>5</v>
      </c>
      <c r="BB25" s="104">
        <f t="shared" ref="BB25:BB28" si="160">AZ25/BA25</f>
        <v>0</v>
      </c>
      <c r="BC25" s="102"/>
      <c r="BD25" s="1">
        <v>5</v>
      </c>
      <c r="BE25" s="104">
        <f t="shared" ref="BE25:BE28" si="161">BC25/BD25</f>
        <v>0</v>
      </c>
      <c r="BF25" s="102"/>
      <c r="BG25" s="1">
        <v>5</v>
      </c>
      <c r="BH25" s="104">
        <f t="shared" ref="BH25:BH28" si="162">BF25/BG25</f>
        <v>0</v>
      </c>
      <c r="BI25" s="102"/>
      <c r="BJ25" s="1">
        <v>5</v>
      </c>
      <c r="BK25" s="104">
        <f t="shared" ref="BK25:BK28" si="163">BI25/BJ25</f>
        <v>0</v>
      </c>
      <c r="BL25" s="102"/>
      <c r="BM25" s="1">
        <v>5</v>
      </c>
      <c r="BN25" s="104">
        <f t="shared" ref="BN25:BN29" si="164">BL25/BM25</f>
        <v>0</v>
      </c>
      <c r="BO25" s="102"/>
      <c r="BP25" s="1">
        <v>5</v>
      </c>
      <c r="BQ25" s="104">
        <f t="shared" ref="BQ25:BQ28" si="165">BO25/BP25</f>
        <v>0</v>
      </c>
      <c r="BR25" s="102"/>
      <c r="BS25" s="1">
        <v>5</v>
      </c>
      <c r="BT25" s="104">
        <f t="shared" ref="BT25:BT28" si="166">BR25/BS25</f>
        <v>0</v>
      </c>
      <c r="BU25" s="102"/>
      <c r="BV25" s="1">
        <v>5</v>
      </c>
      <c r="BW25" s="104">
        <f t="shared" ref="BW25:BW28" si="167">BU25/BV25</f>
        <v>0</v>
      </c>
      <c r="BX25" s="102"/>
      <c r="BY25" s="1">
        <v>5</v>
      </c>
      <c r="BZ25" s="104">
        <f t="shared" ref="BZ25:BZ28" si="168">BX25/BY25</f>
        <v>0</v>
      </c>
      <c r="CA25" s="102"/>
      <c r="CB25" s="1">
        <v>5</v>
      </c>
      <c r="CC25" s="104">
        <f t="shared" ref="CC25:CC28" si="169">CA25/CB25</f>
        <v>0</v>
      </c>
      <c r="CD25" s="102"/>
      <c r="CE25" s="1">
        <v>5</v>
      </c>
      <c r="CF25" s="104">
        <f t="shared" ref="CF25:CF28" si="170">CD25/CE25</f>
        <v>0</v>
      </c>
      <c r="CG25" s="102"/>
      <c r="CH25" s="1">
        <v>5</v>
      </c>
      <c r="CI25" s="104">
        <f t="shared" ref="CI25:CI28" si="171">CG25/CH25</f>
        <v>0</v>
      </c>
      <c r="CJ25" s="102"/>
      <c r="CK25" s="1">
        <v>5</v>
      </c>
      <c r="CL25" s="104">
        <f t="shared" ref="CL25:CL28" si="172">CJ25/CK25</f>
        <v>0</v>
      </c>
      <c r="CM25" s="102"/>
      <c r="CN25" s="1">
        <v>5</v>
      </c>
      <c r="CO25" s="104">
        <f t="shared" ref="CO25:CO28" si="173">CM25/CN25</f>
        <v>0</v>
      </c>
      <c r="CP25" s="102"/>
      <c r="CQ25" s="1">
        <v>5</v>
      </c>
      <c r="CR25" s="104">
        <f t="shared" ref="CR25:CR28" si="174">CP25/CQ25</f>
        <v>0</v>
      </c>
      <c r="CS25" s="102"/>
      <c r="CT25" s="1">
        <v>5</v>
      </c>
      <c r="CU25" s="104">
        <f t="shared" ref="CU25:CU28" si="175">CS25/CT25</f>
        <v>0</v>
      </c>
      <c r="CV25" s="102"/>
      <c r="CW25" s="1">
        <v>5</v>
      </c>
      <c r="CX25" s="104">
        <f t="shared" ref="CX25:CX28" si="176">CV25/CW25</f>
        <v>0</v>
      </c>
      <c r="CY25" s="102"/>
      <c r="CZ25" s="1">
        <v>5</v>
      </c>
      <c r="DA25" s="104">
        <f t="shared" ref="DA25:DA28" si="177">CY25/CZ25</f>
        <v>0</v>
      </c>
      <c r="DB25" s="102"/>
      <c r="DC25" s="1">
        <v>5</v>
      </c>
      <c r="DD25" s="104">
        <f t="shared" ref="DD25:DD28" si="178">DB25/DC25</f>
        <v>0</v>
      </c>
      <c r="DE25" s="102"/>
      <c r="DF25" s="1">
        <v>5</v>
      </c>
      <c r="DG25" s="104">
        <f t="shared" ref="DG25:DG28" si="179">DE25/DF25</f>
        <v>0</v>
      </c>
      <c r="DH25" s="102"/>
      <c r="DI25" s="1">
        <v>5</v>
      </c>
      <c r="DJ25" s="104">
        <f t="shared" ref="DJ25:DJ28" si="180">DH25/DI25</f>
        <v>0</v>
      </c>
      <c r="DK25" s="102"/>
      <c r="DL25" s="1">
        <v>5</v>
      </c>
      <c r="DM25" s="104">
        <f t="shared" ref="DM25:DM28" si="181">DK25/DL25</f>
        <v>0</v>
      </c>
      <c r="DN25" s="102"/>
      <c r="DO25" s="1">
        <v>5</v>
      </c>
      <c r="DP25" s="104">
        <f t="shared" ref="DP25:DP28" si="182">DN25/DO25</f>
        <v>0</v>
      </c>
      <c r="DQ25" s="102"/>
      <c r="DR25" s="1">
        <v>5</v>
      </c>
      <c r="DS25" s="104">
        <f t="shared" ref="DS25:DS28" si="183">DQ25/DR25</f>
        <v>0</v>
      </c>
      <c r="DT25" s="102"/>
      <c r="DU25" s="1">
        <v>5</v>
      </c>
      <c r="DV25" s="104">
        <f t="shared" ref="DV25:DV28" si="184">DT25/DU25</f>
        <v>0</v>
      </c>
      <c r="DW25" s="102"/>
      <c r="DX25" s="1">
        <v>5</v>
      </c>
      <c r="DY25" s="104">
        <f t="shared" ref="DY25:DY28" si="185">DW25/DX25</f>
        <v>0</v>
      </c>
      <c r="DZ25" s="102"/>
      <c r="EA25" s="1">
        <v>5</v>
      </c>
      <c r="EB25" s="104">
        <f t="shared" ref="EB25:EB28" si="186">DZ25/EA25</f>
        <v>0</v>
      </c>
      <c r="EC25" s="102"/>
      <c r="ED25" s="1">
        <v>5</v>
      </c>
      <c r="EE25" s="104">
        <f t="shared" ref="EE25:EE28" si="187">EC25/ED25</f>
        <v>0</v>
      </c>
      <c r="EF25" s="102"/>
      <c r="EG25" s="1">
        <v>5</v>
      </c>
      <c r="EH25" s="104">
        <f t="shared" ref="EH25:EH28" si="188">EF25/EG25</f>
        <v>0</v>
      </c>
      <c r="EI25" s="102"/>
      <c r="EJ25" s="1">
        <v>5</v>
      </c>
      <c r="EK25" s="104">
        <f t="shared" ref="EK25:EK28" si="189">EI25/EJ25</f>
        <v>0</v>
      </c>
      <c r="EL25" s="102"/>
      <c r="EM25" s="1">
        <v>5</v>
      </c>
      <c r="EN25" s="104">
        <f t="shared" ref="EN25:EN28" si="190">EL25/EM25</f>
        <v>0</v>
      </c>
      <c r="EO25" s="102"/>
      <c r="EP25" s="1">
        <v>5</v>
      </c>
      <c r="EQ25" s="108">
        <f t="shared" ref="EQ25:EQ28" si="191">EO25/EP25</f>
        <v>0</v>
      </c>
      <c r="ER25" s="85">
        <f t="array" ref="ER25">IFERROR(_xlfn.LET(
_xlpm.datos,CHOOSE({1;2;3;4;5;6;7;8;9;10;11;12;13;13;14;15;16;17;18;19;20;21;22;23;23;24;25;26;27;28;29;30;31;32;33;34;35;36;37;38;39;40;41;42;43;44;45;46;47},F25,I25,L25,O25,R25,U25,X25,AA25,AD25,AG25,AJ25,AM25,AP25,AS25,AV25,AY25,BB25,BE25,BH25,BK25,BQ25,BT25,BW25,BZ25,CC25,CF25,CI25,CL25,CO25,CR25,CU25,CX25,DA25,DD25,DG25,DJ25,DM25,DP25,DS25,DV25,DY25,EB25,EE25,EH25,EK25,EN25,EQ25),
AVERAGE(_xlfn._xlws.FILTER(_xlpm.datos,(_xlpm.datos&lt;&gt;0)*(_xlpm.datos&lt;&gt;"")))
),0)</f>
        <v>0</v>
      </c>
      <c r="ES25" s="86" t="str">
        <f t="array" ref="ES25">_xlfn.IFS(ER25&gt;=91.5%,"MENSUAL",ER25&gt;=75%,"QUINCENAL",ER25&lt;75%,"SEMANAL")</f>
        <v>SEMANAL</v>
      </c>
    </row>
    <row r="26" ht="15.5" customHeight="1" spans="2:149" x14ac:dyDescent="0.25">
      <c r="B26" s="100" t="s">
        <v>101</v>
      </c>
      <c r="C26" s="101"/>
      <c r="D26" s="102"/>
      <c r="E26" s="103">
        <v>5</v>
      </c>
      <c r="F26" s="104">
        <f t="shared" si="144"/>
        <v>0</v>
      </c>
      <c r="G26" s="102"/>
      <c r="H26" s="103">
        <v>5</v>
      </c>
      <c r="I26" s="104">
        <f t="shared" si="145"/>
        <v>0</v>
      </c>
      <c r="J26" s="105"/>
      <c r="K26" s="103">
        <v>5</v>
      </c>
      <c r="L26" s="104">
        <f t="shared" si="146"/>
        <v>0</v>
      </c>
      <c r="M26" s="105"/>
      <c r="N26" s="103">
        <v>5</v>
      </c>
      <c r="O26" s="104">
        <f t="shared" si="147"/>
        <v>0</v>
      </c>
      <c r="P26" s="106"/>
      <c r="Q26" s="107">
        <v>5</v>
      </c>
      <c r="R26" s="104">
        <f t="shared" si="148"/>
        <v>0</v>
      </c>
      <c r="S26" s="102"/>
      <c r="T26" s="107">
        <v>5</v>
      </c>
      <c r="U26" s="104">
        <f t="shared" si="149"/>
        <v>0</v>
      </c>
      <c r="V26" s="102"/>
      <c r="W26" s="1">
        <v>5</v>
      </c>
      <c r="X26" s="104">
        <f t="shared" si="150"/>
        <v>0</v>
      </c>
      <c r="Y26" s="105"/>
      <c r="Z26" s="103">
        <v>5</v>
      </c>
      <c r="AA26" s="104">
        <f t="shared" si="151"/>
        <v>0</v>
      </c>
      <c r="AB26" s="102"/>
      <c r="AC26" s="103">
        <v>5</v>
      </c>
      <c r="AD26" s="104">
        <f t="shared" si="152"/>
        <v>0</v>
      </c>
      <c r="AE26" s="105"/>
      <c r="AF26" s="103">
        <v>5</v>
      </c>
      <c r="AG26" s="104">
        <f t="shared" si="153"/>
        <v>0</v>
      </c>
      <c r="AH26" s="105"/>
      <c r="AI26" s="103">
        <v>5</v>
      </c>
      <c r="AJ26" s="104">
        <f t="shared" si="154"/>
        <v>0</v>
      </c>
      <c r="AK26" s="105"/>
      <c r="AL26" s="103">
        <v>5</v>
      </c>
      <c r="AM26" s="104">
        <f t="shared" si="155"/>
        <v>0</v>
      </c>
      <c r="AN26" s="102"/>
      <c r="AO26" s="1">
        <v>5</v>
      </c>
      <c r="AP26" s="104">
        <f t="shared" si="156"/>
        <v>0</v>
      </c>
      <c r="AQ26" s="102"/>
      <c r="AR26" s="1">
        <v>5</v>
      </c>
      <c r="AS26" s="104">
        <f t="shared" si="157"/>
        <v>0</v>
      </c>
      <c r="AT26" s="102"/>
      <c r="AU26" s="1">
        <v>5</v>
      </c>
      <c r="AV26" s="104">
        <f t="shared" si="158"/>
        <v>0</v>
      </c>
      <c r="AW26" s="102"/>
      <c r="AX26" s="1">
        <v>5</v>
      </c>
      <c r="AY26" s="104">
        <f t="shared" si="159"/>
        <v>0</v>
      </c>
      <c r="AZ26" s="112"/>
      <c r="BA26" s="113">
        <v>5</v>
      </c>
      <c r="BB26" s="104">
        <f t="shared" si="160"/>
        <v>0</v>
      </c>
      <c r="BC26" s="112"/>
      <c r="BD26" s="113">
        <v>5</v>
      </c>
      <c r="BE26" s="104">
        <f t="shared" si="161"/>
        <v>0</v>
      </c>
      <c r="BF26" s="112"/>
      <c r="BG26" s="113">
        <v>5</v>
      </c>
      <c r="BH26" s="104">
        <f t="shared" si="162"/>
        <v>0</v>
      </c>
      <c r="BI26" s="102"/>
      <c r="BJ26" s="1">
        <v>5</v>
      </c>
      <c r="BK26" s="104">
        <f t="shared" si="163"/>
        <v>0</v>
      </c>
      <c r="BL26" s="102"/>
      <c r="BM26" s="1">
        <v>5</v>
      </c>
      <c r="BN26" s="104">
        <f t="shared" si="164"/>
        <v>0</v>
      </c>
      <c r="BO26" s="102"/>
      <c r="BP26" s="1">
        <v>5</v>
      </c>
      <c r="BQ26" s="104">
        <f t="shared" si="165"/>
        <v>0</v>
      </c>
      <c r="BR26" s="102"/>
      <c r="BS26" s="1">
        <v>5</v>
      </c>
      <c r="BT26" s="104">
        <f t="shared" si="166"/>
        <v>0</v>
      </c>
      <c r="BU26" s="102"/>
      <c r="BV26" s="1">
        <v>5</v>
      </c>
      <c r="BW26" s="104">
        <f t="shared" si="167"/>
        <v>0</v>
      </c>
      <c r="BX26" s="112"/>
      <c r="BY26" s="113">
        <v>5</v>
      </c>
      <c r="BZ26" s="104">
        <f t="shared" si="168"/>
        <v>0</v>
      </c>
      <c r="CA26" s="112"/>
      <c r="CB26" s="113">
        <v>5</v>
      </c>
      <c r="CC26" s="104">
        <f t="shared" si="169"/>
        <v>0</v>
      </c>
      <c r="CD26" s="112"/>
      <c r="CE26" s="113">
        <v>5</v>
      </c>
      <c r="CF26" s="104">
        <f t="shared" si="170"/>
        <v>0</v>
      </c>
      <c r="CG26" s="102"/>
      <c r="CH26" s="1">
        <v>5</v>
      </c>
      <c r="CI26" s="104">
        <f t="shared" si="171"/>
        <v>0</v>
      </c>
      <c r="CJ26" s="102"/>
      <c r="CK26" s="1">
        <v>5</v>
      </c>
      <c r="CL26" s="104">
        <f t="shared" si="172"/>
        <v>0</v>
      </c>
      <c r="CM26" s="102"/>
      <c r="CN26" s="1">
        <v>5</v>
      </c>
      <c r="CO26" s="104">
        <f t="shared" si="173"/>
        <v>0</v>
      </c>
      <c r="CP26" s="112"/>
      <c r="CQ26" s="113">
        <v>5</v>
      </c>
      <c r="CR26" s="104">
        <f t="shared" si="174"/>
        <v>0</v>
      </c>
      <c r="CS26" s="112"/>
      <c r="CT26" s="113">
        <v>5</v>
      </c>
      <c r="CU26" s="104">
        <f t="shared" si="175"/>
        <v>0</v>
      </c>
      <c r="CV26" s="112"/>
      <c r="CW26" s="113">
        <v>5</v>
      </c>
      <c r="CX26" s="104">
        <f t="shared" si="176"/>
        <v>0</v>
      </c>
      <c r="CY26" s="102"/>
      <c r="CZ26" s="1">
        <v>5</v>
      </c>
      <c r="DA26" s="104">
        <f t="shared" si="177"/>
        <v>0</v>
      </c>
      <c r="DB26" s="112"/>
      <c r="DC26" s="113">
        <v>5</v>
      </c>
      <c r="DD26" s="104">
        <f t="shared" si="178"/>
        <v>0</v>
      </c>
      <c r="DE26" s="112"/>
      <c r="DF26" s="113">
        <v>5</v>
      </c>
      <c r="DG26" s="104">
        <f t="shared" si="179"/>
        <v>0</v>
      </c>
      <c r="DH26" s="112"/>
      <c r="DI26" s="113">
        <v>5</v>
      </c>
      <c r="DJ26" s="104">
        <f t="shared" si="180"/>
        <v>0</v>
      </c>
      <c r="DK26" s="112"/>
      <c r="DL26" s="113">
        <v>5</v>
      </c>
      <c r="DM26" s="104">
        <f t="shared" si="181"/>
        <v>0</v>
      </c>
      <c r="DN26" s="112"/>
      <c r="DO26" s="113">
        <v>5</v>
      </c>
      <c r="DP26" s="104">
        <f t="shared" si="182"/>
        <v>0</v>
      </c>
      <c r="DQ26" s="102"/>
      <c r="DR26" s="1">
        <v>5</v>
      </c>
      <c r="DS26" s="104">
        <f t="shared" si="183"/>
        <v>0</v>
      </c>
      <c r="DT26" s="102"/>
      <c r="DU26" s="1">
        <v>5</v>
      </c>
      <c r="DV26" s="104">
        <f t="shared" si="184"/>
        <v>0</v>
      </c>
      <c r="DW26" s="102"/>
      <c r="DX26" s="1">
        <v>5</v>
      </c>
      <c r="DY26" s="104">
        <f t="shared" si="185"/>
        <v>0</v>
      </c>
      <c r="DZ26" s="112"/>
      <c r="EA26" s="113">
        <v>5</v>
      </c>
      <c r="EB26" s="104">
        <f t="shared" si="186"/>
        <v>0</v>
      </c>
      <c r="EC26" s="112"/>
      <c r="ED26" s="113">
        <v>5</v>
      </c>
      <c r="EE26" s="104">
        <f t="shared" si="187"/>
        <v>0</v>
      </c>
      <c r="EF26" s="112"/>
      <c r="EG26" s="113">
        <v>5</v>
      </c>
      <c r="EH26" s="104">
        <f t="shared" si="188"/>
        <v>0</v>
      </c>
      <c r="EI26" s="102"/>
      <c r="EJ26" s="1">
        <v>5</v>
      </c>
      <c r="EK26" s="104">
        <f t="shared" si="189"/>
        <v>0</v>
      </c>
      <c r="EL26" s="112"/>
      <c r="EM26" s="113">
        <v>5</v>
      </c>
      <c r="EN26" s="104">
        <f t="shared" si="190"/>
        <v>0</v>
      </c>
      <c r="EO26" s="112"/>
      <c r="EP26" s="113">
        <v>5</v>
      </c>
      <c r="EQ26" s="108">
        <f t="shared" si="191"/>
        <v>0</v>
      </c>
      <c r="ER26" s="85">
        <f t="array" ref="ER26">IFERROR(_xlfn.LET(
_xlpm.datos,CHOOSE({1;2;3;4;5;6;7;8;9;10;11;12;13;13;14;15;16;17;18;19;20;21;22;23;23;24;25;26;27;28;29;30;31;32;33;34;35;36;37;38;39;40;41;42;43;44;45;46;47},F26,I26,L26,O26,R26,U26,X26,AA26,AD26,AG26,AJ26,AM26,AP26,AS26,AV26,AY26,BB26,BE26,BH26,BK26,BQ26,BT26,BW26,BZ26,CC26,CF26,CI26,CL26,CO26,CR26,CU26,CX26,DA26,DD26,DG26,DJ26,DM26,DP26,DS26,DV26,DY26,EB26,EE26,EH26,EK26,EN26,EQ26),
AVERAGE(_xlfn._xlws.FILTER(_xlpm.datos,(_xlpm.datos&lt;&gt;0)*(_xlpm.datos&lt;&gt;"")))
),0)</f>
        <v>0</v>
      </c>
      <c r="ES26" s="86" t="str">
        <f t="array" ref="ES26">_xlfn.IFS(ER26&gt;=91.5%,"MENSUAL",ER26&gt;=75%,"QUINCENAL",ER26&lt;75%,"SEMANAL")</f>
        <v>SEMANAL</v>
      </c>
    </row>
    <row r="27" ht="21.5" customHeight="1" spans="2:149" x14ac:dyDescent="0.25">
      <c r="B27" s="100" t="s">
        <v>102</v>
      </c>
      <c r="C27" s="101"/>
      <c r="D27" s="102"/>
      <c r="E27" s="103">
        <v>5</v>
      </c>
      <c r="F27" s="104">
        <f t="shared" si="144"/>
        <v>0</v>
      </c>
      <c r="G27" s="102"/>
      <c r="H27" s="103">
        <v>5</v>
      </c>
      <c r="I27" s="104">
        <f t="shared" si="145"/>
        <v>0</v>
      </c>
      <c r="J27" s="105"/>
      <c r="K27" s="103">
        <v>5</v>
      </c>
      <c r="L27" s="104">
        <f t="shared" si="146"/>
        <v>0</v>
      </c>
      <c r="M27" s="105"/>
      <c r="N27" s="103">
        <v>5</v>
      </c>
      <c r="O27" s="104">
        <f t="shared" si="147"/>
        <v>0</v>
      </c>
      <c r="P27" s="106"/>
      <c r="Q27" s="107">
        <v>5</v>
      </c>
      <c r="R27" s="104">
        <f t="shared" si="148"/>
        <v>0</v>
      </c>
      <c r="S27" s="102"/>
      <c r="T27" s="107">
        <v>5</v>
      </c>
      <c r="U27" s="104">
        <f t="shared" si="149"/>
        <v>0</v>
      </c>
      <c r="V27" s="102"/>
      <c r="W27" s="107">
        <v>5</v>
      </c>
      <c r="X27" s="104">
        <f t="shared" si="150"/>
        <v>0</v>
      </c>
      <c r="Y27" s="102"/>
      <c r="Z27" s="107">
        <v>5</v>
      </c>
      <c r="AA27" s="104">
        <f t="shared" si="151"/>
        <v>0</v>
      </c>
      <c r="AB27" s="106"/>
      <c r="AC27" s="107">
        <v>5</v>
      </c>
      <c r="AD27" s="104">
        <f t="shared" si="152"/>
        <v>0</v>
      </c>
      <c r="AE27" s="106"/>
      <c r="AF27" s="107">
        <v>5</v>
      </c>
      <c r="AG27" s="104">
        <f t="shared" si="153"/>
        <v>0</v>
      </c>
      <c r="AH27" s="106"/>
      <c r="AI27" s="107">
        <v>5</v>
      </c>
      <c r="AJ27" s="104">
        <f t="shared" si="154"/>
        <v>0</v>
      </c>
      <c r="AK27" s="106"/>
      <c r="AL27" s="107">
        <v>5</v>
      </c>
      <c r="AM27" s="104">
        <f t="shared" si="155"/>
        <v>0</v>
      </c>
      <c r="AN27" s="102"/>
      <c r="AO27" s="1">
        <v>5</v>
      </c>
      <c r="AP27" s="104">
        <f t="shared" si="156"/>
        <v>0</v>
      </c>
      <c r="AQ27" s="102"/>
      <c r="AR27" s="1">
        <v>5</v>
      </c>
      <c r="AS27" s="104">
        <f t="shared" si="157"/>
        <v>0</v>
      </c>
      <c r="AT27" s="102"/>
      <c r="AU27" s="1">
        <v>5</v>
      </c>
      <c r="AV27" s="104">
        <f t="shared" si="158"/>
        <v>0</v>
      </c>
      <c r="AW27" s="102"/>
      <c r="AX27" s="1">
        <v>5</v>
      </c>
      <c r="AY27" s="104">
        <f t="shared" si="159"/>
        <v>0</v>
      </c>
      <c r="AZ27" s="102"/>
      <c r="BA27" s="1">
        <v>5</v>
      </c>
      <c r="BB27" s="104">
        <f t="shared" si="160"/>
        <v>0</v>
      </c>
      <c r="BC27" s="102"/>
      <c r="BD27" s="1">
        <v>5</v>
      </c>
      <c r="BE27" s="104">
        <f t="shared" si="161"/>
        <v>0</v>
      </c>
      <c r="BF27" s="102"/>
      <c r="BG27" s="1">
        <v>5</v>
      </c>
      <c r="BH27" s="104">
        <f t="shared" si="162"/>
        <v>0</v>
      </c>
      <c r="BI27" s="102"/>
      <c r="BJ27" s="1">
        <v>5</v>
      </c>
      <c r="BK27" s="104">
        <f t="shared" si="163"/>
        <v>0</v>
      </c>
      <c r="BL27" s="102"/>
      <c r="BM27" s="1">
        <v>5</v>
      </c>
      <c r="BN27" s="104">
        <f t="shared" si="164"/>
        <v>0</v>
      </c>
      <c r="BO27" s="102"/>
      <c r="BP27" s="1">
        <v>5</v>
      </c>
      <c r="BQ27" s="104">
        <f t="shared" si="165"/>
        <v>0</v>
      </c>
      <c r="BR27" s="102"/>
      <c r="BS27" s="1">
        <v>5</v>
      </c>
      <c r="BT27" s="104">
        <f t="shared" si="166"/>
        <v>0</v>
      </c>
      <c r="BU27" s="102"/>
      <c r="BV27" s="1">
        <v>5</v>
      </c>
      <c r="BW27" s="104">
        <f t="shared" si="167"/>
        <v>0</v>
      </c>
      <c r="BX27" s="102"/>
      <c r="BY27" s="1">
        <v>5</v>
      </c>
      <c r="BZ27" s="104">
        <f t="shared" si="168"/>
        <v>0</v>
      </c>
      <c r="CA27" s="102"/>
      <c r="CB27" s="1">
        <v>5</v>
      </c>
      <c r="CC27" s="104">
        <f t="shared" si="169"/>
        <v>0</v>
      </c>
      <c r="CD27" s="102"/>
      <c r="CE27" s="1">
        <v>5</v>
      </c>
      <c r="CF27" s="104">
        <f t="shared" si="170"/>
        <v>0</v>
      </c>
      <c r="CG27" s="102"/>
      <c r="CH27" s="1">
        <v>5</v>
      </c>
      <c r="CI27" s="104">
        <f t="shared" si="171"/>
        <v>0</v>
      </c>
      <c r="CJ27" s="102"/>
      <c r="CK27" s="1">
        <v>5</v>
      </c>
      <c r="CL27" s="104">
        <f t="shared" si="172"/>
        <v>0</v>
      </c>
      <c r="CM27" s="102"/>
      <c r="CN27" s="1">
        <v>5</v>
      </c>
      <c r="CO27" s="104">
        <f t="shared" si="173"/>
        <v>0</v>
      </c>
      <c r="CP27" s="102"/>
      <c r="CQ27" s="1">
        <v>5</v>
      </c>
      <c r="CR27" s="104">
        <f t="shared" si="174"/>
        <v>0</v>
      </c>
      <c r="CS27" s="102"/>
      <c r="CT27" s="1">
        <v>5</v>
      </c>
      <c r="CU27" s="104">
        <f t="shared" si="175"/>
        <v>0</v>
      </c>
      <c r="CV27" s="102"/>
      <c r="CW27" s="1">
        <v>5</v>
      </c>
      <c r="CX27" s="104">
        <f t="shared" si="176"/>
        <v>0</v>
      </c>
      <c r="CY27" s="102"/>
      <c r="CZ27" s="1">
        <v>5</v>
      </c>
      <c r="DA27" s="104">
        <f t="shared" si="177"/>
        <v>0</v>
      </c>
      <c r="DB27" s="102"/>
      <c r="DC27" s="1">
        <v>5</v>
      </c>
      <c r="DD27" s="104">
        <f t="shared" si="178"/>
        <v>0</v>
      </c>
      <c r="DE27" s="102"/>
      <c r="DF27" s="1">
        <v>5</v>
      </c>
      <c r="DG27" s="104">
        <f t="shared" si="179"/>
        <v>0</v>
      </c>
      <c r="DH27" s="102"/>
      <c r="DI27" s="1">
        <v>5</v>
      </c>
      <c r="DJ27" s="104">
        <f t="shared" si="180"/>
        <v>0</v>
      </c>
      <c r="DK27" s="102"/>
      <c r="DL27" s="1">
        <v>5</v>
      </c>
      <c r="DM27" s="104">
        <f t="shared" si="181"/>
        <v>0</v>
      </c>
      <c r="DN27" s="102"/>
      <c r="DO27" s="1">
        <v>5</v>
      </c>
      <c r="DP27" s="104">
        <f t="shared" si="182"/>
        <v>0</v>
      </c>
      <c r="DQ27" s="102"/>
      <c r="DR27" s="1">
        <v>5</v>
      </c>
      <c r="DS27" s="104">
        <f t="shared" si="183"/>
        <v>0</v>
      </c>
      <c r="DT27" s="102"/>
      <c r="DU27" s="1">
        <v>5</v>
      </c>
      <c r="DV27" s="104">
        <f t="shared" si="184"/>
        <v>0</v>
      </c>
      <c r="DW27" s="102"/>
      <c r="DX27" s="1">
        <v>5</v>
      </c>
      <c r="DY27" s="104">
        <f t="shared" si="185"/>
        <v>0</v>
      </c>
      <c r="DZ27" s="102"/>
      <c r="EA27" s="1">
        <v>5</v>
      </c>
      <c r="EB27" s="104">
        <f t="shared" si="186"/>
        <v>0</v>
      </c>
      <c r="EC27" s="102"/>
      <c r="ED27" s="1">
        <v>5</v>
      </c>
      <c r="EE27" s="104">
        <f t="shared" si="187"/>
        <v>0</v>
      </c>
      <c r="EF27" s="102"/>
      <c r="EG27" s="1">
        <v>5</v>
      </c>
      <c r="EH27" s="104">
        <f t="shared" si="188"/>
        <v>0</v>
      </c>
      <c r="EI27" s="102"/>
      <c r="EJ27" s="1">
        <v>5</v>
      </c>
      <c r="EK27" s="104">
        <f t="shared" si="189"/>
        <v>0</v>
      </c>
      <c r="EL27" s="102"/>
      <c r="EM27" s="1">
        <v>5</v>
      </c>
      <c r="EN27" s="104">
        <f t="shared" si="190"/>
        <v>0</v>
      </c>
      <c r="EO27" s="102"/>
      <c r="EP27" s="1">
        <v>5</v>
      </c>
      <c r="EQ27" s="108">
        <f t="shared" si="191"/>
        <v>0</v>
      </c>
      <c r="ER27" s="85">
        <f t="array" ref="ER27">IFERROR(_xlfn.LET(
_xlpm.datos,CHOOSE({1;2;3;4;5;6;7;8;9;10;11;12;13;13;14;15;16;17;18;19;20;21;22;23;23;24;25;26;27;28;29;30;31;32;33;34;35;36;37;38;39;40;41;42;43;44;45;46;47},F27,I27,L27,O27,R27,U27,X27,AA27,AD27,AG27,AJ27,AM27,AP27,AS27,AV27,AY27,BB27,BE27,BH27,BK27,BQ27,BT27,BW27,BZ27,CC27,CF27,CI27,CL27,CO27,CR27,CU27,CX27,DA27,DD27,DG27,DJ27,DM27,DP27,DS27,DV27,DY27,EB27,EE27,EH27,EK27,EN27,EQ27),
AVERAGE(_xlfn._xlws.FILTER(_xlpm.datos,(_xlpm.datos&lt;&gt;0)*(_xlpm.datos&lt;&gt;"")))
),0)</f>
        <v>0</v>
      </c>
      <c r="ES27" s="86" t="str">
        <f t="array" ref="ES27">_xlfn.IFS(ER27&gt;=91.5%,"MENSUAL",ER27&gt;=75%,"QUINCENAL",ER27&lt;75%,"SEMANAL")</f>
        <v>SEMANAL</v>
      </c>
    </row>
    <row r="28" ht="21.5" customHeight="1" spans="2:149" x14ac:dyDescent="0.25">
      <c r="B28" s="100" t="s">
        <v>103</v>
      </c>
      <c r="C28" s="101"/>
      <c r="D28" s="116"/>
      <c r="E28" s="117">
        <v>5</v>
      </c>
      <c r="F28" s="118">
        <f t="shared" si="144"/>
        <v>0</v>
      </c>
      <c r="G28" s="116"/>
      <c r="H28" s="117">
        <v>5</v>
      </c>
      <c r="I28" s="118">
        <f t="shared" si="145"/>
        <v>0</v>
      </c>
      <c r="J28" s="119"/>
      <c r="K28" s="117">
        <v>5</v>
      </c>
      <c r="L28" s="118">
        <f t="shared" si="146"/>
        <v>0</v>
      </c>
      <c r="M28" s="119"/>
      <c r="N28" s="117">
        <v>5</v>
      </c>
      <c r="O28" s="118">
        <f t="shared" si="147"/>
        <v>0</v>
      </c>
      <c r="P28" s="120"/>
      <c r="Q28" s="121">
        <v>5</v>
      </c>
      <c r="R28" s="118">
        <f t="shared" si="148"/>
        <v>0</v>
      </c>
      <c r="S28" s="116"/>
      <c r="T28" s="121">
        <v>5</v>
      </c>
      <c r="U28" s="118">
        <f t="shared" si="149"/>
        <v>0</v>
      </c>
      <c r="V28" s="116"/>
      <c r="W28" s="121">
        <v>5</v>
      </c>
      <c r="X28" s="118">
        <f t="shared" si="150"/>
        <v>0</v>
      </c>
      <c r="Y28" s="116"/>
      <c r="Z28" s="121">
        <v>5</v>
      </c>
      <c r="AA28" s="118">
        <f t="shared" si="151"/>
        <v>0</v>
      </c>
      <c r="AB28" s="120"/>
      <c r="AC28" s="121">
        <v>5</v>
      </c>
      <c r="AD28" s="118">
        <f t="shared" si="152"/>
        <v>0</v>
      </c>
      <c r="AE28" s="120"/>
      <c r="AF28" s="121">
        <v>5</v>
      </c>
      <c r="AG28" s="118">
        <f t="shared" si="153"/>
        <v>0</v>
      </c>
      <c r="AH28" s="120"/>
      <c r="AI28" s="121">
        <v>5</v>
      </c>
      <c r="AJ28" s="118">
        <f t="shared" si="154"/>
        <v>0</v>
      </c>
      <c r="AK28" s="120"/>
      <c r="AL28" s="121">
        <v>5</v>
      </c>
      <c r="AM28" s="118">
        <f t="shared" si="155"/>
        <v>0</v>
      </c>
      <c r="AN28" s="116"/>
      <c r="AO28" s="122">
        <v>5</v>
      </c>
      <c r="AP28" s="118">
        <f t="shared" si="156"/>
        <v>0</v>
      </c>
      <c r="AQ28" s="116"/>
      <c r="AR28" s="122">
        <v>5</v>
      </c>
      <c r="AS28" s="118">
        <f t="shared" si="157"/>
        <v>0</v>
      </c>
      <c r="AT28" s="116"/>
      <c r="AU28" s="122">
        <v>5</v>
      </c>
      <c r="AV28" s="118">
        <f t="shared" si="158"/>
        <v>0</v>
      </c>
      <c r="AW28" s="116"/>
      <c r="AX28" s="122">
        <v>5</v>
      </c>
      <c r="AY28" s="118">
        <f t="shared" si="159"/>
        <v>0</v>
      </c>
      <c r="AZ28" s="116"/>
      <c r="BA28" s="122">
        <v>5</v>
      </c>
      <c r="BB28" s="118">
        <f t="shared" si="160"/>
        <v>0</v>
      </c>
      <c r="BC28" s="116"/>
      <c r="BD28" s="122">
        <v>5</v>
      </c>
      <c r="BE28" s="118">
        <f t="shared" si="161"/>
        <v>0</v>
      </c>
      <c r="BF28" s="116"/>
      <c r="BG28" s="122">
        <v>5</v>
      </c>
      <c r="BH28" s="118">
        <f t="shared" si="162"/>
        <v>0</v>
      </c>
      <c r="BI28" s="116"/>
      <c r="BJ28" s="122">
        <v>5</v>
      </c>
      <c r="BK28" s="118">
        <f t="shared" si="163"/>
        <v>0</v>
      </c>
      <c r="BL28" s="116"/>
      <c r="BM28" s="122">
        <v>5</v>
      </c>
      <c r="BN28" s="118">
        <f t="shared" si="164"/>
        <v>0</v>
      </c>
      <c r="BO28" s="116"/>
      <c r="BP28" s="122">
        <v>5</v>
      </c>
      <c r="BQ28" s="118">
        <f t="shared" si="165"/>
        <v>0</v>
      </c>
      <c r="BR28" s="116"/>
      <c r="BS28" s="122">
        <v>5</v>
      </c>
      <c r="BT28" s="118">
        <f t="shared" si="166"/>
        <v>0</v>
      </c>
      <c r="BU28" s="116"/>
      <c r="BV28" s="122">
        <v>5</v>
      </c>
      <c r="BW28" s="118">
        <f t="shared" si="167"/>
        <v>0</v>
      </c>
      <c r="BX28" s="116"/>
      <c r="BY28" s="122">
        <v>5</v>
      </c>
      <c r="BZ28" s="118">
        <f t="shared" si="168"/>
        <v>0</v>
      </c>
      <c r="CA28" s="116"/>
      <c r="CB28" s="122">
        <v>5</v>
      </c>
      <c r="CC28" s="118">
        <f t="shared" si="169"/>
        <v>0</v>
      </c>
      <c r="CD28" s="116"/>
      <c r="CE28" s="122">
        <v>5</v>
      </c>
      <c r="CF28" s="118">
        <f t="shared" si="170"/>
        <v>0</v>
      </c>
      <c r="CG28" s="116"/>
      <c r="CH28" s="122">
        <v>5</v>
      </c>
      <c r="CI28" s="118">
        <f t="shared" si="171"/>
        <v>0</v>
      </c>
      <c r="CJ28" s="116"/>
      <c r="CK28" s="122">
        <v>5</v>
      </c>
      <c r="CL28" s="118">
        <f t="shared" si="172"/>
        <v>0</v>
      </c>
      <c r="CM28" s="116"/>
      <c r="CN28" s="122">
        <v>5</v>
      </c>
      <c r="CO28" s="118">
        <f t="shared" si="173"/>
        <v>0</v>
      </c>
      <c r="CP28" s="116"/>
      <c r="CQ28" s="122">
        <v>5</v>
      </c>
      <c r="CR28" s="118">
        <f t="shared" si="174"/>
        <v>0</v>
      </c>
      <c r="CS28" s="116"/>
      <c r="CT28" s="122">
        <v>5</v>
      </c>
      <c r="CU28" s="118">
        <f t="shared" si="175"/>
        <v>0</v>
      </c>
      <c r="CV28" s="116"/>
      <c r="CW28" s="122">
        <v>5</v>
      </c>
      <c r="CX28" s="118">
        <f t="shared" si="176"/>
        <v>0</v>
      </c>
      <c r="CY28" s="116"/>
      <c r="CZ28" s="122">
        <v>5</v>
      </c>
      <c r="DA28" s="118">
        <f t="shared" si="177"/>
        <v>0</v>
      </c>
      <c r="DB28" s="116"/>
      <c r="DC28" s="122">
        <v>5</v>
      </c>
      <c r="DD28" s="118">
        <f t="shared" si="178"/>
        <v>0</v>
      </c>
      <c r="DE28" s="116"/>
      <c r="DF28" s="122">
        <v>5</v>
      </c>
      <c r="DG28" s="118">
        <f t="shared" si="179"/>
        <v>0</v>
      </c>
      <c r="DH28" s="116"/>
      <c r="DI28" s="122">
        <v>5</v>
      </c>
      <c r="DJ28" s="118">
        <f t="shared" si="180"/>
        <v>0</v>
      </c>
      <c r="DK28" s="116"/>
      <c r="DL28" s="122">
        <v>5</v>
      </c>
      <c r="DM28" s="118">
        <f t="shared" si="181"/>
        <v>0</v>
      </c>
      <c r="DN28" s="116"/>
      <c r="DO28" s="122">
        <v>5</v>
      </c>
      <c r="DP28" s="118">
        <f t="shared" si="182"/>
        <v>0</v>
      </c>
      <c r="DQ28" s="116"/>
      <c r="DR28" s="122">
        <v>5</v>
      </c>
      <c r="DS28" s="118">
        <f t="shared" si="183"/>
        <v>0</v>
      </c>
      <c r="DT28" s="116"/>
      <c r="DU28" s="122">
        <v>5</v>
      </c>
      <c r="DV28" s="118">
        <f t="shared" si="184"/>
        <v>0</v>
      </c>
      <c r="DW28" s="116"/>
      <c r="DX28" s="122">
        <v>5</v>
      </c>
      <c r="DY28" s="118">
        <f t="shared" si="185"/>
        <v>0</v>
      </c>
      <c r="DZ28" s="116"/>
      <c r="EA28" s="122">
        <v>5</v>
      </c>
      <c r="EB28" s="118">
        <f t="shared" si="186"/>
        <v>0</v>
      </c>
      <c r="EC28" s="116"/>
      <c r="ED28" s="122">
        <v>5</v>
      </c>
      <c r="EE28" s="118">
        <f t="shared" si="187"/>
        <v>0</v>
      </c>
      <c r="EF28" s="116"/>
      <c r="EG28" s="122">
        <v>5</v>
      </c>
      <c r="EH28" s="118">
        <f t="shared" si="188"/>
        <v>0</v>
      </c>
      <c r="EI28" s="116"/>
      <c r="EJ28" s="122">
        <v>5</v>
      </c>
      <c r="EK28" s="118">
        <f t="shared" si="189"/>
        <v>0</v>
      </c>
      <c r="EL28" s="116"/>
      <c r="EM28" s="122">
        <v>5</v>
      </c>
      <c r="EN28" s="118">
        <f t="shared" si="190"/>
        <v>0</v>
      </c>
      <c r="EO28" s="116"/>
      <c r="EP28" s="122">
        <v>5</v>
      </c>
      <c r="EQ28" s="123">
        <f t="shared" si="191"/>
        <v>0</v>
      </c>
      <c r="ER28" s="85">
        <f t="array" ref="ER28">IFERROR(_xlfn.LET(
_xlpm.datos,CHOOSE({1;2;3;4;5;6;7;8;9;10;11;12;13;13;14;15;16;17;18;19;20;21;22;23;23;24;25;26;27;28;29;30;31;32;33;34;35;36;37;38;39;40;41;42;43;44;45;46;47},F28,I28,L28,O28,R28,U28,X28,AA28,AD28,AG28,AJ28,AM28,AP28,AS28,AV28,AY28,BB28,BE28,BH28,BK28,BQ28,BT28,BW28,BZ28,CC28,CF28,CI28,CL28,CO28,CR28,CU28,CX28,DA28,DD28,DG28,DJ28,DM28,DP28,DS28,DV28,DY28,EB28,EE28,EH28,EK28,EN28,EQ28),
AVERAGE(_xlfn._xlws.FILTER(_xlpm.datos,(_xlpm.datos&lt;&gt;0)*(_xlpm.datos&lt;&gt;"")))
),0)</f>
        <v>0</v>
      </c>
      <c r="ES28" s="86" t="str">
        <f t="array" ref="ES28">_xlfn.IFS(ER28&gt;=91.5%,"MENSUAL",ER28&gt;=75%,"QUINCENAL",ER28&lt;75%,"SEMANAL")</f>
        <v>SEMANAL</v>
      </c>
    </row>
    <row r="29" ht="22" customHeight="1" spans="2:149" x14ac:dyDescent="0.25">
      <c r="B29" s="115" t="s">
        <v>104</v>
      </c>
      <c r="C29" s="101"/>
      <c r="D29" s="116"/>
      <c r="E29" s="117">
        <v>5</v>
      </c>
      <c r="F29" s="118">
        <f t="shared" ref="F29" si="192">D29/E29</f>
        <v>0</v>
      </c>
      <c r="G29" s="116"/>
      <c r="H29" s="117">
        <v>5</v>
      </c>
      <c r="I29" s="118">
        <f t="shared" ref="I29" si="193">G29/H29</f>
        <v>0</v>
      </c>
      <c r="J29" s="119"/>
      <c r="K29" s="117">
        <v>5</v>
      </c>
      <c r="L29" s="118">
        <f t="shared" ref="L29" si="194">J29/K29</f>
        <v>0</v>
      </c>
      <c r="M29" s="119"/>
      <c r="N29" s="117">
        <v>5</v>
      </c>
      <c r="O29" s="118">
        <f t="shared" ref="O29" si="195">M29/N29</f>
        <v>0</v>
      </c>
      <c r="P29" s="120"/>
      <c r="Q29" s="121">
        <v>5</v>
      </c>
      <c r="R29" s="118">
        <f t="shared" ref="R29" si="196">P29/Q29</f>
        <v>0</v>
      </c>
      <c r="S29" s="116"/>
      <c r="T29" s="121">
        <v>5</v>
      </c>
      <c r="U29" s="118">
        <f t="shared" ref="U29" si="197">S29/T29</f>
        <v>0</v>
      </c>
      <c r="V29" s="116"/>
      <c r="W29" s="121">
        <v>5</v>
      </c>
      <c r="X29" s="118">
        <f t="shared" ref="X29" si="198">V29/W29</f>
        <v>0</v>
      </c>
      <c r="Y29" s="116"/>
      <c r="Z29" s="121">
        <v>5</v>
      </c>
      <c r="AA29" s="118">
        <f t="shared" ref="AA29" si="199">Y29/Z29</f>
        <v>0</v>
      </c>
      <c r="AB29" s="120"/>
      <c r="AC29" s="121">
        <v>5</v>
      </c>
      <c r="AD29" s="118">
        <f t="shared" ref="AD29" si="200">AB29/AC29</f>
        <v>0</v>
      </c>
      <c r="AE29" s="120"/>
      <c r="AF29" s="121">
        <v>5</v>
      </c>
      <c r="AG29" s="118">
        <f t="shared" ref="AG29" si="201">AE29/AF29</f>
        <v>0</v>
      </c>
      <c r="AH29" s="120"/>
      <c r="AI29" s="121">
        <v>5</v>
      </c>
      <c r="AJ29" s="118">
        <f t="shared" ref="AJ29" si="202">AH29/AI29</f>
        <v>0</v>
      </c>
      <c r="AK29" s="120"/>
      <c r="AL29" s="121">
        <v>5</v>
      </c>
      <c r="AM29" s="118">
        <f t="shared" ref="AM29" si="203">AK29/AL29</f>
        <v>0</v>
      </c>
      <c r="AN29" s="116"/>
      <c r="AO29" s="122">
        <v>5</v>
      </c>
      <c r="AP29" s="118">
        <f t="shared" ref="AP29" si="204">AN29/AO29</f>
        <v>0</v>
      </c>
      <c r="AQ29" s="116"/>
      <c r="AR29" s="122">
        <v>5</v>
      </c>
      <c r="AS29" s="118">
        <f t="shared" ref="AS29" si="205">AQ29/AR29</f>
        <v>0</v>
      </c>
      <c r="AT29" s="116"/>
      <c r="AU29" s="122">
        <v>5</v>
      </c>
      <c r="AV29" s="118">
        <f t="shared" ref="AV29" si="206">AT29/AU29</f>
        <v>0</v>
      </c>
      <c r="AW29" s="116"/>
      <c r="AX29" s="122">
        <v>5</v>
      </c>
      <c r="AY29" s="118">
        <f t="shared" ref="AY29" si="207">AW29/AX29</f>
        <v>0</v>
      </c>
      <c r="AZ29" s="116"/>
      <c r="BA29" s="122">
        <v>5</v>
      </c>
      <c r="BB29" s="118">
        <f t="shared" ref="BB29" si="208">AZ29/BA29</f>
        <v>0</v>
      </c>
      <c r="BC29" s="116"/>
      <c r="BD29" s="122">
        <v>5</v>
      </c>
      <c r="BE29" s="118">
        <f t="shared" ref="BE29" si="209">BC29/BD29</f>
        <v>0</v>
      </c>
      <c r="BF29" s="116"/>
      <c r="BG29" s="122">
        <v>5</v>
      </c>
      <c r="BH29" s="118">
        <f t="shared" ref="BH29" si="210">BF29/BG29</f>
        <v>0</v>
      </c>
      <c r="BI29" s="116"/>
      <c r="BJ29" s="122">
        <v>5</v>
      </c>
      <c r="BK29" s="118">
        <f t="shared" ref="BK29" si="211">BI29/BJ29</f>
        <v>0</v>
      </c>
      <c r="BL29" s="116"/>
      <c r="BM29" s="122">
        <v>5</v>
      </c>
      <c r="BN29" s="118">
        <f t="shared" si="164"/>
        <v>0</v>
      </c>
      <c r="BO29" s="116"/>
      <c r="BP29" s="122">
        <v>5</v>
      </c>
      <c r="BQ29" s="118">
        <f t="shared" ref="BQ29" si="212">BO29/BP29</f>
        <v>0</v>
      </c>
      <c r="BR29" s="116"/>
      <c r="BS29" s="122">
        <v>5</v>
      </c>
      <c r="BT29" s="118">
        <f t="shared" ref="BT29" si="213">BR29/BS29</f>
        <v>0</v>
      </c>
      <c r="BU29" s="116"/>
      <c r="BV29" s="122">
        <v>5</v>
      </c>
      <c r="BW29" s="118">
        <f t="shared" ref="BW29" si="214">BU29/BV29</f>
        <v>0</v>
      </c>
      <c r="BX29" s="116"/>
      <c r="BY29" s="122">
        <v>5</v>
      </c>
      <c r="BZ29" s="118">
        <f t="shared" ref="BZ29" si="215">BX29/BY29</f>
        <v>0</v>
      </c>
      <c r="CA29" s="116"/>
      <c r="CB29" s="122">
        <v>5</v>
      </c>
      <c r="CC29" s="118">
        <f t="shared" ref="CC29" si="216">CA29/CB29</f>
        <v>0</v>
      </c>
      <c r="CD29" s="116"/>
      <c r="CE29" s="122">
        <v>5</v>
      </c>
      <c r="CF29" s="118">
        <f t="shared" ref="CF29" si="217">CD29/CE29</f>
        <v>0</v>
      </c>
      <c r="CG29" s="116"/>
      <c r="CH29" s="122">
        <v>5</v>
      </c>
      <c r="CI29" s="118">
        <f t="shared" ref="CI29" si="218">CG29/CH29</f>
        <v>0</v>
      </c>
      <c r="CJ29" s="116"/>
      <c r="CK29" s="122">
        <v>5</v>
      </c>
      <c r="CL29" s="118">
        <f t="shared" ref="CL29" si="219">CJ29/CK29</f>
        <v>0</v>
      </c>
      <c r="CM29" s="116"/>
      <c r="CN29" s="122">
        <v>5</v>
      </c>
      <c r="CO29" s="118">
        <f t="shared" ref="CO29" si="220">CM29/CN29</f>
        <v>0</v>
      </c>
      <c r="CP29" s="116"/>
      <c r="CQ29" s="122">
        <v>5</v>
      </c>
      <c r="CR29" s="118">
        <f t="shared" ref="CR29" si="221">CP29/CQ29</f>
        <v>0</v>
      </c>
      <c r="CS29" s="116"/>
      <c r="CT29" s="122">
        <v>5</v>
      </c>
      <c r="CU29" s="118">
        <f t="shared" ref="CU29" si="222">CS29/CT29</f>
        <v>0</v>
      </c>
      <c r="CV29" s="116"/>
      <c r="CW29" s="122">
        <v>5</v>
      </c>
      <c r="CX29" s="118">
        <f t="shared" ref="CX29" si="223">CV29/CW29</f>
        <v>0</v>
      </c>
      <c r="CY29" s="116"/>
      <c r="CZ29" s="122">
        <v>5</v>
      </c>
      <c r="DA29" s="118">
        <f t="shared" ref="DA29" si="224">CY29/CZ29</f>
        <v>0</v>
      </c>
      <c r="DB29" s="116"/>
      <c r="DC29" s="122">
        <v>5</v>
      </c>
      <c r="DD29" s="118">
        <f t="shared" ref="DD29" si="225">DB29/DC29</f>
        <v>0</v>
      </c>
      <c r="DE29" s="116"/>
      <c r="DF29" s="122">
        <v>5</v>
      </c>
      <c r="DG29" s="118">
        <f t="shared" ref="DG29" si="226">DE29/DF29</f>
        <v>0</v>
      </c>
      <c r="DH29" s="116"/>
      <c r="DI29" s="122">
        <v>5</v>
      </c>
      <c r="DJ29" s="118">
        <f t="shared" ref="DJ29" si="227">DH29/DI29</f>
        <v>0</v>
      </c>
      <c r="DK29" s="116"/>
      <c r="DL29" s="122">
        <v>5</v>
      </c>
      <c r="DM29" s="118">
        <f t="shared" ref="DM29" si="228">DK29/DL29</f>
        <v>0</v>
      </c>
      <c r="DN29" s="116"/>
      <c r="DO29" s="122">
        <v>5</v>
      </c>
      <c r="DP29" s="118">
        <f t="shared" ref="DP29" si="229">DN29/DO29</f>
        <v>0</v>
      </c>
      <c r="DQ29" s="116"/>
      <c r="DR29" s="122">
        <v>5</v>
      </c>
      <c r="DS29" s="118">
        <f t="shared" ref="DS29" si="230">DQ29/DR29</f>
        <v>0</v>
      </c>
      <c r="DT29" s="116"/>
      <c r="DU29" s="122">
        <v>5</v>
      </c>
      <c r="DV29" s="118">
        <f t="shared" ref="DV29" si="231">DT29/DU29</f>
        <v>0</v>
      </c>
      <c r="DW29" s="116"/>
      <c r="DX29" s="122">
        <v>5</v>
      </c>
      <c r="DY29" s="118">
        <f t="shared" ref="DY29" si="232">DW29/DX29</f>
        <v>0</v>
      </c>
      <c r="DZ29" s="116"/>
      <c r="EA29" s="122">
        <v>5</v>
      </c>
      <c r="EB29" s="118">
        <f t="shared" ref="EB29" si="233">DZ29/EA29</f>
        <v>0</v>
      </c>
      <c r="EC29" s="116"/>
      <c r="ED29" s="122">
        <v>5</v>
      </c>
      <c r="EE29" s="118">
        <f t="shared" ref="EE29" si="234">EC29/ED29</f>
        <v>0</v>
      </c>
      <c r="EF29" s="116"/>
      <c r="EG29" s="122">
        <v>5</v>
      </c>
      <c r="EH29" s="118">
        <f t="shared" ref="EH29" si="235">EF29/EG29</f>
        <v>0</v>
      </c>
      <c r="EI29" s="116"/>
      <c r="EJ29" s="122">
        <v>5</v>
      </c>
      <c r="EK29" s="118">
        <f t="shared" ref="EK29" si="236">EI29/EJ29</f>
        <v>0</v>
      </c>
      <c r="EL29" s="116"/>
      <c r="EM29" s="122">
        <v>5</v>
      </c>
      <c r="EN29" s="118">
        <f t="shared" ref="EN29" si="237">EL29/EM29</f>
        <v>0</v>
      </c>
      <c r="EO29" s="116"/>
      <c r="EP29" s="122">
        <v>5</v>
      </c>
      <c r="EQ29" s="108">
        <f>EO29/EP29</f>
        <v>0</v>
      </c>
      <c r="ER29" s="85">
        <f t="array" ref="ER29">IFERROR(_xlfn.LET(
_xlpm.datos,CHOOSE({1;2;3;4;5;6;7;8;9;10;11;12;13;13;14;15;16;17;18;19;20;21;22;23;23;24;25;26;27;28;29;30;31;32;33;34;35;36;37;38;39;40;41;42;43;44;45;46;47},F29,I29,L29,O29,R29,U29,X29,AA29,AD29,AG29,AJ29,AM29,AP29,AS29,AV29,AY29,BB29,BE29,BH29,BK29,BQ29,BT29,BW29,BZ29,CC29,CF29,CI29,CL29,CO29,CR29,CU29,CX29,DA29,DD29,DG29,DJ29,DM29,DP29,DS29,DV29,DY29,EB29,EE29,EH29,EK29,EN29,EQ29),
AVERAGE(_xlfn._xlws.FILTER(_xlpm.datos,(_xlpm.datos&lt;&gt;0)*(_xlpm.datos&lt;&gt;"")))
),0)</f>
        <v>0</v>
      </c>
      <c r="ES29" s="86" t="str">
        <f t="array" ref="ES29">_xlfn.IFS(ER29&gt;=91.5%,"MENSUAL",ER29&gt;=75%,"QUINCENAL",ER29&lt;75%,"SEMANAL")</f>
        <v>SEMANAL</v>
      </c>
    </row>
    <row r="30" ht="16" customHeight="1" spans="2:149" x14ac:dyDescent="0.25">
      <c r="B30" s="124" t="s">
        <v>105</v>
      </c>
      <c r="C30" s="125"/>
      <c r="D30" s="126"/>
      <c r="E30" s="127"/>
      <c r="F30" s="82">
        <f>AVERAGE(F31:F35)</f>
        <v>0</v>
      </c>
      <c r="G30" s="126"/>
      <c r="H30" s="127"/>
      <c r="I30" s="82">
        <f>AVERAGE(I31:I35)</f>
        <v>0</v>
      </c>
      <c r="J30" s="126"/>
      <c r="K30" s="127"/>
      <c r="L30" s="82">
        <f>AVERAGE(L31:L35)</f>
        <v>0</v>
      </c>
      <c r="M30" s="126"/>
      <c r="N30" s="127"/>
      <c r="O30" s="82">
        <f>AVERAGE(O31:O35)</f>
        <v>0</v>
      </c>
      <c r="P30" s="126"/>
      <c r="Q30" s="127"/>
      <c r="R30" s="82">
        <f>AVERAGE(R31:R35)</f>
        <v>0</v>
      </c>
      <c r="S30" s="126"/>
      <c r="T30" s="127"/>
      <c r="U30" s="82">
        <f>AVERAGE(U31:U35)</f>
        <v>0</v>
      </c>
      <c r="V30" s="126"/>
      <c r="W30" s="127"/>
      <c r="X30" s="82">
        <f>AVERAGE(X31:X35)</f>
        <v>0</v>
      </c>
      <c r="Y30" s="126"/>
      <c r="Z30" s="127"/>
      <c r="AA30" s="82">
        <f>AVERAGE(AA31:AA35)</f>
        <v>0</v>
      </c>
      <c r="AB30" s="126"/>
      <c r="AC30" s="127"/>
      <c r="AD30" s="82">
        <f>AVERAGE(AD31:AD35)</f>
        <v>0</v>
      </c>
      <c r="AE30" s="126"/>
      <c r="AF30" s="127"/>
      <c r="AG30" s="82">
        <f>AVERAGE(AG31:AG35)</f>
        <v>0</v>
      </c>
      <c r="AH30" s="126"/>
      <c r="AI30" s="127"/>
      <c r="AJ30" s="82">
        <f>AVERAGE(AJ31:AJ35)</f>
        <v>0</v>
      </c>
      <c r="AK30" s="126"/>
      <c r="AL30" s="127"/>
      <c r="AM30" s="82">
        <f>AVERAGE(AM31:AM35)</f>
        <v>0</v>
      </c>
      <c r="AN30" s="126"/>
      <c r="AO30" s="136"/>
      <c r="AP30" s="82">
        <f>AVERAGE(AP31:AP35)</f>
        <v>0</v>
      </c>
      <c r="AQ30" s="128"/>
      <c r="AR30" s="129"/>
      <c r="AS30" s="82">
        <f>AVERAGE(AS31:AS35)</f>
        <v>0</v>
      </c>
      <c r="AT30" s="130"/>
      <c r="AU30" s="129"/>
      <c r="AV30" s="82">
        <f>AVERAGE(AV31:AV35)</f>
        <v>0</v>
      </c>
      <c r="AW30" s="126"/>
      <c r="AX30" s="136"/>
      <c r="AY30" s="82">
        <f>AVERAGE(AY31:AY35)</f>
        <v>0</v>
      </c>
      <c r="AZ30" s="137"/>
      <c r="BA30" s="138"/>
      <c r="BB30" s="82">
        <f>AVERAGE(BB31:BB35)</f>
        <v>0</v>
      </c>
      <c r="BC30" s="128"/>
      <c r="BD30" s="132"/>
      <c r="BE30" s="82">
        <f>AVERAGE(BE31:BE35)</f>
        <v>0</v>
      </c>
      <c r="BF30" s="128"/>
      <c r="BG30" s="132"/>
      <c r="BH30" s="82">
        <f>AVERAGE(BH31:BH35)</f>
        <v>0</v>
      </c>
      <c r="BI30" s="128"/>
      <c r="BJ30" s="132"/>
      <c r="BK30" s="82">
        <f>AVERAGE(BK31:BK35)</f>
        <v>0</v>
      </c>
      <c r="BL30" s="128"/>
      <c r="BM30" s="132"/>
      <c r="BN30" s="82">
        <f>AVERAGE(BN31:BN35)</f>
        <v>0</v>
      </c>
      <c r="BO30" s="128"/>
      <c r="BP30" s="132"/>
      <c r="BQ30" s="82">
        <f>AVERAGE(BQ31:BQ35)</f>
        <v>0</v>
      </c>
      <c r="BR30" s="128"/>
      <c r="BS30" s="132"/>
      <c r="BT30" s="82">
        <f>AVERAGE(BT31:BT35)</f>
        <v>0</v>
      </c>
      <c r="BU30" s="128"/>
      <c r="BV30" s="132"/>
      <c r="BW30" s="82">
        <f>AVERAGE(BW31:BW35)</f>
        <v>0</v>
      </c>
      <c r="BX30" s="128"/>
      <c r="BY30" s="132"/>
      <c r="BZ30" s="82">
        <f>AVERAGE(BZ31:BZ35)</f>
        <v>0</v>
      </c>
      <c r="CA30" s="126"/>
      <c r="CB30" s="127"/>
      <c r="CC30" s="82">
        <f>AVERAGE(CC31:CC35)</f>
        <v>0</v>
      </c>
      <c r="CD30" s="126"/>
      <c r="CE30" s="127"/>
      <c r="CF30" s="82">
        <f>AVERAGE(CF31:CF35)</f>
        <v>0</v>
      </c>
      <c r="CG30" s="126"/>
      <c r="CH30" s="127"/>
      <c r="CI30" s="82">
        <f>AVERAGE(CI31:CI35)</f>
        <v>0</v>
      </c>
      <c r="CJ30" s="126"/>
      <c r="CK30" s="127"/>
      <c r="CL30" s="82">
        <f>AVERAGE(CL31:CL35)</f>
        <v>0</v>
      </c>
      <c r="CM30" s="126"/>
      <c r="CN30" s="127"/>
      <c r="CO30" s="82">
        <f>AVERAGE(CO31:CO35)</f>
        <v>0</v>
      </c>
      <c r="CP30" s="126"/>
      <c r="CQ30" s="127"/>
      <c r="CR30" s="82">
        <f>AVERAGE(CR31:CR35)</f>
        <v>0</v>
      </c>
      <c r="CS30" s="126"/>
      <c r="CT30" s="127"/>
      <c r="CU30" s="82">
        <f>AVERAGE(CU31:CU35)</f>
        <v>0</v>
      </c>
      <c r="CV30" s="126"/>
      <c r="CW30" s="127"/>
      <c r="CX30" s="82">
        <f>AVERAGE(CX31:CX35)</f>
        <v>0</v>
      </c>
      <c r="CY30" s="126"/>
      <c r="CZ30" s="127"/>
      <c r="DA30" s="82">
        <f>AVERAGE(DA31:DA35)</f>
        <v>0</v>
      </c>
      <c r="DB30" s="126"/>
      <c r="DC30" s="127"/>
      <c r="DD30" s="82">
        <f>AVERAGE(DD31:DD35)</f>
        <v>0</v>
      </c>
      <c r="DE30" s="126"/>
      <c r="DF30" s="127"/>
      <c r="DG30" s="82">
        <f>AVERAGE(DG31:DG35)</f>
        <v>0</v>
      </c>
      <c r="DH30" s="126"/>
      <c r="DI30" s="127"/>
      <c r="DJ30" s="82">
        <f>AVERAGE(DJ31:DJ35)</f>
        <v>0</v>
      </c>
      <c r="DK30" s="126"/>
      <c r="DL30" s="127"/>
      <c r="DM30" s="82">
        <f>AVERAGE(DM31:DM35)</f>
        <v>0</v>
      </c>
      <c r="DN30" s="126"/>
      <c r="DO30" s="127"/>
      <c r="DP30" s="82">
        <f>AVERAGE(DP31:DP35)</f>
        <v>0</v>
      </c>
      <c r="DQ30" s="126"/>
      <c r="DR30" s="127"/>
      <c r="DS30" s="82">
        <f>AVERAGE(DS31:DS35)</f>
        <v>0</v>
      </c>
      <c r="DT30" s="126"/>
      <c r="DU30" s="127"/>
      <c r="DV30" s="82">
        <f>AVERAGE(DV31:DV35)</f>
        <v>0</v>
      </c>
      <c r="DW30" s="126"/>
      <c r="DX30" s="127"/>
      <c r="DY30" s="82">
        <f>AVERAGE(DY31:DY35)</f>
        <v>0</v>
      </c>
      <c r="DZ30" s="126"/>
      <c r="EA30" s="127"/>
      <c r="EB30" s="82">
        <f>AVERAGE(EB31:EB35)</f>
        <v>0</v>
      </c>
      <c r="EC30" s="126"/>
      <c r="ED30" s="127"/>
      <c r="EE30" s="82">
        <f>AVERAGE(EE31:EE35)</f>
        <v>0</v>
      </c>
      <c r="EF30" s="126"/>
      <c r="EG30" s="127"/>
      <c r="EH30" s="82">
        <f>AVERAGE(EH31:EH35)</f>
        <v>0</v>
      </c>
      <c r="EI30" s="126"/>
      <c r="EJ30" s="127"/>
      <c r="EK30" s="82">
        <f>AVERAGE(EK31:EK35)</f>
        <v>0</v>
      </c>
      <c r="EL30" s="126"/>
      <c r="EM30" s="127"/>
      <c r="EN30" s="82">
        <f>AVERAGE(EN31:EN35)</f>
        <v>0</v>
      </c>
      <c r="EO30" s="126"/>
      <c r="EP30" s="127"/>
      <c r="EQ30" s="84">
        <f>AVERAGE(EQ31:EQ35)</f>
        <v>0</v>
      </c>
      <c r="ER30" s="85">
        <f t="array" ref="ER30">IFERROR(_xlfn.LET(
_xlpm.datos,CHOOSE({1;2;3;4;5;6;7;8;9;10;11;12;13;13;14;15;16;17;18;19;20;21;22;23;23;24;25;26;27;28;29;30;31;32;33;34;35;36;37;38;39;40;41;42;43;44;45;46;47},F30,I30,L30,O30,R30,U30,X30,AA30,AD30,AG30,AJ30,AM30,AP30,AS30,AV30,AY30,BB30,BE30,BH30,BK30,BQ30,BT30,BW30,BZ30,CC30,CF30,CI30,CL30,CO30,CR30,CU30,CX30,DA30,DD30,DG30,DJ30,DM30,DP30,DS30,DV30,DY30,EB30,EE30,EH30,EK30,EN30,EQ30),
AVERAGE(_xlfn._xlws.FILTER(_xlpm.datos,(_xlpm.datos&lt;&gt;0)*(_xlpm.datos&lt;&gt;"")))
),0)</f>
        <v>0</v>
      </c>
      <c r="ES30" s="86" t="str">
        <f t="array" ref="ES30">_xlfn.IFS(ER30&gt;=91.5%,"MENSUAL",ER30&gt;=75%,"QUINCENAL",ER30&lt;75%,"SEMANAL")</f>
        <v>SEMANAL</v>
      </c>
    </row>
    <row r="31" ht="15.5" customHeight="1" spans="2:149" x14ac:dyDescent="0.25">
      <c r="B31" s="88" t="s">
        <v>106</v>
      </c>
      <c r="C31" s="101"/>
      <c r="D31" s="90"/>
      <c r="E31" s="91">
        <v>5</v>
      </c>
      <c r="F31" s="92">
        <f>D31/E31</f>
        <v>0</v>
      </c>
      <c r="G31" s="90"/>
      <c r="H31" s="91">
        <v>5</v>
      </c>
      <c r="I31" s="92">
        <f>G31/H31</f>
        <v>0</v>
      </c>
      <c r="J31" s="93"/>
      <c r="K31" s="91">
        <v>5</v>
      </c>
      <c r="L31" s="92">
        <f>J31/K31</f>
        <v>0</v>
      </c>
      <c r="M31" s="93"/>
      <c r="N31" s="91">
        <v>5</v>
      </c>
      <c r="O31" s="92">
        <f>M31/N31</f>
        <v>0</v>
      </c>
      <c r="P31" s="94"/>
      <c r="Q31" s="95">
        <v>5</v>
      </c>
      <c r="R31" s="92">
        <f>P31/Q31</f>
        <v>0</v>
      </c>
      <c r="S31" s="90"/>
      <c r="T31" s="95">
        <v>5</v>
      </c>
      <c r="U31" s="92">
        <f>S31/T31</f>
        <v>0</v>
      </c>
      <c r="V31" s="90"/>
      <c r="W31" s="95">
        <v>5</v>
      </c>
      <c r="X31" s="92">
        <f>V31/W31</f>
        <v>0</v>
      </c>
      <c r="Y31" s="90"/>
      <c r="Z31" s="95">
        <v>5</v>
      </c>
      <c r="AA31" s="92">
        <f>Y31/Z31</f>
        <v>0</v>
      </c>
      <c r="AB31" s="94"/>
      <c r="AC31" s="95">
        <v>5</v>
      </c>
      <c r="AD31" s="92">
        <f>AB31/AC31</f>
        <v>0</v>
      </c>
      <c r="AE31" s="94"/>
      <c r="AF31" s="95">
        <v>5</v>
      </c>
      <c r="AG31" s="92">
        <f>AE31/AF31</f>
        <v>0</v>
      </c>
      <c r="AH31" s="94"/>
      <c r="AI31" s="95">
        <v>5</v>
      </c>
      <c r="AJ31" s="92">
        <f>AH31/AI31</f>
        <v>0</v>
      </c>
      <c r="AK31" s="94"/>
      <c r="AL31" s="95">
        <v>5</v>
      </c>
      <c r="AM31" s="92">
        <f>AK31/AL31</f>
        <v>0</v>
      </c>
      <c r="AN31" s="90"/>
      <c r="AO31" s="96">
        <v>5</v>
      </c>
      <c r="AP31" s="92">
        <f>AN31/AO31</f>
        <v>0</v>
      </c>
      <c r="AQ31" s="90"/>
      <c r="AR31" s="96">
        <v>5</v>
      </c>
      <c r="AS31" s="92">
        <f>AQ31/AR31</f>
        <v>0</v>
      </c>
      <c r="AT31" s="90"/>
      <c r="AU31" s="96">
        <v>5</v>
      </c>
      <c r="AV31" s="92">
        <f>AT31/AU31</f>
        <v>0</v>
      </c>
      <c r="AW31" s="90"/>
      <c r="AX31" s="96">
        <v>5</v>
      </c>
      <c r="AY31" s="92">
        <f>AW31/AX31</f>
        <v>0</v>
      </c>
      <c r="AZ31" s="90"/>
      <c r="BA31" s="96">
        <v>5</v>
      </c>
      <c r="BB31" s="92">
        <f>AZ31/BA31</f>
        <v>0</v>
      </c>
      <c r="BC31" s="90"/>
      <c r="BD31" s="96">
        <v>5</v>
      </c>
      <c r="BE31" s="92">
        <f>BC31/BD31</f>
        <v>0</v>
      </c>
      <c r="BF31" s="90"/>
      <c r="BG31" s="96">
        <v>5</v>
      </c>
      <c r="BH31" s="92">
        <f>BF31/BG31</f>
        <v>0</v>
      </c>
      <c r="BI31" s="90"/>
      <c r="BJ31" s="96">
        <v>5</v>
      </c>
      <c r="BK31" s="92">
        <f>BI31/BJ31</f>
        <v>0</v>
      </c>
      <c r="BL31" s="90"/>
      <c r="BM31" s="96">
        <v>5</v>
      </c>
      <c r="BN31" s="92">
        <f>BL31/BM31</f>
        <v>0</v>
      </c>
      <c r="BO31" s="90"/>
      <c r="BP31" s="96">
        <v>5</v>
      </c>
      <c r="BQ31" s="92">
        <f>BO31/BP31</f>
        <v>0</v>
      </c>
      <c r="BR31" s="90"/>
      <c r="BS31" s="96">
        <v>5</v>
      </c>
      <c r="BT31" s="92">
        <f>BR31/BS31</f>
        <v>0</v>
      </c>
      <c r="BU31" s="90"/>
      <c r="BV31" s="96">
        <v>5</v>
      </c>
      <c r="BW31" s="92">
        <f>BU31/BV31</f>
        <v>0</v>
      </c>
      <c r="BX31" s="90"/>
      <c r="BY31" s="96">
        <v>5</v>
      </c>
      <c r="BZ31" s="92">
        <f>BX31/BY31</f>
        <v>0</v>
      </c>
      <c r="CA31" s="90"/>
      <c r="CB31" s="96">
        <v>5</v>
      </c>
      <c r="CC31" s="92">
        <f>CA31/CB31</f>
        <v>0</v>
      </c>
      <c r="CD31" s="90"/>
      <c r="CE31" s="96">
        <v>5</v>
      </c>
      <c r="CF31" s="92">
        <f>CD31/CE31</f>
        <v>0</v>
      </c>
      <c r="CG31" s="90"/>
      <c r="CH31" s="96">
        <v>5</v>
      </c>
      <c r="CI31" s="92">
        <f>CG31/CH31</f>
        <v>0</v>
      </c>
      <c r="CJ31" s="90"/>
      <c r="CK31" s="96">
        <v>5</v>
      </c>
      <c r="CL31" s="92">
        <f>CJ31/CK31</f>
        <v>0</v>
      </c>
      <c r="CM31" s="90"/>
      <c r="CN31" s="96">
        <v>5</v>
      </c>
      <c r="CO31" s="92">
        <f>CM31/CN31</f>
        <v>0</v>
      </c>
      <c r="CP31" s="90"/>
      <c r="CQ31" s="96">
        <v>5</v>
      </c>
      <c r="CR31" s="92">
        <f>CP31/CQ31</f>
        <v>0</v>
      </c>
      <c r="CS31" s="90"/>
      <c r="CT31" s="96">
        <v>5</v>
      </c>
      <c r="CU31" s="92">
        <f>CS31/CT31</f>
        <v>0</v>
      </c>
      <c r="CV31" s="90"/>
      <c r="CW31" s="96">
        <v>5</v>
      </c>
      <c r="CX31" s="92">
        <f>CV31/CW31</f>
        <v>0</v>
      </c>
      <c r="CY31" s="90"/>
      <c r="CZ31" s="96">
        <v>5</v>
      </c>
      <c r="DA31" s="92">
        <f>CY31/CZ31</f>
        <v>0</v>
      </c>
      <c r="DB31" s="90"/>
      <c r="DC31" s="96">
        <v>5</v>
      </c>
      <c r="DD31" s="92">
        <f>DB31/DC31</f>
        <v>0</v>
      </c>
      <c r="DE31" s="90"/>
      <c r="DF31" s="96">
        <v>5</v>
      </c>
      <c r="DG31" s="92">
        <f>DE31/DF31</f>
        <v>0</v>
      </c>
      <c r="DH31" s="90"/>
      <c r="DI31" s="96">
        <v>5</v>
      </c>
      <c r="DJ31" s="92">
        <f>DH31/DI31</f>
        <v>0</v>
      </c>
      <c r="DK31" s="90"/>
      <c r="DL31" s="96">
        <v>5</v>
      </c>
      <c r="DM31" s="92">
        <f>DK31/DL31</f>
        <v>0</v>
      </c>
      <c r="DN31" s="90"/>
      <c r="DO31" s="96">
        <v>5</v>
      </c>
      <c r="DP31" s="92">
        <f>DN31/DO31</f>
        <v>0</v>
      </c>
      <c r="DQ31" s="90"/>
      <c r="DR31" s="96">
        <v>5</v>
      </c>
      <c r="DS31" s="92">
        <f>DQ31/DR31</f>
        <v>0</v>
      </c>
      <c r="DT31" s="90"/>
      <c r="DU31" s="96">
        <v>5</v>
      </c>
      <c r="DV31" s="92">
        <f>DT31/DU31</f>
        <v>0</v>
      </c>
      <c r="DW31" s="90"/>
      <c r="DX31" s="96">
        <v>5</v>
      </c>
      <c r="DY31" s="92">
        <f>DW31/DX31</f>
        <v>0</v>
      </c>
      <c r="DZ31" s="90"/>
      <c r="EA31" s="96">
        <v>5</v>
      </c>
      <c r="EB31" s="92">
        <f>DZ31/EA31</f>
        <v>0</v>
      </c>
      <c r="EC31" s="90"/>
      <c r="ED31" s="96">
        <v>5</v>
      </c>
      <c r="EE31" s="92">
        <f>EC31/ED31</f>
        <v>0</v>
      </c>
      <c r="EF31" s="90"/>
      <c r="EG31" s="96">
        <v>5</v>
      </c>
      <c r="EH31" s="92">
        <f>EF31/EG31</f>
        <v>0</v>
      </c>
      <c r="EI31" s="90"/>
      <c r="EJ31" s="96">
        <v>5</v>
      </c>
      <c r="EK31" s="92">
        <f>EI31/EJ31</f>
        <v>0</v>
      </c>
      <c r="EL31" s="90"/>
      <c r="EM31" s="96">
        <v>5</v>
      </c>
      <c r="EN31" s="92">
        <f>EL31/EM31</f>
        <v>0</v>
      </c>
      <c r="EO31" s="90"/>
      <c r="EP31" s="96">
        <v>5</v>
      </c>
      <c r="EQ31" s="97">
        <f>EO31/EP31</f>
        <v>0</v>
      </c>
      <c r="ER31" s="85">
        <f t="array" ref="ER31">IFERROR(_xlfn.LET(
_xlpm.datos,CHOOSE({1;2;3;4;5;6;7;8;9;10;11;12;13;13;14;15;16;17;18;19;20;21;22;23;23;24;25;26;27;28;29;30;31;32;33;34;35;36;37;38;39;40;41;42;43;44;45;46;47},F31,I31,L31,O31,R31,U31,X31,AA31,AD31,AG31,AJ31,AM31,AP31,AS31,AV31,AY31,BB31,BE31,BH31,BK31,BQ31,BT31,BW31,BZ31,CC31,CF31,CI31,CL31,CO31,CR31,CU31,CX31,DA31,DD31,DG31,DJ31,DM31,DP31,DS31,DV31,DY31,EB31,EE31,EH31,EK31,EN31,EQ31),
AVERAGE(_xlfn._xlws.FILTER(_xlpm.datos,(_xlpm.datos&lt;&gt;0)*(_xlpm.datos&lt;&gt;"")))
),0)</f>
        <v>0</v>
      </c>
      <c r="ES31" s="86" t="str">
        <f t="array" ref="ES31">_xlfn.IFS(ER31&gt;=91.5%,"MENSUAL",ER31&gt;=75%,"QUINCENAL",ER31&lt;75%,"SEMANAL")</f>
        <v>SEMANAL</v>
      </c>
    </row>
    <row r="32" ht="15.5" customHeight="1" spans="2:149" x14ac:dyDescent="0.25">
      <c r="B32" s="100" t="s">
        <v>107</v>
      </c>
      <c r="C32" s="101"/>
      <c r="D32" s="102"/>
      <c r="E32" s="103">
        <v>5</v>
      </c>
      <c r="F32" s="104">
        <f t="shared" ref="F32:F35" si="238">D32/E32</f>
        <v>0</v>
      </c>
      <c r="G32" s="102"/>
      <c r="H32" s="103">
        <v>5</v>
      </c>
      <c r="I32" s="104">
        <f t="shared" ref="I32:I35" si="239">G32/H32</f>
        <v>0</v>
      </c>
      <c r="J32" s="105"/>
      <c r="K32" s="103">
        <v>5</v>
      </c>
      <c r="L32" s="104">
        <f t="shared" ref="L32:L35" si="240">J32/K32</f>
        <v>0</v>
      </c>
      <c r="M32" s="105"/>
      <c r="N32" s="103">
        <v>5</v>
      </c>
      <c r="O32" s="104">
        <f t="shared" ref="O32:O35" si="241">M32/N32</f>
        <v>0</v>
      </c>
      <c r="P32" s="106"/>
      <c r="Q32" s="107">
        <v>5</v>
      </c>
      <c r="R32" s="104">
        <f t="shared" ref="R32:R35" si="242">P32/Q32</f>
        <v>0</v>
      </c>
      <c r="S32" s="102"/>
      <c r="T32" s="107">
        <v>5</v>
      </c>
      <c r="U32" s="104">
        <f t="shared" ref="U32:U35" si="243">S32/T32</f>
        <v>0</v>
      </c>
      <c r="V32" s="102"/>
      <c r="W32" s="107">
        <v>5</v>
      </c>
      <c r="X32" s="104">
        <f t="shared" ref="X32:X35" si="244">V32/W32</f>
        <v>0</v>
      </c>
      <c r="Y32" s="102"/>
      <c r="Z32" s="107">
        <v>5</v>
      </c>
      <c r="AA32" s="104">
        <f t="shared" ref="AA32:AA35" si="245">Y32/Z32</f>
        <v>0</v>
      </c>
      <c r="AB32" s="106"/>
      <c r="AC32" s="107">
        <v>5</v>
      </c>
      <c r="AD32" s="104">
        <f t="shared" ref="AD32:AD35" si="246">AB32/AC32</f>
        <v>0</v>
      </c>
      <c r="AE32" s="106"/>
      <c r="AF32" s="107">
        <v>5</v>
      </c>
      <c r="AG32" s="104">
        <f t="shared" ref="AG32:AG35" si="247">AE32/AF32</f>
        <v>0</v>
      </c>
      <c r="AH32" s="106"/>
      <c r="AI32" s="107">
        <v>5</v>
      </c>
      <c r="AJ32" s="104">
        <f t="shared" ref="AJ32:AJ35" si="248">AH32/AI32</f>
        <v>0</v>
      </c>
      <c r="AK32" s="106"/>
      <c r="AL32" s="107">
        <v>5</v>
      </c>
      <c r="AM32" s="104">
        <f t="shared" ref="AM32:AM35" si="249">AK32/AL32</f>
        <v>0</v>
      </c>
      <c r="AN32" s="102"/>
      <c r="AO32" s="1">
        <v>5</v>
      </c>
      <c r="AP32" s="104">
        <f t="shared" ref="AP32:AP35" si="250">AN32/AO32</f>
        <v>0</v>
      </c>
      <c r="AQ32" s="102"/>
      <c r="AR32" s="1">
        <v>5</v>
      </c>
      <c r="AS32" s="104">
        <f t="shared" ref="AS32:AS35" si="251">AQ32/AR32</f>
        <v>0</v>
      </c>
      <c r="AT32" s="102"/>
      <c r="AU32" s="1">
        <v>5</v>
      </c>
      <c r="AV32" s="104">
        <f t="shared" ref="AV32:AV35" si="252">AT32/AU32</f>
        <v>0</v>
      </c>
      <c r="AW32" s="102"/>
      <c r="AX32" s="1">
        <v>5</v>
      </c>
      <c r="AY32" s="104">
        <f t="shared" ref="AY32:AY35" si="253">AW32/AX32</f>
        <v>0</v>
      </c>
      <c r="AZ32" s="102"/>
      <c r="BA32" s="1">
        <v>5</v>
      </c>
      <c r="BB32" s="104">
        <f t="shared" ref="BB32:BB35" si="254">AZ32/BA32</f>
        <v>0</v>
      </c>
      <c r="BC32" s="102"/>
      <c r="BD32" s="1">
        <v>5</v>
      </c>
      <c r="BE32" s="104">
        <f t="shared" ref="BE32:BE35" si="255">BC32/BD32</f>
        <v>0</v>
      </c>
      <c r="BF32" s="102"/>
      <c r="BG32" s="1">
        <v>5</v>
      </c>
      <c r="BH32" s="104">
        <f t="shared" ref="BH32:BH35" si="256">BF32/BG32</f>
        <v>0</v>
      </c>
      <c r="BI32" s="102"/>
      <c r="BJ32" s="1">
        <v>5</v>
      </c>
      <c r="BK32" s="104">
        <f t="shared" ref="BK32:BK35" si="257">BI32/BJ32</f>
        <v>0</v>
      </c>
      <c r="BL32" s="102"/>
      <c r="BM32" s="1">
        <v>5</v>
      </c>
      <c r="BN32" s="104">
        <f t="shared" ref="BN32:BN35" si="258">BL32/BM32</f>
        <v>0</v>
      </c>
      <c r="BO32" s="102"/>
      <c r="BP32" s="1">
        <v>5</v>
      </c>
      <c r="BQ32" s="104">
        <f t="shared" ref="BQ32:BQ35" si="259">BO32/BP32</f>
        <v>0</v>
      </c>
      <c r="BR32" s="102"/>
      <c r="BS32" s="1">
        <v>5</v>
      </c>
      <c r="BT32" s="104">
        <f t="shared" ref="BT32:BT35" si="260">BR32/BS32</f>
        <v>0</v>
      </c>
      <c r="BU32" s="102"/>
      <c r="BV32" s="1">
        <v>5</v>
      </c>
      <c r="BW32" s="104">
        <f t="shared" ref="BW32:BW35" si="261">BU32/BV32</f>
        <v>0</v>
      </c>
      <c r="BX32" s="102"/>
      <c r="BY32" s="1">
        <v>5</v>
      </c>
      <c r="BZ32" s="104">
        <f t="shared" ref="BZ32:BZ35" si="262">BX32/BY32</f>
        <v>0</v>
      </c>
      <c r="CA32" s="102"/>
      <c r="CB32" s="1">
        <v>5</v>
      </c>
      <c r="CC32" s="104">
        <f t="shared" ref="CC32:CC35" si="263">CA32/CB32</f>
        <v>0</v>
      </c>
      <c r="CD32" s="102"/>
      <c r="CE32" s="1">
        <v>5</v>
      </c>
      <c r="CF32" s="104">
        <f t="shared" ref="CF32:CF35" si="264">CD32/CE32</f>
        <v>0</v>
      </c>
      <c r="CG32" s="102"/>
      <c r="CH32" s="1">
        <v>5</v>
      </c>
      <c r="CI32" s="104">
        <f t="shared" ref="CI32:CI35" si="265">CG32/CH32</f>
        <v>0</v>
      </c>
      <c r="CJ32" s="102"/>
      <c r="CK32" s="1">
        <v>5</v>
      </c>
      <c r="CL32" s="104">
        <f t="shared" ref="CL32:CL35" si="266">CJ32/CK32</f>
        <v>0</v>
      </c>
      <c r="CM32" s="102"/>
      <c r="CN32" s="1">
        <v>5</v>
      </c>
      <c r="CO32" s="104">
        <f t="shared" ref="CO32:CO35" si="267">CM32/CN32</f>
        <v>0</v>
      </c>
      <c r="CP32" s="102"/>
      <c r="CQ32" s="1">
        <v>5</v>
      </c>
      <c r="CR32" s="104">
        <f t="shared" ref="CR32:CR35" si="268">CP32/CQ32</f>
        <v>0</v>
      </c>
      <c r="CS32" s="102"/>
      <c r="CT32" s="1">
        <v>5</v>
      </c>
      <c r="CU32" s="104">
        <f t="shared" ref="CU32:CU35" si="269">CS32/CT32</f>
        <v>0</v>
      </c>
      <c r="CV32" s="102"/>
      <c r="CW32" s="1">
        <v>5</v>
      </c>
      <c r="CX32" s="104">
        <f t="shared" ref="CX32:CX35" si="270">CV32/CW32</f>
        <v>0</v>
      </c>
      <c r="CY32" s="102"/>
      <c r="CZ32" s="1">
        <v>5</v>
      </c>
      <c r="DA32" s="104">
        <f t="shared" ref="DA32:DA35" si="271">CY32/CZ32</f>
        <v>0</v>
      </c>
      <c r="DB32" s="102"/>
      <c r="DC32" s="1">
        <v>5</v>
      </c>
      <c r="DD32" s="104">
        <f t="shared" ref="DD32:DD35" si="272">DB32/DC32</f>
        <v>0</v>
      </c>
      <c r="DE32" s="102"/>
      <c r="DF32" s="1">
        <v>5</v>
      </c>
      <c r="DG32" s="104">
        <f t="shared" ref="DG32:DG35" si="273">DE32/DF32</f>
        <v>0</v>
      </c>
      <c r="DH32" s="102"/>
      <c r="DI32" s="1">
        <v>5</v>
      </c>
      <c r="DJ32" s="104">
        <f t="shared" ref="DJ32:DJ35" si="274">DH32/DI32</f>
        <v>0</v>
      </c>
      <c r="DK32" s="102"/>
      <c r="DL32" s="1">
        <v>5</v>
      </c>
      <c r="DM32" s="104">
        <f t="shared" ref="DM32:DM35" si="275">DK32/DL32</f>
        <v>0</v>
      </c>
      <c r="DN32" s="102"/>
      <c r="DO32" s="1">
        <v>5</v>
      </c>
      <c r="DP32" s="104">
        <f t="shared" ref="DP32:DP35" si="276">DN32/DO32</f>
        <v>0</v>
      </c>
      <c r="DQ32" s="102"/>
      <c r="DR32" s="1">
        <v>5</v>
      </c>
      <c r="DS32" s="104">
        <f t="shared" ref="DS32:DS35" si="277">DQ32/DR32</f>
        <v>0</v>
      </c>
      <c r="DT32" s="102"/>
      <c r="DU32" s="1">
        <v>5</v>
      </c>
      <c r="DV32" s="104">
        <f t="shared" ref="DV32:DV35" si="278">DT32/DU32</f>
        <v>0</v>
      </c>
      <c r="DW32" s="102"/>
      <c r="DX32" s="1">
        <v>5</v>
      </c>
      <c r="DY32" s="104">
        <f t="shared" ref="DY32:DY35" si="279">DW32/DX32</f>
        <v>0</v>
      </c>
      <c r="DZ32" s="102"/>
      <c r="EA32" s="1">
        <v>5</v>
      </c>
      <c r="EB32" s="104">
        <f t="shared" ref="EB32:EB35" si="280">DZ32/EA32</f>
        <v>0</v>
      </c>
      <c r="EC32" s="102"/>
      <c r="ED32" s="1">
        <v>5</v>
      </c>
      <c r="EE32" s="104">
        <f t="shared" ref="EE32:EE35" si="281">EC32/ED32</f>
        <v>0</v>
      </c>
      <c r="EF32" s="102"/>
      <c r="EG32" s="1">
        <v>5</v>
      </c>
      <c r="EH32" s="104">
        <f t="shared" ref="EH32:EH35" si="282">EF32/EG32</f>
        <v>0</v>
      </c>
      <c r="EI32" s="102"/>
      <c r="EJ32" s="1">
        <v>5</v>
      </c>
      <c r="EK32" s="104">
        <f t="shared" ref="EK32:EK35" si="283">EI32/EJ32</f>
        <v>0</v>
      </c>
      <c r="EL32" s="102"/>
      <c r="EM32" s="1">
        <v>5</v>
      </c>
      <c r="EN32" s="104">
        <f t="shared" ref="EN32:EN35" si="284">EL32/EM32</f>
        <v>0</v>
      </c>
      <c r="EO32" s="102"/>
      <c r="EP32" s="1">
        <v>5</v>
      </c>
      <c r="EQ32" s="108">
        <f t="shared" ref="EQ32:EQ35" si="285">EO32/EP32</f>
        <v>0</v>
      </c>
      <c r="ER32" s="85">
        <f t="array" ref="ER32">IFERROR(_xlfn.LET(
_xlpm.datos,CHOOSE({1;2;3;4;5;6;7;8;9;10;11;12;13;13;14;15;16;17;18;19;20;21;22;23;23;24;25;26;27;28;29;30;31;32;33;34;35;36;37;38;39;40;41;42;43;44;45;46;47},F32,I32,L32,O32,R32,U32,X32,AA32,AD32,AG32,AJ32,AM32,AP32,AS32,AV32,AY32,BB32,BE32,BH32,BK32,BQ32,BT32,BW32,BZ32,CC32,CF32,CI32,CL32,CO32,CR32,CU32,CX32,DA32,DD32,DG32,DJ32,DM32,DP32,DS32,DV32,DY32,EB32,EE32,EH32,EK32,EN32,EQ32),
AVERAGE(_xlfn._xlws.FILTER(_xlpm.datos,(_xlpm.datos&lt;&gt;0)*(_xlpm.datos&lt;&gt;"")))
),0)</f>
        <v>0</v>
      </c>
      <c r="ES32" s="86" t="str">
        <f t="array" ref="ES32">_xlfn.IFS(ER32&gt;=91.5%,"MENSUAL",ER32&gt;=75%,"QUINCENAL",ER32&lt;75%,"SEMANAL")</f>
        <v>SEMANAL</v>
      </c>
    </row>
    <row r="33" ht="15.5" customHeight="1" spans="2:149" x14ac:dyDescent="0.25">
      <c r="B33" s="100" t="s">
        <v>108</v>
      </c>
      <c r="C33" s="101"/>
      <c r="D33" s="102"/>
      <c r="E33" s="103">
        <v>5</v>
      </c>
      <c r="F33" s="104">
        <f t="shared" si="238"/>
        <v>0</v>
      </c>
      <c r="G33" s="102"/>
      <c r="H33" s="103">
        <v>5</v>
      </c>
      <c r="I33" s="104">
        <f t="shared" si="239"/>
        <v>0</v>
      </c>
      <c r="J33" s="105"/>
      <c r="K33" s="103">
        <v>5</v>
      </c>
      <c r="L33" s="104">
        <f t="shared" si="240"/>
        <v>0</v>
      </c>
      <c r="M33" s="105"/>
      <c r="N33" s="103">
        <v>5</v>
      </c>
      <c r="O33" s="104">
        <f t="shared" si="241"/>
        <v>0</v>
      </c>
      <c r="P33" s="106"/>
      <c r="Q33" s="107">
        <v>5</v>
      </c>
      <c r="R33" s="104">
        <f t="shared" si="242"/>
        <v>0</v>
      </c>
      <c r="S33" s="102"/>
      <c r="T33" s="107">
        <v>5</v>
      </c>
      <c r="U33" s="104">
        <f t="shared" si="243"/>
        <v>0</v>
      </c>
      <c r="V33" s="102"/>
      <c r="W33" s="1">
        <v>5</v>
      </c>
      <c r="X33" s="104">
        <f t="shared" si="244"/>
        <v>0</v>
      </c>
      <c r="Y33" s="105"/>
      <c r="Z33" s="103">
        <v>5</v>
      </c>
      <c r="AA33" s="104">
        <f t="shared" si="245"/>
        <v>0</v>
      </c>
      <c r="AB33" s="102"/>
      <c r="AC33" s="103">
        <v>5</v>
      </c>
      <c r="AD33" s="104">
        <f t="shared" si="246"/>
        <v>0</v>
      </c>
      <c r="AE33" s="105"/>
      <c r="AF33" s="103">
        <v>5</v>
      </c>
      <c r="AG33" s="104">
        <f t="shared" si="247"/>
        <v>0</v>
      </c>
      <c r="AH33" s="105"/>
      <c r="AI33" s="103">
        <v>5</v>
      </c>
      <c r="AJ33" s="104">
        <f t="shared" si="248"/>
        <v>0</v>
      </c>
      <c r="AK33" s="105"/>
      <c r="AL33" s="103">
        <v>5</v>
      </c>
      <c r="AM33" s="104">
        <f t="shared" si="249"/>
        <v>0</v>
      </c>
      <c r="AN33" s="102"/>
      <c r="AO33" s="1">
        <v>5</v>
      </c>
      <c r="AP33" s="104">
        <f t="shared" si="250"/>
        <v>0</v>
      </c>
      <c r="AQ33" s="102"/>
      <c r="AR33" s="1">
        <v>5</v>
      </c>
      <c r="AS33" s="104">
        <f t="shared" si="251"/>
        <v>0</v>
      </c>
      <c r="AT33" s="102"/>
      <c r="AU33" s="1">
        <v>5</v>
      </c>
      <c r="AV33" s="104">
        <f t="shared" si="252"/>
        <v>0</v>
      </c>
      <c r="AW33" s="102"/>
      <c r="AX33" s="1">
        <v>5</v>
      </c>
      <c r="AY33" s="104">
        <f t="shared" si="253"/>
        <v>0</v>
      </c>
      <c r="AZ33" s="112"/>
      <c r="BA33" s="113">
        <v>5</v>
      </c>
      <c r="BB33" s="104">
        <f t="shared" si="254"/>
        <v>0</v>
      </c>
      <c r="BC33" s="112"/>
      <c r="BD33" s="113">
        <v>5</v>
      </c>
      <c r="BE33" s="104">
        <f t="shared" si="255"/>
        <v>0</v>
      </c>
      <c r="BF33" s="112"/>
      <c r="BG33" s="113">
        <v>5</v>
      </c>
      <c r="BH33" s="104">
        <f t="shared" si="256"/>
        <v>0</v>
      </c>
      <c r="BI33" s="102"/>
      <c r="BJ33" s="1">
        <v>5</v>
      </c>
      <c r="BK33" s="104">
        <f t="shared" si="257"/>
        <v>0</v>
      </c>
      <c r="BL33" s="102"/>
      <c r="BM33" s="1">
        <v>5</v>
      </c>
      <c r="BN33" s="104">
        <f t="shared" si="258"/>
        <v>0</v>
      </c>
      <c r="BO33" s="102"/>
      <c r="BP33" s="1">
        <v>5</v>
      </c>
      <c r="BQ33" s="104">
        <f t="shared" si="259"/>
        <v>0</v>
      </c>
      <c r="BR33" s="102"/>
      <c r="BS33" s="1">
        <v>5</v>
      </c>
      <c r="BT33" s="104">
        <f t="shared" si="260"/>
        <v>0</v>
      </c>
      <c r="BU33" s="102"/>
      <c r="BV33" s="1">
        <v>5</v>
      </c>
      <c r="BW33" s="104">
        <f t="shared" si="261"/>
        <v>0</v>
      </c>
      <c r="BX33" s="112"/>
      <c r="BY33" s="113">
        <v>5</v>
      </c>
      <c r="BZ33" s="104">
        <f t="shared" si="262"/>
        <v>0</v>
      </c>
      <c r="CA33" s="112"/>
      <c r="CB33" s="113">
        <v>5</v>
      </c>
      <c r="CC33" s="104">
        <f t="shared" si="263"/>
        <v>0</v>
      </c>
      <c r="CD33" s="112"/>
      <c r="CE33" s="113">
        <v>5</v>
      </c>
      <c r="CF33" s="104">
        <f t="shared" si="264"/>
        <v>0</v>
      </c>
      <c r="CG33" s="102"/>
      <c r="CH33" s="1">
        <v>5</v>
      </c>
      <c r="CI33" s="104">
        <f t="shared" si="265"/>
        <v>0</v>
      </c>
      <c r="CJ33" s="102"/>
      <c r="CK33" s="1">
        <v>5</v>
      </c>
      <c r="CL33" s="104">
        <f t="shared" si="266"/>
        <v>0</v>
      </c>
      <c r="CM33" s="102"/>
      <c r="CN33" s="1">
        <v>5</v>
      </c>
      <c r="CO33" s="104">
        <f t="shared" si="267"/>
        <v>0</v>
      </c>
      <c r="CP33" s="112"/>
      <c r="CQ33" s="113">
        <v>5</v>
      </c>
      <c r="CR33" s="104">
        <f t="shared" si="268"/>
        <v>0</v>
      </c>
      <c r="CS33" s="112"/>
      <c r="CT33" s="113">
        <v>5</v>
      </c>
      <c r="CU33" s="104">
        <f t="shared" si="269"/>
        <v>0</v>
      </c>
      <c r="CV33" s="112"/>
      <c r="CW33" s="113">
        <v>5</v>
      </c>
      <c r="CX33" s="104">
        <f t="shared" si="270"/>
        <v>0</v>
      </c>
      <c r="CY33" s="102"/>
      <c r="CZ33" s="1">
        <v>5</v>
      </c>
      <c r="DA33" s="104">
        <f t="shared" si="271"/>
        <v>0</v>
      </c>
      <c r="DB33" s="112"/>
      <c r="DC33" s="113">
        <v>5</v>
      </c>
      <c r="DD33" s="104">
        <f t="shared" si="272"/>
        <v>0</v>
      </c>
      <c r="DE33" s="112"/>
      <c r="DF33" s="113">
        <v>5</v>
      </c>
      <c r="DG33" s="104">
        <f t="shared" si="273"/>
        <v>0</v>
      </c>
      <c r="DH33" s="112"/>
      <c r="DI33" s="113">
        <v>5</v>
      </c>
      <c r="DJ33" s="104">
        <f t="shared" si="274"/>
        <v>0</v>
      </c>
      <c r="DK33" s="112"/>
      <c r="DL33" s="113">
        <v>5</v>
      </c>
      <c r="DM33" s="104">
        <f t="shared" si="275"/>
        <v>0</v>
      </c>
      <c r="DN33" s="112"/>
      <c r="DO33" s="113">
        <v>5</v>
      </c>
      <c r="DP33" s="104">
        <f t="shared" si="276"/>
        <v>0</v>
      </c>
      <c r="DQ33" s="102"/>
      <c r="DR33" s="1">
        <v>5</v>
      </c>
      <c r="DS33" s="104">
        <f t="shared" si="277"/>
        <v>0</v>
      </c>
      <c r="DT33" s="102"/>
      <c r="DU33" s="1">
        <v>5</v>
      </c>
      <c r="DV33" s="104">
        <f t="shared" si="278"/>
        <v>0</v>
      </c>
      <c r="DW33" s="102"/>
      <c r="DX33" s="1">
        <v>5</v>
      </c>
      <c r="DY33" s="104">
        <f t="shared" si="279"/>
        <v>0</v>
      </c>
      <c r="DZ33" s="112"/>
      <c r="EA33" s="113">
        <v>5</v>
      </c>
      <c r="EB33" s="104">
        <f t="shared" si="280"/>
        <v>0</v>
      </c>
      <c r="EC33" s="112"/>
      <c r="ED33" s="113">
        <v>5</v>
      </c>
      <c r="EE33" s="104">
        <f t="shared" si="281"/>
        <v>0</v>
      </c>
      <c r="EF33" s="112"/>
      <c r="EG33" s="113">
        <v>5</v>
      </c>
      <c r="EH33" s="104">
        <f t="shared" si="282"/>
        <v>0</v>
      </c>
      <c r="EI33" s="102"/>
      <c r="EJ33" s="1">
        <v>5</v>
      </c>
      <c r="EK33" s="104">
        <f t="shared" si="283"/>
        <v>0</v>
      </c>
      <c r="EL33" s="112"/>
      <c r="EM33" s="113">
        <v>5</v>
      </c>
      <c r="EN33" s="104">
        <f t="shared" si="284"/>
        <v>0</v>
      </c>
      <c r="EO33" s="112"/>
      <c r="EP33" s="113">
        <v>5</v>
      </c>
      <c r="EQ33" s="108">
        <f t="shared" si="285"/>
        <v>0</v>
      </c>
      <c r="ER33" s="85">
        <f t="array" ref="ER33">IFERROR(_xlfn.LET(
_xlpm.datos,CHOOSE({1;2;3;4;5;6;7;8;9;10;11;12;13;13;14;15;16;17;18;19;20;21;22;23;23;24;25;26;27;28;29;30;31;32;33;34;35;36;37;38;39;40;41;42;43;44;45;46;47},F33,I33,L33,O33,R33,U33,X33,AA33,AD33,AG33,AJ33,AM33,AP33,AS33,AV33,AY33,BB33,BE33,BH33,BK33,BQ33,BT33,BW33,BZ33,CC33,CF33,CI33,CL33,CO33,CR33,CU33,CX33,DA33,DD33,DG33,DJ33,DM33,DP33,DS33,DV33,DY33,EB33,EE33,EH33,EK33,EN33,EQ33),
AVERAGE(_xlfn._xlws.FILTER(_xlpm.datos,(_xlpm.datos&lt;&gt;0)*(_xlpm.datos&lt;&gt;"")))
),0)</f>
        <v>0</v>
      </c>
      <c r="ES33" s="86" t="str">
        <f t="array" ref="ES33">_xlfn.IFS(ER33&gt;=91.5%,"MENSUAL",ER33&gt;=75%,"QUINCENAL",ER33&lt;75%,"SEMANAL")</f>
        <v>SEMANAL</v>
      </c>
    </row>
    <row r="34" ht="21.5" customHeight="1" spans="2:149" x14ac:dyDescent="0.25">
      <c r="B34" s="100" t="s">
        <v>109</v>
      </c>
      <c r="C34" s="101"/>
      <c r="D34" s="102"/>
      <c r="E34" s="103">
        <v>5</v>
      </c>
      <c r="F34" s="104">
        <f t="shared" si="238"/>
        <v>0</v>
      </c>
      <c r="G34" s="102"/>
      <c r="H34" s="103">
        <v>5</v>
      </c>
      <c r="I34" s="104">
        <f t="shared" si="239"/>
        <v>0</v>
      </c>
      <c r="J34" s="105"/>
      <c r="K34" s="103">
        <v>5</v>
      </c>
      <c r="L34" s="104">
        <f t="shared" si="240"/>
        <v>0</v>
      </c>
      <c r="M34" s="105"/>
      <c r="N34" s="103">
        <v>5</v>
      </c>
      <c r="O34" s="104">
        <f t="shared" si="241"/>
        <v>0</v>
      </c>
      <c r="P34" s="106"/>
      <c r="Q34" s="107">
        <v>5</v>
      </c>
      <c r="R34" s="104">
        <f t="shared" si="242"/>
        <v>0</v>
      </c>
      <c r="S34" s="102"/>
      <c r="T34" s="107">
        <v>5</v>
      </c>
      <c r="U34" s="104">
        <f t="shared" si="243"/>
        <v>0</v>
      </c>
      <c r="V34" s="102"/>
      <c r="W34" s="107">
        <v>5</v>
      </c>
      <c r="X34" s="104">
        <f t="shared" si="244"/>
        <v>0</v>
      </c>
      <c r="Y34" s="102"/>
      <c r="Z34" s="107">
        <v>5</v>
      </c>
      <c r="AA34" s="104">
        <f t="shared" si="245"/>
        <v>0</v>
      </c>
      <c r="AB34" s="106"/>
      <c r="AC34" s="107">
        <v>5</v>
      </c>
      <c r="AD34" s="104">
        <f t="shared" si="246"/>
        <v>0</v>
      </c>
      <c r="AE34" s="106"/>
      <c r="AF34" s="107">
        <v>5</v>
      </c>
      <c r="AG34" s="104">
        <f t="shared" si="247"/>
        <v>0</v>
      </c>
      <c r="AH34" s="106"/>
      <c r="AI34" s="107">
        <v>5</v>
      </c>
      <c r="AJ34" s="104">
        <f t="shared" si="248"/>
        <v>0</v>
      </c>
      <c r="AK34" s="106"/>
      <c r="AL34" s="107">
        <v>5</v>
      </c>
      <c r="AM34" s="104">
        <f t="shared" si="249"/>
        <v>0</v>
      </c>
      <c r="AN34" s="102"/>
      <c r="AO34" s="1">
        <v>5</v>
      </c>
      <c r="AP34" s="104">
        <f t="shared" si="250"/>
        <v>0</v>
      </c>
      <c r="AQ34" s="102"/>
      <c r="AR34" s="1">
        <v>5</v>
      </c>
      <c r="AS34" s="104">
        <f t="shared" si="251"/>
        <v>0</v>
      </c>
      <c r="AT34" s="102"/>
      <c r="AU34" s="1">
        <v>5</v>
      </c>
      <c r="AV34" s="104">
        <f t="shared" si="252"/>
        <v>0</v>
      </c>
      <c r="AW34" s="102"/>
      <c r="AX34" s="1">
        <v>5</v>
      </c>
      <c r="AY34" s="104">
        <f t="shared" si="253"/>
        <v>0</v>
      </c>
      <c r="AZ34" s="102"/>
      <c r="BA34" s="1">
        <v>5</v>
      </c>
      <c r="BB34" s="104">
        <f t="shared" si="254"/>
        <v>0</v>
      </c>
      <c r="BC34" s="102"/>
      <c r="BD34" s="1">
        <v>5</v>
      </c>
      <c r="BE34" s="104">
        <f t="shared" si="255"/>
        <v>0</v>
      </c>
      <c r="BF34" s="102"/>
      <c r="BG34" s="1">
        <v>5</v>
      </c>
      <c r="BH34" s="104">
        <f t="shared" si="256"/>
        <v>0</v>
      </c>
      <c r="BI34" s="102"/>
      <c r="BJ34" s="1">
        <v>5</v>
      </c>
      <c r="BK34" s="104">
        <f t="shared" si="257"/>
        <v>0</v>
      </c>
      <c r="BL34" s="102"/>
      <c r="BM34" s="1">
        <v>5</v>
      </c>
      <c r="BN34" s="104">
        <f t="shared" si="258"/>
        <v>0</v>
      </c>
      <c r="BO34" s="102"/>
      <c r="BP34" s="1">
        <v>5</v>
      </c>
      <c r="BQ34" s="104">
        <f t="shared" si="259"/>
        <v>0</v>
      </c>
      <c r="BR34" s="102"/>
      <c r="BS34" s="1">
        <v>5</v>
      </c>
      <c r="BT34" s="104">
        <f t="shared" si="260"/>
        <v>0</v>
      </c>
      <c r="BU34" s="102"/>
      <c r="BV34" s="1">
        <v>5</v>
      </c>
      <c r="BW34" s="104">
        <f t="shared" si="261"/>
        <v>0</v>
      </c>
      <c r="BX34" s="102"/>
      <c r="BY34" s="1">
        <v>5</v>
      </c>
      <c r="BZ34" s="104">
        <f t="shared" si="262"/>
        <v>0</v>
      </c>
      <c r="CA34" s="102"/>
      <c r="CB34" s="1">
        <v>5</v>
      </c>
      <c r="CC34" s="104">
        <f t="shared" si="263"/>
        <v>0</v>
      </c>
      <c r="CD34" s="102"/>
      <c r="CE34" s="1">
        <v>5</v>
      </c>
      <c r="CF34" s="104">
        <f t="shared" si="264"/>
        <v>0</v>
      </c>
      <c r="CG34" s="102"/>
      <c r="CH34" s="1">
        <v>5</v>
      </c>
      <c r="CI34" s="104">
        <f t="shared" si="265"/>
        <v>0</v>
      </c>
      <c r="CJ34" s="102"/>
      <c r="CK34" s="1">
        <v>5</v>
      </c>
      <c r="CL34" s="104">
        <f t="shared" si="266"/>
        <v>0</v>
      </c>
      <c r="CM34" s="102"/>
      <c r="CN34" s="1">
        <v>5</v>
      </c>
      <c r="CO34" s="104">
        <f t="shared" si="267"/>
        <v>0</v>
      </c>
      <c r="CP34" s="102"/>
      <c r="CQ34" s="1">
        <v>5</v>
      </c>
      <c r="CR34" s="104">
        <f t="shared" si="268"/>
        <v>0</v>
      </c>
      <c r="CS34" s="102"/>
      <c r="CT34" s="1">
        <v>5</v>
      </c>
      <c r="CU34" s="104">
        <f t="shared" si="269"/>
        <v>0</v>
      </c>
      <c r="CV34" s="102"/>
      <c r="CW34" s="1">
        <v>5</v>
      </c>
      <c r="CX34" s="104">
        <f t="shared" si="270"/>
        <v>0</v>
      </c>
      <c r="CY34" s="102"/>
      <c r="CZ34" s="1">
        <v>5</v>
      </c>
      <c r="DA34" s="104">
        <f t="shared" si="271"/>
        <v>0</v>
      </c>
      <c r="DB34" s="102"/>
      <c r="DC34" s="1">
        <v>5</v>
      </c>
      <c r="DD34" s="104">
        <f t="shared" si="272"/>
        <v>0</v>
      </c>
      <c r="DE34" s="102"/>
      <c r="DF34" s="1">
        <v>5</v>
      </c>
      <c r="DG34" s="104">
        <f t="shared" si="273"/>
        <v>0</v>
      </c>
      <c r="DH34" s="102"/>
      <c r="DI34" s="1">
        <v>5</v>
      </c>
      <c r="DJ34" s="104">
        <f t="shared" si="274"/>
        <v>0</v>
      </c>
      <c r="DK34" s="102"/>
      <c r="DL34" s="1">
        <v>5</v>
      </c>
      <c r="DM34" s="104">
        <f t="shared" si="275"/>
        <v>0</v>
      </c>
      <c r="DN34" s="102"/>
      <c r="DO34" s="1">
        <v>5</v>
      </c>
      <c r="DP34" s="104">
        <f t="shared" si="276"/>
        <v>0</v>
      </c>
      <c r="DQ34" s="102"/>
      <c r="DR34" s="1">
        <v>5</v>
      </c>
      <c r="DS34" s="104">
        <f t="shared" si="277"/>
        <v>0</v>
      </c>
      <c r="DT34" s="102"/>
      <c r="DU34" s="1">
        <v>5</v>
      </c>
      <c r="DV34" s="104">
        <f t="shared" si="278"/>
        <v>0</v>
      </c>
      <c r="DW34" s="102"/>
      <c r="DX34" s="1">
        <v>5</v>
      </c>
      <c r="DY34" s="104">
        <f t="shared" si="279"/>
        <v>0</v>
      </c>
      <c r="DZ34" s="102"/>
      <c r="EA34" s="1">
        <v>5</v>
      </c>
      <c r="EB34" s="104">
        <f t="shared" si="280"/>
        <v>0</v>
      </c>
      <c r="EC34" s="102"/>
      <c r="ED34" s="1">
        <v>5</v>
      </c>
      <c r="EE34" s="104">
        <f t="shared" si="281"/>
        <v>0</v>
      </c>
      <c r="EF34" s="102"/>
      <c r="EG34" s="1">
        <v>5</v>
      </c>
      <c r="EH34" s="104">
        <f t="shared" si="282"/>
        <v>0</v>
      </c>
      <c r="EI34" s="102"/>
      <c r="EJ34" s="1">
        <v>5</v>
      </c>
      <c r="EK34" s="104">
        <f t="shared" si="283"/>
        <v>0</v>
      </c>
      <c r="EL34" s="102"/>
      <c r="EM34" s="1">
        <v>5</v>
      </c>
      <c r="EN34" s="104">
        <f t="shared" si="284"/>
        <v>0</v>
      </c>
      <c r="EO34" s="102"/>
      <c r="EP34" s="1">
        <v>5</v>
      </c>
      <c r="EQ34" s="108">
        <f t="shared" si="285"/>
        <v>0</v>
      </c>
      <c r="ER34" s="85">
        <f t="array" ref="ER34">IFERROR(_xlfn.LET(
_xlpm.datos,CHOOSE({1;2;3;4;5;6;7;8;9;10;11;12;13;13;14;15;16;17;18;19;20;21;22;23;23;24;25;26;27;28;29;30;31;32;33;34;35;36;37;38;39;40;41;42;43;44;45;46;47},F34,I34,L34,O34,R34,U34,X34,AA34,AD34,AG34,AJ34,AM34,AP34,AS34,AV34,AY34,BB34,BE34,BH34,BK34,BQ34,BT34,BW34,BZ34,CC34,CF34,CI34,CL34,CO34,CR34,CU34,CX34,DA34,DD34,DG34,DJ34,DM34,DP34,DS34,DV34,DY34,EB34,EE34,EH34,EK34,EN34,EQ34),
AVERAGE(_xlfn._xlws.FILTER(_xlpm.datos,(_xlpm.datos&lt;&gt;0)*(_xlpm.datos&lt;&gt;"")))
),0)</f>
        <v>0</v>
      </c>
      <c r="ES34" s="86" t="str">
        <f t="array" ref="ES34">_xlfn.IFS(ER34&gt;=91.5%,"MENSUAL",ER34&gt;=75%,"QUINCENAL",ER34&lt;75%,"SEMANAL")</f>
        <v>SEMANAL</v>
      </c>
    </row>
    <row r="35" ht="22" customHeight="1" spans="2:149" x14ac:dyDescent="0.25">
      <c r="B35" s="115" t="s">
        <v>110</v>
      </c>
      <c r="C35" s="101"/>
      <c r="D35" s="116"/>
      <c r="E35" s="117">
        <v>5</v>
      </c>
      <c r="F35" s="118">
        <f t="shared" si="238"/>
        <v>0</v>
      </c>
      <c r="G35" s="116"/>
      <c r="H35" s="117">
        <v>5</v>
      </c>
      <c r="I35" s="118">
        <f t="shared" si="239"/>
        <v>0</v>
      </c>
      <c r="J35" s="119"/>
      <c r="K35" s="117">
        <v>5</v>
      </c>
      <c r="L35" s="118">
        <f t="shared" si="240"/>
        <v>0</v>
      </c>
      <c r="M35" s="119"/>
      <c r="N35" s="117">
        <v>5</v>
      </c>
      <c r="O35" s="118">
        <f t="shared" si="241"/>
        <v>0</v>
      </c>
      <c r="P35" s="120"/>
      <c r="Q35" s="121">
        <v>5</v>
      </c>
      <c r="R35" s="118">
        <f t="shared" si="242"/>
        <v>0</v>
      </c>
      <c r="S35" s="116"/>
      <c r="T35" s="121">
        <v>5</v>
      </c>
      <c r="U35" s="118">
        <f t="shared" si="243"/>
        <v>0</v>
      </c>
      <c r="V35" s="116"/>
      <c r="W35" s="121">
        <v>5</v>
      </c>
      <c r="X35" s="118">
        <f t="shared" si="244"/>
        <v>0</v>
      </c>
      <c r="Y35" s="116"/>
      <c r="Z35" s="121">
        <v>5</v>
      </c>
      <c r="AA35" s="118">
        <f t="shared" si="245"/>
        <v>0</v>
      </c>
      <c r="AB35" s="120"/>
      <c r="AC35" s="121">
        <v>5</v>
      </c>
      <c r="AD35" s="118">
        <f t="shared" si="246"/>
        <v>0</v>
      </c>
      <c r="AE35" s="120"/>
      <c r="AF35" s="121">
        <v>5</v>
      </c>
      <c r="AG35" s="118">
        <f t="shared" si="247"/>
        <v>0</v>
      </c>
      <c r="AH35" s="120"/>
      <c r="AI35" s="121">
        <v>5</v>
      </c>
      <c r="AJ35" s="118">
        <f t="shared" si="248"/>
        <v>0</v>
      </c>
      <c r="AK35" s="120"/>
      <c r="AL35" s="121">
        <v>5</v>
      </c>
      <c r="AM35" s="118">
        <f t="shared" si="249"/>
        <v>0</v>
      </c>
      <c r="AN35" s="116"/>
      <c r="AO35" s="122">
        <v>5</v>
      </c>
      <c r="AP35" s="118">
        <f t="shared" si="250"/>
        <v>0</v>
      </c>
      <c r="AQ35" s="116"/>
      <c r="AR35" s="122">
        <v>5</v>
      </c>
      <c r="AS35" s="118">
        <f t="shared" si="251"/>
        <v>0</v>
      </c>
      <c r="AT35" s="116"/>
      <c r="AU35" s="122">
        <v>5</v>
      </c>
      <c r="AV35" s="118">
        <f t="shared" si="252"/>
        <v>0</v>
      </c>
      <c r="AW35" s="116"/>
      <c r="AX35" s="122">
        <v>5</v>
      </c>
      <c r="AY35" s="118">
        <f t="shared" si="253"/>
        <v>0</v>
      </c>
      <c r="AZ35" s="116"/>
      <c r="BA35" s="122">
        <v>5</v>
      </c>
      <c r="BB35" s="118">
        <f t="shared" si="254"/>
        <v>0</v>
      </c>
      <c r="BC35" s="116"/>
      <c r="BD35" s="122">
        <v>5</v>
      </c>
      <c r="BE35" s="118">
        <f t="shared" si="255"/>
        <v>0</v>
      </c>
      <c r="BF35" s="116"/>
      <c r="BG35" s="122">
        <v>5</v>
      </c>
      <c r="BH35" s="118">
        <f t="shared" si="256"/>
        <v>0</v>
      </c>
      <c r="BI35" s="116"/>
      <c r="BJ35" s="122">
        <v>5</v>
      </c>
      <c r="BK35" s="118">
        <f t="shared" si="257"/>
        <v>0</v>
      </c>
      <c r="BL35" s="116"/>
      <c r="BM35" s="122">
        <v>5</v>
      </c>
      <c r="BN35" s="118">
        <f t="shared" si="258"/>
        <v>0</v>
      </c>
      <c r="BO35" s="116"/>
      <c r="BP35" s="122">
        <v>5</v>
      </c>
      <c r="BQ35" s="118">
        <f t="shared" si="259"/>
        <v>0</v>
      </c>
      <c r="BR35" s="116"/>
      <c r="BS35" s="122">
        <v>5</v>
      </c>
      <c r="BT35" s="118">
        <f t="shared" si="260"/>
        <v>0</v>
      </c>
      <c r="BU35" s="116"/>
      <c r="BV35" s="122">
        <v>5</v>
      </c>
      <c r="BW35" s="118">
        <f t="shared" si="261"/>
        <v>0</v>
      </c>
      <c r="BX35" s="116"/>
      <c r="BY35" s="122">
        <v>5</v>
      </c>
      <c r="BZ35" s="118">
        <f t="shared" si="262"/>
        <v>0</v>
      </c>
      <c r="CA35" s="116"/>
      <c r="CB35" s="122">
        <v>5</v>
      </c>
      <c r="CC35" s="118">
        <f t="shared" si="263"/>
        <v>0</v>
      </c>
      <c r="CD35" s="116"/>
      <c r="CE35" s="122">
        <v>5</v>
      </c>
      <c r="CF35" s="118">
        <f t="shared" si="264"/>
        <v>0</v>
      </c>
      <c r="CG35" s="116"/>
      <c r="CH35" s="122">
        <v>5</v>
      </c>
      <c r="CI35" s="118">
        <f t="shared" si="265"/>
        <v>0</v>
      </c>
      <c r="CJ35" s="116"/>
      <c r="CK35" s="122">
        <v>5</v>
      </c>
      <c r="CL35" s="118">
        <f t="shared" si="266"/>
        <v>0</v>
      </c>
      <c r="CM35" s="116"/>
      <c r="CN35" s="122">
        <v>5</v>
      </c>
      <c r="CO35" s="118">
        <f t="shared" si="267"/>
        <v>0</v>
      </c>
      <c r="CP35" s="116"/>
      <c r="CQ35" s="122">
        <v>5</v>
      </c>
      <c r="CR35" s="118">
        <f t="shared" si="268"/>
        <v>0</v>
      </c>
      <c r="CS35" s="116"/>
      <c r="CT35" s="122">
        <v>5</v>
      </c>
      <c r="CU35" s="118">
        <f t="shared" si="269"/>
        <v>0</v>
      </c>
      <c r="CV35" s="116"/>
      <c r="CW35" s="122">
        <v>5</v>
      </c>
      <c r="CX35" s="118">
        <f t="shared" si="270"/>
        <v>0</v>
      </c>
      <c r="CY35" s="116"/>
      <c r="CZ35" s="122">
        <v>5</v>
      </c>
      <c r="DA35" s="118">
        <f t="shared" si="271"/>
        <v>0</v>
      </c>
      <c r="DB35" s="116"/>
      <c r="DC35" s="122">
        <v>5</v>
      </c>
      <c r="DD35" s="118">
        <f t="shared" si="272"/>
        <v>0</v>
      </c>
      <c r="DE35" s="116"/>
      <c r="DF35" s="122">
        <v>5</v>
      </c>
      <c r="DG35" s="118">
        <f t="shared" si="273"/>
        <v>0</v>
      </c>
      <c r="DH35" s="116"/>
      <c r="DI35" s="122">
        <v>5</v>
      </c>
      <c r="DJ35" s="118">
        <f t="shared" si="274"/>
        <v>0</v>
      </c>
      <c r="DK35" s="116"/>
      <c r="DL35" s="122">
        <v>5</v>
      </c>
      <c r="DM35" s="118">
        <f t="shared" si="275"/>
        <v>0</v>
      </c>
      <c r="DN35" s="116"/>
      <c r="DO35" s="122">
        <v>5</v>
      </c>
      <c r="DP35" s="118">
        <f t="shared" si="276"/>
        <v>0</v>
      </c>
      <c r="DQ35" s="116"/>
      <c r="DR35" s="122">
        <v>5</v>
      </c>
      <c r="DS35" s="118">
        <f t="shared" si="277"/>
        <v>0</v>
      </c>
      <c r="DT35" s="116"/>
      <c r="DU35" s="122">
        <v>5</v>
      </c>
      <c r="DV35" s="118">
        <f t="shared" si="278"/>
        <v>0</v>
      </c>
      <c r="DW35" s="116"/>
      <c r="DX35" s="122">
        <v>5</v>
      </c>
      <c r="DY35" s="118">
        <f t="shared" si="279"/>
        <v>0</v>
      </c>
      <c r="DZ35" s="116"/>
      <c r="EA35" s="122">
        <v>5</v>
      </c>
      <c r="EB35" s="118">
        <f t="shared" si="280"/>
        <v>0</v>
      </c>
      <c r="EC35" s="116"/>
      <c r="ED35" s="122">
        <v>5</v>
      </c>
      <c r="EE35" s="118">
        <f t="shared" si="281"/>
        <v>0</v>
      </c>
      <c r="EF35" s="116"/>
      <c r="EG35" s="122">
        <v>5</v>
      </c>
      <c r="EH35" s="118">
        <f t="shared" si="282"/>
        <v>0</v>
      </c>
      <c r="EI35" s="116"/>
      <c r="EJ35" s="122">
        <v>5</v>
      </c>
      <c r="EK35" s="118">
        <f t="shared" si="283"/>
        <v>0</v>
      </c>
      <c r="EL35" s="116"/>
      <c r="EM35" s="122">
        <v>5</v>
      </c>
      <c r="EN35" s="118">
        <f t="shared" si="284"/>
        <v>0</v>
      </c>
      <c r="EO35" s="116"/>
      <c r="EP35" s="122">
        <v>5</v>
      </c>
      <c r="EQ35" s="123">
        <f t="shared" si="285"/>
        <v>0</v>
      </c>
      <c r="ER35" s="85">
        <f t="array" ref="ER35">IFERROR(_xlfn.LET(
_xlpm.datos,CHOOSE({1;2;3;4;5;6;7;8;9;10;11;12;13;13;14;15;16;17;18;19;20;21;22;23;23;24;25;26;27;28;29;30;31;32;33;34;35;36;37;38;39;40;41;42;43;44;45;46;47},F35,I35,L35,O35,R35,U35,X35,AA35,AD35,AG35,AJ35,AM35,AP35,AS35,AV35,AY35,BB35,BE35,BH35,BK35,BQ35,BT35,BW35,BZ35,CC35,CF35,CI35,CL35,CO35,CR35,CU35,CX35,DA35,DD35,DG35,DJ35,DM35,DP35,DS35,DV35,DY35,EB35,EE35,EH35,EK35,EN35,EQ35),
AVERAGE(_xlfn._xlws.FILTER(_xlpm.datos,(_xlpm.datos&lt;&gt;0)*(_xlpm.datos&lt;&gt;"")))
),0)</f>
        <v>0</v>
      </c>
      <c r="ES35" s="86" t="str">
        <f t="array" ref="ES35">_xlfn.IFS(ER35&gt;=91.5%,"MENSUAL",ER35&gt;=75%,"QUINCENAL",ER35&lt;75%,"SEMANAL")</f>
        <v>SEMANAL</v>
      </c>
    </row>
    <row r="36" ht="16" customHeight="1" spans="2:149" x14ac:dyDescent="0.25">
      <c r="B36" s="124" t="s">
        <v>111</v>
      </c>
      <c r="C36" s="125"/>
      <c r="D36" s="126"/>
      <c r="E36" s="127"/>
      <c r="F36" s="82">
        <f>AVERAGE(F37:F46)</f>
        <v>0</v>
      </c>
      <c r="G36" s="126" t="s">
        <v>76</v>
      </c>
      <c r="H36" s="127"/>
      <c r="I36" s="82">
        <f>AVERAGE(I37:I46)</f>
        <v>0</v>
      </c>
      <c r="J36" s="126"/>
      <c r="K36" s="127"/>
      <c r="L36" s="82">
        <f>AVERAGE(L37:L46)</f>
        <v>0</v>
      </c>
      <c r="M36" s="126"/>
      <c r="N36" s="127"/>
      <c r="O36" s="82">
        <f>AVERAGE(O37:O46)</f>
        <v>0</v>
      </c>
      <c r="P36" s="126"/>
      <c r="Q36" s="127"/>
      <c r="R36" s="82">
        <f>AVERAGE(R37:R46)</f>
        <v>0</v>
      </c>
      <c r="S36" s="126"/>
      <c r="T36" s="127"/>
      <c r="U36" s="82">
        <f>AVERAGE(U37:U46)</f>
        <v>0</v>
      </c>
      <c r="V36" s="126"/>
      <c r="W36" s="127"/>
      <c r="X36" s="82">
        <f>AVERAGE(X37:X46)</f>
        <v>0</v>
      </c>
      <c r="Y36" s="126"/>
      <c r="Z36" s="127"/>
      <c r="AA36" s="82">
        <f>AVERAGE(AA37:AA46)</f>
        <v>0</v>
      </c>
      <c r="AB36" s="126"/>
      <c r="AC36" s="127"/>
      <c r="AD36" s="82">
        <f>AVERAGE(AD37:AD46)</f>
        <v>0</v>
      </c>
      <c r="AE36" s="126"/>
      <c r="AF36" s="127"/>
      <c r="AG36" s="82">
        <f>AVERAGE(AG37:AG46)</f>
        <v>0</v>
      </c>
      <c r="AH36" s="126"/>
      <c r="AI36" s="127"/>
      <c r="AJ36" s="82">
        <f>AVERAGE(AJ37:AJ46)</f>
        <v>0</v>
      </c>
      <c r="AK36" s="126"/>
      <c r="AL36" s="127"/>
      <c r="AM36" s="82">
        <f>AVERAGE(AM37:AM46)</f>
        <v>0</v>
      </c>
      <c r="AN36" s="128"/>
      <c r="AO36" s="127"/>
      <c r="AP36" s="82">
        <f>AVERAGE(AP37:AP46)</f>
        <v>0</v>
      </c>
      <c r="AQ36" s="128"/>
      <c r="AR36" s="129"/>
      <c r="AS36" s="82">
        <f>AVERAGE(AS37:AS46)</f>
        <v>0</v>
      </c>
      <c r="AT36" s="130"/>
      <c r="AU36" s="129"/>
      <c r="AV36" s="82">
        <f>AVERAGE(AV37:AV46)</f>
        <v>0</v>
      </c>
      <c r="AW36" s="128"/>
      <c r="AX36" s="127"/>
      <c r="AY36" s="82">
        <f>AVERAGE(AY37:AY46)</f>
        <v>0</v>
      </c>
      <c r="AZ36" s="131"/>
      <c r="BA36" s="132"/>
      <c r="BB36" s="82">
        <f>AVERAGE(BB37:BB46)</f>
        <v>0</v>
      </c>
      <c r="BC36" s="128"/>
      <c r="BD36" s="132"/>
      <c r="BE36" s="82">
        <f>AVERAGE(BE37:BE46)</f>
        <v>0</v>
      </c>
      <c r="BF36" s="128"/>
      <c r="BG36" s="132"/>
      <c r="BH36" s="82">
        <f>AVERAGE(BH37:BH46)</f>
        <v>0</v>
      </c>
      <c r="BI36" s="128"/>
      <c r="BJ36" s="132"/>
      <c r="BK36" s="82">
        <f>AVERAGE(BK37:BK46)</f>
        <v>0</v>
      </c>
      <c r="BL36" s="128"/>
      <c r="BM36" s="132"/>
      <c r="BN36" s="82">
        <f>AVERAGE(BN37:BN46)</f>
        <v>0</v>
      </c>
      <c r="BO36" s="128"/>
      <c r="BP36" s="132"/>
      <c r="BQ36" s="82">
        <f>AVERAGE(BQ37:BQ46)</f>
        <v>0</v>
      </c>
      <c r="BR36" s="128"/>
      <c r="BS36" s="132"/>
      <c r="BT36" s="82">
        <f>AVERAGE(BT37:BT46)</f>
        <v>0</v>
      </c>
      <c r="BU36" s="128"/>
      <c r="BV36" s="132"/>
      <c r="BW36" s="82">
        <f>AVERAGE(BW37:BW46)</f>
        <v>0</v>
      </c>
      <c r="BX36" s="128"/>
      <c r="BY36" s="132"/>
      <c r="BZ36" s="82">
        <f>AVERAGE(BZ37:BZ46)</f>
        <v>0</v>
      </c>
      <c r="CA36" s="126" t="s">
        <v>76</v>
      </c>
      <c r="CB36" s="127"/>
      <c r="CC36" s="82">
        <f>AVERAGE(CC37:CC46)</f>
        <v>0</v>
      </c>
      <c r="CD36" s="126"/>
      <c r="CE36" s="127"/>
      <c r="CF36" s="82">
        <f>AVERAGE(CF37:CF46)</f>
        <v>0</v>
      </c>
      <c r="CG36" s="126"/>
      <c r="CH36" s="127"/>
      <c r="CI36" s="82">
        <f>AVERAGE(CI37:CI46)</f>
        <v>0</v>
      </c>
      <c r="CJ36" s="126"/>
      <c r="CK36" s="127"/>
      <c r="CL36" s="82">
        <f>AVERAGE(CL37:CL46)</f>
        <v>0</v>
      </c>
      <c r="CM36" s="126"/>
      <c r="CN36" s="127"/>
      <c r="CO36" s="82">
        <f>AVERAGE(CO37:CO46)</f>
        <v>0</v>
      </c>
      <c r="CP36" s="126"/>
      <c r="CQ36" s="127"/>
      <c r="CR36" s="82">
        <f>AVERAGE(CR37:CR46)</f>
        <v>0</v>
      </c>
      <c r="CS36" s="126"/>
      <c r="CT36" s="127"/>
      <c r="CU36" s="82">
        <f>AVERAGE(CU37:CU46)</f>
        <v>0</v>
      </c>
      <c r="CV36" s="126" t="s">
        <v>76</v>
      </c>
      <c r="CW36" s="127"/>
      <c r="CX36" s="82">
        <f>AVERAGE(CX37:CX46)</f>
        <v>0</v>
      </c>
      <c r="CY36" s="126"/>
      <c r="CZ36" s="127"/>
      <c r="DA36" s="82">
        <f>AVERAGE(DA37:DA46)</f>
        <v>0</v>
      </c>
      <c r="DB36" s="126"/>
      <c r="DC36" s="127"/>
      <c r="DD36" s="82">
        <f>AVERAGE(DD37:DD46)</f>
        <v>0</v>
      </c>
      <c r="DE36" s="126"/>
      <c r="DF36" s="127"/>
      <c r="DG36" s="82">
        <f>AVERAGE(DG37:DG46)</f>
        <v>0</v>
      </c>
      <c r="DH36" s="126"/>
      <c r="DI36" s="127"/>
      <c r="DJ36" s="82">
        <f>AVERAGE(DJ37:DJ46)</f>
        <v>0</v>
      </c>
      <c r="DK36" s="126"/>
      <c r="DL36" s="127"/>
      <c r="DM36" s="82">
        <f>AVERAGE(DM37:DM46)</f>
        <v>0</v>
      </c>
      <c r="DN36" s="126"/>
      <c r="DO36" s="127"/>
      <c r="DP36" s="82">
        <f>AVERAGE(DP37:DP46)</f>
        <v>0</v>
      </c>
      <c r="DQ36" s="126"/>
      <c r="DR36" s="127"/>
      <c r="DS36" s="82">
        <f>AVERAGE(DS37:DS46)</f>
        <v>0</v>
      </c>
      <c r="DT36" s="126"/>
      <c r="DU36" s="127"/>
      <c r="DV36" s="82">
        <f>AVERAGE(DV37:DV46)</f>
        <v>0</v>
      </c>
      <c r="DW36" s="126"/>
      <c r="DX36" s="127"/>
      <c r="DY36" s="82">
        <f>AVERAGE(DY37:DY46)</f>
        <v>0</v>
      </c>
      <c r="DZ36" s="126"/>
      <c r="EA36" s="127"/>
      <c r="EB36" s="82">
        <f>AVERAGE(EB37:EB46)</f>
        <v>0</v>
      </c>
      <c r="EC36" s="126"/>
      <c r="ED36" s="127"/>
      <c r="EE36" s="82">
        <f>AVERAGE(EE37:EE46)</f>
        <v>0</v>
      </c>
      <c r="EF36" s="126"/>
      <c r="EG36" s="127"/>
      <c r="EH36" s="82">
        <f>AVERAGE(EH37:EH46)</f>
        <v>0</v>
      </c>
      <c r="EI36" s="126"/>
      <c r="EJ36" s="127"/>
      <c r="EK36" s="82">
        <f>AVERAGE(EK37:EK46)</f>
        <v>0</v>
      </c>
      <c r="EL36" s="126"/>
      <c r="EM36" s="127"/>
      <c r="EN36" s="82">
        <f>AVERAGE(EN37:EN46)</f>
        <v>0</v>
      </c>
      <c r="EO36" s="126"/>
      <c r="EP36" s="127"/>
      <c r="EQ36" s="84">
        <f>AVERAGE(EQ37:EQ46)</f>
        <v>0</v>
      </c>
      <c r="ER36" s="85">
        <f t="array" ref="ER36">IFERROR(_xlfn.LET(
_xlpm.datos,CHOOSE({1;2;3;4;5;6;7;8;9;10;11;12;13;13;14;15;16;17;18;19;20;21;22;23;23;24;25;26;27;28;29;30;31;32;33;34;35;36;37;38;39;40;41;42;43;44;45;46;47},F36,I36,L36,O36,R36,U36,X36,AA36,AD36,AG36,AJ36,AM36,AP36,AS36,AV36,AY36,BB36,BE36,BH36,BK36,BQ36,BT36,BW36,BZ36,CC36,CF36,CI36,CL36,CO36,CR36,CU36,CX36,DA36,DD36,DG36,DJ36,DM36,DP36,DS36,DV36,DY36,EB36,EE36,EH36,EK36,EN36,EQ36),
AVERAGE(_xlfn._xlws.FILTER(_xlpm.datos,(_xlpm.datos&lt;&gt;0)*(_xlpm.datos&lt;&gt;"")))
),0)</f>
        <v>0</v>
      </c>
      <c r="ES36" s="86" t="str">
        <f t="array" ref="ES36">_xlfn.IFS(ER36&gt;=91.5%,"MENSUAL",ER36&gt;=75%,"QUINCENAL",ER36&lt;75%,"SEMANAL")</f>
        <v>SEMANAL</v>
      </c>
    </row>
    <row r="37" ht="21.5" customHeight="1" spans="2:149" x14ac:dyDescent="0.25">
      <c r="B37" s="139" t="s">
        <v>112</v>
      </c>
      <c r="C37" s="101"/>
      <c r="D37" s="90"/>
      <c r="E37" s="91">
        <v>5</v>
      </c>
      <c r="F37" s="92">
        <f>D37/E37</f>
        <v>0</v>
      </c>
      <c r="G37" s="90"/>
      <c r="H37" s="91">
        <v>5</v>
      </c>
      <c r="I37" s="92">
        <f>G37/H37</f>
        <v>0</v>
      </c>
      <c r="J37" s="93"/>
      <c r="K37" s="91">
        <v>5</v>
      </c>
      <c r="L37" s="92">
        <f>J37/K37</f>
        <v>0</v>
      </c>
      <c r="M37" s="93"/>
      <c r="N37" s="91">
        <v>5</v>
      </c>
      <c r="O37" s="92">
        <f>M37/N37</f>
        <v>0</v>
      </c>
      <c r="P37" s="94"/>
      <c r="Q37" s="95">
        <v>5</v>
      </c>
      <c r="R37" s="92">
        <f>P37/Q37</f>
        <v>0</v>
      </c>
      <c r="S37" s="90"/>
      <c r="T37" s="95">
        <v>5</v>
      </c>
      <c r="U37" s="92">
        <f>S37/T37</f>
        <v>0</v>
      </c>
      <c r="V37" s="90"/>
      <c r="W37" s="95">
        <v>5</v>
      </c>
      <c r="X37" s="92">
        <f>V37/W37</f>
        <v>0</v>
      </c>
      <c r="Y37" s="90"/>
      <c r="Z37" s="95">
        <v>5</v>
      </c>
      <c r="AA37" s="92">
        <f>Y37/Z37</f>
        <v>0</v>
      </c>
      <c r="AB37" s="94"/>
      <c r="AC37" s="95">
        <v>5</v>
      </c>
      <c r="AD37" s="92">
        <f>AB37/AC37</f>
        <v>0</v>
      </c>
      <c r="AE37" s="94"/>
      <c r="AF37" s="95">
        <v>5</v>
      </c>
      <c r="AG37" s="92">
        <f>AE37/AF37</f>
        <v>0</v>
      </c>
      <c r="AH37" s="94"/>
      <c r="AI37" s="95">
        <v>5</v>
      </c>
      <c r="AJ37" s="92">
        <f>AH37/AI37</f>
        <v>0</v>
      </c>
      <c r="AK37" s="94"/>
      <c r="AL37" s="95">
        <v>5</v>
      </c>
      <c r="AM37" s="92">
        <f>AK37/AL37</f>
        <v>0</v>
      </c>
      <c r="AN37" s="90"/>
      <c r="AO37" s="96">
        <v>5</v>
      </c>
      <c r="AP37" s="92">
        <f>AN37/AO37</f>
        <v>0</v>
      </c>
      <c r="AQ37" s="90"/>
      <c r="AR37" s="96">
        <v>5</v>
      </c>
      <c r="AS37" s="92">
        <f>AQ37/AR37</f>
        <v>0</v>
      </c>
      <c r="AT37" s="90"/>
      <c r="AU37" s="96">
        <v>5</v>
      </c>
      <c r="AV37" s="92">
        <f>AT37/AU37</f>
        <v>0</v>
      </c>
      <c r="AW37" s="90"/>
      <c r="AX37" s="96">
        <v>5</v>
      </c>
      <c r="AY37" s="92">
        <f>AW37/AX37</f>
        <v>0</v>
      </c>
      <c r="AZ37" s="90"/>
      <c r="BA37" s="96">
        <v>5</v>
      </c>
      <c r="BB37" s="92">
        <f>AZ37/BA37</f>
        <v>0</v>
      </c>
      <c r="BC37" s="90"/>
      <c r="BD37" s="96">
        <v>5</v>
      </c>
      <c r="BE37" s="92">
        <f>BC37/BD37</f>
        <v>0</v>
      </c>
      <c r="BF37" s="90"/>
      <c r="BG37" s="96">
        <v>5</v>
      </c>
      <c r="BH37" s="92">
        <f>BF37/BG37</f>
        <v>0</v>
      </c>
      <c r="BI37" s="90"/>
      <c r="BJ37" s="96">
        <v>5</v>
      </c>
      <c r="BK37" s="92">
        <f>BI37/BJ37</f>
        <v>0</v>
      </c>
      <c r="BL37" s="90"/>
      <c r="BM37" s="96">
        <v>5</v>
      </c>
      <c r="BN37" s="92">
        <f>BL37/BM37</f>
        <v>0</v>
      </c>
      <c r="BO37" s="90"/>
      <c r="BP37" s="96">
        <v>5</v>
      </c>
      <c r="BQ37" s="92">
        <f>BO37/BP37</f>
        <v>0</v>
      </c>
      <c r="BR37" s="90"/>
      <c r="BS37" s="96">
        <v>5</v>
      </c>
      <c r="BT37" s="92">
        <f>BR37/BS37</f>
        <v>0</v>
      </c>
      <c r="BU37" s="90"/>
      <c r="BV37" s="96">
        <v>5</v>
      </c>
      <c r="BW37" s="92">
        <f>BU37/BV37</f>
        <v>0</v>
      </c>
      <c r="BX37" s="90"/>
      <c r="BY37" s="96">
        <v>5</v>
      </c>
      <c r="BZ37" s="92">
        <f>BX37/BY37</f>
        <v>0</v>
      </c>
      <c r="CA37" s="90"/>
      <c r="CB37" s="96">
        <v>5</v>
      </c>
      <c r="CC37" s="92">
        <f>CA37/CB37</f>
        <v>0</v>
      </c>
      <c r="CD37" s="90"/>
      <c r="CE37" s="96">
        <v>5</v>
      </c>
      <c r="CF37" s="92">
        <f>CD37/CE37</f>
        <v>0</v>
      </c>
      <c r="CG37" s="90"/>
      <c r="CH37" s="96">
        <v>5</v>
      </c>
      <c r="CI37" s="92">
        <f>CG37/CH37</f>
        <v>0</v>
      </c>
      <c r="CJ37" s="90"/>
      <c r="CK37" s="96">
        <v>5</v>
      </c>
      <c r="CL37" s="92">
        <f>CJ37/CK37</f>
        <v>0</v>
      </c>
      <c r="CM37" s="90"/>
      <c r="CN37" s="96">
        <v>5</v>
      </c>
      <c r="CO37" s="92">
        <f>CM37/CN37</f>
        <v>0</v>
      </c>
      <c r="CP37" s="90"/>
      <c r="CQ37" s="96">
        <v>5</v>
      </c>
      <c r="CR37" s="92">
        <f>CP37/CQ37</f>
        <v>0</v>
      </c>
      <c r="CS37" s="90"/>
      <c r="CT37" s="96">
        <v>5</v>
      </c>
      <c r="CU37" s="92">
        <f>CS37/CT37</f>
        <v>0</v>
      </c>
      <c r="CV37" s="90"/>
      <c r="CW37" s="96">
        <v>5</v>
      </c>
      <c r="CX37" s="92">
        <f>CV37/CW37</f>
        <v>0</v>
      </c>
      <c r="CY37" s="90"/>
      <c r="CZ37" s="96">
        <v>5</v>
      </c>
      <c r="DA37" s="92">
        <f>CY37/CZ37</f>
        <v>0</v>
      </c>
      <c r="DB37" s="90"/>
      <c r="DC37" s="96">
        <v>5</v>
      </c>
      <c r="DD37" s="92">
        <f>DB37/DC37</f>
        <v>0</v>
      </c>
      <c r="DE37" s="90"/>
      <c r="DF37" s="96">
        <v>5</v>
      </c>
      <c r="DG37" s="92">
        <f>DE37/DF37</f>
        <v>0</v>
      </c>
      <c r="DH37" s="90"/>
      <c r="DI37" s="96">
        <v>5</v>
      </c>
      <c r="DJ37" s="92">
        <f>DH37/DI37</f>
        <v>0</v>
      </c>
      <c r="DK37" s="90"/>
      <c r="DL37" s="96">
        <v>5</v>
      </c>
      <c r="DM37" s="92">
        <f>DK37/DL37</f>
        <v>0</v>
      </c>
      <c r="DN37" s="90"/>
      <c r="DO37" s="96">
        <v>5</v>
      </c>
      <c r="DP37" s="92">
        <f>DN37/DO37</f>
        <v>0</v>
      </c>
      <c r="DQ37" s="90"/>
      <c r="DR37" s="96">
        <v>5</v>
      </c>
      <c r="DS37" s="92">
        <f>DQ37/DR37</f>
        <v>0</v>
      </c>
      <c r="DT37" s="90"/>
      <c r="DU37" s="96">
        <v>5</v>
      </c>
      <c r="DV37" s="92">
        <f>DT37/DU37</f>
        <v>0</v>
      </c>
      <c r="DW37" s="90"/>
      <c r="DX37" s="96">
        <v>5</v>
      </c>
      <c r="DY37" s="92">
        <f>DW37/DX37</f>
        <v>0</v>
      </c>
      <c r="DZ37" s="90"/>
      <c r="EA37" s="96">
        <v>5</v>
      </c>
      <c r="EB37" s="92">
        <f>DZ37/EA37</f>
        <v>0</v>
      </c>
      <c r="EC37" s="90"/>
      <c r="ED37" s="96">
        <v>5</v>
      </c>
      <c r="EE37" s="92">
        <f>EC37/ED37</f>
        <v>0</v>
      </c>
      <c r="EF37" s="90"/>
      <c r="EG37" s="96">
        <v>5</v>
      </c>
      <c r="EH37" s="92">
        <f>EF37/EG37</f>
        <v>0</v>
      </c>
      <c r="EI37" s="90"/>
      <c r="EJ37" s="96">
        <v>5</v>
      </c>
      <c r="EK37" s="92">
        <f>EI37/EJ37</f>
        <v>0</v>
      </c>
      <c r="EL37" s="90"/>
      <c r="EM37" s="96">
        <v>5</v>
      </c>
      <c r="EN37" s="92">
        <f>EL37/EM37</f>
        <v>0</v>
      </c>
      <c r="EO37" s="90"/>
      <c r="EP37" s="96">
        <v>5</v>
      </c>
      <c r="EQ37" s="97">
        <f>EO37/EP37</f>
        <v>0</v>
      </c>
      <c r="ER37" s="85">
        <f t="array" ref="ER37">IFERROR(_xlfn.LET(
_xlpm.datos,CHOOSE({1;2;3;4;5;6;7;8;9;10;11;12;13;13;14;15;16;17;18;19;20;21;22;23;23;24;25;26;27;28;29;30;31;32;33;34;35;36;37;38;39;40;41;42;43;44;45;46;47},F37,I37,L37,O37,R37,U37,X37,AA37,AD37,AG37,AJ37,AM37,AP37,AS37,AV37,AY37,BB37,BE37,BH37,BK37,BQ37,BT37,BW37,BZ37,CC37,CF37,CI37,CL37,CO37,CR37,CU37,CX37,DA37,DD37,DG37,DJ37,DM37,DP37,DS37,DV37,DY37,EB37,EE37,EH37,EK37,EN37,EQ37),
AVERAGE(_xlfn._xlws.FILTER(_xlpm.datos,(_xlpm.datos&lt;&gt;0)*(_xlpm.datos&lt;&gt;"")))
),0)</f>
        <v>0</v>
      </c>
      <c r="ES37" s="86" t="str">
        <f t="array" ref="ES37">_xlfn.IFS(ER37&gt;=91.5%,"MENSUAL",ER37&gt;=75%,"QUINCENAL",ER37&lt;75%,"SEMANAL")</f>
        <v>SEMANAL</v>
      </c>
    </row>
    <row r="38" ht="21.5" customHeight="1" spans="2:149" x14ac:dyDescent="0.25">
      <c r="B38" s="100" t="s">
        <v>113</v>
      </c>
      <c r="C38" s="101"/>
      <c r="D38" s="102"/>
      <c r="E38" s="103">
        <v>5</v>
      </c>
      <c r="F38" s="104">
        <f t="shared" ref="F38:F41" si="286">D38/E38</f>
        <v>0</v>
      </c>
      <c r="G38" s="102"/>
      <c r="H38" s="103">
        <v>5</v>
      </c>
      <c r="I38" s="104">
        <f t="shared" ref="I38:I41" si="287">G38/H38</f>
        <v>0</v>
      </c>
      <c r="J38" s="105"/>
      <c r="K38" s="103">
        <v>5</v>
      </c>
      <c r="L38" s="104">
        <f t="shared" ref="L38:L41" si="288">J38/K38</f>
        <v>0</v>
      </c>
      <c r="M38" s="105"/>
      <c r="N38" s="103">
        <v>5</v>
      </c>
      <c r="O38" s="104">
        <f t="shared" ref="O38:O41" si="289">M38/N38</f>
        <v>0</v>
      </c>
      <c r="P38" s="106"/>
      <c r="Q38" s="107">
        <v>5</v>
      </c>
      <c r="R38" s="104">
        <f t="shared" ref="R38:R41" si="290">P38/Q38</f>
        <v>0</v>
      </c>
      <c r="S38" s="102"/>
      <c r="T38" s="107">
        <v>5</v>
      </c>
      <c r="U38" s="104">
        <f t="shared" ref="U38:U41" si="291">S38/T38</f>
        <v>0</v>
      </c>
      <c r="V38" s="102"/>
      <c r="W38" s="107">
        <v>5</v>
      </c>
      <c r="X38" s="104">
        <f t="shared" ref="X38:X41" si="292">V38/W38</f>
        <v>0</v>
      </c>
      <c r="Y38" s="102"/>
      <c r="Z38" s="107">
        <v>5</v>
      </c>
      <c r="AA38" s="104">
        <f t="shared" ref="AA38:AA41" si="293">Y38/Z38</f>
        <v>0</v>
      </c>
      <c r="AB38" s="106"/>
      <c r="AC38" s="107">
        <v>5</v>
      </c>
      <c r="AD38" s="104">
        <f t="shared" ref="AD38:AD41" si="294">AB38/AC38</f>
        <v>0</v>
      </c>
      <c r="AE38" s="106"/>
      <c r="AF38" s="107">
        <v>5</v>
      </c>
      <c r="AG38" s="104">
        <f t="shared" ref="AG38:AG41" si="295">AE38/AF38</f>
        <v>0</v>
      </c>
      <c r="AH38" s="106"/>
      <c r="AI38" s="107">
        <v>5</v>
      </c>
      <c r="AJ38" s="104">
        <f t="shared" ref="AJ38:AJ41" si="296">AH38/AI38</f>
        <v>0</v>
      </c>
      <c r="AK38" s="106"/>
      <c r="AL38" s="107">
        <v>5</v>
      </c>
      <c r="AM38" s="104">
        <f t="shared" ref="AM38:AM41" si="297">AK38/AL38</f>
        <v>0</v>
      </c>
      <c r="AN38" s="102"/>
      <c r="AO38" s="1">
        <v>5</v>
      </c>
      <c r="AP38" s="104">
        <f t="shared" ref="AP38:AP41" si="298">AN38/AO38</f>
        <v>0</v>
      </c>
      <c r="AQ38" s="102"/>
      <c r="AR38" s="1">
        <v>5</v>
      </c>
      <c r="AS38" s="104">
        <f t="shared" ref="AS38:AS41" si="299">AQ38/AR38</f>
        <v>0</v>
      </c>
      <c r="AT38" s="102"/>
      <c r="AU38" s="1">
        <v>5</v>
      </c>
      <c r="AV38" s="104">
        <f t="shared" ref="AV38:AV41" si="300">AT38/AU38</f>
        <v>0</v>
      </c>
      <c r="AW38" s="102"/>
      <c r="AX38" s="1">
        <v>5</v>
      </c>
      <c r="AY38" s="104">
        <f t="shared" ref="AY38:AY41" si="301">AW38/AX38</f>
        <v>0</v>
      </c>
      <c r="AZ38" s="102"/>
      <c r="BA38" s="1">
        <v>5</v>
      </c>
      <c r="BB38" s="104">
        <f t="shared" ref="BB38:BB41" si="302">AZ38/BA38</f>
        <v>0</v>
      </c>
      <c r="BC38" s="102"/>
      <c r="BD38" s="1">
        <v>5</v>
      </c>
      <c r="BE38" s="104">
        <f t="shared" ref="BE38:BE41" si="303">BC38/BD38</f>
        <v>0</v>
      </c>
      <c r="BF38" s="102"/>
      <c r="BG38" s="1">
        <v>5</v>
      </c>
      <c r="BH38" s="104">
        <f t="shared" ref="BH38:BH41" si="304">BF38/BG38</f>
        <v>0</v>
      </c>
      <c r="BI38" s="102"/>
      <c r="BJ38" s="1">
        <v>5</v>
      </c>
      <c r="BK38" s="104">
        <f t="shared" ref="BK38:BK41" si="305">BI38/BJ38</f>
        <v>0</v>
      </c>
      <c r="BL38" s="102"/>
      <c r="BM38" s="1">
        <v>5</v>
      </c>
      <c r="BN38" s="104">
        <f t="shared" ref="BN38:BN41" si="306">BL38/BM38</f>
        <v>0</v>
      </c>
      <c r="BO38" s="102"/>
      <c r="BP38" s="1">
        <v>5</v>
      </c>
      <c r="BQ38" s="104">
        <f t="shared" ref="BQ38:BQ41" si="307">BO38/BP38</f>
        <v>0</v>
      </c>
      <c r="BR38" s="102"/>
      <c r="BS38" s="1">
        <v>5</v>
      </c>
      <c r="BT38" s="104">
        <f t="shared" ref="BT38:BT41" si="308">BR38/BS38</f>
        <v>0</v>
      </c>
      <c r="BU38" s="102"/>
      <c r="BV38" s="1">
        <v>5</v>
      </c>
      <c r="BW38" s="104">
        <f t="shared" ref="BW38:BW41" si="309">BU38/BV38</f>
        <v>0</v>
      </c>
      <c r="BX38" s="102"/>
      <c r="BY38" s="1">
        <v>5</v>
      </c>
      <c r="BZ38" s="104">
        <f t="shared" ref="BZ38:BZ41" si="310">BX38/BY38</f>
        <v>0</v>
      </c>
      <c r="CA38" s="102"/>
      <c r="CB38" s="1">
        <v>5</v>
      </c>
      <c r="CC38" s="104">
        <f t="shared" ref="CC38:CC41" si="311">CA38/CB38</f>
        <v>0</v>
      </c>
      <c r="CD38" s="102"/>
      <c r="CE38" s="1">
        <v>5</v>
      </c>
      <c r="CF38" s="104">
        <f t="shared" ref="CF38:CF41" si="312">CD38/CE38</f>
        <v>0</v>
      </c>
      <c r="CG38" s="102"/>
      <c r="CH38" s="1">
        <v>5</v>
      </c>
      <c r="CI38" s="104">
        <f t="shared" ref="CI38:CI41" si="313">CG38/CH38</f>
        <v>0</v>
      </c>
      <c r="CJ38" s="102"/>
      <c r="CK38" s="1">
        <v>5</v>
      </c>
      <c r="CL38" s="104">
        <f t="shared" ref="CL38:CL41" si="314">CJ38/CK38</f>
        <v>0</v>
      </c>
      <c r="CM38" s="102"/>
      <c r="CN38" s="1">
        <v>5</v>
      </c>
      <c r="CO38" s="104">
        <f t="shared" ref="CO38:CO41" si="315">CM38/CN38</f>
        <v>0</v>
      </c>
      <c r="CP38" s="102"/>
      <c r="CQ38" s="1">
        <v>5</v>
      </c>
      <c r="CR38" s="104">
        <f t="shared" ref="CR38:CR41" si="316">CP38/CQ38</f>
        <v>0</v>
      </c>
      <c r="CS38" s="102"/>
      <c r="CT38" s="1">
        <v>5</v>
      </c>
      <c r="CU38" s="104">
        <f t="shared" ref="CU38:CU41" si="317">CS38/CT38</f>
        <v>0</v>
      </c>
      <c r="CV38" s="102"/>
      <c r="CW38" s="1">
        <v>5</v>
      </c>
      <c r="CX38" s="104">
        <f t="shared" ref="CX38:CX41" si="318">CV38/CW38</f>
        <v>0</v>
      </c>
      <c r="CY38" s="102"/>
      <c r="CZ38" s="1">
        <v>5</v>
      </c>
      <c r="DA38" s="104">
        <f t="shared" ref="DA38:DA41" si="319">CY38/CZ38</f>
        <v>0</v>
      </c>
      <c r="DB38" s="102"/>
      <c r="DC38" s="1">
        <v>5</v>
      </c>
      <c r="DD38" s="104">
        <f t="shared" ref="DD38:DD41" si="320">DB38/DC38</f>
        <v>0</v>
      </c>
      <c r="DE38" s="102"/>
      <c r="DF38" s="1">
        <v>5</v>
      </c>
      <c r="DG38" s="104">
        <f t="shared" ref="DG38:DG41" si="321">DE38/DF38</f>
        <v>0</v>
      </c>
      <c r="DH38" s="102"/>
      <c r="DI38" s="1">
        <v>5</v>
      </c>
      <c r="DJ38" s="104">
        <f t="shared" ref="DJ38:DJ41" si="322">DH38/DI38</f>
        <v>0</v>
      </c>
      <c r="DK38" s="102"/>
      <c r="DL38" s="1">
        <v>5</v>
      </c>
      <c r="DM38" s="104">
        <f t="shared" ref="DM38:DM41" si="323">DK38/DL38</f>
        <v>0</v>
      </c>
      <c r="DN38" s="102"/>
      <c r="DO38" s="1">
        <v>5</v>
      </c>
      <c r="DP38" s="104">
        <f t="shared" ref="DP38:DP41" si="324">DN38/DO38</f>
        <v>0</v>
      </c>
      <c r="DQ38" s="102"/>
      <c r="DR38" s="1">
        <v>5</v>
      </c>
      <c r="DS38" s="104">
        <f t="shared" ref="DS38:DS41" si="325">DQ38/DR38</f>
        <v>0</v>
      </c>
      <c r="DT38" s="102"/>
      <c r="DU38" s="1">
        <v>5</v>
      </c>
      <c r="DV38" s="104">
        <f t="shared" ref="DV38:DV41" si="326">DT38/DU38</f>
        <v>0</v>
      </c>
      <c r="DW38" s="102"/>
      <c r="DX38" s="1">
        <v>5</v>
      </c>
      <c r="DY38" s="104">
        <f t="shared" ref="DY38:DY41" si="327">DW38/DX38</f>
        <v>0</v>
      </c>
      <c r="DZ38" s="102"/>
      <c r="EA38" s="1">
        <v>5</v>
      </c>
      <c r="EB38" s="104">
        <f t="shared" ref="EB38:EB41" si="328">DZ38/EA38</f>
        <v>0</v>
      </c>
      <c r="EC38" s="102"/>
      <c r="ED38" s="1">
        <v>5</v>
      </c>
      <c r="EE38" s="104">
        <f t="shared" ref="EE38:EE41" si="329">EC38/ED38</f>
        <v>0</v>
      </c>
      <c r="EF38" s="102"/>
      <c r="EG38" s="1">
        <v>5</v>
      </c>
      <c r="EH38" s="104">
        <f t="shared" ref="EH38:EH41" si="330">EF38/EG38</f>
        <v>0</v>
      </c>
      <c r="EI38" s="102"/>
      <c r="EJ38" s="1">
        <v>5</v>
      </c>
      <c r="EK38" s="104">
        <f t="shared" ref="EK38:EK41" si="331">EI38/EJ38</f>
        <v>0</v>
      </c>
      <c r="EL38" s="102"/>
      <c r="EM38" s="1">
        <v>5</v>
      </c>
      <c r="EN38" s="104">
        <f t="shared" ref="EN38:EN41" si="332">EL38/EM38</f>
        <v>0</v>
      </c>
      <c r="EO38" s="102"/>
      <c r="EP38" s="1">
        <v>5</v>
      </c>
      <c r="EQ38" s="108">
        <f t="shared" ref="EQ38:EQ41" si="333">EO38/EP38</f>
        <v>0</v>
      </c>
      <c r="ER38" s="85">
        <f t="array" ref="ER38">IFERROR(_xlfn.LET(
_xlpm.datos,CHOOSE({1;2;3;4;5;6;7;8;9;10;11;12;13;13;14;15;16;17;18;19;20;21;22;23;23;24;25;26;27;28;29;30;31;32;33;34;35;36;37;38;39;40;41;42;43;44;45;46;47},F38,I38,L38,O38,R38,U38,X38,AA38,AD38,AG38,AJ38,AM38,AP38,AS38,AV38,AY38,BB38,BE38,BH38,BK38,BQ38,BT38,BW38,BZ38,CC38,CF38,CI38,CL38,CO38,CR38,CU38,CX38,DA38,DD38,DG38,DJ38,DM38,DP38,DS38,DV38,DY38,EB38,EE38,EH38,EK38,EN38,EQ38),
AVERAGE(_xlfn._xlws.FILTER(_xlpm.datos,(_xlpm.datos&lt;&gt;0)*(_xlpm.datos&lt;&gt;"")))
),0)</f>
        <v>0</v>
      </c>
      <c r="ES38" s="86" t="str">
        <f t="array" ref="ES38">_xlfn.IFS(ER38&gt;=91.5%,"MENSUAL",ER38&gt;=75%,"QUINCENAL",ER38&lt;75%,"SEMANAL")</f>
        <v>SEMANAL</v>
      </c>
    </row>
    <row r="39" ht="23.25" customHeight="1" spans="2:149" x14ac:dyDescent="0.25">
      <c r="B39" s="140" t="s">
        <v>114</v>
      </c>
      <c r="C39" s="101"/>
      <c r="D39" s="102"/>
      <c r="E39" s="103">
        <v>5</v>
      </c>
      <c r="F39" s="104">
        <f t="shared" si="286"/>
        <v>0</v>
      </c>
      <c r="G39" s="102"/>
      <c r="H39" s="103">
        <v>5</v>
      </c>
      <c r="I39" s="104">
        <f t="shared" si="287"/>
        <v>0</v>
      </c>
      <c r="J39" s="105"/>
      <c r="K39" s="103">
        <v>5</v>
      </c>
      <c r="L39" s="104">
        <f t="shared" si="288"/>
        <v>0</v>
      </c>
      <c r="M39" s="105"/>
      <c r="N39" s="103">
        <v>5</v>
      </c>
      <c r="O39" s="104">
        <f t="shared" si="289"/>
        <v>0</v>
      </c>
      <c r="P39" s="106"/>
      <c r="Q39" s="107">
        <v>5</v>
      </c>
      <c r="R39" s="104">
        <f t="shared" si="290"/>
        <v>0</v>
      </c>
      <c r="S39" s="102"/>
      <c r="T39" s="107">
        <v>5</v>
      </c>
      <c r="U39" s="104">
        <f t="shared" si="291"/>
        <v>0</v>
      </c>
      <c r="V39" s="102"/>
      <c r="W39" s="1">
        <v>5</v>
      </c>
      <c r="X39" s="104">
        <f t="shared" si="292"/>
        <v>0</v>
      </c>
      <c r="Y39" s="105"/>
      <c r="Z39" s="103">
        <v>5</v>
      </c>
      <c r="AA39" s="104">
        <f t="shared" si="293"/>
        <v>0</v>
      </c>
      <c r="AB39" s="102"/>
      <c r="AC39" s="103">
        <v>5</v>
      </c>
      <c r="AD39" s="104">
        <f t="shared" si="294"/>
        <v>0</v>
      </c>
      <c r="AE39" s="105"/>
      <c r="AF39" s="103">
        <v>5</v>
      </c>
      <c r="AG39" s="104">
        <f t="shared" si="295"/>
        <v>0</v>
      </c>
      <c r="AH39" s="105"/>
      <c r="AI39" s="103">
        <v>5</v>
      </c>
      <c r="AJ39" s="104">
        <f t="shared" si="296"/>
        <v>0</v>
      </c>
      <c r="AK39" s="105"/>
      <c r="AL39" s="103">
        <v>5</v>
      </c>
      <c r="AM39" s="104">
        <f t="shared" si="297"/>
        <v>0</v>
      </c>
      <c r="AN39" s="102"/>
      <c r="AO39" s="1">
        <v>5</v>
      </c>
      <c r="AP39" s="104">
        <f t="shared" si="298"/>
        <v>0</v>
      </c>
      <c r="AQ39" s="102"/>
      <c r="AR39" s="1">
        <v>5</v>
      </c>
      <c r="AS39" s="104">
        <f t="shared" si="299"/>
        <v>0</v>
      </c>
      <c r="AT39" s="102"/>
      <c r="AU39" s="1">
        <v>5</v>
      </c>
      <c r="AV39" s="104">
        <f t="shared" si="300"/>
        <v>0</v>
      </c>
      <c r="AW39" s="102"/>
      <c r="AX39" s="1">
        <v>5</v>
      </c>
      <c r="AY39" s="104">
        <f t="shared" si="301"/>
        <v>0</v>
      </c>
      <c r="AZ39" s="112"/>
      <c r="BA39" s="113">
        <v>5</v>
      </c>
      <c r="BB39" s="104">
        <f t="shared" si="302"/>
        <v>0</v>
      </c>
      <c r="BC39" s="112"/>
      <c r="BD39" s="113">
        <v>5</v>
      </c>
      <c r="BE39" s="104">
        <f t="shared" si="303"/>
        <v>0</v>
      </c>
      <c r="BF39" s="112"/>
      <c r="BG39" s="113">
        <v>5</v>
      </c>
      <c r="BH39" s="104">
        <f t="shared" si="304"/>
        <v>0</v>
      </c>
      <c r="BI39" s="102"/>
      <c r="BJ39" s="1">
        <v>5</v>
      </c>
      <c r="BK39" s="104">
        <f t="shared" si="305"/>
        <v>0</v>
      </c>
      <c r="BL39" s="102"/>
      <c r="BM39" s="1">
        <v>5</v>
      </c>
      <c r="BN39" s="104">
        <f t="shared" si="306"/>
        <v>0</v>
      </c>
      <c r="BO39" s="102"/>
      <c r="BP39" s="1">
        <v>5</v>
      </c>
      <c r="BQ39" s="104">
        <f t="shared" si="307"/>
        <v>0</v>
      </c>
      <c r="BR39" s="102"/>
      <c r="BS39" s="1">
        <v>5</v>
      </c>
      <c r="BT39" s="104">
        <f t="shared" si="308"/>
        <v>0</v>
      </c>
      <c r="BU39" s="102"/>
      <c r="BV39" s="1">
        <v>5</v>
      </c>
      <c r="BW39" s="104">
        <f t="shared" si="309"/>
        <v>0</v>
      </c>
      <c r="BX39" s="112"/>
      <c r="BY39" s="113">
        <v>5</v>
      </c>
      <c r="BZ39" s="104">
        <f t="shared" si="310"/>
        <v>0</v>
      </c>
      <c r="CA39" s="112"/>
      <c r="CB39" s="113">
        <v>5</v>
      </c>
      <c r="CC39" s="104">
        <f t="shared" si="311"/>
        <v>0</v>
      </c>
      <c r="CD39" s="112"/>
      <c r="CE39" s="113">
        <v>5</v>
      </c>
      <c r="CF39" s="104">
        <f t="shared" si="312"/>
        <v>0</v>
      </c>
      <c r="CG39" s="102"/>
      <c r="CH39" s="1">
        <v>5</v>
      </c>
      <c r="CI39" s="104">
        <f t="shared" si="313"/>
        <v>0</v>
      </c>
      <c r="CJ39" s="102"/>
      <c r="CK39" s="1">
        <v>5</v>
      </c>
      <c r="CL39" s="104">
        <f t="shared" si="314"/>
        <v>0</v>
      </c>
      <c r="CM39" s="102"/>
      <c r="CN39" s="1">
        <v>5</v>
      </c>
      <c r="CO39" s="104">
        <f t="shared" si="315"/>
        <v>0</v>
      </c>
      <c r="CP39" s="112"/>
      <c r="CQ39" s="113">
        <v>5</v>
      </c>
      <c r="CR39" s="104">
        <f t="shared" si="316"/>
        <v>0</v>
      </c>
      <c r="CS39" s="112"/>
      <c r="CT39" s="113">
        <v>5</v>
      </c>
      <c r="CU39" s="104">
        <f t="shared" si="317"/>
        <v>0</v>
      </c>
      <c r="CV39" s="112"/>
      <c r="CW39" s="113">
        <v>5</v>
      </c>
      <c r="CX39" s="104">
        <f t="shared" si="318"/>
        <v>0</v>
      </c>
      <c r="CY39" s="102"/>
      <c r="CZ39" s="1">
        <v>5</v>
      </c>
      <c r="DA39" s="104">
        <f t="shared" si="319"/>
        <v>0</v>
      </c>
      <c r="DB39" s="112"/>
      <c r="DC39" s="113">
        <v>5</v>
      </c>
      <c r="DD39" s="104">
        <f t="shared" si="320"/>
        <v>0</v>
      </c>
      <c r="DE39" s="112"/>
      <c r="DF39" s="113">
        <v>5</v>
      </c>
      <c r="DG39" s="104">
        <f t="shared" si="321"/>
        <v>0</v>
      </c>
      <c r="DH39" s="112"/>
      <c r="DI39" s="113">
        <v>5</v>
      </c>
      <c r="DJ39" s="104">
        <f t="shared" si="322"/>
        <v>0</v>
      </c>
      <c r="DK39" s="112"/>
      <c r="DL39" s="113">
        <v>5</v>
      </c>
      <c r="DM39" s="104">
        <f t="shared" si="323"/>
        <v>0</v>
      </c>
      <c r="DN39" s="112"/>
      <c r="DO39" s="113">
        <v>5</v>
      </c>
      <c r="DP39" s="104">
        <f t="shared" si="324"/>
        <v>0</v>
      </c>
      <c r="DQ39" s="102"/>
      <c r="DR39" s="1">
        <v>5</v>
      </c>
      <c r="DS39" s="104">
        <f t="shared" si="325"/>
        <v>0</v>
      </c>
      <c r="DT39" s="102"/>
      <c r="DU39" s="1">
        <v>5</v>
      </c>
      <c r="DV39" s="104">
        <f t="shared" si="326"/>
        <v>0</v>
      </c>
      <c r="DW39" s="102"/>
      <c r="DX39" s="1">
        <v>5</v>
      </c>
      <c r="DY39" s="104">
        <f t="shared" si="327"/>
        <v>0</v>
      </c>
      <c r="DZ39" s="112"/>
      <c r="EA39" s="113">
        <v>5</v>
      </c>
      <c r="EB39" s="104">
        <f t="shared" si="328"/>
        <v>0</v>
      </c>
      <c r="EC39" s="112"/>
      <c r="ED39" s="113">
        <v>5</v>
      </c>
      <c r="EE39" s="104">
        <f t="shared" si="329"/>
        <v>0</v>
      </c>
      <c r="EF39" s="112"/>
      <c r="EG39" s="113">
        <v>5</v>
      </c>
      <c r="EH39" s="104">
        <f t="shared" si="330"/>
        <v>0</v>
      </c>
      <c r="EI39" s="102"/>
      <c r="EJ39" s="1">
        <v>5</v>
      </c>
      <c r="EK39" s="104">
        <f t="shared" si="331"/>
        <v>0</v>
      </c>
      <c r="EL39" s="112"/>
      <c r="EM39" s="113">
        <v>5</v>
      </c>
      <c r="EN39" s="104">
        <f t="shared" si="332"/>
        <v>0</v>
      </c>
      <c r="EO39" s="112"/>
      <c r="EP39" s="113">
        <v>5</v>
      </c>
      <c r="EQ39" s="108">
        <f t="shared" si="333"/>
        <v>0</v>
      </c>
      <c r="ER39" s="85">
        <f t="array" ref="ER39">IFERROR(_xlfn.LET(
_xlpm.datos,CHOOSE({1;2;3;4;5;6;7;8;9;10;11;12;13;13;14;15;16;17;18;19;20;21;22;23;23;24;25;26;27;28;29;30;31;32;33;34;35;36;37;38;39;40;41;42;43;44;45;46;47},F39,I39,L39,O39,R39,U39,X39,AA39,AD39,AG39,AJ39,AM39,AP39,AS39,AV39,AY39,BB39,BE39,BH39,BK39,BQ39,BT39,BW39,BZ39,CC39,CF39,CI39,CL39,CO39,CR39,CU39,CX39,DA39,DD39,DG39,DJ39,DM39,DP39,DS39,DV39,DY39,EB39,EE39,EH39,EK39,EN39,EQ39),
AVERAGE(_xlfn._xlws.FILTER(_xlpm.datos,(_xlpm.datos&lt;&gt;0)*(_xlpm.datos&lt;&gt;"")))
),0)</f>
        <v>0</v>
      </c>
      <c r="ES39" s="86" t="str">
        <f t="array" ref="ES39">_xlfn.IFS(ER39&gt;=91.5%,"MENSUAL",ER39&gt;=75%,"QUINCENAL",ER39&lt;75%,"SEMANAL")</f>
        <v>SEMANAL</v>
      </c>
    </row>
    <row r="40" ht="21.5" customHeight="1" spans="2:149" x14ac:dyDescent="0.25">
      <c r="B40" s="100" t="s">
        <v>115</v>
      </c>
      <c r="C40" s="101"/>
      <c r="D40" s="102"/>
      <c r="E40" s="103">
        <v>5</v>
      </c>
      <c r="F40" s="104">
        <f t="shared" si="286"/>
        <v>0</v>
      </c>
      <c r="G40" s="102"/>
      <c r="H40" s="103">
        <v>5</v>
      </c>
      <c r="I40" s="104">
        <f t="shared" si="287"/>
        <v>0</v>
      </c>
      <c r="J40" s="105"/>
      <c r="K40" s="103">
        <v>5</v>
      </c>
      <c r="L40" s="104">
        <f t="shared" si="288"/>
        <v>0</v>
      </c>
      <c r="M40" s="105"/>
      <c r="N40" s="103">
        <v>5</v>
      </c>
      <c r="O40" s="104">
        <f t="shared" si="289"/>
        <v>0</v>
      </c>
      <c r="P40" s="106"/>
      <c r="Q40" s="107">
        <v>5</v>
      </c>
      <c r="R40" s="104">
        <f t="shared" si="290"/>
        <v>0</v>
      </c>
      <c r="S40" s="102"/>
      <c r="T40" s="107">
        <v>5</v>
      </c>
      <c r="U40" s="104">
        <f t="shared" si="291"/>
        <v>0</v>
      </c>
      <c r="V40" s="102"/>
      <c r="W40" s="107">
        <v>5</v>
      </c>
      <c r="X40" s="104">
        <f t="shared" si="292"/>
        <v>0</v>
      </c>
      <c r="Y40" s="102"/>
      <c r="Z40" s="107">
        <v>5</v>
      </c>
      <c r="AA40" s="104">
        <f t="shared" si="293"/>
        <v>0</v>
      </c>
      <c r="AB40" s="106"/>
      <c r="AC40" s="107">
        <v>5</v>
      </c>
      <c r="AD40" s="104">
        <f t="shared" si="294"/>
        <v>0</v>
      </c>
      <c r="AE40" s="106"/>
      <c r="AF40" s="107">
        <v>5</v>
      </c>
      <c r="AG40" s="104">
        <f t="shared" si="295"/>
        <v>0</v>
      </c>
      <c r="AH40" s="106"/>
      <c r="AI40" s="107">
        <v>5</v>
      </c>
      <c r="AJ40" s="104">
        <f t="shared" si="296"/>
        <v>0</v>
      </c>
      <c r="AK40" s="106"/>
      <c r="AL40" s="107">
        <v>5</v>
      </c>
      <c r="AM40" s="104">
        <f t="shared" si="297"/>
        <v>0</v>
      </c>
      <c r="AN40" s="102"/>
      <c r="AO40" s="1">
        <v>5</v>
      </c>
      <c r="AP40" s="104">
        <f t="shared" si="298"/>
        <v>0</v>
      </c>
      <c r="AQ40" s="102"/>
      <c r="AR40" s="1">
        <v>5</v>
      </c>
      <c r="AS40" s="104">
        <f t="shared" si="299"/>
        <v>0</v>
      </c>
      <c r="AT40" s="102"/>
      <c r="AU40" s="1">
        <v>5</v>
      </c>
      <c r="AV40" s="104">
        <f t="shared" si="300"/>
        <v>0</v>
      </c>
      <c r="AW40" s="102"/>
      <c r="AX40" s="1">
        <v>5</v>
      </c>
      <c r="AY40" s="104">
        <f t="shared" si="301"/>
        <v>0</v>
      </c>
      <c r="AZ40" s="102"/>
      <c r="BA40" s="1">
        <v>5</v>
      </c>
      <c r="BB40" s="104">
        <f t="shared" si="302"/>
        <v>0</v>
      </c>
      <c r="BC40" s="102"/>
      <c r="BD40" s="1">
        <v>5</v>
      </c>
      <c r="BE40" s="104">
        <f t="shared" si="303"/>
        <v>0</v>
      </c>
      <c r="BF40" s="102"/>
      <c r="BG40" s="1">
        <v>5</v>
      </c>
      <c r="BH40" s="104">
        <f t="shared" si="304"/>
        <v>0</v>
      </c>
      <c r="BI40" s="102"/>
      <c r="BJ40" s="1">
        <v>5</v>
      </c>
      <c r="BK40" s="104">
        <f t="shared" si="305"/>
        <v>0</v>
      </c>
      <c r="BL40" s="102"/>
      <c r="BM40" s="1">
        <v>5</v>
      </c>
      <c r="BN40" s="104">
        <f t="shared" si="306"/>
        <v>0</v>
      </c>
      <c r="BO40" s="102"/>
      <c r="BP40" s="1">
        <v>5</v>
      </c>
      <c r="BQ40" s="104">
        <f t="shared" si="307"/>
        <v>0</v>
      </c>
      <c r="BR40" s="102"/>
      <c r="BS40" s="1">
        <v>5</v>
      </c>
      <c r="BT40" s="104">
        <f t="shared" si="308"/>
        <v>0</v>
      </c>
      <c r="BU40" s="102"/>
      <c r="BV40" s="1">
        <v>5</v>
      </c>
      <c r="BW40" s="104">
        <f t="shared" si="309"/>
        <v>0</v>
      </c>
      <c r="BX40" s="102"/>
      <c r="BY40" s="1">
        <v>5</v>
      </c>
      <c r="BZ40" s="104">
        <f t="shared" si="310"/>
        <v>0</v>
      </c>
      <c r="CA40" s="102"/>
      <c r="CB40" s="1">
        <v>5</v>
      </c>
      <c r="CC40" s="104">
        <f t="shared" si="311"/>
        <v>0</v>
      </c>
      <c r="CD40" s="102"/>
      <c r="CE40" s="1">
        <v>5</v>
      </c>
      <c r="CF40" s="104">
        <f t="shared" si="312"/>
        <v>0</v>
      </c>
      <c r="CG40" s="102"/>
      <c r="CH40" s="1">
        <v>5</v>
      </c>
      <c r="CI40" s="104">
        <f t="shared" si="313"/>
        <v>0</v>
      </c>
      <c r="CJ40" s="102"/>
      <c r="CK40" s="1">
        <v>5</v>
      </c>
      <c r="CL40" s="104">
        <f t="shared" si="314"/>
        <v>0</v>
      </c>
      <c r="CM40" s="102"/>
      <c r="CN40" s="1">
        <v>5</v>
      </c>
      <c r="CO40" s="104">
        <f t="shared" si="315"/>
        <v>0</v>
      </c>
      <c r="CP40" s="102"/>
      <c r="CQ40" s="1">
        <v>5</v>
      </c>
      <c r="CR40" s="104">
        <f t="shared" si="316"/>
        <v>0</v>
      </c>
      <c r="CS40" s="102"/>
      <c r="CT40" s="1">
        <v>5</v>
      </c>
      <c r="CU40" s="104">
        <f t="shared" si="317"/>
        <v>0</v>
      </c>
      <c r="CV40" s="102"/>
      <c r="CW40" s="1">
        <v>5</v>
      </c>
      <c r="CX40" s="104">
        <f t="shared" si="318"/>
        <v>0</v>
      </c>
      <c r="CY40" s="102"/>
      <c r="CZ40" s="1">
        <v>5</v>
      </c>
      <c r="DA40" s="104">
        <f t="shared" si="319"/>
        <v>0</v>
      </c>
      <c r="DB40" s="102"/>
      <c r="DC40" s="1">
        <v>5</v>
      </c>
      <c r="DD40" s="104">
        <f t="shared" si="320"/>
        <v>0</v>
      </c>
      <c r="DE40" s="102"/>
      <c r="DF40" s="1">
        <v>5</v>
      </c>
      <c r="DG40" s="104">
        <f t="shared" si="321"/>
        <v>0</v>
      </c>
      <c r="DH40" s="102"/>
      <c r="DI40" s="1">
        <v>5</v>
      </c>
      <c r="DJ40" s="104">
        <f t="shared" si="322"/>
        <v>0</v>
      </c>
      <c r="DK40" s="102"/>
      <c r="DL40" s="1">
        <v>5</v>
      </c>
      <c r="DM40" s="104">
        <f t="shared" si="323"/>
        <v>0</v>
      </c>
      <c r="DN40" s="102"/>
      <c r="DO40" s="1">
        <v>5</v>
      </c>
      <c r="DP40" s="104">
        <f t="shared" si="324"/>
        <v>0</v>
      </c>
      <c r="DQ40" s="102"/>
      <c r="DR40" s="1">
        <v>5</v>
      </c>
      <c r="DS40" s="104">
        <f t="shared" si="325"/>
        <v>0</v>
      </c>
      <c r="DT40" s="102"/>
      <c r="DU40" s="1">
        <v>5</v>
      </c>
      <c r="DV40" s="104">
        <f t="shared" si="326"/>
        <v>0</v>
      </c>
      <c r="DW40" s="102"/>
      <c r="DX40" s="1">
        <v>5</v>
      </c>
      <c r="DY40" s="104">
        <f t="shared" si="327"/>
        <v>0</v>
      </c>
      <c r="DZ40" s="102"/>
      <c r="EA40" s="1">
        <v>5</v>
      </c>
      <c r="EB40" s="104">
        <f t="shared" si="328"/>
        <v>0</v>
      </c>
      <c r="EC40" s="102"/>
      <c r="ED40" s="1">
        <v>5</v>
      </c>
      <c r="EE40" s="104">
        <f t="shared" si="329"/>
        <v>0</v>
      </c>
      <c r="EF40" s="102"/>
      <c r="EG40" s="1">
        <v>5</v>
      </c>
      <c r="EH40" s="104">
        <f t="shared" si="330"/>
        <v>0</v>
      </c>
      <c r="EI40" s="102"/>
      <c r="EJ40" s="1">
        <v>5</v>
      </c>
      <c r="EK40" s="104">
        <f t="shared" si="331"/>
        <v>0</v>
      </c>
      <c r="EL40" s="102"/>
      <c r="EM40" s="1">
        <v>5</v>
      </c>
      <c r="EN40" s="104">
        <f t="shared" si="332"/>
        <v>0</v>
      </c>
      <c r="EO40" s="102"/>
      <c r="EP40" s="1">
        <v>5</v>
      </c>
      <c r="EQ40" s="108">
        <f t="shared" si="333"/>
        <v>0</v>
      </c>
      <c r="ER40" s="85">
        <f t="array" ref="ER40">IFERROR(_xlfn.LET(
_xlpm.datos,CHOOSE({1;2;3;4;5;6;7;8;9;10;11;12;13;13;14;15;16;17;18;19;20;21;22;23;23;24;25;26;27;28;29;30;31;32;33;34;35;36;37;38;39;40;41;42;43;44;45;46;47},F40,I40,L40,O40,R40,U40,X40,AA40,AD40,AG40,AJ40,AM40,AP40,AS40,AV40,AY40,BB40,BE40,BH40,BK40,BQ40,BT40,BW40,BZ40,CC40,CF40,CI40,CL40,CO40,CR40,CU40,CX40,DA40,DD40,DG40,DJ40,DM40,DP40,DS40,DV40,DY40,EB40,EE40,EH40,EK40,EN40,EQ40),
AVERAGE(_xlfn._xlws.FILTER(_xlpm.datos,(_xlpm.datos&lt;&gt;0)*(_xlpm.datos&lt;&gt;"")))
),0)</f>
        <v>0</v>
      </c>
      <c r="ES40" s="86" t="str">
        <f t="array" ref="ES40">_xlfn.IFS(ER40&gt;=91.5%,"MENSUAL",ER40&gt;=75%,"QUINCENAL",ER40&lt;75%,"SEMANAL")</f>
        <v>SEMANAL</v>
      </c>
    </row>
    <row r="41" ht="15.5" customHeight="1" spans="2:149" x14ac:dyDescent="0.25">
      <c r="B41" s="100" t="s">
        <v>116</v>
      </c>
      <c r="C41" s="101"/>
      <c r="D41" s="116"/>
      <c r="E41" s="117">
        <v>5</v>
      </c>
      <c r="F41" s="118">
        <f t="shared" si="286"/>
        <v>0</v>
      </c>
      <c r="G41" s="116"/>
      <c r="H41" s="117">
        <v>5</v>
      </c>
      <c r="I41" s="118">
        <f t="shared" si="287"/>
        <v>0</v>
      </c>
      <c r="J41" s="119"/>
      <c r="K41" s="117">
        <v>5</v>
      </c>
      <c r="L41" s="118">
        <f t="shared" si="288"/>
        <v>0</v>
      </c>
      <c r="M41" s="119"/>
      <c r="N41" s="117">
        <v>5</v>
      </c>
      <c r="O41" s="118">
        <f t="shared" si="289"/>
        <v>0</v>
      </c>
      <c r="P41" s="120"/>
      <c r="Q41" s="121">
        <v>5</v>
      </c>
      <c r="R41" s="118">
        <f t="shared" si="290"/>
        <v>0</v>
      </c>
      <c r="S41" s="116"/>
      <c r="T41" s="121">
        <v>5</v>
      </c>
      <c r="U41" s="118">
        <f t="shared" si="291"/>
        <v>0</v>
      </c>
      <c r="V41" s="116"/>
      <c r="W41" s="121">
        <v>5</v>
      </c>
      <c r="X41" s="118">
        <f t="shared" si="292"/>
        <v>0</v>
      </c>
      <c r="Y41" s="116"/>
      <c r="Z41" s="121">
        <v>5</v>
      </c>
      <c r="AA41" s="118">
        <f t="shared" si="293"/>
        <v>0</v>
      </c>
      <c r="AB41" s="120"/>
      <c r="AC41" s="121">
        <v>5</v>
      </c>
      <c r="AD41" s="118">
        <f t="shared" si="294"/>
        <v>0</v>
      </c>
      <c r="AE41" s="120"/>
      <c r="AF41" s="121">
        <v>5</v>
      </c>
      <c r="AG41" s="118">
        <f t="shared" si="295"/>
        <v>0</v>
      </c>
      <c r="AH41" s="120"/>
      <c r="AI41" s="121">
        <v>5</v>
      </c>
      <c r="AJ41" s="118">
        <f t="shared" si="296"/>
        <v>0</v>
      </c>
      <c r="AK41" s="120"/>
      <c r="AL41" s="121">
        <v>5</v>
      </c>
      <c r="AM41" s="118">
        <f t="shared" si="297"/>
        <v>0</v>
      </c>
      <c r="AN41" s="116"/>
      <c r="AO41" s="122">
        <v>5</v>
      </c>
      <c r="AP41" s="118">
        <f t="shared" si="298"/>
        <v>0</v>
      </c>
      <c r="AQ41" s="116"/>
      <c r="AR41" s="122">
        <v>5</v>
      </c>
      <c r="AS41" s="118">
        <f t="shared" si="299"/>
        <v>0</v>
      </c>
      <c r="AT41" s="116"/>
      <c r="AU41" s="122">
        <v>5</v>
      </c>
      <c r="AV41" s="118">
        <f t="shared" si="300"/>
        <v>0</v>
      </c>
      <c r="AW41" s="116"/>
      <c r="AX41" s="122">
        <v>5</v>
      </c>
      <c r="AY41" s="118">
        <f t="shared" si="301"/>
        <v>0</v>
      </c>
      <c r="AZ41" s="116"/>
      <c r="BA41" s="122">
        <v>5</v>
      </c>
      <c r="BB41" s="118">
        <f t="shared" si="302"/>
        <v>0</v>
      </c>
      <c r="BC41" s="116"/>
      <c r="BD41" s="122">
        <v>5</v>
      </c>
      <c r="BE41" s="118">
        <f t="shared" si="303"/>
        <v>0</v>
      </c>
      <c r="BF41" s="116"/>
      <c r="BG41" s="122">
        <v>5</v>
      </c>
      <c r="BH41" s="118">
        <f t="shared" si="304"/>
        <v>0</v>
      </c>
      <c r="BI41" s="116"/>
      <c r="BJ41" s="122">
        <v>5</v>
      </c>
      <c r="BK41" s="118">
        <f t="shared" si="305"/>
        <v>0</v>
      </c>
      <c r="BL41" s="116"/>
      <c r="BM41" s="122">
        <v>5</v>
      </c>
      <c r="BN41" s="118">
        <f t="shared" si="306"/>
        <v>0</v>
      </c>
      <c r="BO41" s="116"/>
      <c r="BP41" s="122">
        <v>5</v>
      </c>
      <c r="BQ41" s="118">
        <f t="shared" si="307"/>
        <v>0</v>
      </c>
      <c r="BR41" s="116"/>
      <c r="BS41" s="122">
        <v>5</v>
      </c>
      <c r="BT41" s="118">
        <f t="shared" si="308"/>
        <v>0</v>
      </c>
      <c r="BU41" s="116"/>
      <c r="BV41" s="122">
        <v>5</v>
      </c>
      <c r="BW41" s="118">
        <f t="shared" si="309"/>
        <v>0</v>
      </c>
      <c r="BX41" s="116"/>
      <c r="BY41" s="122">
        <v>5</v>
      </c>
      <c r="BZ41" s="118">
        <f t="shared" si="310"/>
        <v>0</v>
      </c>
      <c r="CA41" s="116"/>
      <c r="CB41" s="122">
        <v>5</v>
      </c>
      <c r="CC41" s="118">
        <f t="shared" si="311"/>
        <v>0</v>
      </c>
      <c r="CD41" s="116"/>
      <c r="CE41" s="122">
        <v>5</v>
      </c>
      <c r="CF41" s="118">
        <f t="shared" si="312"/>
        <v>0</v>
      </c>
      <c r="CG41" s="116"/>
      <c r="CH41" s="122">
        <v>5</v>
      </c>
      <c r="CI41" s="118">
        <f t="shared" si="313"/>
        <v>0</v>
      </c>
      <c r="CJ41" s="116"/>
      <c r="CK41" s="122">
        <v>5</v>
      </c>
      <c r="CL41" s="118">
        <f t="shared" si="314"/>
        <v>0</v>
      </c>
      <c r="CM41" s="116"/>
      <c r="CN41" s="122">
        <v>5</v>
      </c>
      <c r="CO41" s="118">
        <f t="shared" si="315"/>
        <v>0</v>
      </c>
      <c r="CP41" s="116"/>
      <c r="CQ41" s="122">
        <v>5</v>
      </c>
      <c r="CR41" s="118">
        <f t="shared" si="316"/>
        <v>0</v>
      </c>
      <c r="CS41" s="116"/>
      <c r="CT41" s="122">
        <v>5</v>
      </c>
      <c r="CU41" s="118">
        <f t="shared" si="317"/>
        <v>0</v>
      </c>
      <c r="CV41" s="116"/>
      <c r="CW41" s="122">
        <v>5</v>
      </c>
      <c r="CX41" s="118">
        <f t="shared" si="318"/>
        <v>0</v>
      </c>
      <c r="CY41" s="116"/>
      <c r="CZ41" s="122">
        <v>5</v>
      </c>
      <c r="DA41" s="118">
        <f t="shared" si="319"/>
        <v>0</v>
      </c>
      <c r="DB41" s="116"/>
      <c r="DC41" s="122">
        <v>5</v>
      </c>
      <c r="DD41" s="118">
        <f t="shared" si="320"/>
        <v>0</v>
      </c>
      <c r="DE41" s="116"/>
      <c r="DF41" s="122">
        <v>5</v>
      </c>
      <c r="DG41" s="118">
        <f t="shared" si="321"/>
        <v>0</v>
      </c>
      <c r="DH41" s="116"/>
      <c r="DI41" s="122">
        <v>5</v>
      </c>
      <c r="DJ41" s="118">
        <f t="shared" si="322"/>
        <v>0</v>
      </c>
      <c r="DK41" s="116"/>
      <c r="DL41" s="122">
        <v>5</v>
      </c>
      <c r="DM41" s="118">
        <f t="shared" si="323"/>
        <v>0</v>
      </c>
      <c r="DN41" s="116"/>
      <c r="DO41" s="122">
        <v>5</v>
      </c>
      <c r="DP41" s="118">
        <f t="shared" si="324"/>
        <v>0</v>
      </c>
      <c r="DQ41" s="116"/>
      <c r="DR41" s="122">
        <v>5</v>
      </c>
      <c r="DS41" s="118">
        <f t="shared" si="325"/>
        <v>0</v>
      </c>
      <c r="DT41" s="116"/>
      <c r="DU41" s="122">
        <v>5</v>
      </c>
      <c r="DV41" s="118">
        <f t="shared" si="326"/>
        <v>0</v>
      </c>
      <c r="DW41" s="116"/>
      <c r="DX41" s="122">
        <v>5</v>
      </c>
      <c r="DY41" s="118">
        <f t="shared" si="327"/>
        <v>0</v>
      </c>
      <c r="DZ41" s="116"/>
      <c r="EA41" s="122">
        <v>5</v>
      </c>
      <c r="EB41" s="118">
        <f t="shared" si="328"/>
        <v>0</v>
      </c>
      <c r="EC41" s="116"/>
      <c r="ED41" s="122">
        <v>5</v>
      </c>
      <c r="EE41" s="118">
        <f t="shared" si="329"/>
        <v>0</v>
      </c>
      <c r="EF41" s="116"/>
      <c r="EG41" s="122">
        <v>5</v>
      </c>
      <c r="EH41" s="118">
        <f t="shared" si="330"/>
        <v>0</v>
      </c>
      <c r="EI41" s="116"/>
      <c r="EJ41" s="122">
        <v>5</v>
      </c>
      <c r="EK41" s="118">
        <f t="shared" si="331"/>
        <v>0</v>
      </c>
      <c r="EL41" s="116"/>
      <c r="EM41" s="122">
        <v>5</v>
      </c>
      <c r="EN41" s="118">
        <f t="shared" si="332"/>
        <v>0</v>
      </c>
      <c r="EO41" s="116"/>
      <c r="EP41" s="122">
        <v>5</v>
      </c>
      <c r="EQ41" s="123">
        <f t="shared" si="333"/>
        <v>0</v>
      </c>
      <c r="ER41" s="85">
        <f t="array" ref="ER41">IFERROR(_xlfn.LET(
_xlpm.datos,CHOOSE({1;2;3;4;5;6;7;8;9;10;11;12;13;13;14;15;16;17;18;19;20;21;22;23;23;24;25;26;27;28;29;30;31;32;33;34;35;36;37;38;39;40;41;42;43;44;45;46;47},F41,I41,L41,O41,R41,U41,X41,AA41,AD41,AG41,AJ41,AM41,AP41,AS41,AV41,AY41,BB41,BE41,BH41,BK41,BQ41,BT41,BW41,BZ41,CC41,CF41,CI41,CL41,CO41,CR41,CU41,CX41,DA41,DD41,DG41,DJ41,DM41,DP41,DS41,DV41,DY41,EB41,EE41,EH41,EK41,EN41,EQ41),
AVERAGE(_xlfn._xlws.FILTER(_xlpm.datos,(_xlpm.datos&lt;&gt;0)*(_xlpm.datos&lt;&gt;"")))
),0)</f>
        <v>0</v>
      </c>
      <c r="ES41" s="86" t="str">
        <f t="array" ref="ES41">_xlfn.IFS(ER41&gt;=91.5%,"MENSUAL",ER41&gt;=75%,"QUINCENAL",ER41&lt;75%,"SEMANAL")</f>
        <v>SEMANAL</v>
      </c>
    </row>
    <row r="42" ht="15" customHeight="1" spans="2:149" x14ac:dyDescent="0.25">
      <c r="B42" s="140" t="s">
        <v>117</v>
      </c>
      <c r="C42" s="101"/>
      <c r="D42" s="90"/>
      <c r="E42" s="91">
        <v>5</v>
      </c>
      <c r="F42" s="92">
        <f>D42/E42</f>
        <v>0</v>
      </c>
      <c r="G42" s="90"/>
      <c r="H42" s="91">
        <v>5</v>
      </c>
      <c r="I42" s="92">
        <f>G42/H42</f>
        <v>0</v>
      </c>
      <c r="J42" s="93"/>
      <c r="K42" s="91">
        <v>5</v>
      </c>
      <c r="L42" s="92">
        <f>J42/K42</f>
        <v>0</v>
      </c>
      <c r="M42" s="93"/>
      <c r="N42" s="91">
        <v>5</v>
      </c>
      <c r="O42" s="92">
        <f>M42/N42</f>
        <v>0</v>
      </c>
      <c r="P42" s="94"/>
      <c r="Q42" s="95">
        <v>5</v>
      </c>
      <c r="R42" s="92">
        <f>P42/Q42</f>
        <v>0</v>
      </c>
      <c r="S42" s="90"/>
      <c r="T42" s="95">
        <v>5</v>
      </c>
      <c r="U42" s="92">
        <f>S42/T42</f>
        <v>0</v>
      </c>
      <c r="V42" s="90"/>
      <c r="W42" s="95">
        <v>5</v>
      </c>
      <c r="X42" s="92">
        <f>V42/W42</f>
        <v>0</v>
      </c>
      <c r="Y42" s="90"/>
      <c r="Z42" s="95">
        <v>5</v>
      </c>
      <c r="AA42" s="92">
        <f>Y42/Z42</f>
        <v>0</v>
      </c>
      <c r="AB42" s="94"/>
      <c r="AC42" s="95">
        <v>5</v>
      </c>
      <c r="AD42" s="92">
        <f>AB42/AC42</f>
        <v>0</v>
      </c>
      <c r="AE42" s="94"/>
      <c r="AF42" s="95">
        <v>5</v>
      </c>
      <c r="AG42" s="92">
        <f>AE42/AF42</f>
        <v>0</v>
      </c>
      <c r="AH42" s="94"/>
      <c r="AI42" s="95">
        <v>5</v>
      </c>
      <c r="AJ42" s="92">
        <f>AH42/AI42</f>
        <v>0</v>
      </c>
      <c r="AK42" s="94"/>
      <c r="AL42" s="95">
        <v>5</v>
      </c>
      <c r="AM42" s="92">
        <f>AK42/AL42</f>
        <v>0</v>
      </c>
      <c r="AN42" s="90"/>
      <c r="AO42" s="96">
        <v>5</v>
      </c>
      <c r="AP42" s="92">
        <f>AN42/AO42</f>
        <v>0</v>
      </c>
      <c r="AQ42" s="90"/>
      <c r="AR42" s="96">
        <v>5</v>
      </c>
      <c r="AS42" s="92">
        <f>AQ42/AR42</f>
        <v>0</v>
      </c>
      <c r="AT42" s="90"/>
      <c r="AU42" s="96">
        <v>5</v>
      </c>
      <c r="AV42" s="92">
        <f>AT42/AU42</f>
        <v>0</v>
      </c>
      <c r="AW42" s="90"/>
      <c r="AX42" s="96">
        <v>5</v>
      </c>
      <c r="AY42" s="92">
        <f>AW42/AX42</f>
        <v>0</v>
      </c>
      <c r="AZ42" s="90"/>
      <c r="BA42" s="96">
        <v>5</v>
      </c>
      <c r="BB42" s="92">
        <f>AZ42/BA42</f>
        <v>0</v>
      </c>
      <c r="BC42" s="90"/>
      <c r="BD42" s="96">
        <v>5</v>
      </c>
      <c r="BE42" s="92">
        <f>BC42/BD42</f>
        <v>0</v>
      </c>
      <c r="BF42" s="90"/>
      <c r="BG42" s="96">
        <v>5</v>
      </c>
      <c r="BH42" s="92">
        <f>BF42/BG42</f>
        <v>0</v>
      </c>
      <c r="BI42" s="90"/>
      <c r="BJ42" s="96">
        <v>5</v>
      </c>
      <c r="BK42" s="92">
        <f>BI42/BJ42</f>
        <v>0</v>
      </c>
      <c r="BL42" s="90"/>
      <c r="BM42" s="96">
        <v>5</v>
      </c>
      <c r="BN42" s="92">
        <f>BL42/BM42</f>
        <v>0</v>
      </c>
      <c r="BO42" s="90"/>
      <c r="BP42" s="96">
        <v>5</v>
      </c>
      <c r="BQ42" s="92">
        <f>BO42/BP42</f>
        <v>0</v>
      </c>
      <c r="BR42" s="90"/>
      <c r="BS42" s="96">
        <v>5</v>
      </c>
      <c r="BT42" s="92">
        <f>BR42/BS42</f>
        <v>0</v>
      </c>
      <c r="BU42" s="90"/>
      <c r="BV42" s="96">
        <v>5</v>
      </c>
      <c r="BW42" s="92">
        <f>BU42/BV42</f>
        <v>0</v>
      </c>
      <c r="BX42" s="90"/>
      <c r="BY42" s="96">
        <v>5</v>
      </c>
      <c r="BZ42" s="92">
        <f>BX42/BY42</f>
        <v>0</v>
      </c>
      <c r="CA42" s="90"/>
      <c r="CB42" s="96">
        <v>5</v>
      </c>
      <c r="CC42" s="92">
        <f>CA42/CB42</f>
        <v>0</v>
      </c>
      <c r="CD42" s="90"/>
      <c r="CE42" s="96">
        <v>5</v>
      </c>
      <c r="CF42" s="92">
        <f>CD42/CE42</f>
        <v>0</v>
      </c>
      <c r="CG42" s="90"/>
      <c r="CH42" s="96">
        <v>5</v>
      </c>
      <c r="CI42" s="92">
        <f>CG42/CH42</f>
        <v>0</v>
      </c>
      <c r="CJ42" s="90"/>
      <c r="CK42" s="96">
        <v>5</v>
      </c>
      <c r="CL42" s="92">
        <f>CJ42/CK42</f>
        <v>0</v>
      </c>
      <c r="CM42" s="90"/>
      <c r="CN42" s="96">
        <v>5</v>
      </c>
      <c r="CO42" s="92">
        <f>CM42/CN42</f>
        <v>0</v>
      </c>
      <c r="CP42" s="90"/>
      <c r="CQ42" s="96">
        <v>5</v>
      </c>
      <c r="CR42" s="92">
        <f>CP42/CQ42</f>
        <v>0</v>
      </c>
      <c r="CS42" s="90"/>
      <c r="CT42" s="96">
        <v>5</v>
      </c>
      <c r="CU42" s="92">
        <f>CS42/CT42</f>
        <v>0</v>
      </c>
      <c r="CV42" s="90"/>
      <c r="CW42" s="96">
        <v>5</v>
      </c>
      <c r="CX42" s="92">
        <f>CV42/CW42</f>
        <v>0</v>
      </c>
      <c r="CY42" s="90"/>
      <c r="CZ42" s="96">
        <v>5</v>
      </c>
      <c r="DA42" s="92">
        <f>CY42/CZ42</f>
        <v>0</v>
      </c>
      <c r="DB42" s="90"/>
      <c r="DC42" s="96">
        <v>5</v>
      </c>
      <c r="DD42" s="92">
        <f>DB42/DC42</f>
        <v>0</v>
      </c>
      <c r="DE42" s="90"/>
      <c r="DF42" s="96">
        <v>5</v>
      </c>
      <c r="DG42" s="92">
        <f>DE42/DF42</f>
        <v>0</v>
      </c>
      <c r="DH42" s="90"/>
      <c r="DI42" s="96">
        <v>5</v>
      </c>
      <c r="DJ42" s="92">
        <f>DH42/DI42</f>
        <v>0</v>
      </c>
      <c r="DK42" s="90"/>
      <c r="DL42" s="96">
        <v>5</v>
      </c>
      <c r="DM42" s="92">
        <f>DK42/DL42</f>
        <v>0</v>
      </c>
      <c r="DN42" s="90"/>
      <c r="DO42" s="96">
        <v>5</v>
      </c>
      <c r="DP42" s="92">
        <f>DN42/DO42</f>
        <v>0</v>
      </c>
      <c r="DQ42" s="90"/>
      <c r="DR42" s="96">
        <v>5</v>
      </c>
      <c r="DS42" s="92">
        <f>DQ42/DR42</f>
        <v>0</v>
      </c>
      <c r="DT42" s="90"/>
      <c r="DU42" s="96">
        <v>5</v>
      </c>
      <c r="DV42" s="92">
        <f>DT42/DU42</f>
        <v>0</v>
      </c>
      <c r="DW42" s="90"/>
      <c r="DX42" s="96">
        <v>5</v>
      </c>
      <c r="DY42" s="92">
        <f>DW42/DX42</f>
        <v>0</v>
      </c>
      <c r="DZ42" s="90"/>
      <c r="EA42" s="96">
        <v>5</v>
      </c>
      <c r="EB42" s="92">
        <f>DZ42/EA42</f>
        <v>0</v>
      </c>
      <c r="EC42" s="90"/>
      <c r="ED42" s="96">
        <v>5</v>
      </c>
      <c r="EE42" s="92">
        <f>EC42/ED42</f>
        <v>0</v>
      </c>
      <c r="EF42" s="90"/>
      <c r="EG42" s="96">
        <v>5</v>
      </c>
      <c r="EH42" s="92">
        <f>EF42/EG42</f>
        <v>0</v>
      </c>
      <c r="EI42" s="90"/>
      <c r="EJ42" s="96">
        <v>5</v>
      </c>
      <c r="EK42" s="92">
        <f>EI42/EJ42</f>
        <v>0</v>
      </c>
      <c r="EL42" s="90"/>
      <c r="EM42" s="96">
        <v>5</v>
      </c>
      <c r="EN42" s="92">
        <f>EL42/EM42</f>
        <v>0</v>
      </c>
      <c r="EO42" s="90"/>
      <c r="EP42" s="96">
        <v>5</v>
      </c>
      <c r="EQ42" s="97">
        <f>EO42/EP42</f>
        <v>0</v>
      </c>
      <c r="ER42" s="85">
        <f t="array" ref="ER42">IFERROR(_xlfn.LET(
_xlpm.datos,CHOOSE({1;2;3;4;5;6;7;8;9;10;11;12;13;13;14;15;16;17;18;19;20;21;22;23;23;24;25;26;27;28;29;30;31;32;33;34;35;36;37;38;39;40;41;42;43;44;45;46;47},F42,I42,L42,O42,R42,U42,X42,AA42,AD42,AG42,AJ42,AM42,AP42,AS42,AV42,AY42,BB42,BE42,BH42,BK42,BQ42,BT42,BW42,BZ42,CC42,CF42,CI42,CL42,CO42,CR42,CU42,CX42,DA42,DD42,DG42,DJ42,DM42,DP42,DS42,DV42,DY42,EB42,EE42,EH42,EK42,EN42,EQ42),
AVERAGE(_xlfn._xlws.FILTER(_xlpm.datos,(_xlpm.datos&lt;&gt;0)*(_xlpm.datos&lt;&gt;"")))
),0)</f>
        <v>0</v>
      </c>
      <c r="ES42" s="86" t="str">
        <f t="array" ref="ES42">_xlfn.IFS(ER42&gt;=91.5%,"MENSUAL",ER42&gt;=75%,"QUINCENAL",ER42&lt;75%,"SEMANAL")</f>
        <v>SEMANAL</v>
      </c>
    </row>
    <row r="43" ht="15.5" customHeight="1" spans="2:149" x14ac:dyDescent="0.25">
      <c r="B43" s="100" t="s">
        <v>118</v>
      </c>
      <c r="C43" s="101"/>
      <c r="D43" s="102"/>
      <c r="E43" s="103">
        <v>5</v>
      </c>
      <c r="F43" s="104">
        <f t="shared" ref="F43:F46" si="334">D43/E43</f>
        <v>0</v>
      </c>
      <c r="G43" s="102"/>
      <c r="H43" s="103">
        <v>5</v>
      </c>
      <c r="I43" s="104">
        <f t="shared" ref="I43:I46" si="335">G43/H43</f>
        <v>0</v>
      </c>
      <c r="J43" s="105"/>
      <c r="K43" s="103">
        <v>5</v>
      </c>
      <c r="L43" s="104">
        <f t="shared" ref="L43:L46" si="336">J43/K43</f>
        <v>0</v>
      </c>
      <c r="M43" s="105"/>
      <c r="N43" s="103">
        <v>5</v>
      </c>
      <c r="O43" s="104">
        <f t="shared" ref="O43:O46" si="337">M43/N43</f>
        <v>0</v>
      </c>
      <c r="P43" s="106"/>
      <c r="Q43" s="107">
        <v>5</v>
      </c>
      <c r="R43" s="104">
        <f t="shared" ref="R43:R46" si="338">P43/Q43</f>
        <v>0</v>
      </c>
      <c r="S43" s="102"/>
      <c r="T43" s="107">
        <v>5</v>
      </c>
      <c r="U43" s="104">
        <f t="shared" ref="U43:U46" si="339">S43/T43</f>
        <v>0</v>
      </c>
      <c r="V43" s="102"/>
      <c r="W43" s="107">
        <v>5</v>
      </c>
      <c r="X43" s="104">
        <f t="shared" ref="X43:X46" si="340">V43/W43</f>
        <v>0</v>
      </c>
      <c r="Y43" s="102"/>
      <c r="Z43" s="107">
        <v>5</v>
      </c>
      <c r="AA43" s="104">
        <f t="shared" ref="AA43:AA46" si="341">Y43/Z43</f>
        <v>0</v>
      </c>
      <c r="AB43" s="106"/>
      <c r="AC43" s="107">
        <v>5</v>
      </c>
      <c r="AD43" s="104">
        <f t="shared" ref="AD43:AD46" si="342">AB43/AC43</f>
        <v>0</v>
      </c>
      <c r="AE43" s="106"/>
      <c r="AF43" s="107">
        <v>5</v>
      </c>
      <c r="AG43" s="104">
        <f t="shared" ref="AG43:AG46" si="343">AE43/AF43</f>
        <v>0</v>
      </c>
      <c r="AH43" s="106"/>
      <c r="AI43" s="107">
        <v>5</v>
      </c>
      <c r="AJ43" s="104">
        <f t="shared" ref="AJ43:AJ46" si="344">AH43/AI43</f>
        <v>0</v>
      </c>
      <c r="AK43" s="106"/>
      <c r="AL43" s="107">
        <v>5</v>
      </c>
      <c r="AM43" s="104">
        <f t="shared" ref="AM43:AM46" si="345">AK43/AL43</f>
        <v>0</v>
      </c>
      <c r="AN43" s="102"/>
      <c r="AO43" s="1">
        <v>5</v>
      </c>
      <c r="AP43" s="104">
        <f t="shared" ref="AP43:AP46" si="346">AN43/AO43</f>
        <v>0</v>
      </c>
      <c r="AQ43" s="102"/>
      <c r="AR43" s="1">
        <v>5</v>
      </c>
      <c r="AS43" s="104">
        <f t="shared" ref="AS43:AS46" si="347">AQ43/AR43</f>
        <v>0</v>
      </c>
      <c r="AT43" s="102"/>
      <c r="AU43" s="1">
        <v>5</v>
      </c>
      <c r="AV43" s="104">
        <f t="shared" ref="AV43:AV46" si="348">AT43/AU43</f>
        <v>0</v>
      </c>
      <c r="AW43" s="102"/>
      <c r="AX43" s="1">
        <v>5</v>
      </c>
      <c r="AY43" s="104">
        <f t="shared" ref="AY43:AY46" si="349">AW43/AX43</f>
        <v>0</v>
      </c>
      <c r="AZ43" s="102"/>
      <c r="BA43" s="1">
        <v>5</v>
      </c>
      <c r="BB43" s="104">
        <f t="shared" ref="BB43:BB46" si="350">AZ43/BA43</f>
        <v>0</v>
      </c>
      <c r="BC43" s="102"/>
      <c r="BD43" s="1">
        <v>5</v>
      </c>
      <c r="BE43" s="104">
        <f t="shared" ref="BE43:BE46" si="351">BC43/BD43</f>
        <v>0</v>
      </c>
      <c r="BF43" s="102"/>
      <c r="BG43" s="1">
        <v>5</v>
      </c>
      <c r="BH43" s="104">
        <f t="shared" ref="BH43:BH46" si="352">BF43/BG43</f>
        <v>0</v>
      </c>
      <c r="BI43" s="102"/>
      <c r="BJ43" s="1">
        <v>5</v>
      </c>
      <c r="BK43" s="104">
        <f t="shared" ref="BK43:BK46" si="353">BI43/BJ43</f>
        <v>0</v>
      </c>
      <c r="BL43" s="102"/>
      <c r="BM43" s="1">
        <v>5</v>
      </c>
      <c r="BN43" s="104">
        <f t="shared" ref="BN43:BN46" si="354">BL43/BM43</f>
        <v>0</v>
      </c>
      <c r="BO43" s="102"/>
      <c r="BP43" s="1">
        <v>5</v>
      </c>
      <c r="BQ43" s="104">
        <f t="shared" ref="BQ43:BQ46" si="355">BO43/BP43</f>
        <v>0</v>
      </c>
      <c r="BR43" s="102"/>
      <c r="BS43" s="1">
        <v>5</v>
      </c>
      <c r="BT43" s="104">
        <f t="shared" ref="BT43:BT46" si="356">BR43/BS43</f>
        <v>0</v>
      </c>
      <c r="BU43" s="102"/>
      <c r="BV43" s="1">
        <v>5</v>
      </c>
      <c r="BW43" s="104">
        <f t="shared" ref="BW43:BW46" si="357">BU43/BV43</f>
        <v>0</v>
      </c>
      <c r="BX43" s="102"/>
      <c r="BY43" s="1">
        <v>5</v>
      </c>
      <c r="BZ43" s="104">
        <f t="shared" ref="BZ43:BZ46" si="358">BX43/BY43</f>
        <v>0</v>
      </c>
      <c r="CA43" s="102"/>
      <c r="CB43" s="1">
        <v>5</v>
      </c>
      <c r="CC43" s="104">
        <f t="shared" ref="CC43:CC46" si="359">CA43/CB43</f>
        <v>0</v>
      </c>
      <c r="CD43" s="102"/>
      <c r="CE43" s="1">
        <v>5</v>
      </c>
      <c r="CF43" s="104">
        <f t="shared" ref="CF43:CF46" si="360">CD43/CE43</f>
        <v>0</v>
      </c>
      <c r="CG43" s="102"/>
      <c r="CH43" s="1">
        <v>5</v>
      </c>
      <c r="CI43" s="104">
        <f t="shared" ref="CI43:CI46" si="361">CG43/CH43</f>
        <v>0</v>
      </c>
      <c r="CJ43" s="102"/>
      <c r="CK43" s="1">
        <v>5</v>
      </c>
      <c r="CL43" s="104">
        <f t="shared" ref="CL43:CL46" si="362">CJ43/CK43</f>
        <v>0</v>
      </c>
      <c r="CM43" s="102"/>
      <c r="CN43" s="1">
        <v>5</v>
      </c>
      <c r="CO43" s="104">
        <f t="shared" ref="CO43:CO46" si="363">CM43/CN43</f>
        <v>0</v>
      </c>
      <c r="CP43" s="102"/>
      <c r="CQ43" s="1">
        <v>5</v>
      </c>
      <c r="CR43" s="104">
        <f t="shared" ref="CR43:CR46" si="364">CP43/CQ43</f>
        <v>0</v>
      </c>
      <c r="CS43" s="102"/>
      <c r="CT43" s="1">
        <v>5</v>
      </c>
      <c r="CU43" s="104">
        <f t="shared" ref="CU43:CU46" si="365">CS43/CT43</f>
        <v>0</v>
      </c>
      <c r="CV43" s="102"/>
      <c r="CW43" s="1">
        <v>5</v>
      </c>
      <c r="CX43" s="104">
        <f t="shared" ref="CX43:CX46" si="366">CV43/CW43</f>
        <v>0</v>
      </c>
      <c r="CY43" s="102"/>
      <c r="CZ43" s="1">
        <v>5</v>
      </c>
      <c r="DA43" s="104">
        <f t="shared" ref="DA43:DA46" si="367">CY43/CZ43</f>
        <v>0</v>
      </c>
      <c r="DB43" s="102"/>
      <c r="DC43" s="1">
        <v>5</v>
      </c>
      <c r="DD43" s="104">
        <f t="shared" ref="DD43:DD46" si="368">DB43/DC43</f>
        <v>0</v>
      </c>
      <c r="DE43" s="102"/>
      <c r="DF43" s="1">
        <v>5</v>
      </c>
      <c r="DG43" s="104">
        <f t="shared" ref="DG43:DG46" si="369">DE43/DF43</f>
        <v>0</v>
      </c>
      <c r="DH43" s="102"/>
      <c r="DI43" s="1">
        <v>5</v>
      </c>
      <c r="DJ43" s="104">
        <f t="shared" ref="DJ43:DJ46" si="370">DH43/DI43</f>
        <v>0</v>
      </c>
      <c r="DK43" s="102"/>
      <c r="DL43" s="1">
        <v>5</v>
      </c>
      <c r="DM43" s="104">
        <f t="shared" ref="DM43:DM46" si="371">DK43/DL43</f>
        <v>0</v>
      </c>
      <c r="DN43" s="102"/>
      <c r="DO43" s="1">
        <v>5</v>
      </c>
      <c r="DP43" s="104">
        <f t="shared" ref="DP43:DP46" si="372">DN43/DO43</f>
        <v>0</v>
      </c>
      <c r="DQ43" s="102"/>
      <c r="DR43" s="1">
        <v>5</v>
      </c>
      <c r="DS43" s="104">
        <f t="shared" ref="DS43:DS46" si="373">DQ43/DR43</f>
        <v>0</v>
      </c>
      <c r="DT43" s="102"/>
      <c r="DU43" s="1">
        <v>5</v>
      </c>
      <c r="DV43" s="104">
        <f t="shared" ref="DV43:DV46" si="374">DT43/DU43</f>
        <v>0</v>
      </c>
      <c r="DW43" s="102"/>
      <c r="DX43" s="1">
        <v>5</v>
      </c>
      <c r="DY43" s="104">
        <f t="shared" ref="DY43:DY46" si="375">DW43/DX43</f>
        <v>0</v>
      </c>
      <c r="DZ43" s="102"/>
      <c r="EA43" s="1">
        <v>5</v>
      </c>
      <c r="EB43" s="104">
        <f t="shared" ref="EB43:EB46" si="376">DZ43/EA43</f>
        <v>0</v>
      </c>
      <c r="EC43" s="102"/>
      <c r="ED43" s="1">
        <v>5</v>
      </c>
      <c r="EE43" s="104">
        <f t="shared" ref="EE43:EE46" si="377">EC43/ED43</f>
        <v>0</v>
      </c>
      <c r="EF43" s="102"/>
      <c r="EG43" s="1">
        <v>5</v>
      </c>
      <c r="EH43" s="104">
        <f t="shared" ref="EH43:EH46" si="378">EF43/EG43</f>
        <v>0</v>
      </c>
      <c r="EI43" s="102"/>
      <c r="EJ43" s="1">
        <v>5</v>
      </c>
      <c r="EK43" s="104">
        <f t="shared" ref="EK43:EK46" si="379">EI43/EJ43</f>
        <v>0</v>
      </c>
      <c r="EL43" s="102"/>
      <c r="EM43" s="1">
        <v>5</v>
      </c>
      <c r="EN43" s="104">
        <f t="shared" ref="EN43:EN46" si="380">EL43/EM43</f>
        <v>0</v>
      </c>
      <c r="EO43" s="102"/>
      <c r="EP43" s="1">
        <v>5</v>
      </c>
      <c r="EQ43" s="108">
        <f t="shared" ref="EQ43:EQ46" si="381">EO43/EP43</f>
        <v>0</v>
      </c>
      <c r="ER43" s="85">
        <f t="array" ref="ER43">IFERROR(_xlfn.LET(
_xlpm.datos,CHOOSE({1;2;3;4;5;6;7;8;9;10;11;12;13;13;14;15;16;17;18;19;20;21;22;23;23;24;25;26;27;28;29;30;31;32;33;34;35;36;37;38;39;40;41;42;43;44;45;46;47},F43,I43,L43,O43,R43,U43,X43,AA43,AD43,AG43,AJ43,AM43,AP43,AS43,AV43,AY43,BB43,BE43,BH43,BK43,BQ43,BT43,BW43,BZ43,CC43,CF43,CI43,CL43,CO43,CR43,CU43,CX43,DA43,DD43,DG43,DJ43,DM43,DP43,DS43,DV43,DY43,EB43,EE43,EH43,EK43,EN43,EQ43),
AVERAGE(_xlfn._xlws.FILTER(_xlpm.datos,(_xlpm.datos&lt;&gt;0)*(_xlpm.datos&lt;&gt;"")))
),0)</f>
        <v>0</v>
      </c>
      <c r="ES43" s="86" t="str">
        <f t="array" ref="ES43">_xlfn.IFS(ER43&gt;=91.5%,"MENSUAL",ER43&gt;=75%,"QUINCENAL",ER43&lt;75%,"SEMANAL")</f>
        <v>SEMANAL</v>
      </c>
    </row>
    <row r="44" ht="20" customHeight="1" spans="2:149" x14ac:dyDescent="0.25">
      <c r="B44" s="141" t="s">
        <v>119</v>
      </c>
      <c r="C44" s="101"/>
      <c r="D44" s="102"/>
      <c r="E44" s="103">
        <v>5</v>
      </c>
      <c r="F44" s="104">
        <f t="shared" si="334"/>
        <v>0</v>
      </c>
      <c r="G44" s="102"/>
      <c r="H44" s="103">
        <v>5</v>
      </c>
      <c r="I44" s="104">
        <f t="shared" si="335"/>
        <v>0</v>
      </c>
      <c r="J44" s="105"/>
      <c r="K44" s="103">
        <v>5</v>
      </c>
      <c r="L44" s="104">
        <f t="shared" si="336"/>
        <v>0</v>
      </c>
      <c r="M44" s="105"/>
      <c r="N44" s="103">
        <v>5</v>
      </c>
      <c r="O44" s="104">
        <f t="shared" si="337"/>
        <v>0</v>
      </c>
      <c r="P44" s="106"/>
      <c r="Q44" s="107">
        <v>5</v>
      </c>
      <c r="R44" s="104">
        <f t="shared" si="338"/>
        <v>0</v>
      </c>
      <c r="S44" s="102"/>
      <c r="T44" s="107">
        <v>5</v>
      </c>
      <c r="U44" s="104">
        <f t="shared" si="339"/>
        <v>0</v>
      </c>
      <c r="V44" s="102"/>
      <c r="W44" s="1">
        <v>5</v>
      </c>
      <c r="X44" s="104">
        <f t="shared" si="340"/>
        <v>0</v>
      </c>
      <c r="Y44" s="105"/>
      <c r="Z44" s="103">
        <v>5</v>
      </c>
      <c r="AA44" s="104">
        <f t="shared" si="341"/>
        <v>0</v>
      </c>
      <c r="AB44" s="102"/>
      <c r="AC44" s="103">
        <v>5</v>
      </c>
      <c r="AD44" s="104">
        <f t="shared" si="342"/>
        <v>0</v>
      </c>
      <c r="AE44" s="105"/>
      <c r="AF44" s="103">
        <v>5</v>
      </c>
      <c r="AG44" s="104">
        <f t="shared" si="343"/>
        <v>0</v>
      </c>
      <c r="AH44" s="105"/>
      <c r="AI44" s="103">
        <v>5</v>
      </c>
      <c r="AJ44" s="104">
        <f t="shared" si="344"/>
        <v>0</v>
      </c>
      <c r="AK44" s="105"/>
      <c r="AL44" s="103">
        <v>5</v>
      </c>
      <c r="AM44" s="104">
        <f t="shared" si="345"/>
        <v>0</v>
      </c>
      <c r="AN44" s="102"/>
      <c r="AO44" s="1">
        <v>5</v>
      </c>
      <c r="AP44" s="104">
        <f t="shared" si="346"/>
        <v>0</v>
      </c>
      <c r="AQ44" s="102"/>
      <c r="AR44" s="1">
        <v>5</v>
      </c>
      <c r="AS44" s="104">
        <f t="shared" si="347"/>
        <v>0</v>
      </c>
      <c r="AT44" s="102"/>
      <c r="AU44" s="1">
        <v>5</v>
      </c>
      <c r="AV44" s="104">
        <f t="shared" si="348"/>
        <v>0</v>
      </c>
      <c r="AW44" s="102"/>
      <c r="AX44" s="1">
        <v>5</v>
      </c>
      <c r="AY44" s="104">
        <f t="shared" si="349"/>
        <v>0</v>
      </c>
      <c r="AZ44" s="112"/>
      <c r="BA44" s="113">
        <v>5</v>
      </c>
      <c r="BB44" s="104">
        <f t="shared" si="350"/>
        <v>0</v>
      </c>
      <c r="BC44" s="112"/>
      <c r="BD44" s="113">
        <v>5</v>
      </c>
      <c r="BE44" s="104">
        <f t="shared" si="351"/>
        <v>0</v>
      </c>
      <c r="BF44" s="112"/>
      <c r="BG44" s="113">
        <v>5</v>
      </c>
      <c r="BH44" s="104">
        <f t="shared" si="352"/>
        <v>0</v>
      </c>
      <c r="BI44" s="102"/>
      <c r="BJ44" s="1">
        <v>5</v>
      </c>
      <c r="BK44" s="104">
        <f t="shared" si="353"/>
        <v>0</v>
      </c>
      <c r="BL44" s="102"/>
      <c r="BM44" s="1">
        <v>5</v>
      </c>
      <c r="BN44" s="104">
        <f t="shared" si="354"/>
        <v>0</v>
      </c>
      <c r="BO44" s="102"/>
      <c r="BP44" s="1">
        <v>5</v>
      </c>
      <c r="BQ44" s="104">
        <f t="shared" si="355"/>
        <v>0</v>
      </c>
      <c r="BR44" s="102"/>
      <c r="BS44" s="1">
        <v>5</v>
      </c>
      <c r="BT44" s="104">
        <f t="shared" si="356"/>
        <v>0</v>
      </c>
      <c r="BU44" s="102"/>
      <c r="BV44" s="1">
        <v>5</v>
      </c>
      <c r="BW44" s="104">
        <f t="shared" si="357"/>
        <v>0</v>
      </c>
      <c r="BX44" s="112"/>
      <c r="BY44" s="113">
        <v>5</v>
      </c>
      <c r="BZ44" s="104">
        <f t="shared" si="358"/>
        <v>0</v>
      </c>
      <c r="CA44" s="112"/>
      <c r="CB44" s="113">
        <v>5</v>
      </c>
      <c r="CC44" s="104">
        <f t="shared" si="359"/>
        <v>0</v>
      </c>
      <c r="CD44" s="112"/>
      <c r="CE44" s="113">
        <v>5</v>
      </c>
      <c r="CF44" s="104">
        <f t="shared" si="360"/>
        <v>0</v>
      </c>
      <c r="CG44" s="102"/>
      <c r="CH44" s="1">
        <v>5</v>
      </c>
      <c r="CI44" s="104">
        <f t="shared" si="361"/>
        <v>0</v>
      </c>
      <c r="CJ44" s="102"/>
      <c r="CK44" s="1">
        <v>5</v>
      </c>
      <c r="CL44" s="104">
        <f t="shared" si="362"/>
        <v>0</v>
      </c>
      <c r="CM44" s="102"/>
      <c r="CN44" s="1">
        <v>5</v>
      </c>
      <c r="CO44" s="104">
        <f t="shared" si="363"/>
        <v>0</v>
      </c>
      <c r="CP44" s="112"/>
      <c r="CQ44" s="113">
        <v>5</v>
      </c>
      <c r="CR44" s="104">
        <f t="shared" si="364"/>
        <v>0</v>
      </c>
      <c r="CS44" s="112"/>
      <c r="CT44" s="113">
        <v>5</v>
      </c>
      <c r="CU44" s="104">
        <f t="shared" si="365"/>
        <v>0</v>
      </c>
      <c r="CV44" s="112"/>
      <c r="CW44" s="113">
        <v>5</v>
      </c>
      <c r="CX44" s="104">
        <f t="shared" si="366"/>
        <v>0</v>
      </c>
      <c r="CY44" s="102"/>
      <c r="CZ44" s="1">
        <v>5</v>
      </c>
      <c r="DA44" s="104">
        <f t="shared" si="367"/>
        <v>0</v>
      </c>
      <c r="DB44" s="112"/>
      <c r="DC44" s="113">
        <v>5</v>
      </c>
      <c r="DD44" s="104">
        <f t="shared" si="368"/>
        <v>0</v>
      </c>
      <c r="DE44" s="112"/>
      <c r="DF44" s="113">
        <v>5</v>
      </c>
      <c r="DG44" s="104">
        <f t="shared" si="369"/>
        <v>0</v>
      </c>
      <c r="DH44" s="112"/>
      <c r="DI44" s="113">
        <v>5</v>
      </c>
      <c r="DJ44" s="104">
        <f t="shared" si="370"/>
        <v>0</v>
      </c>
      <c r="DK44" s="112"/>
      <c r="DL44" s="113">
        <v>5</v>
      </c>
      <c r="DM44" s="104">
        <f t="shared" si="371"/>
        <v>0</v>
      </c>
      <c r="DN44" s="112"/>
      <c r="DO44" s="113">
        <v>5</v>
      </c>
      <c r="DP44" s="104">
        <f t="shared" si="372"/>
        <v>0</v>
      </c>
      <c r="DQ44" s="102"/>
      <c r="DR44" s="1">
        <v>5</v>
      </c>
      <c r="DS44" s="104">
        <f t="shared" si="373"/>
        <v>0</v>
      </c>
      <c r="DT44" s="102"/>
      <c r="DU44" s="1">
        <v>5</v>
      </c>
      <c r="DV44" s="104">
        <f t="shared" si="374"/>
        <v>0</v>
      </c>
      <c r="DW44" s="102"/>
      <c r="DX44" s="1">
        <v>5</v>
      </c>
      <c r="DY44" s="104">
        <f t="shared" si="375"/>
        <v>0</v>
      </c>
      <c r="DZ44" s="112"/>
      <c r="EA44" s="113">
        <v>5</v>
      </c>
      <c r="EB44" s="104">
        <f t="shared" si="376"/>
        <v>0</v>
      </c>
      <c r="EC44" s="112"/>
      <c r="ED44" s="113">
        <v>5</v>
      </c>
      <c r="EE44" s="104">
        <f t="shared" si="377"/>
        <v>0</v>
      </c>
      <c r="EF44" s="112"/>
      <c r="EG44" s="113">
        <v>5</v>
      </c>
      <c r="EH44" s="104">
        <f t="shared" si="378"/>
        <v>0</v>
      </c>
      <c r="EI44" s="102"/>
      <c r="EJ44" s="1">
        <v>5</v>
      </c>
      <c r="EK44" s="104">
        <f t="shared" si="379"/>
        <v>0</v>
      </c>
      <c r="EL44" s="112"/>
      <c r="EM44" s="113">
        <v>5</v>
      </c>
      <c r="EN44" s="104">
        <f t="shared" si="380"/>
        <v>0</v>
      </c>
      <c r="EO44" s="112"/>
      <c r="EP44" s="113">
        <v>5</v>
      </c>
      <c r="EQ44" s="108">
        <f t="shared" si="381"/>
        <v>0</v>
      </c>
      <c r="ER44" s="85">
        <f t="array" ref="ER44">IFERROR(_xlfn.LET(
_xlpm.datos,CHOOSE({1;2;3;4;5;6;7;8;9;10;11;12;13;13;14;15;16;17;18;19;20;21;22;23;23;24;25;26;27;28;29;30;31;32;33;34;35;36;37;38;39;40;41;42;43;44;45;46;47},F44,I44,L44,O44,R44,U44,X44,AA44,AD44,AG44,AJ44,AM44,AP44,AS44,AV44,AY44,BB44,BE44,BH44,BK44,BQ44,BT44,BW44,BZ44,CC44,CF44,CI44,CL44,CO44,CR44,CU44,CX44,DA44,DD44,DG44,DJ44,DM44,DP44,DS44,DV44,DY44,EB44,EE44,EH44,EK44,EN44,EQ44),
AVERAGE(_xlfn._xlws.FILTER(_xlpm.datos,(_xlpm.datos&lt;&gt;0)*(_xlpm.datos&lt;&gt;"")))
),0)</f>
        <v>0</v>
      </c>
      <c r="ES44" s="86" t="str">
        <f t="array" ref="ES44">_xlfn.IFS(ER44&gt;=91.5%,"MENSUAL",ER44&gt;=75%,"QUINCENAL",ER44&lt;75%,"SEMANAL")</f>
        <v>SEMANAL</v>
      </c>
    </row>
    <row r="45" ht="15.5" customHeight="1" spans="2:149" x14ac:dyDescent="0.25">
      <c r="B45" s="100" t="s">
        <v>120</v>
      </c>
      <c r="C45" s="101"/>
      <c r="D45" s="102"/>
      <c r="E45" s="103">
        <v>5</v>
      </c>
      <c r="F45" s="104">
        <f t="shared" si="334"/>
        <v>0</v>
      </c>
      <c r="G45" s="102"/>
      <c r="H45" s="103">
        <v>5</v>
      </c>
      <c r="I45" s="104">
        <f t="shared" si="335"/>
        <v>0</v>
      </c>
      <c r="J45" s="105"/>
      <c r="K45" s="103">
        <v>5</v>
      </c>
      <c r="L45" s="104">
        <f t="shared" si="336"/>
        <v>0</v>
      </c>
      <c r="M45" s="105"/>
      <c r="N45" s="103">
        <v>5</v>
      </c>
      <c r="O45" s="104">
        <f t="shared" si="337"/>
        <v>0</v>
      </c>
      <c r="P45" s="106"/>
      <c r="Q45" s="107">
        <v>5</v>
      </c>
      <c r="R45" s="104">
        <f t="shared" si="338"/>
        <v>0</v>
      </c>
      <c r="S45" s="102"/>
      <c r="T45" s="107">
        <v>5</v>
      </c>
      <c r="U45" s="104">
        <f t="shared" si="339"/>
        <v>0</v>
      </c>
      <c r="V45" s="102"/>
      <c r="W45" s="107">
        <v>5</v>
      </c>
      <c r="X45" s="104">
        <f t="shared" si="340"/>
        <v>0</v>
      </c>
      <c r="Y45" s="102"/>
      <c r="Z45" s="107">
        <v>5</v>
      </c>
      <c r="AA45" s="104">
        <f t="shared" si="341"/>
        <v>0</v>
      </c>
      <c r="AB45" s="106"/>
      <c r="AC45" s="107">
        <v>5</v>
      </c>
      <c r="AD45" s="104">
        <f t="shared" si="342"/>
        <v>0</v>
      </c>
      <c r="AE45" s="106"/>
      <c r="AF45" s="107">
        <v>5</v>
      </c>
      <c r="AG45" s="104">
        <f t="shared" si="343"/>
        <v>0</v>
      </c>
      <c r="AH45" s="106"/>
      <c r="AI45" s="107">
        <v>5</v>
      </c>
      <c r="AJ45" s="104">
        <f t="shared" si="344"/>
        <v>0</v>
      </c>
      <c r="AK45" s="106"/>
      <c r="AL45" s="107">
        <v>5</v>
      </c>
      <c r="AM45" s="104">
        <f t="shared" si="345"/>
        <v>0</v>
      </c>
      <c r="AN45" s="102"/>
      <c r="AO45" s="1">
        <v>5</v>
      </c>
      <c r="AP45" s="104">
        <f t="shared" si="346"/>
        <v>0</v>
      </c>
      <c r="AQ45" s="102"/>
      <c r="AR45" s="1">
        <v>5</v>
      </c>
      <c r="AS45" s="104">
        <f t="shared" si="347"/>
        <v>0</v>
      </c>
      <c r="AT45" s="102"/>
      <c r="AU45" s="1">
        <v>5</v>
      </c>
      <c r="AV45" s="104">
        <f t="shared" si="348"/>
        <v>0</v>
      </c>
      <c r="AW45" s="102"/>
      <c r="AX45" s="1">
        <v>5</v>
      </c>
      <c r="AY45" s="104">
        <f t="shared" si="349"/>
        <v>0</v>
      </c>
      <c r="AZ45" s="102"/>
      <c r="BA45" s="1">
        <v>5</v>
      </c>
      <c r="BB45" s="104">
        <f t="shared" si="350"/>
        <v>0</v>
      </c>
      <c r="BC45" s="102"/>
      <c r="BD45" s="1">
        <v>5</v>
      </c>
      <c r="BE45" s="104">
        <f t="shared" si="351"/>
        <v>0</v>
      </c>
      <c r="BF45" s="102"/>
      <c r="BG45" s="1">
        <v>5</v>
      </c>
      <c r="BH45" s="104">
        <f t="shared" si="352"/>
        <v>0</v>
      </c>
      <c r="BI45" s="102"/>
      <c r="BJ45" s="1">
        <v>5</v>
      </c>
      <c r="BK45" s="104">
        <f t="shared" si="353"/>
        <v>0</v>
      </c>
      <c r="BL45" s="102"/>
      <c r="BM45" s="1">
        <v>5</v>
      </c>
      <c r="BN45" s="104">
        <f t="shared" si="354"/>
        <v>0</v>
      </c>
      <c r="BO45" s="102"/>
      <c r="BP45" s="1">
        <v>5</v>
      </c>
      <c r="BQ45" s="104">
        <f t="shared" si="355"/>
        <v>0</v>
      </c>
      <c r="BR45" s="102"/>
      <c r="BS45" s="1">
        <v>5</v>
      </c>
      <c r="BT45" s="104">
        <f t="shared" si="356"/>
        <v>0</v>
      </c>
      <c r="BU45" s="102"/>
      <c r="BV45" s="1">
        <v>5</v>
      </c>
      <c r="BW45" s="104">
        <f t="shared" si="357"/>
        <v>0</v>
      </c>
      <c r="BX45" s="102"/>
      <c r="BY45" s="1">
        <v>5</v>
      </c>
      <c r="BZ45" s="104">
        <f t="shared" si="358"/>
        <v>0</v>
      </c>
      <c r="CA45" s="102"/>
      <c r="CB45" s="1">
        <v>5</v>
      </c>
      <c r="CC45" s="104">
        <f t="shared" si="359"/>
        <v>0</v>
      </c>
      <c r="CD45" s="102"/>
      <c r="CE45" s="1">
        <v>5</v>
      </c>
      <c r="CF45" s="104">
        <f t="shared" si="360"/>
        <v>0</v>
      </c>
      <c r="CG45" s="102"/>
      <c r="CH45" s="1">
        <v>5</v>
      </c>
      <c r="CI45" s="104">
        <f t="shared" si="361"/>
        <v>0</v>
      </c>
      <c r="CJ45" s="102"/>
      <c r="CK45" s="1">
        <v>5</v>
      </c>
      <c r="CL45" s="104">
        <f t="shared" si="362"/>
        <v>0</v>
      </c>
      <c r="CM45" s="102"/>
      <c r="CN45" s="1">
        <v>5</v>
      </c>
      <c r="CO45" s="104">
        <f t="shared" si="363"/>
        <v>0</v>
      </c>
      <c r="CP45" s="102"/>
      <c r="CQ45" s="1">
        <v>5</v>
      </c>
      <c r="CR45" s="104">
        <f t="shared" si="364"/>
        <v>0</v>
      </c>
      <c r="CS45" s="102"/>
      <c r="CT45" s="1">
        <v>5</v>
      </c>
      <c r="CU45" s="104">
        <f t="shared" si="365"/>
        <v>0</v>
      </c>
      <c r="CV45" s="102"/>
      <c r="CW45" s="1">
        <v>5</v>
      </c>
      <c r="CX45" s="104">
        <f t="shared" si="366"/>
        <v>0</v>
      </c>
      <c r="CY45" s="102"/>
      <c r="CZ45" s="1">
        <v>5</v>
      </c>
      <c r="DA45" s="104">
        <f t="shared" si="367"/>
        <v>0</v>
      </c>
      <c r="DB45" s="102"/>
      <c r="DC45" s="1">
        <v>5</v>
      </c>
      <c r="DD45" s="104">
        <f t="shared" si="368"/>
        <v>0</v>
      </c>
      <c r="DE45" s="102"/>
      <c r="DF45" s="1">
        <v>5</v>
      </c>
      <c r="DG45" s="104">
        <f t="shared" si="369"/>
        <v>0</v>
      </c>
      <c r="DH45" s="102"/>
      <c r="DI45" s="1">
        <v>5</v>
      </c>
      <c r="DJ45" s="104">
        <f t="shared" si="370"/>
        <v>0</v>
      </c>
      <c r="DK45" s="102"/>
      <c r="DL45" s="1">
        <v>5</v>
      </c>
      <c r="DM45" s="104">
        <f t="shared" si="371"/>
        <v>0</v>
      </c>
      <c r="DN45" s="102"/>
      <c r="DO45" s="1">
        <v>5</v>
      </c>
      <c r="DP45" s="104">
        <f t="shared" si="372"/>
        <v>0</v>
      </c>
      <c r="DQ45" s="102"/>
      <c r="DR45" s="1">
        <v>5</v>
      </c>
      <c r="DS45" s="104">
        <f t="shared" si="373"/>
        <v>0</v>
      </c>
      <c r="DT45" s="102"/>
      <c r="DU45" s="1">
        <v>5</v>
      </c>
      <c r="DV45" s="104">
        <f t="shared" si="374"/>
        <v>0</v>
      </c>
      <c r="DW45" s="102"/>
      <c r="DX45" s="1">
        <v>5</v>
      </c>
      <c r="DY45" s="104">
        <f t="shared" si="375"/>
        <v>0</v>
      </c>
      <c r="DZ45" s="102"/>
      <c r="EA45" s="1">
        <v>5</v>
      </c>
      <c r="EB45" s="104">
        <f t="shared" si="376"/>
        <v>0</v>
      </c>
      <c r="EC45" s="102"/>
      <c r="ED45" s="1">
        <v>5</v>
      </c>
      <c r="EE45" s="104">
        <f t="shared" si="377"/>
        <v>0</v>
      </c>
      <c r="EF45" s="102"/>
      <c r="EG45" s="1">
        <v>5</v>
      </c>
      <c r="EH45" s="104">
        <f t="shared" si="378"/>
        <v>0</v>
      </c>
      <c r="EI45" s="102"/>
      <c r="EJ45" s="1">
        <v>5</v>
      </c>
      <c r="EK45" s="104">
        <f t="shared" si="379"/>
        <v>0</v>
      </c>
      <c r="EL45" s="102"/>
      <c r="EM45" s="1">
        <v>5</v>
      </c>
      <c r="EN45" s="104">
        <f t="shared" si="380"/>
        <v>0</v>
      </c>
      <c r="EO45" s="102"/>
      <c r="EP45" s="1">
        <v>5</v>
      </c>
      <c r="EQ45" s="108">
        <f t="shared" si="381"/>
        <v>0</v>
      </c>
      <c r="ER45" s="85">
        <f t="array" ref="ER45">IFERROR(_xlfn.LET(
_xlpm.datos,CHOOSE({1;2;3;4;5;6;7;8;9;10;11;12;13;13;14;15;16;17;18;19;20;21;22;23;23;24;25;26;27;28;29;30;31;32;33;34;35;36;37;38;39;40;41;42;43;44;45;46;47},F45,I45,L45,O45,R45,U45,X45,AA45,AD45,AG45,AJ45,AM45,AP45,AS45,AV45,AY45,BB45,BE45,BH45,BK45,BQ45,BT45,BW45,BZ45,CC45,CF45,CI45,CL45,CO45,CR45,CU45,CX45,DA45,DD45,DG45,DJ45,DM45,DP45,DS45,DV45,DY45,EB45,EE45,EH45,EK45,EN45,EQ45),
AVERAGE(_xlfn._xlws.FILTER(_xlpm.datos,(_xlpm.datos&lt;&gt;0)*(_xlpm.datos&lt;&gt;"")))
),0)</f>
        <v>0</v>
      </c>
      <c r="ES45" s="86" t="str">
        <f t="array" ref="ES45">_xlfn.IFS(ER45&gt;=91.5%,"MENSUAL",ER45&gt;=75%,"QUINCENAL",ER45&lt;75%,"SEMANAL")</f>
        <v>SEMANAL</v>
      </c>
    </row>
    <row r="46" ht="16" customHeight="1" spans="2:149" x14ac:dyDescent="0.25">
      <c r="B46" s="100" t="s">
        <v>121</v>
      </c>
      <c r="C46" s="101"/>
      <c r="D46" s="116"/>
      <c r="E46" s="117">
        <v>5</v>
      </c>
      <c r="F46" s="118">
        <f t="shared" si="334"/>
        <v>0</v>
      </c>
      <c r="G46" s="116"/>
      <c r="H46" s="117">
        <v>5</v>
      </c>
      <c r="I46" s="118">
        <f t="shared" si="335"/>
        <v>0</v>
      </c>
      <c r="J46" s="119"/>
      <c r="K46" s="117">
        <v>5</v>
      </c>
      <c r="L46" s="118">
        <f t="shared" si="336"/>
        <v>0</v>
      </c>
      <c r="M46" s="119"/>
      <c r="N46" s="117">
        <v>5</v>
      </c>
      <c r="O46" s="118">
        <f t="shared" si="337"/>
        <v>0</v>
      </c>
      <c r="P46" s="120"/>
      <c r="Q46" s="121">
        <v>5</v>
      </c>
      <c r="R46" s="118">
        <f t="shared" si="338"/>
        <v>0</v>
      </c>
      <c r="S46" s="116"/>
      <c r="T46" s="121">
        <v>5</v>
      </c>
      <c r="U46" s="118">
        <f t="shared" si="339"/>
        <v>0</v>
      </c>
      <c r="V46" s="116"/>
      <c r="W46" s="121">
        <v>5</v>
      </c>
      <c r="X46" s="118">
        <f t="shared" si="340"/>
        <v>0</v>
      </c>
      <c r="Y46" s="116"/>
      <c r="Z46" s="121">
        <v>5</v>
      </c>
      <c r="AA46" s="118">
        <f t="shared" si="341"/>
        <v>0</v>
      </c>
      <c r="AB46" s="120"/>
      <c r="AC46" s="121">
        <v>5</v>
      </c>
      <c r="AD46" s="118">
        <f t="shared" si="342"/>
        <v>0</v>
      </c>
      <c r="AE46" s="120"/>
      <c r="AF46" s="121">
        <v>5</v>
      </c>
      <c r="AG46" s="118">
        <f t="shared" si="343"/>
        <v>0</v>
      </c>
      <c r="AH46" s="120"/>
      <c r="AI46" s="121">
        <v>5</v>
      </c>
      <c r="AJ46" s="118">
        <f t="shared" si="344"/>
        <v>0</v>
      </c>
      <c r="AK46" s="120"/>
      <c r="AL46" s="121">
        <v>5</v>
      </c>
      <c r="AM46" s="118">
        <f t="shared" si="345"/>
        <v>0</v>
      </c>
      <c r="AN46" s="116"/>
      <c r="AO46" s="122">
        <v>5</v>
      </c>
      <c r="AP46" s="118">
        <f t="shared" si="346"/>
        <v>0</v>
      </c>
      <c r="AQ46" s="116"/>
      <c r="AR46" s="122">
        <v>5</v>
      </c>
      <c r="AS46" s="118">
        <f t="shared" si="347"/>
        <v>0</v>
      </c>
      <c r="AT46" s="116"/>
      <c r="AU46" s="122">
        <v>5</v>
      </c>
      <c r="AV46" s="118">
        <f t="shared" si="348"/>
        <v>0</v>
      </c>
      <c r="AW46" s="116"/>
      <c r="AX46" s="122">
        <v>5</v>
      </c>
      <c r="AY46" s="118">
        <f t="shared" si="349"/>
        <v>0</v>
      </c>
      <c r="AZ46" s="116"/>
      <c r="BA46" s="122">
        <v>5</v>
      </c>
      <c r="BB46" s="118">
        <f t="shared" si="350"/>
        <v>0</v>
      </c>
      <c r="BC46" s="116"/>
      <c r="BD46" s="122">
        <v>5</v>
      </c>
      <c r="BE46" s="118">
        <f t="shared" si="351"/>
        <v>0</v>
      </c>
      <c r="BF46" s="116"/>
      <c r="BG46" s="122">
        <v>5</v>
      </c>
      <c r="BH46" s="118">
        <f t="shared" si="352"/>
        <v>0</v>
      </c>
      <c r="BI46" s="116"/>
      <c r="BJ46" s="122">
        <v>5</v>
      </c>
      <c r="BK46" s="118">
        <f t="shared" si="353"/>
        <v>0</v>
      </c>
      <c r="BL46" s="116"/>
      <c r="BM46" s="122">
        <v>5</v>
      </c>
      <c r="BN46" s="118">
        <f t="shared" si="354"/>
        <v>0</v>
      </c>
      <c r="BO46" s="116"/>
      <c r="BP46" s="122">
        <v>5</v>
      </c>
      <c r="BQ46" s="118">
        <f t="shared" si="355"/>
        <v>0</v>
      </c>
      <c r="BR46" s="116"/>
      <c r="BS46" s="122">
        <v>5</v>
      </c>
      <c r="BT46" s="118">
        <f t="shared" si="356"/>
        <v>0</v>
      </c>
      <c r="BU46" s="116"/>
      <c r="BV46" s="122">
        <v>5</v>
      </c>
      <c r="BW46" s="118">
        <f t="shared" si="357"/>
        <v>0</v>
      </c>
      <c r="BX46" s="116"/>
      <c r="BY46" s="122">
        <v>5</v>
      </c>
      <c r="BZ46" s="118">
        <f t="shared" si="358"/>
        <v>0</v>
      </c>
      <c r="CA46" s="116"/>
      <c r="CB46" s="122">
        <v>5</v>
      </c>
      <c r="CC46" s="118">
        <f t="shared" si="359"/>
        <v>0</v>
      </c>
      <c r="CD46" s="116"/>
      <c r="CE46" s="122">
        <v>5</v>
      </c>
      <c r="CF46" s="118">
        <f t="shared" si="360"/>
        <v>0</v>
      </c>
      <c r="CG46" s="116"/>
      <c r="CH46" s="122">
        <v>5</v>
      </c>
      <c r="CI46" s="118">
        <f t="shared" si="361"/>
        <v>0</v>
      </c>
      <c r="CJ46" s="116"/>
      <c r="CK46" s="122">
        <v>5</v>
      </c>
      <c r="CL46" s="118">
        <f t="shared" si="362"/>
        <v>0</v>
      </c>
      <c r="CM46" s="116"/>
      <c r="CN46" s="122">
        <v>5</v>
      </c>
      <c r="CO46" s="118">
        <f t="shared" si="363"/>
        <v>0</v>
      </c>
      <c r="CP46" s="116"/>
      <c r="CQ46" s="122">
        <v>5</v>
      </c>
      <c r="CR46" s="118">
        <f t="shared" si="364"/>
        <v>0</v>
      </c>
      <c r="CS46" s="116"/>
      <c r="CT46" s="122">
        <v>5</v>
      </c>
      <c r="CU46" s="118">
        <f t="shared" si="365"/>
        <v>0</v>
      </c>
      <c r="CV46" s="116"/>
      <c r="CW46" s="122">
        <v>5</v>
      </c>
      <c r="CX46" s="118">
        <f t="shared" si="366"/>
        <v>0</v>
      </c>
      <c r="CY46" s="116"/>
      <c r="CZ46" s="122">
        <v>5</v>
      </c>
      <c r="DA46" s="118">
        <f t="shared" si="367"/>
        <v>0</v>
      </c>
      <c r="DB46" s="116"/>
      <c r="DC46" s="122">
        <v>5</v>
      </c>
      <c r="DD46" s="118">
        <f t="shared" si="368"/>
        <v>0</v>
      </c>
      <c r="DE46" s="116"/>
      <c r="DF46" s="122">
        <v>5</v>
      </c>
      <c r="DG46" s="118">
        <f t="shared" si="369"/>
        <v>0</v>
      </c>
      <c r="DH46" s="116"/>
      <c r="DI46" s="122">
        <v>5</v>
      </c>
      <c r="DJ46" s="118">
        <f t="shared" si="370"/>
        <v>0</v>
      </c>
      <c r="DK46" s="116"/>
      <c r="DL46" s="122">
        <v>5</v>
      </c>
      <c r="DM46" s="118">
        <f t="shared" si="371"/>
        <v>0</v>
      </c>
      <c r="DN46" s="116"/>
      <c r="DO46" s="122">
        <v>5</v>
      </c>
      <c r="DP46" s="118">
        <f t="shared" si="372"/>
        <v>0</v>
      </c>
      <c r="DQ46" s="116"/>
      <c r="DR46" s="122">
        <v>5</v>
      </c>
      <c r="DS46" s="118">
        <f t="shared" si="373"/>
        <v>0</v>
      </c>
      <c r="DT46" s="116"/>
      <c r="DU46" s="122">
        <v>5</v>
      </c>
      <c r="DV46" s="118">
        <f t="shared" si="374"/>
        <v>0</v>
      </c>
      <c r="DW46" s="116"/>
      <c r="DX46" s="122">
        <v>5</v>
      </c>
      <c r="DY46" s="118">
        <f t="shared" si="375"/>
        <v>0</v>
      </c>
      <c r="DZ46" s="116"/>
      <c r="EA46" s="122">
        <v>5</v>
      </c>
      <c r="EB46" s="118">
        <f t="shared" si="376"/>
        <v>0</v>
      </c>
      <c r="EC46" s="116"/>
      <c r="ED46" s="122">
        <v>5</v>
      </c>
      <c r="EE46" s="118">
        <f t="shared" si="377"/>
        <v>0</v>
      </c>
      <c r="EF46" s="116"/>
      <c r="EG46" s="122">
        <v>5</v>
      </c>
      <c r="EH46" s="118">
        <f t="shared" si="378"/>
        <v>0</v>
      </c>
      <c r="EI46" s="116"/>
      <c r="EJ46" s="122">
        <v>5</v>
      </c>
      <c r="EK46" s="118">
        <f t="shared" si="379"/>
        <v>0</v>
      </c>
      <c r="EL46" s="116"/>
      <c r="EM46" s="122">
        <v>5</v>
      </c>
      <c r="EN46" s="118">
        <f t="shared" si="380"/>
        <v>0</v>
      </c>
      <c r="EO46" s="116"/>
      <c r="EP46" s="122">
        <v>5</v>
      </c>
      <c r="EQ46" s="123">
        <f t="shared" si="381"/>
        <v>0</v>
      </c>
      <c r="ER46" s="85">
        <f t="array" ref="ER46">IFERROR(_xlfn.LET(
_xlpm.datos,CHOOSE({1;2;3;4;5;6;7;8;9;10;11;12;13;13;14;15;16;17;18;19;20;21;22;23;23;24;25;26;27;28;29;30;31;32;33;34;35;36;37;38;39;40;41;42;43;44;45;46;47},F46,I46,L46,O46,R46,U46,X46,AA46,AD46,AG46,AJ46,AM46,AP46,AS46,AV46,AY46,BB46,BE46,BH46,BK46,BQ46,BT46,BW46,BZ46,CC46,CF46,CI46,CL46,CO46,CR46,CU46,CX46,DA46,DD46,DG46,DJ46,DM46,DP46,DS46,DV46,DY46,EB46,EE46,EH46,EK46,EN46,EQ46),
AVERAGE(_xlfn._xlws.FILTER(_xlpm.datos,(_xlpm.datos&lt;&gt;0)*(_xlpm.datos&lt;&gt;"")))
),0)</f>
        <v>0</v>
      </c>
      <c r="ES46" s="86" t="str">
        <f t="array" ref="ES46">_xlfn.IFS(ER46&gt;=91.5%,"MENSUAL",ER46&gt;=75%,"QUINCENAL",ER46&lt;75%,"SEMANAL")</f>
        <v>SEMANAL</v>
      </c>
    </row>
    <row r="47" ht="16" customHeight="1" spans="2:149" x14ac:dyDescent="0.25">
      <c r="B47" s="124" t="s">
        <v>122</v>
      </c>
      <c r="C47" s="125"/>
      <c r="D47" s="126"/>
      <c r="E47" s="127"/>
      <c r="F47" s="82">
        <f>AVERAGE(F48:F52)</f>
        <v>0</v>
      </c>
      <c r="G47" s="126"/>
      <c r="H47" s="127"/>
      <c r="I47" s="82">
        <f>AVERAGE(I48:I52)</f>
        <v>0</v>
      </c>
      <c r="J47" s="126"/>
      <c r="K47" s="127"/>
      <c r="L47" s="82">
        <f>AVERAGE(L48:L52)</f>
        <v>0</v>
      </c>
      <c r="M47" s="126"/>
      <c r="N47" s="127"/>
      <c r="O47" s="82">
        <f>AVERAGE(O48:O52)</f>
        <v>0</v>
      </c>
      <c r="P47" s="126"/>
      <c r="Q47" s="127"/>
      <c r="R47" s="82">
        <f>AVERAGE(R48:R52)</f>
        <v>0</v>
      </c>
      <c r="S47" s="126"/>
      <c r="T47" s="127"/>
      <c r="U47" s="82">
        <f>AVERAGE(U48:U52)</f>
        <v>0</v>
      </c>
      <c r="V47" s="126"/>
      <c r="W47" s="127"/>
      <c r="X47" s="82">
        <f>AVERAGE(X48:X52)</f>
        <v>0</v>
      </c>
      <c r="Y47" s="126"/>
      <c r="Z47" s="127"/>
      <c r="AA47" s="82">
        <f>AVERAGE(AA48:AA52)</f>
        <v>0</v>
      </c>
      <c r="AB47" s="126"/>
      <c r="AC47" s="127"/>
      <c r="AD47" s="82">
        <f>AVERAGE(AD48:AD52)</f>
        <v>0</v>
      </c>
      <c r="AE47" s="126"/>
      <c r="AF47" s="127"/>
      <c r="AG47" s="82">
        <f>AVERAGE(AG48:AG52)</f>
        <v>0</v>
      </c>
      <c r="AH47" s="126"/>
      <c r="AI47" s="127"/>
      <c r="AJ47" s="82">
        <f>AVERAGE(AJ48:AJ52)</f>
        <v>0</v>
      </c>
      <c r="AK47" s="126"/>
      <c r="AL47" s="127"/>
      <c r="AM47" s="82">
        <f>AVERAGE(AM48:AM52)</f>
        <v>0</v>
      </c>
      <c r="AN47" s="128"/>
      <c r="AO47" s="127"/>
      <c r="AP47" s="82">
        <f>AVERAGE(AP48:AP52)</f>
        <v>0</v>
      </c>
      <c r="AQ47" s="128"/>
      <c r="AR47" s="129"/>
      <c r="AS47" s="82">
        <f>AVERAGE(AS48:AS52)</f>
        <v>0</v>
      </c>
      <c r="AT47" s="130"/>
      <c r="AU47" s="129"/>
      <c r="AV47" s="82">
        <f>AVERAGE(AV48:AV52)</f>
        <v>0</v>
      </c>
      <c r="AW47" s="128"/>
      <c r="AX47" s="127"/>
      <c r="AY47" s="82">
        <f>AVERAGE(AY48:AY52)</f>
        <v>0</v>
      </c>
      <c r="AZ47" s="131"/>
      <c r="BA47" s="132"/>
      <c r="BB47" s="82">
        <f>AVERAGE(BB48:BB52)</f>
        <v>0</v>
      </c>
      <c r="BC47" s="128"/>
      <c r="BD47" s="132"/>
      <c r="BE47" s="82">
        <f>AVERAGE(BE48:BE52)</f>
        <v>0</v>
      </c>
      <c r="BF47" s="128"/>
      <c r="BG47" s="132"/>
      <c r="BH47" s="82">
        <f>AVERAGE(BH48:BH52)</f>
        <v>0</v>
      </c>
      <c r="BI47" s="128"/>
      <c r="BJ47" s="132"/>
      <c r="BK47" s="82">
        <f>AVERAGE(BK48:BK52)</f>
        <v>0</v>
      </c>
      <c r="BL47" s="128"/>
      <c r="BM47" s="132"/>
      <c r="BN47" s="82">
        <f>AVERAGE(BN48:BN52)</f>
        <v>0</v>
      </c>
      <c r="BO47" s="128"/>
      <c r="BP47" s="132"/>
      <c r="BQ47" s="82">
        <f>AVERAGE(BQ48:BQ52)</f>
        <v>0</v>
      </c>
      <c r="BR47" s="128"/>
      <c r="BS47" s="132"/>
      <c r="BT47" s="82">
        <f>AVERAGE(BT48:BT52)</f>
        <v>0</v>
      </c>
      <c r="BU47" s="128"/>
      <c r="BV47" s="132"/>
      <c r="BW47" s="82">
        <f>AVERAGE(BW48:BW52)</f>
        <v>0</v>
      </c>
      <c r="BX47" s="128"/>
      <c r="BY47" s="132"/>
      <c r="BZ47" s="82">
        <f>AVERAGE(BZ48:BZ52)</f>
        <v>0</v>
      </c>
      <c r="CA47" s="126"/>
      <c r="CB47" s="127"/>
      <c r="CC47" s="82">
        <f>AVERAGE(CC48:CC52)</f>
        <v>0</v>
      </c>
      <c r="CD47" s="126"/>
      <c r="CE47" s="127"/>
      <c r="CF47" s="82">
        <f>AVERAGE(CF48:CF52)</f>
        <v>0</v>
      </c>
      <c r="CG47" s="126"/>
      <c r="CH47" s="127"/>
      <c r="CI47" s="82">
        <f>AVERAGE(CI48:CI52)</f>
        <v>0</v>
      </c>
      <c r="CJ47" s="126"/>
      <c r="CK47" s="127"/>
      <c r="CL47" s="82">
        <f>AVERAGE(CL48:CL52)</f>
        <v>0</v>
      </c>
      <c r="CM47" s="126"/>
      <c r="CN47" s="127"/>
      <c r="CO47" s="82">
        <f>AVERAGE(CO48:CO52)</f>
        <v>0</v>
      </c>
      <c r="CP47" s="126"/>
      <c r="CQ47" s="127"/>
      <c r="CR47" s="82">
        <f>AVERAGE(CR48:CR52)</f>
        <v>0</v>
      </c>
      <c r="CS47" s="126"/>
      <c r="CT47" s="127"/>
      <c r="CU47" s="82">
        <f>AVERAGE(CU48:CU52)</f>
        <v>0</v>
      </c>
      <c r="CV47" s="126"/>
      <c r="CW47" s="127"/>
      <c r="CX47" s="82">
        <f>AVERAGE(CX48:CX52)</f>
        <v>0</v>
      </c>
      <c r="CY47" s="126"/>
      <c r="CZ47" s="127"/>
      <c r="DA47" s="82">
        <f>AVERAGE(DA48:DA52)</f>
        <v>0</v>
      </c>
      <c r="DB47" s="126"/>
      <c r="DC47" s="127"/>
      <c r="DD47" s="82">
        <f>AVERAGE(DD48:DD52)</f>
        <v>0</v>
      </c>
      <c r="DE47" s="126"/>
      <c r="DF47" s="127"/>
      <c r="DG47" s="82">
        <f>AVERAGE(DG48:DG52)</f>
        <v>0</v>
      </c>
      <c r="DH47" s="126"/>
      <c r="DI47" s="127"/>
      <c r="DJ47" s="82">
        <f>AVERAGE(DJ48:DJ52)</f>
        <v>0</v>
      </c>
      <c r="DK47" s="126"/>
      <c r="DL47" s="127"/>
      <c r="DM47" s="82">
        <f>AVERAGE(DM48:DM52)</f>
        <v>0</v>
      </c>
      <c r="DN47" s="126"/>
      <c r="DO47" s="127"/>
      <c r="DP47" s="82">
        <f>AVERAGE(DP48:DP52)</f>
        <v>0</v>
      </c>
      <c r="DQ47" s="126"/>
      <c r="DR47" s="127"/>
      <c r="DS47" s="82">
        <f>AVERAGE(DS48:DS52)</f>
        <v>0</v>
      </c>
      <c r="DT47" s="126"/>
      <c r="DU47" s="127"/>
      <c r="DV47" s="82">
        <f>AVERAGE(DV48:DV52)</f>
        <v>0</v>
      </c>
      <c r="DW47" s="126"/>
      <c r="DX47" s="127"/>
      <c r="DY47" s="82">
        <f>AVERAGE(DY48:DY52)</f>
        <v>0</v>
      </c>
      <c r="DZ47" s="126"/>
      <c r="EA47" s="127"/>
      <c r="EB47" s="82">
        <f>AVERAGE(EB48:EB52)</f>
        <v>0</v>
      </c>
      <c r="EC47" s="126"/>
      <c r="ED47" s="127"/>
      <c r="EE47" s="82">
        <f>AVERAGE(EE48:EE52)</f>
        <v>0</v>
      </c>
      <c r="EF47" s="126"/>
      <c r="EG47" s="127"/>
      <c r="EH47" s="82">
        <f>AVERAGE(EH48:EH52)</f>
        <v>0</v>
      </c>
      <c r="EI47" s="126"/>
      <c r="EJ47" s="127"/>
      <c r="EK47" s="82">
        <f>AVERAGE(EK48:EK52)</f>
        <v>0</v>
      </c>
      <c r="EL47" s="126"/>
      <c r="EM47" s="127"/>
      <c r="EN47" s="82">
        <f>AVERAGE(EN48:EN52)</f>
        <v>0</v>
      </c>
      <c r="EO47" s="126"/>
      <c r="EP47" s="127"/>
      <c r="EQ47" s="84">
        <f>AVERAGE(EQ48:EQ52)</f>
        <v>0</v>
      </c>
      <c r="ER47" s="85">
        <f t="array" ref="ER47">IFERROR(_xlfn.LET(
_xlpm.datos,CHOOSE({1;2;3;4;5;6;7;8;9;10;11;12;13;13;14;15;16;17;18;19;20;21;22;23;23;24;25;26;27;28;29;30;31;32;33;34;35;36;37;38;39;40;41;42;43;44;45;46;47},F47,I47,L47,O47,R47,U47,X47,AA47,AD47,AG47,AJ47,AM47,AP47,AS47,AV47,AY47,BB47,BE47,BH47,BK47,BQ47,BT47,BW47,BZ47,CC47,CF47,CI47,CL47,CO47,CR47,CU47,CX47,DA47,DD47,DG47,DJ47,DM47,DP47,DS47,DV47,DY47,EB47,EE47,EH47,EK47,EN47,EQ47),
AVERAGE(_xlfn._xlws.FILTER(_xlpm.datos,(_xlpm.datos&lt;&gt;0)*(_xlpm.datos&lt;&gt;"")))
),0)</f>
        <v>0</v>
      </c>
      <c r="ES47" s="86" t="str">
        <f t="array" ref="ES47">_xlfn.IFS(ER47&gt;=91.5%,"MENSUAL",ER47&gt;=75%,"QUINCENAL",ER47&lt;75%,"SEMANAL")</f>
        <v>SEMANAL</v>
      </c>
    </row>
    <row r="48" ht="31.5" customHeight="1" spans="2:149" x14ac:dyDescent="0.25">
      <c r="B48" s="142" t="s">
        <v>123</v>
      </c>
      <c r="C48" s="101"/>
      <c r="D48" s="90"/>
      <c r="E48" s="91">
        <v>5</v>
      </c>
      <c r="F48" s="92">
        <f>D48/E48</f>
        <v>0</v>
      </c>
      <c r="G48" s="90"/>
      <c r="H48" s="91">
        <v>5</v>
      </c>
      <c r="I48" s="92">
        <f>G48/H48</f>
        <v>0</v>
      </c>
      <c r="J48" s="93"/>
      <c r="K48" s="91">
        <v>5</v>
      </c>
      <c r="L48" s="92">
        <f>J48/K48</f>
        <v>0</v>
      </c>
      <c r="M48" s="93"/>
      <c r="N48" s="91">
        <v>5</v>
      </c>
      <c r="O48" s="92">
        <f>M48/N48</f>
        <v>0</v>
      </c>
      <c r="P48" s="94"/>
      <c r="Q48" s="95">
        <v>5</v>
      </c>
      <c r="R48" s="92">
        <f>P48/Q48</f>
        <v>0</v>
      </c>
      <c r="S48" s="90"/>
      <c r="T48" s="95">
        <v>5</v>
      </c>
      <c r="U48" s="92">
        <f>S48/T48</f>
        <v>0</v>
      </c>
      <c r="V48" s="90"/>
      <c r="W48" s="95">
        <v>5</v>
      </c>
      <c r="X48" s="92">
        <f>V48/W48</f>
        <v>0</v>
      </c>
      <c r="Y48" s="90"/>
      <c r="Z48" s="95">
        <v>5</v>
      </c>
      <c r="AA48" s="92">
        <f>Y48/Z48</f>
        <v>0</v>
      </c>
      <c r="AB48" s="94"/>
      <c r="AC48" s="95">
        <v>5</v>
      </c>
      <c r="AD48" s="92">
        <f>AB48/AC48</f>
        <v>0</v>
      </c>
      <c r="AE48" s="94"/>
      <c r="AF48" s="95">
        <v>5</v>
      </c>
      <c r="AG48" s="92">
        <f>AE48/AF48</f>
        <v>0</v>
      </c>
      <c r="AH48" s="94"/>
      <c r="AI48" s="95">
        <v>5</v>
      </c>
      <c r="AJ48" s="92">
        <f>AH48/AI48</f>
        <v>0</v>
      </c>
      <c r="AK48" s="94"/>
      <c r="AL48" s="95">
        <v>5</v>
      </c>
      <c r="AM48" s="92">
        <f>AK48/AL48</f>
        <v>0</v>
      </c>
      <c r="AN48" s="90"/>
      <c r="AO48" s="96">
        <v>5</v>
      </c>
      <c r="AP48" s="92">
        <f>AN48/AO48</f>
        <v>0</v>
      </c>
      <c r="AQ48" s="90"/>
      <c r="AR48" s="96">
        <v>5</v>
      </c>
      <c r="AS48" s="92">
        <f>AQ48/AR48</f>
        <v>0</v>
      </c>
      <c r="AT48" s="90"/>
      <c r="AU48" s="96">
        <v>5</v>
      </c>
      <c r="AV48" s="92">
        <f>AT48/AU48</f>
        <v>0</v>
      </c>
      <c r="AW48" s="90"/>
      <c r="AX48" s="96">
        <v>5</v>
      </c>
      <c r="AY48" s="92">
        <f>AW48/AX48</f>
        <v>0</v>
      </c>
      <c r="AZ48" s="90"/>
      <c r="BA48" s="96">
        <v>5</v>
      </c>
      <c r="BB48" s="92">
        <f>AZ48/BA48</f>
        <v>0</v>
      </c>
      <c r="BC48" s="90"/>
      <c r="BD48" s="96">
        <v>5</v>
      </c>
      <c r="BE48" s="92">
        <f>BC48/BD48</f>
        <v>0</v>
      </c>
      <c r="BF48" s="90"/>
      <c r="BG48" s="96">
        <v>5</v>
      </c>
      <c r="BH48" s="92">
        <f>BF48/BG48</f>
        <v>0</v>
      </c>
      <c r="BI48" s="90"/>
      <c r="BJ48" s="96">
        <v>5</v>
      </c>
      <c r="BK48" s="92">
        <f>BI48/BJ48</f>
        <v>0</v>
      </c>
      <c r="BL48" s="90"/>
      <c r="BM48" s="96">
        <v>5</v>
      </c>
      <c r="BN48" s="92">
        <f>BL48/BM48</f>
        <v>0</v>
      </c>
      <c r="BO48" s="90"/>
      <c r="BP48" s="96">
        <v>5</v>
      </c>
      <c r="BQ48" s="92">
        <f>BO48/BP48</f>
        <v>0</v>
      </c>
      <c r="BR48" s="90"/>
      <c r="BS48" s="96">
        <v>5</v>
      </c>
      <c r="BT48" s="92">
        <f>BR48/BS48</f>
        <v>0</v>
      </c>
      <c r="BU48" s="90"/>
      <c r="BV48" s="96">
        <v>5</v>
      </c>
      <c r="BW48" s="92">
        <f>BU48/BV48</f>
        <v>0</v>
      </c>
      <c r="BX48" s="90"/>
      <c r="BY48" s="96">
        <v>5</v>
      </c>
      <c r="BZ48" s="92">
        <f>BX48/BY48</f>
        <v>0</v>
      </c>
      <c r="CA48" s="90"/>
      <c r="CB48" s="96">
        <v>5</v>
      </c>
      <c r="CC48" s="92">
        <f>CA48/CB48</f>
        <v>0</v>
      </c>
      <c r="CD48" s="90"/>
      <c r="CE48" s="96">
        <v>5</v>
      </c>
      <c r="CF48" s="92">
        <f>CD48/CE48</f>
        <v>0</v>
      </c>
      <c r="CG48" s="90"/>
      <c r="CH48" s="96">
        <v>5</v>
      </c>
      <c r="CI48" s="92">
        <f>CG48/CH48</f>
        <v>0</v>
      </c>
      <c r="CJ48" s="90"/>
      <c r="CK48" s="96">
        <v>5</v>
      </c>
      <c r="CL48" s="92">
        <f>CJ48/CK48</f>
        <v>0</v>
      </c>
      <c r="CM48" s="90"/>
      <c r="CN48" s="96">
        <v>5</v>
      </c>
      <c r="CO48" s="92">
        <f>CM48/CN48</f>
        <v>0</v>
      </c>
      <c r="CP48" s="90"/>
      <c r="CQ48" s="96">
        <v>5</v>
      </c>
      <c r="CR48" s="92">
        <f>CP48/CQ48</f>
        <v>0</v>
      </c>
      <c r="CS48" s="90"/>
      <c r="CT48" s="96">
        <v>5</v>
      </c>
      <c r="CU48" s="92">
        <f>CS48/CT48</f>
        <v>0</v>
      </c>
      <c r="CV48" s="90"/>
      <c r="CW48" s="96">
        <v>5</v>
      </c>
      <c r="CX48" s="92">
        <f>CV48/CW48</f>
        <v>0</v>
      </c>
      <c r="CY48" s="90"/>
      <c r="CZ48" s="96">
        <v>5</v>
      </c>
      <c r="DA48" s="92">
        <f>CY48/CZ48</f>
        <v>0</v>
      </c>
      <c r="DB48" s="90"/>
      <c r="DC48" s="96">
        <v>5</v>
      </c>
      <c r="DD48" s="92">
        <f>DB48/DC48</f>
        <v>0</v>
      </c>
      <c r="DE48" s="90"/>
      <c r="DF48" s="96">
        <v>5</v>
      </c>
      <c r="DG48" s="92">
        <f>DE48/DF48</f>
        <v>0</v>
      </c>
      <c r="DH48" s="90"/>
      <c r="DI48" s="96">
        <v>5</v>
      </c>
      <c r="DJ48" s="92">
        <f>DH48/DI48</f>
        <v>0</v>
      </c>
      <c r="DK48" s="90"/>
      <c r="DL48" s="96">
        <v>5</v>
      </c>
      <c r="DM48" s="92">
        <f>DK48/DL48</f>
        <v>0</v>
      </c>
      <c r="DN48" s="90"/>
      <c r="DO48" s="96">
        <v>5</v>
      </c>
      <c r="DP48" s="92">
        <f>DN48/DO48</f>
        <v>0</v>
      </c>
      <c r="DQ48" s="90"/>
      <c r="DR48" s="96">
        <v>5</v>
      </c>
      <c r="DS48" s="92">
        <f>DQ48/DR48</f>
        <v>0</v>
      </c>
      <c r="DT48" s="90"/>
      <c r="DU48" s="96">
        <v>5</v>
      </c>
      <c r="DV48" s="92">
        <f>DT48/DU48</f>
        <v>0</v>
      </c>
      <c r="DW48" s="90"/>
      <c r="DX48" s="96">
        <v>5</v>
      </c>
      <c r="DY48" s="92">
        <f>DW48/DX48</f>
        <v>0</v>
      </c>
      <c r="DZ48" s="90"/>
      <c r="EA48" s="96">
        <v>5</v>
      </c>
      <c r="EB48" s="92">
        <f>DZ48/EA48</f>
        <v>0</v>
      </c>
      <c r="EC48" s="90"/>
      <c r="ED48" s="96">
        <v>5</v>
      </c>
      <c r="EE48" s="92">
        <f>EC48/ED48</f>
        <v>0</v>
      </c>
      <c r="EF48" s="90"/>
      <c r="EG48" s="96">
        <v>5</v>
      </c>
      <c r="EH48" s="92">
        <f>EF48/EG48</f>
        <v>0</v>
      </c>
      <c r="EI48" s="90"/>
      <c r="EJ48" s="96">
        <v>5</v>
      </c>
      <c r="EK48" s="92">
        <f>EI48/EJ48</f>
        <v>0</v>
      </c>
      <c r="EL48" s="90"/>
      <c r="EM48" s="96">
        <v>5</v>
      </c>
      <c r="EN48" s="92">
        <f>EL48/EM48</f>
        <v>0</v>
      </c>
      <c r="EO48" s="90"/>
      <c r="EP48" s="96">
        <v>5</v>
      </c>
      <c r="EQ48" s="97">
        <f>EO48/EP48</f>
        <v>0</v>
      </c>
      <c r="ER48" s="85">
        <f t="array" ref="ER48">IFERROR(_xlfn.LET(
_xlpm.datos,CHOOSE({1;2;3;4;5;6;7;8;9;10;11;12;13;13;14;15;16;17;18;19;20;21;22;23;23;24;25;26;27;28;29;30;31;32;33;34;35;36;37;38;39;40;41;42;43;44;45;46;47},F48,I48,L48,O48,R48,U48,X48,AA48,AD48,AG48,AJ48,AM48,AP48,AS48,AV48,AY48,BB48,BE48,BH48,BK48,BQ48,BT48,BW48,BZ48,CC48,CF48,CI48,CL48,CO48,CR48,CU48,CX48,DA48,DD48,DG48,DJ48,DM48,DP48,DS48,DV48,DY48,EB48,EE48,EH48,EK48,EN48,EQ48),
AVERAGE(_xlfn._xlws.FILTER(_xlpm.datos,(_xlpm.datos&lt;&gt;0)*(_xlpm.datos&lt;&gt;"")))
),0)</f>
        <v>0</v>
      </c>
      <c r="ES48" s="86" t="str">
        <f t="array" ref="ES48">_xlfn.IFS(ER48&gt;=91.5%,"MENSUAL",ER48&gt;=75%,"QUINCENAL",ER48&lt;75%,"SEMANAL")</f>
        <v>SEMANAL</v>
      </c>
    </row>
    <row r="49" ht="25.5" customHeight="1" spans="2:149" x14ac:dyDescent="0.25">
      <c r="B49" s="100" t="s">
        <v>124</v>
      </c>
      <c r="C49" s="101"/>
      <c r="D49" s="102"/>
      <c r="E49" s="103">
        <v>5</v>
      </c>
      <c r="F49" s="104">
        <f t="shared" ref="F49:F52" si="382">D49/E49</f>
        <v>0</v>
      </c>
      <c r="G49" s="102"/>
      <c r="H49" s="103">
        <v>5</v>
      </c>
      <c r="I49" s="104">
        <f t="shared" ref="I49:I52" si="383">G49/H49</f>
        <v>0</v>
      </c>
      <c r="J49" s="105"/>
      <c r="K49" s="103">
        <v>5</v>
      </c>
      <c r="L49" s="104">
        <f t="shared" ref="L49:L52" si="384">J49/K49</f>
        <v>0</v>
      </c>
      <c r="M49" s="105"/>
      <c r="N49" s="103">
        <v>5</v>
      </c>
      <c r="O49" s="104">
        <f t="shared" ref="O49:O52" si="385">M49/N49</f>
        <v>0</v>
      </c>
      <c r="P49" s="106"/>
      <c r="Q49" s="107">
        <v>5</v>
      </c>
      <c r="R49" s="104">
        <f t="shared" ref="R49:R52" si="386">P49/Q49</f>
        <v>0</v>
      </c>
      <c r="S49" s="102"/>
      <c r="T49" s="107">
        <v>5</v>
      </c>
      <c r="U49" s="104">
        <f t="shared" ref="U49:U52" si="387">S49/T49</f>
        <v>0</v>
      </c>
      <c r="V49" s="102"/>
      <c r="W49" s="107">
        <v>5</v>
      </c>
      <c r="X49" s="104">
        <f t="shared" ref="X49:X52" si="388">V49/W49</f>
        <v>0</v>
      </c>
      <c r="Y49" s="102"/>
      <c r="Z49" s="107">
        <v>5</v>
      </c>
      <c r="AA49" s="104">
        <f t="shared" ref="AA49:AA52" si="389">Y49/Z49</f>
        <v>0</v>
      </c>
      <c r="AB49" s="106"/>
      <c r="AC49" s="107">
        <v>5</v>
      </c>
      <c r="AD49" s="104">
        <f t="shared" ref="AD49:AD52" si="390">AB49/AC49</f>
        <v>0</v>
      </c>
      <c r="AE49" s="106"/>
      <c r="AF49" s="107">
        <v>5</v>
      </c>
      <c r="AG49" s="104">
        <f t="shared" ref="AG49:AG52" si="391">AE49/AF49</f>
        <v>0</v>
      </c>
      <c r="AH49" s="106"/>
      <c r="AI49" s="107">
        <v>5</v>
      </c>
      <c r="AJ49" s="104">
        <f t="shared" ref="AJ49:AJ52" si="392">AH49/AI49</f>
        <v>0</v>
      </c>
      <c r="AK49" s="106"/>
      <c r="AL49" s="107">
        <v>5</v>
      </c>
      <c r="AM49" s="104">
        <f t="shared" ref="AM49:AM52" si="393">AK49/AL49</f>
        <v>0</v>
      </c>
      <c r="AN49" s="102"/>
      <c r="AO49" s="1">
        <v>5</v>
      </c>
      <c r="AP49" s="104">
        <f t="shared" ref="AP49:AP52" si="394">AN49/AO49</f>
        <v>0</v>
      </c>
      <c r="AQ49" s="102"/>
      <c r="AR49" s="1">
        <v>5</v>
      </c>
      <c r="AS49" s="104">
        <f t="shared" ref="AS49:AS52" si="395">AQ49/AR49</f>
        <v>0</v>
      </c>
      <c r="AT49" s="102"/>
      <c r="AU49" s="1">
        <v>5</v>
      </c>
      <c r="AV49" s="104">
        <f t="shared" ref="AV49:AV52" si="396">AT49/AU49</f>
        <v>0</v>
      </c>
      <c r="AW49" s="102"/>
      <c r="AX49" s="1">
        <v>5</v>
      </c>
      <c r="AY49" s="104">
        <f t="shared" ref="AY49:AY52" si="397">AW49/AX49</f>
        <v>0</v>
      </c>
      <c r="AZ49" s="102"/>
      <c r="BA49" s="1">
        <v>5</v>
      </c>
      <c r="BB49" s="104">
        <f t="shared" ref="BB49:BB52" si="398">AZ49/BA49</f>
        <v>0</v>
      </c>
      <c r="BC49" s="102"/>
      <c r="BD49" s="1">
        <v>5</v>
      </c>
      <c r="BE49" s="104">
        <f t="shared" ref="BE49:BE52" si="399">BC49/BD49</f>
        <v>0</v>
      </c>
      <c r="BF49" s="102"/>
      <c r="BG49" s="1">
        <v>5</v>
      </c>
      <c r="BH49" s="104">
        <f t="shared" ref="BH49:BH52" si="400">BF49/BG49</f>
        <v>0</v>
      </c>
      <c r="BI49" s="102"/>
      <c r="BJ49" s="1">
        <v>5</v>
      </c>
      <c r="BK49" s="104">
        <f t="shared" ref="BK49:BK52" si="401">BI49/BJ49</f>
        <v>0</v>
      </c>
      <c r="BL49" s="102"/>
      <c r="BM49" s="1">
        <v>5</v>
      </c>
      <c r="BN49" s="104">
        <f t="shared" ref="BN49:BN52" si="402">BL49/BM49</f>
        <v>0</v>
      </c>
      <c r="BO49" s="102"/>
      <c r="BP49" s="1">
        <v>5</v>
      </c>
      <c r="BQ49" s="104">
        <f t="shared" ref="BQ49:BQ52" si="403">BO49/BP49</f>
        <v>0</v>
      </c>
      <c r="BR49" s="102"/>
      <c r="BS49" s="1">
        <v>5</v>
      </c>
      <c r="BT49" s="104">
        <f t="shared" ref="BT49:BT52" si="404">BR49/BS49</f>
        <v>0</v>
      </c>
      <c r="BU49" s="102"/>
      <c r="BV49" s="1">
        <v>5</v>
      </c>
      <c r="BW49" s="104">
        <f t="shared" ref="BW49:BW52" si="405">BU49/BV49</f>
        <v>0</v>
      </c>
      <c r="BX49" s="102"/>
      <c r="BY49" s="1">
        <v>5</v>
      </c>
      <c r="BZ49" s="104">
        <f t="shared" ref="BZ49:BZ52" si="406">BX49/BY49</f>
        <v>0</v>
      </c>
      <c r="CA49" s="102"/>
      <c r="CB49" s="1">
        <v>5</v>
      </c>
      <c r="CC49" s="104">
        <f t="shared" ref="CC49:CC52" si="407">CA49/CB49</f>
        <v>0</v>
      </c>
      <c r="CD49" s="102"/>
      <c r="CE49" s="1">
        <v>5</v>
      </c>
      <c r="CF49" s="104">
        <f t="shared" ref="CF49:CF52" si="408">CD49/CE49</f>
        <v>0</v>
      </c>
      <c r="CG49" s="102"/>
      <c r="CH49" s="1">
        <v>5</v>
      </c>
      <c r="CI49" s="104">
        <f t="shared" ref="CI49:CI52" si="409">CG49/CH49</f>
        <v>0</v>
      </c>
      <c r="CJ49" s="102"/>
      <c r="CK49" s="1">
        <v>5</v>
      </c>
      <c r="CL49" s="104">
        <f t="shared" ref="CL49:CL52" si="410">CJ49/CK49</f>
        <v>0</v>
      </c>
      <c r="CM49" s="102"/>
      <c r="CN49" s="1">
        <v>5</v>
      </c>
      <c r="CO49" s="104">
        <f t="shared" ref="CO49:CO52" si="411">CM49/CN49</f>
        <v>0</v>
      </c>
      <c r="CP49" s="102"/>
      <c r="CQ49" s="1">
        <v>5</v>
      </c>
      <c r="CR49" s="104">
        <f t="shared" ref="CR49:CR52" si="412">CP49/CQ49</f>
        <v>0</v>
      </c>
      <c r="CS49" s="102"/>
      <c r="CT49" s="1">
        <v>5</v>
      </c>
      <c r="CU49" s="104">
        <f t="shared" ref="CU49:CU52" si="413">CS49/CT49</f>
        <v>0</v>
      </c>
      <c r="CV49" s="102"/>
      <c r="CW49" s="1">
        <v>5</v>
      </c>
      <c r="CX49" s="104">
        <f t="shared" ref="CX49:CX52" si="414">CV49/CW49</f>
        <v>0</v>
      </c>
      <c r="CY49" s="102"/>
      <c r="CZ49" s="1">
        <v>5</v>
      </c>
      <c r="DA49" s="104">
        <f t="shared" ref="DA49:DA52" si="415">CY49/CZ49</f>
        <v>0</v>
      </c>
      <c r="DB49" s="102"/>
      <c r="DC49" s="1">
        <v>5</v>
      </c>
      <c r="DD49" s="104">
        <f t="shared" ref="DD49:DD52" si="416">DB49/DC49</f>
        <v>0</v>
      </c>
      <c r="DE49" s="102"/>
      <c r="DF49" s="1">
        <v>5</v>
      </c>
      <c r="DG49" s="104">
        <f t="shared" ref="DG49:DG52" si="417">DE49/DF49</f>
        <v>0</v>
      </c>
      <c r="DH49" s="102"/>
      <c r="DI49" s="1">
        <v>5</v>
      </c>
      <c r="DJ49" s="104">
        <f t="shared" ref="DJ49:DJ52" si="418">DH49/DI49</f>
        <v>0</v>
      </c>
      <c r="DK49" s="102"/>
      <c r="DL49" s="1">
        <v>5</v>
      </c>
      <c r="DM49" s="104">
        <f t="shared" ref="DM49:DM52" si="419">DK49/DL49</f>
        <v>0</v>
      </c>
      <c r="DN49" s="102"/>
      <c r="DO49" s="1">
        <v>5</v>
      </c>
      <c r="DP49" s="104">
        <f t="shared" ref="DP49:DP52" si="420">DN49/DO49</f>
        <v>0</v>
      </c>
      <c r="DQ49" s="102"/>
      <c r="DR49" s="1">
        <v>5</v>
      </c>
      <c r="DS49" s="104">
        <f t="shared" ref="DS49:DS52" si="421">DQ49/DR49</f>
        <v>0</v>
      </c>
      <c r="DT49" s="102"/>
      <c r="DU49" s="1">
        <v>5</v>
      </c>
      <c r="DV49" s="104">
        <f t="shared" ref="DV49:DV52" si="422">DT49/DU49</f>
        <v>0</v>
      </c>
      <c r="DW49" s="102"/>
      <c r="DX49" s="1">
        <v>5</v>
      </c>
      <c r="DY49" s="104">
        <f t="shared" ref="DY49:DY52" si="423">DW49/DX49</f>
        <v>0</v>
      </c>
      <c r="DZ49" s="102"/>
      <c r="EA49" s="1">
        <v>5</v>
      </c>
      <c r="EB49" s="104">
        <f t="shared" ref="EB49:EB52" si="424">DZ49/EA49</f>
        <v>0</v>
      </c>
      <c r="EC49" s="102"/>
      <c r="ED49" s="1">
        <v>5</v>
      </c>
      <c r="EE49" s="104">
        <f t="shared" ref="EE49:EE52" si="425">EC49/ED49</f>
        <v>0</v>
      </c>
      <c r="EF49" s="102"/>
      <c r="EG49" s="1">
        <v>5</v>
      </c>
      <c r="EH49" s="104">
        <f t="shared" ref="EH49:EH52" si="426">EF49/EG49</f>
        <v>0</v>
      </c>
      <c r="EI49" s="102"/>
      <c r="EJ49" s="1">
        <v>5</v>
      </c>
      <c r="EK49" s="104">
        <f t="shared" ref="EK49:EK52" si="427">EI49/EJ49</f>
        <v>0</v>
      </c>
      <c r="EL49" s="102"/>
      <c r="EM49" s="1">
        <v>5</v>
      </c>
      <c r="EN49" s="104">
        <f t="shared" ref="EN49:EN52" si="428">EL49/EM49</f>
        <v>0</v>
      </c>
      <c r="EO49" s="102"/>
      <c r="EP49" s="1">
        <v>5</v>
      </c>
      <c r="EQ49" s="108">
        <f t="shared" ref="EQ49:EQ52" si="429">EO49/EP49</f>
        <v>0</v>
      </c>
      <c r="ER49" s="85">
        <f t="array" ref="ER49">IFERROR(_xlfn.LET(
_xlpm.datos,CHOOSE({1;2;3;4;5;6;7;8;9;10;11;12;13;13;14;15;16;17;18;19;20;21;22;23;23;24;25;26;27;28;29;30;31;32;33;34;35;36;37;38;39;40;41;42;43;44;45;46;47},F49,I49,L49,O49,R49,U49,X49,AA49,AD49,AG49,AJ49,AM49,AP49,AS49,AV49,AY49,BB49,BE49,BH49,BK49,BQ49,BT49,BW49,BZ49,CC49,CF49,CI49,CL49,CO49,CR49,CU49,CX49,DA49,DD49,DG49,DJ49,DM49,DP49,DS49,DV49,DY49,EB49,EE49,EH49,EK49,EN49,EQ49),
AVERAGE(_xlfn._xlws.FILTER(_xlpm.datos,(_xlpm.datos&lt;&gt;0)*(_xlpm.datos&lt;&gt;"")))
),0)</f>
        <v>0</v>
      </c>
      <c r="ES49" s="86" t="str">
        <f t="array" ref="ES49">_xlfn.IFS(ER49&gt;=91.5%,"MENSUAL",ER49&gt;=75%,"QUINCENAL",ER49&lt;75%,"SEMANAL")</f>
        <v>SEMANAL</v>
      </c>
    </row>
    <row r="50" ht="15.5" customHeight="1" spans="2:149" x14ac:dyDescent="0.25">
      <c r="B50" s="100" t="s">
        <v>125</v>
      </c>
      <c r="C50" s="101"/>
      <c r="D50" s="102"/>
      <c r="E50" s="103">
        <v>5</v>
      </c>
      <c r="F50" s="104">
        <f t="shared" si="382"/>
        <v>0</v>
      </c>
      <c r="G50" s="102"/>
      <c r="H50" s="103">
        <v>5</v>
      </c>
      <c r="I50" s="104">
        <f t="shared" si="383"/>
        <v>0</v>
      </c>
      <c r="J50" s="105"/>
      <c r="K50" s="103">
        <v>5</v>
      </c>
      <c r="L50" s="104">
        <f t="shared" si="384"/>
        <v>0</v>
      </c>
      <c r="M50" s="105"/>
      <c r="N50" s="103">
        <v>5</v>
      </c>
      <c r="O50" s="104">
        <f t="shared" si="385"/>
        <v>0</v>
      </c>
      <c r="P50" s="106"/>
      <c r="Q50" s="107">
        <v>5</v>
      </c>
      <c r="R50" s="104">
        <f t="shared" si="386"/>
        <v>0</v>
      </c>
      <c r="S50" s="102"/>
      <c r="T50" s="107">
        <v>5</v>
      </c>
      <c r="U50" s="104">
        <f t="shared" si="387"/>
        <v>0</v>
      </c>
      <c r="V50" s="102"/>
      <c r="W50" s="1">
        <v>5</v>
      </c>
      <c r="X50" s="104">
        <f t="shared" si="388"/>
        <v>0</v>
      </c>
      <c r="Y50" s="105"/>
      <c r="Z50" s="103">
        <v>5</v>
      </c>
      <c r="AA50" s="104">
        <f t="shared" si="389"/>
        <v>0</v>
      </c>
      <c r="AB50" s="102"/>
      <c r="AC50" s="103">
        <v>5</v>
      </c>
      <c r="AD50" s="104">
        <f t="shared" si="390"/>
        <v>0</v>
      </c>
      <c r="AE50" s="105"/>
      <c r="AF50" s="103">
        <v>5</v>
      </c>
      <c r="AG50" s="104">
        <f t="shared" si="391"/>
        <v>0</v>
      </c>
      <c r="AH50" s="105"/>
      <c r="AI50" s="103">
        <v>5</v>
      </c>
      <c r="AJ50" s="104">
        <f t="shared" si="392"/>
        <v>0</v>
      </c>
      <c r="AK50" s="105"/>
      <c r="AL50" s="103">
        <v>5</v>
      </c>
      <c r="AM50" s="104">
        <f t="shared" si="393"/>
        <v>0</v>
      </c>
      <c r="AN50" s="102"/>
      <c r="AO50" s="1">
        <v>5</v>
      </c>
      <c r="AP50" s="104">
        <f t="shared" si="394"/>
        <v>0</v>
      </c>
      <c r="AQ50" s="102"/>
      <c r="AR50" s="1">
        <v>5</v>
      </c>
      <c r="AS50" s="104">
        <f t="shared" si="395"/>
        <v>0</v>
      </c>
      <c r="AT50" s="102"/>
      <c r="AU50" s="1">
        <v>5</v>
      </c>
      <c r="AV50" s="104">
        <f t="shared" si="396"/>
        <v>0</v>
      </c>
      <c r="AW50" s="102"/>
      <c r="AX50" s="1">
        <v>5</v>
      </c>
      <c r="AY50" s="104">
        <f t="shared" si="397"/>
        <v>0</v>
      </c>
      <c r="AZ50" s="112"/>
      <c r="BA50" s="113">
        <v>5</v>
      </c>
      <c r="BB50" s="104">
        <f t="shared" si="398"/>
        <v>0</v>
      </c>
      <c r="BC50" s="112"/>
      <c r="BD50" s="113">
        <v>5</v>
      </c>
      <c r="BE50" s="104">
        <f t="shared" si="399"/>
        <v>0</v>
      </c>
      <c r="BF50" s="112"/>
      <c r="BG50" s="113">
        <v>5</v>
      </c>
      <c r="BH50" s="104">
        <f t="shared" si="400"/>
        <v>0</v>
      </c>
      <c r="BI50" s="102"/>
      <c r="BJ50" s="1">
        <v>5</v>
      </c>
      <c r="BK50" s="104">
        <f t="shared" si="401"/>
        <v>0</v>
      </c>
      <c r="BL50" s="102"/>
      <c r="BM50" s="1">
        <v>5</v>
      </c>
      <c r="BN50" s="104">
        <f t="shared" si="402"/>
        <v>0</v>
      </c>
      <c r="BO50" s="102"/>
      <c r="BP50" s="1">
        <v>5</v>
      </c>
      <c r="BQ50" s="104">
        <f t="shared" si="403"/>
        <v>0</v>
      </c>
      <c r="BR50" s="102"/>
      <c r="BS50" s="1">
        <v>5</v>
      </c>
      <c r="BT50" s="104">
        <f t="shared" si="404"/>
        <v>0</v>
      </c>
      <c r="BU50" s="102"/>
      <c r="BV50" s="1">
        <v>5</v>
      </c>
      <c r="BW50" s="104">
        <f t="shared" si="405"/>
        <v>0</v>
      </c>
      <c r="BX50" s="112"/>
      <c r="BY50" s="113">
        <v>5</v>
      </c>
      <c r="BZ50" s="104">
        <f t="shared" si="406"/>
        <v>0</v>
      </c>
      <c r="CA50" s="112"/>
      <c r="CB50" s="113">
        <v>5</v>
      </c>
      <c r="CC50" s="104">
        <f t="shared" si="407"/>
        <v>0</v>
      </c>
      <c r="CD50" s="112"/>
      <c r="CE50" s="113">
        <v>5</v>
      </c>
      <c r="CF50" s="104">
        <f t="shared" si="408"/>
        <v>0</v>
      </c>
      <c r="CG50" s="102"/>
      <c r="CH50" s="1">
        <v>5</v>
      </c>
      <c r="CI50" s="104">
        <f t="shared" si="409"/>
        <v>0</v>
      </c>
      <c r="CJ50" s="102"/>
      <c r="CK50" s="1">
        <v>5</v>
      </c>
      <c r="CL50" s="104">
        <f t="shared" si="410"/>
        <v>0</v>
      </c>
      <c r="CM50" s="102"/>
      <c r="CN50" s="1">
        <v>5</v>
      </c>
      <c r="CO50" s="104">
        <f t="shared" si="411"/>
        <v>0</v>
      </c>
      <c r="CP50" s="112"/>
      <c r="CQ50" s="113">
        <v>5</v>
      </c>
      <c r="CR50" s="104">
        <f t="shared" si="412"/>
        <v>0</v>
      </c>
      <c r="CS50" s="112"/>
      <c r="CT50" s="113">
        <v>5</v>
      </c>
      <c r="CU50" s="104">
        <f t="shared" si="413"/>
        <v>0</v>
      </c>
      <c r="CV50" s="112"/>
      <c r="CW50" s="113">
        <v>5</v>
      </c>
      <c r="CX50" s="104">
        <f t="shared" si="414"/>
        <v>0</v>
      </c>
      <c r="CY50" s="102"/>
      <c r="CZ50" s="1">
        <v>5</v>
      </c>
      <c r="DA50" s="104">
        <f t="shared" si="415"/>
        <v>0</v>
      </c>
      <c r="DB50" s="112"/>
      <c r="DC50" s="113">
        <v>5</v>
      </c>
      <c r="DD50" s="104">
        <f t="shared" si="416"/>
        <v>0</v>
      </c>
      <c r="DE50" s="112"/>
      <c r="DF50" s="113">
        <v>5</v>
      </c>
      <c r="DG50" s="104">
        <f t="shared" si="417"/>
        <v>0</v>
      </c>
      <c r="DH50" s="112"/>
      <c r="DI50" s="113">
        <v>5</v>
      </c>
      <c r="DJ50" s="104">
        <f t="shared" si="418"/>
        <v>0</v>
      </c>
      <c r="DK50" s="112"/>
      <c r="DL50" s="113">
        <v>5</v>
      </c>
      <c r="DM50" s="104">
        <f t="shared" si="419"/>
        <v>0</v>
      </c>
      <c r="DN50" s="112"/>
      <c r="DO50" s="113">
        <v>5</v>
      </c>
      <c r="DP50" s="104">
        <f t="shared" si="420"/>
        <v>0</v>
      </c>
      <c r="DQ50" s="102"/>
      <c r="DR50" s="1">
        <v>5</v>
      </c>
      <c r="DS50" s="104">
        <f t="shared" si="421"/>
        <v>0</v>
      </c>
      <c r="DT50" s="102"/>
      <c r="DU50" s="1">
        <v>5</v>
      </c>
      <c r="DV50" s="104">
        <f t="shared" si="422"/>
        <v>0</v>
      </c>
      <c r="DW50" s="102"/>
      <c r="DX50" s="1">
        <v>5</v>
      </c>
      <c r="DY50" s="104">
        <f t="shared" si="423"/>
        <v>0</v>
      </c>
      <c r="DZ50" s="112"/>
      <c r="EA50" s="113">
        <v>5</v>
      </c>
      <c r="EB50" s="104">
        <f t="shared" si="424"/>
        <v>0</v>
      </c>
      <c r="EC50" s="112"/>
      <c r="ED50" s="113">
        <v>5</v>
      </c>
      <c r="EE50" s="104">
        <f t="shared" si="425"/>
        <v>0</v>
      </c>
      <c r="EF50" s="112"/>
      <c r="EG50" s="113">
        <v>5</v>
      </c>
      <c r="EH50" s="104">
        <f t="shared" si="426"/>
        <v>0</v>
      </c>
      <c r="EI50" s="102"/>
      <c r="EJ50" s="1">
        <v>5</v>
      </c>
      <c r="EK50" s="104">
        <f t="shared" si="427"/>
        <v>0</v>
      </c>
      <c r="EL50" s="112"/>
      <c r="EM50" s="113">
        <v>5</v>
      </c>
      <c r="EN50" s="104">
        <f t="shared" si="428"/>
        <v>0</v>
      </c>
      <c r="EO50" s="112"/>
      <c r="EP50" s="113">
        <v>5</v>
      </c>
      <c r="EQ50" s="108">
        <f t="shared" si="429"/>
        <v>0</v>
      </c>
      <c r="ER50" s="85">
        <f t="array" ref="ER50">IFERROR(_xlfn.LET(
_xlpm.datos,CHOOSE({1;2;3;4;5;6;7;8;9;10;11;12;13;13;14;15;16;17;18;19;20;21;22;23;23;24;25;26;27;28;29;30;31;32;33;34;35;36;37;38;39;40;41;42;43;44;45;46;47},F50,I50,L50,O50,R50,U50,X50,AA50,AD50,AG50,AJ50,AM50,AP50,AS50,AV50,AY50,BB50,BE50,BH50,BK50,BQ50,BT50,BW50,BZ50,CC50,CF50,CI50,CL50,CO50,CR50,CU50,CX50,DA50,DD50,DG50,DJ50,DM50,DP50,DS50,DV50,DY50,EB50,EE50,EH50,EK50,EN50,EQ50),
AVERAGE(_xlfn._xlws.FILTER(_xlpm.datos,(_xlpm.datos&lt;&gt;0)*(_xlpm.datos&lt;&gt;"")))
),0)</f>
        <v>0</v>
      </c>
      <c r="ES50" s="86" t="str">
        <f t="array" ref="ES50">_xlfn.IFS(ER50&gt;=91.5%,"MENSUAL",ER50&gt;=75%,"QUINCENAL",ER50&lt;75%,"SEMANAL")</f>
        <v>SEMANAL</v>
      </c>
    </row>
    <row r="51" ht="20.25" customHeight="1" spans="2:149" x14ac:dyDescent="0.25">
      <c r="B51" s="100" t="s">
        <v>126</v>
      </c>
      <c r="C51" s="101"/>
      <c r="D51" s="102"/>
      <c r="E51" s="103">
        <v>5</v>
      </c>
      <c r="F51" s="104">
        <f t="shared" si="382"/>
        <v>0</v>
      </c>
      <c r="G51" s="102"/>
      <c r="H51" s="103">
        <v>5</v>
      </c>
      <c r="I51" s="104">
        <f t="shared" si="383"/>
        <v>0</v>
      </c>
      <c r="J51" s="105"/>
      <c r="K51" s="103">
        <v>5</v>
      </c>
      <c r="L51" s="104">
        <f t="shared" si="384"/>
        <v>0</v>
      </c>
      <c r="M51" s="105"/>
      <c r="N51" s="103">
        <v>5</v>
      </c>
      <c r="O51" s="104">
        <f t="shared" si="385"/>
        <v>0</v>
      </c>
      <c r="P51" s="106"/>
      <c r="Q51" s="107">
        <v>5</v>
      </c>
      <c r="R51" s="104">
        <f t="shared" si="386"/>
        <v>0</v>
      </c>
      <c r="S51" s="102"/>
      <c r="T51" s="107">
        <v>5</v>
      </c>
      <c r="U51" s="104">
        <f t="shared" si="387"/>
        <v>0</v>
      </c>
      <c r="V51" s="102"/>
      <c r="W51" s="107">
        <v>5</v>
      </c>
      <c r="X51" s="104">
        <f t="shared" si="388"/>
        <v>0</v>
      </c>
      <c r="Y51" s="102"/>
      <c r="Z51" s="107">
        <v>5</v>
      </c>
      <c r="AA51" s="104">
        <f t="shared" si="389"/>
        <v>0</v>
      </c>
      <c r="AB51" s="106"/>
      <c r="AC51" s="107">
        <v>5</v>
      </c>
      <c r="AD51" s="104">
        <f t="shared" si="390"/>
        <v>0</v>
      </c>
      <c r="AE51" s="106"/>
      <c r="AF51" s="107">
        <v>5</v>
      </c>
      <c r="AG51" s="104">
        <f t="shared" si="391"/>
        <v>0</v>
      </c>
      <c r="AH51" s="106"/>
      <c r="AI51" s="107">
        <v>5</v>
      </c>
      <c r="AJ51" s="104">
        <f t="shared" si="392"/>
        <v>0</v>
      </c>
      <c r="AK51" s="106"/>
      <c r="AL51" s="107">
        <v>5</v>
      </c>
      <c r="AM51" s="104">
        <f t="shared" si="393"/>
        <v>0</v>
      </c>
      <c r="AN51" s="102"/>
      <c r="AO51" s="1">
        <v>5</v>
      </c>
      <c r="AP51" s="104">
        <f t="shared" si="394"/>
        <v>0</v>
      </c>
      <c r="AQ51" s="102"/>
      <c r="AR51" s="1">
        <v>5</v>
      </c>
      <c r="AS51" s="104">
        <f t="shared" si="395"/>
        <v>0</v>
      </c>
      <c r="AT51" s="102"/>
      <c r="AU51" s="1">
        <v>5</v>
      </c>
      <c r="AV51" s="104">
        <f t="shared" si="396"/>
        <v>0</v>
      </c>
      <c r="AW51" s="102"/>
      <c r="AX51" s="1">
        <v>5</v>
      </c>
      <c r="AY51" s="104">
        <f t="shared" si="397"/>
        <v>0</v>
      </c>
      <c r="AZ51" s="102"/>
      <c r="BA51" s="1">
        <v>5</v>
      </c>
      <c r="BB51" s="104">
        <f t="shared" si="398"/>
        <v>0</v>
      </c>
      <c r="BC51" s="102"/>
      <c r="BD51" s="1">
        <v>5</v>
      </c>
      <c r="BE51" s="104">
        <f t="shared" si="399"/>
        <v>0</v>
      </c>
      <c r="BF51" s="102"/>
      <c r="BG51" s="1">
        <v>5</v>
      </c>
      <c r="BH51" s="104">
        <f t="shared" si="400"/>
        <v>0</v>
      </c>
      <c r="BI51" s="102"/>
      <c r="BJ51" s="1">
        <v>5</v>
      </c>
      <c r="BK51" s="104">
        <f t="shared" si="401"/>
        <v>0</v>
      </c>
      <c r="BL51" s="102"/>
      <c r="BM51" s="1">
        <v>5</v>
      </c>
      <c r="BN51" s="104">
        <f t="shared" si="402"/>
        <v>0</v>
      </c>
      <c r="BO51" s="102"/>
      <c r="BP51" s="1">
        <v>5</v>
      </c>
      <c r="BQ51" s="104">
        <f t="shared" si="403"/>
        <v>0</v>
      </c>
      <c r="BR51" s="102"/>
      <c r="BS51" s="1">
        <v>5</v>
      </c>
      <c r="BT51" s="104">
        <f t="shared" si="404"/>
        <v>0</v>
      </c>
      <c r="BU51" s="102"/>
      <c r="BV51" s="1">
        <v>5</v>
      </c>
      <c r="BW51" s="104">
        <f t="shared" si="405"/>
        <v>0</v>
      </c>
      <c r="BX51" s="102"/>
      <c r="BY51" s="1">
        <v>5</v>
      </c>
      <c r="BZ51" s="104">
        <f t="shared" si="406"/>
        <v>0</v>
      </c>
      <c r="CA51" s="102"/>
      <c r="CB51" s="1">
        <v>5</v>
      </c>
      <c r="CC51" s="104">
        <f t="shared" si="407"/>
        <v>0</v>
      </c>
      <c r="CD51" s="102"/>
      <c r="CE51" s="1">
        <v>5</v>
      </c>
      <c r="CF51" s="104">
        <f t="shared" si="408"/>
        <v>0</v>
      </c>
      <c r="CG51" s="102"/>
      <c r="CH51" s="1">
        <v>5</v>
      </c>
      <c r="CI51" s="104">
        <f t="shared" si="409"/>
        <v>0</v>
      </c>
      <c r="CJ51" s="102"/>
      <c r="CK51" s="1">
        <v>5</v>
      </c>
      <c r="CL51" s="104">
        <f t="shared" si="410"/>
        <v>0</v>
      </c>
      <c r="CM51" s="102"/>
      <c r="CN51" s="1">
        <v>5</v>
      </c>
      <c r="CO51" s="104">
        <f t="shared" si="411"/>
        <v>0</v>
      </c>
      <c r="CP51" s="102"/>
      <c r="CQ51" s="1">
        <v>5</v>
      </c>
      <c r="CR51" s="104">
        <f t="shared" si="412"/>
        <v>0</v>
      </c>
      <c r="CS51" s="102"/>
      <c r="CT51" s="1">
        <v>5</v>
      </c>
      <c r="CU51" s="104">
        <f t="shared" si="413"/>
        <v>0</v>
      </c>
      <c r="CV51" s="102"/>
      <c r="CW51" s="1">
        <v>5</v>
      </c>
      <c r="CX51" s="104">
        <f t="shared" si="414"/>
        <v>0</v>
      </c>
      <c r="CY51" s="102"/>
      <c r="CZ51" s="1">
        <v>5</v>
      </c>
      <c r="DA51" s="104">
        <f t="shared" si="415"/>
        <v>0</v>
      </c>
      <c r="DB51" s="102"/>
      <c r="DC51" s="1">
        <v>5</v>
      </c>
      <c r="DD51" s="104">
        <f t="shared" si="416"/>
        <v>0</v>
      </c>
      <c r="DE51" s="102"/>
      <c r="DF51" s="1">
        <v>5</v>
      </c>
      <c r="DG51" s="104">
        <f t="shared" si="417"/>
        <v>0</v>
      </c>
      <c r="DH51" s="102"/>
      <c r="DI51" s="1">
        <v>5</v>
      </c>
      <c r="DJ51" s="104">
        <f t="shared" si="418"/>
        <v>0</v>
      </c>
      <c r="DK51" s="102"/>
      <c r="DL51" s="1">
        <v>5</v>
      </c>
      <c r="DM51" s="104">
        <f t="shared" si="419"/>
        <v>0</v>
      </c>
      <c r="DN51" s="102"/>
      <c r="DO51" s="1">
        <v>5</v>
      </c>
      <c r="DP51" s="104">
        <f t="shared" si="420"/>
        <v>0</v>
      </c>
      <c r="DQ51" s="102"/>
      <c r="DR51" s="1">
        <v>5</v>
      </c>
      <c r="DS51" s="104">
        <f t="shared" si="421"/>
        <v>0</v>
      </c>
      <c r="DT51" s="102"/>
      <c r="DU51" s="1">
        <v>5</v>
      </c>
      <c r="DV51" s="104">
        <f t="shared" si="422"/>
        <v>0</v>
      </c>
      <c r="DW51" s="102"/>
      <c r="DX51" s="1">
        <v>5</v>
      </c>
      <c r="DY51" s="104">
        <f t="shared" si="423"/>
        <v>0</v>
      </c>
      <c r="DZ51" s="102"/>
      <c r="EA51" s="1">
        <v>5</v>
      </c>
      <c r="EB51" s="104">
        <f t="shared" si="424"/>
        <v>0</v>
      </c>
      <c r="EC51" s="102"/>
      <c r="ED51" s="1">
        <v>5</v>
      </c>
      <c r="EE51" s="104">
        <f t="shared" si="425"/>
        <v>0</v>
      </c>
      <c r="EF51" s="102"/>
      <c r="EG51" s="1">
        <v>5</v>
      </c>
      <c r="EH51" s="104">
        <f t="shared" si="426"/>
        <v>0</v>
      </c>
      <c r="EI51" s="102"/>
      <c r="EJ51" s="1">
        <v>5</v>
      </c>
      <c r="EK51" s="104">
        <f t="shared" si="427"/>
        <v>0</v>
      </c>
      <c r="EL51" s="102"/>
      <c r="EM51" s="1">
        <v>5</v>
      </c>
      <c r="EN51" s="104">
        <f t="shared" si="428"/>
        <v>0</v>
      </c>
      <c r="EO51" s="102"/>
      <c r="EP51" s="1">
        <v>5</v>
      </c>
      <c r="EQ51" s="108">
        <f t="shared" si="429"/>
        <v>0</v>
      </c>
      <c r="ER51" s="85">
        <f t="array" ref="ER51">IFERROR(_xlfn.LET(
_xlpm.datos,CHOOSE({1;2;3;4;5;6;7;8;9;10;11;12;13;13;14;15;16;17;18;19;20;21;22;23;23;24;25;26;27;28;29;30;31;32;33;34;35;36;37;38;39;40;41;42;43;44;45;46;47},F51,I51,L51,O51,R51,U51,X51,AA51,AD51,AG51,AJ51,AM51,AP51,AS51,AV51,AY51,BB51,BE51,BH51,BK51,BQ51,BT51,BW51,BZ51,CC51,CF51,CI51,CL51,CO51,CR51,CU51,CX51,DA51,DD51,DG51,DJ51,DM51,DP51,DS51,DV51,DY51,EB51,EE51,EH51,EK51,EN51,EQ51),
AVERAGE(_xlfn._xlws.FILTER(_xlpm.datos,(_xlpm.datos&lt;&gt;0)*(_xlpm.datos&lt;&gt;"")))
),0)</f>
        <v>0</v>
      </c>
      <c r="ES51" s="86" t="str">
        <f t="array" ref="ES51">_xlfn.IFS(ER51&gt;=91.5%,"MENSUAL",ER51&gt;=75%,"QUINCENAL",ER51&lt;75%,"SEMANAL")</f>
        <v>SEMANAL</v>
      </c>
    </row>
    <row r="52" ht="26.25" customHeight="1" spans="2:149" x14ac:dyDescent="0.25">
      <c r="B52" s="143" t="s">
        <v>127</v>
      </c>
      <c r="C52" s="101"/>
      <c r="D52" s="116"/>
      <c r="E52" s="117">
        <v>5</v>
      </c>
      <c r="F52" s="118">
        <f t="shared" si="382"/>
        <v>0</v>
      </c>
      <c r="G52" s="116"/>
      <c r="H52" s="117">
        <v>5</v>
      </c>
      <c r="I52" s="118">
        <f t="shared" si="383"/>
        <v>0</v>
      </c>
      <c r="J52" s="119"/>
      <c r="K52" s="117">
        <v>5</v>
      </c>
      <c r="L52" s="118">
        <f t="shared" si="384"/>
        <v>0</v>
      </c>
      <c r="M52" s="119"/>
      <c r="N52" s="117">
        <v>5</v>
      </c>
      <c r="O52" s="118">
        <f t="shared" si="385"/>
        <v>0</v>
      </c>
      <c r="P52" s="120"/>
      <c r="Q52" s="121">
        <v>5</v>
      </c>
      <c r="R52" s="118">
        <f t="shared" si="386"/>
        <v>0</v>
      </c>
      <c r="S52" s="116"/>
      <c r="T52" s="121">
        <v>5</v>
      </c>
      <c r="U52" s="118">
        <f t="shared" si="387"/>
        <v>0</v>
      </c>
      <c r="V52" s="116"/>
      <c r="W52" s="121">
        <v>5</v>
      </c>
      <c r="X52" s="118">
        <f t="shared" si="388"/>
        <v>0</v>
      </c>
      <c r="Y52" s="116"/>
      <c r="Z52" s="121">
        <v>5</v>
      </c>
      <c r="AA52" s="118">
        <f t="shared" si="389"/>
        <v>0</v>
      </c>
      <c r="AB52" s="120"/>
      <c r="AC52" s="121">
        <v>5</v>
      </c>
      <c r="AD52" s="118">
        <f t="shared" si="390"/>
        <v>0</v>
      </c>
      <c r="AE52" s="120"/>
      <c r="AF52" s="121">
        <v>5</v>
      </c>
      <c r="AG52" s="118">
        <f t="shared" si="391"/>
        <v>0</v>
      </c>
      <c r="AH52" s="120"/>
      <c r="AI52" s="121">
        <v>5</v>
      </c>
      <c r="AJ52" s="118">
        <f t="shared" si="392"/>
        <v>0</v>
      </c>
      <c r="AK52" s="120"/>
      <c r="AL52" s="121">
        <v>5</v>
      </c>
      <c r="AM52" s="118">
        <f t="shared" si="393"/>
        <v>0</v>
      </c>
      <c r="AN52" s="116"/>
      <c r="AO52" s="122">
        <v>5</v>
      </c>
      <c r="AP52" s="118">
        <f t="shared" si="394"/>
        <v>0</v>
      </c>
      <c r="AQ52" s="116"/>
      <c r="AR52" s="122">
        <v>5</v>
      </c>
      <c r="AS52" s="118">
        <f t="shared" si="395"/>
        <v>0</v>
      </c>
      <c r="AT52" s="116"/>
      <c r="AU52" s="122">
        <v>5</v>
      </c>
      <c r="AV52" s="118">
        <f t="shared" si="396"/>
        <v>0</v>
      </c>
      <c r="AW52" s="116"/>
      <c r="AX52" s="122">
        <v>5</v>
      </c>
      <c r="AY52" s="118">
        <f t="shared" si="397"/>
        <v>0</v>
      </c>
      <c r="AZ52" s="116"/>
      <c r="BA52" s="122">
        <v>5</v>
      </c>
      <c r="BB52" s="118">
        <f t="shared" si="398"/>
        <v>0</v>
      </c>
      <c r="BC52" s="116"/>
      <c r="BD52" s="122">
        <v>5</v>
      </c>
      <c r="BE52" s="118">
        <f t="shared" si="399"/>
        <v>0</v>
      </c>
      <c r="BF52" s="116"/>
      <c r="BG52" s="122">
        <v>5</v>
      </c>
      <c r="BH52" s="118">
        <f t="shared" si="400"/>
        <v>0</v>
      </c>
      <c r="BI52" s="116"/>
      <c r="BJ52" s="122">
        <v>5</v>
      </c>
      <c r="BK52" s="118">
        <f t="shared" si="401"/>
        <v>0</v>
      </c>
      <c r="BL52" s="116"/>
      <c r="BM52" s="122">
        <v>5</v>
      </c>
      <c r="BN52" s="118">
        <f t="shared" si="402"/>
        <v>0</v>
      </c>
      <c r="BO52" s="116"/>
      <c r="BP52" s="122">
        <v>5</v>
      </c>
      <c r="BQ52" s="118">
        <f t="shared" si="403"/>
        <v>0</v>
      </c>
      <c r="BR52" s="116"/>
      <c r="BS52" s="122">
        <v>5</v>
      </c>
      <c r="BT52" s="118">
        <f t="shared" si="404"/>
        <v>0</v>
      </c>
      <c r="BU52" s="116"/>
      <c r="BV52" s="122">
        <v>5</v>
      </c>
      <c r="BW52" s="118">
        <f t="shared" si="405"/>
        <v>0</v>
      </c>
      <c r="BX52" s="116"/>
      <c r="BY52" s="122">
        <v>5</v>
      </c>
      <c r="BZ52" s="118">
        <f t="shared" si="406"/>
        <v>0</v>
      </c>
      <c r="CA52" s="116"/>
      <c r="CB52" s="122">
        <v>5</v>
      </c>
      <c r="CC52" s="118">
        <f t="shared" si="407"/>
        <v>0</v>
      </c>
      <c r="CD52" s="116"/>
      <c r="CE52" s="122">
        <v>5</v>
      </c>
      <c r="CF52" s="118">
        <f t="shared" si="408"/>
        <v>0</v>
      </c>
      <c r="CG52" s="116"/>
      <c r="CH52" s="122">
        <v>5</v>
      </c>
      <c r="CI52" s="118">
        <f t="shared" si="409"/>
        <v>0</v>
      </c>
      <c r="CJ52" s="116"/>
      <c r="CK52" s="122">
        <v>5</v>
      </c>
      <c r="CL52" s="118">
        <f t="shared" si="410"/>
        <v>0</v>
      </c>
      <c r="CM52" s="116"/>
      <c r="CN52" s="122">
        <v>5</v>
      </c>
      <c r="CO52" s="118">
        <f t="shared" si="411"/>
        <v>0</v>
      </c>
      <c r="CP52" s="116"/>
      <c r="CQ52" s="122">
        <v>5</v>
      </c>
      <c r="CR52" s="118">
        <f t="shared" si="412"/>
        <v>0</v>
      </c>
      <c r="CS52" s="116"/>
      <c r="CT52" s="122">
        <v>5</v>
      </c>
      <c r="CU52" s="118">
        <f t="shared" si="413"/>
        <v>0</v>
      </c>
      <c r="CV52" s="116"/>
      <c r="CW52" s="122">
        <v>5</v>
      </c>
      <c r="CX52" s="118">
        <f t="shared" si="414"/>
        <v>0</v>
      </c>
      <c r="CY52" s="116"/>
      <c r="CZ52" s="122">
        <v>5</v>
      </c>
      <c r="DA52" s="118">
        <f t="shared" si="415"/>
        <v>0</v>
      </c>
      <c r="DB52" s="116"/>
      <c r="DC52" s="122">
        <v>5</v>
      </c>
      <c r="DD52" s="118">
        <f t="shared" si="416"/>
        <v>0</v>
      </c>
      <c r="DE52" s="116"/>
      <c r="DF52" s="122">
        <v>5</v>
      </c>
      <c r="DG52" s="118">
        <f t="shared" si="417"/>
        <v>0</v>
      </c>
      <c r="DH52" s="116"/>
      <c r="DI52" s="122">
        <v>5</v>
      </c>
      <c r="DJ52" s="118">
        <f t="shared" si="418"/>
        <v>0</v>
      </c>
      <c r="DK52" s="116"/>
      <c r="DL52" s="122">
        <v>5</v>
      </c>
      <c r="DM52" s="118">
        <f t="shared" si="419"/>
        <v>0</v>
      </c>
      <c r="DN52" s="116"/>
      <c r="DO52" s="122">
        <v>5</v>
      </c>
      <c r="DP52" s="118">
        <f t="shared" si="420"/>
        <v>0</v>
      </c>
      <c r="DQ52" s="116"/>
      <c r="DR52" s="122">
        <v>5</v>
      </c>
      <c r="DS52" s="118">
        <f t="shared" si="421"/>
        <v>0</v>
      </c>
      <c r="DT52" s="116"/>
      <c r="DU52" s="122">
        <v>5</v>
      </c>
      <c r="DV52" s="118">
        <f t="shared" si="422"/>
        <v>0</v>
      </c>
      <c r="DW52" s="116"/>
      <c r="DX52" s="122">
        <v>5</v>
      </c>
      <c r="DY52" s="118">
        <f t="shared" si="423"/>
        <v>0</v>
      </c>
      <c r="DZ52" s="116"/>
      <c r="EA52" s="122">
        <v>5</v>
      </c>
      <c r="EB52" s="118">
        <f t="shared" si="424"/>
        <v>0</v>
      </c>
      <c r="EC52" s="116"/>
      <c r="ED52" s="122">
        <v>5</v>
      </c>
      <c r="EE52" s="118">
        <f t="shared" si="425"/>
        <v>0</v>
      </c>
      <c r="EF52" s="116"/>
      <c r="EG52" s="122">
        <v>5</v>
      </c>
      <c r="EH52" s="118">
        <f t="shared" si="426"/>
        <v>0</v>
      </c>
      <c r="EI52" s="116"/>
      <c r="EJ52" s="122">
        <v>5</v>
      </c>
      <c r="EK52" s="118">
        <f t="shared" si="427"/>
        <v>0</v>
      </c>
      <c r="EL52" s="116"/>
      <c r="EM52" s="122">
        <v>5</v>
      </c>
      <c r="EN52" s="118">
        <f t="shared" si="428"/>
        <v>0</v>
      </c>
      <c r="EO52" s="116"/>
      <c r="EP52" s="122">
        <v>5</v>
      </c>
      <c r="EQ52" s="123">
        <f t="shared" si="429"/>
        <v>0</v>
      </c>
      <c r="ER52" s="85">
        <f t="array" ref="ER52">IFERROR(_xlfn.LET(
_xlpm.datos,CHOOSE({1;2;3;4;5;6;7;8;9;10;11;12;13;13;14;15;16;17;18;19;20;21;22;23;23;24;25;26;27;28;29;30;31;32;33;34;35;36;37;38;39;40;41;42;43;44;45;46;47},F52,I52,L52,O52,R52,U52,X52,AA52,AD52,AG52,AJ52,AM52,AP52,AS52,AV52,AY52,BB52,BE52,BH52,BK52,BQ52,BT52,BW52,BZ52,CC52,CF52,CI52,CL52,CO52,CR52,CU52,CX52,DA52,DD52,DG52,DJ52,DM52,DP52,DS52,DV52,DY52,EB52,EE52,EH52,EK52,EN52,EQ52),
AVERAGE(_xlfn._xlws.FILTER(_xlpm.datos,(_xlpm.datos&lt;&gt;0)*(_xlpm.datos&lt;&gt;"")))
),0)</f>
        <v>0</v>
      </c>
      <c r="ES52" s="86" t="str">
        <f t="array" ref="ES52">_xlfn.IFS(ER52&gt;=91.5%,"MENSUAL",ER52&gt;=75%,"QUINCENAL",ER52&lt;75%,"SEMANAL")</f>
        <v>SEMANAL</v>
      </c>
    </row>
    <row r="53" ht="16" customHeight="1" spans="2:149" x14ac:dyDescent="0.25">
      <c r="B53" s="124" t="s">
        <v>128</v>
      </c>
      <c r="C53" s="125"/>
      <c r="D53" s="126"/>
      <c r="E53" s="127"/>
      <c r="F53" s="82">
        <f>AVERAGE(F54)</f>
        <v>0</v>
      </c>
      <c r="G53" s="126"/>
      <c r="H53" s="127"/>
      <c r="I53" s="82">
        <f>AVERAGE(I54)</f>
        <v>0</v>
      </c>
      <c r="J53" s="126"/>
      <c r="K53" s="127"/>
      <c r="L53" s="82">
        <f>AVERAGE(L54)</f>
        <v>0</v>
      </c>
      <c r="M53" s="126"/>
      <c r="N53" s="127"/>
      <c r="O53" s="82">
        <f>AVERAGE(O54)</f>
        <v>0</v>
      </c>
      <c r="P53" s="126"/>
      <c r="Q53" s="127"/>
      <c r="R53" s="82">
        <f>AVERAGE(R54)</f>
        <v>0</v>
      </c>
      <c r="S53" s="126"/>
      <c r="T53" s="127"/>
      <c r="U53" s="82">
        <f>AVERAGE(U54)</f>
        <v>0</v>
      </c>
      <c r="V53" s="126"/>
      <c r="W53" s="127"/>
      <c r="X53" s="82">
        <f>AVERAGE(X54)</f>
        <v>0</v>
      </c>
      <c r="Y53" s="126"/>
      <c r="Z53" s="127"/>
      <c r="AA53" s="82">
        <f>AVERAGE(AA54)</f>
        <v>0</v>
      </c>
      <c r="AB53" s="126"/>
      <c r="AC53" s="127"/>
      <c r="AD53" s="82">
        <f>AVERAGE(AD54)</f>
        <v>0</v>
      </c>
      <c r="AE53" s="126"/>
      <c r="AF53" s="127"/>
      <c r="AG53" s="82">
        <f>AVERAGE(AG54)</f>
        <v>0</v>
      </c>
      <c r="AH53" s="126"/>
      <c r="AI53" s="127"/>
      <c r="AJ53" s="82">
        <f>AVERAGE(AJ54)</f>
        <v>0</v>
      </c>
      <c r="AK53" s="126"/>
      <c r="AL53" s="127"/>
      <c r="AM53" s="82">
        <f>AVERAGE(AM54)</f>
        <v>0</v>
      </c>
      <c r="AN53" s="126"/>
      <c r="AO53" s="136"/>
      <c r="AP53" s="82">
        <f>AVERAGE(AP54)</f>
        <v>0</v>
      </c>
      <c r="AQ53" s="128"/>
      <c r="AR53" s="129"/>
      <c r="AS53" s="82">
        <f>AVERAGE(AS54)</f>
        <v>0</v>
      </c>
      <c r="AT53" s="130"/>
      <c r="AU53" s="129"/>
      <c r="AV53" s="82">
        <f>AVERAGE(AV54)</f>
        <v>0</v>
      </c>
      <c r="AW53" s="126"/>
      <c r="AX53" s="136"/>
      <c r="AY53" s="82">
        <f>AVERAGE(AY54)</f>
        <v>0</v>
      </c>
      <c r="AZ53" s="137"/>
      <c r="BA53" s="138"/>
      <c r="BB53" s="82">
        <f>AVERAGE(BB54)</f>
        <v>0</v>
      </c>
      <c r="BC53" s="128"/>
      <c r="BD53" s="132"/>
      <c r="BE53" s="82">
        <f>AVERAGE(BE54)</f>
        <v>0</v>
      </c>
      <c r="BF53" s="128"/>
      <c r="BG53" s="132"/>
      <c r="BH53" s="82">
        <f>AVERAGE(BH54)</f>
        <v>0</v>
      </c>
      <c r="BI53" s="128"/>
      <c r="BJ53" s="132"/>
      <c r="BK53" s="82">
        <f>AVERAGE(BK54)</f>
        <v>0</v>
      </c>
      <c r="BL53" s="128"/>
      <c r="BM53" s="132"/>
      <c r="BN53" s="82">
        <f>AVERAGE(BN54)</f>
        <v>0</v>
      </c>
      <c r="BO53" s="128"/>
      <c r="BP53" s="132"/>
      <c r="BQ53" s="82">
        <f>AVERAGE(BQ54)</f>
        <v>0</v>
      </c>
      <c r="BR53" s="128"/>
      <c r="BS53" s="132"/>
      <c r="BT53" s="82">
        <f>AVERAGE(BT54)</f>
        <v>0</v>
      </c>
      <c r="BU53" s="128"/>
      <c r="BV53" s="132"/>
      <c r="BW53" s="82">
        <f>AVERAGE(BW54)</f>
        <v>0</v>
      </c>
      <c r="BX53" s="128"/>
      <c r="BY53" s="132"/>
      <c r="BZ53" s="82">
        <f>AVERAGE(BZ54)</f>
        <v>0</v>
      </c>
      <c r="CA53" s="126"/>
      <c r="CB53" s="127"/>
      <c r="CC53" s="82">
        <f>AVERAGE(CC54)</f>
        <v>0</v>
      </c>
      <c r="CD53" s="126"/>
      <c r="CE53" s="127"/>
      <c r="CF53" s="82">
        <f>AVERAGE(CF54)</f>
        <v>0</v>
      </c>
      <c r="CG53" s="126"/>
      <c r="CH53" s="127"/>
      <c r="CI53" s="82">
        <f>AVERAGE(CI54)</f>
        <v>0</v>
      </c>
      <c r="CJ53" s="126"/>
      <c r="CK53" s="127"/>
      <c r="CL53" s="82">
        <f>AVERAGE(CL54)</f>
        <v>0</v>
      </c>
      <c r="CM53" s="126"/>
      <c r="CN53" s="127"/>
      <c r="CO53" s="82">
        <f>AVERAGE(CO54)</f>
        <v>0</v>
      </c>
      <c r="CP53" s="126"/>
      <c r="CQ53" s="127"/>
      <c r="CR53" s="82">
        <f>AVERAGE(CR54)</f>
        <v>0</v>
      </c>
      <c r="CS53" s="126"/>
      <c r="CT53" s="127"/>
      <c r="CU53" s="82">
        <f>AVERAGE(CU54)</f>
        <v>0</v>
      </c>
      <c r="CV53" s="126"/>
      <c r="CW53" s="127"/>
      <c r="CX53" s="82">
        <f>AVERAGE(CX54)</f>
        <v>0</v>
      </c>
      <c r="CY53" s="126"/>
      <c r="CZ53" s="127"/>
      <c r="DA53" s="82">
        <f>AVERAGE(DA54)</f>
        <v>0</v>
      </c>
      <c r="DB53" s="126"/>
      <c r="DC53" s="127"/>
      <c r="DD53" s="82">
        <f>AVERAGE(DD54)</f>
        <v>0</v>
      </c>
      <c r="DE53" s="126"/>
      <c r="DF53" s="127"/>
      <c r="DG53" s="82">
        <f>AVERAGE(DG54)</f>
        <v>0</v>
      </c>
      <c r="DH53" s="126"/>
      <c r="DI53" s="127"/>
      <c r="DJ53" s="82">
        <f>AVERAGE(DJ54)</f>
        <v>0</v>
      </c>
      <c r="DK53" s="126"/>
      <c r="DL53" s="127"/>
      <c r="DM53" s="82">
        <f>AVERAGE(DM54)</f>
        <v>0</v>
      </c>
      <c r="DN53" s="126"/>
      <c r="DO53" s="127"/>
      <c r="DP53" s="82">
        <f>AVERAGE(DP54)</f>
        <v>0</v>
      </c>
      <c r="DQ53" s="126"/>
      <c r="DR53" s="127"/>
      <c r="DS53" s="82">
        <f>AVERAGE(DS54)</f>
        <v>0</v>
      </c>
      <c r="DT53" s="126"/>
      <c r="DU53" s="127"/>
      <c r="DV53" s="82">
        <f>AVERAGE(DV54)</f>
        <v>0</v>
      </c>
      <c r="DW53" s="126"/>
      <c r="DX53" s="127"/>
      <c r="DY53" s="82">
        <f>AVERAGE(DY54)</f>
        <v>0</v>
      </c>
      <c r="DZ53" s="126"/>
      <c r="EA53" s="127"/>
      <c r="EB53" s="82">
        <f>AVERAGE(EB54)</f>
        <v>0</v>
      </c>
      <c r="EC53" s="126"/>
      <c r="ED53" s="127"/>
      <c r="EE53" s="82">
        <f>AVERAGE(EE54)</f>
        <v>0</v>
      </c>
      <c r="EF53" s="126"/>
      <c r="EG53" s="127"/>
      <c r="EH53" s="82">
        <f>AVERAGE(EH54)</f>
        <v>0</v>
      </c>
      <c r="EI53" s="126"/>
      <c r="EJ53" s="127"/>
      <c r="EK53" s="82">
        <f>AVERAGE(EK54)</f>
        <v>0</v>
      </c>
      <c r="EL53" s="126"/>
      <c r="EM53" s="127"/>
      <c r="EN53" s="82">
        <f>AVERAGE(EN54)</f>
        <v>0</v>
      </c>
      <c r="EO53" s="126"/>
      <c r="EP53" s="127"/>
      <c r="EQ53" s="84">
        <f>AVERAGE(EQ54)</f>
        <v>0</v>
      </c>
      <c r="ER53" s="85">
        <f t="array" ref="ER53">IFERROR(_xlfn.LET(
_xlpm.datos,CHOOSE({1;2;3;4;5;6;7;8;9;10;11;12;13;13;14;15;16;17;18;19;20;21;22;23;23;24;25;26;27;28;29;30;31;32;33;34;35;36;37;38;39;40;41;42;43;44;45;46;47},F53,I53,L53,O53,R53,U53,X53,AA53,AD53,AG53,AJ53,AM53,AP53,AS53,AV53,AY53,BB53,BE53,BH53,BK53,BQ53,BT53,BW53,BZ53,CC53,CF53,CI53,CL53,CO53,CR53,CU53,CX53,DA53,DD53,DG53,DJ53,DM53,DP53,DS53,DV53,DY53,EB53,EE53,EH53,EK53,EN53,EQ53),
AVERAGE(_xlfn._xlws.FILTER(_xlpm.datos,(_xlpm.datos&lt;&gt;0)*(_xlpm.datos&lt;&gt;"")))
),0)</f>
        <v>0</v>
      </c>
      <c r="ES53" s="86" t="str">
        <f t="array" ref="ES53">_xlfn.IFS(ER53&gt;=91.5%,"MENSUAL",ER53&gt;=75%,"QUINCENAL",ER53&lt;75%,"SEMANAL")</f>
        <v>SEMANAL</v>
      </c>
    </row>
    <row r="54" ht="27" customHeight="1" spans="2:149" x14ac:dyDescent="0.25">
      <c r="B54" s="144" t="s">
        <v>129</v>
      </c>
      <c r="C54" s="101"/>
      <c r="D54" s="116"/>
      <c r="E54" s="117">
        <v>5</v>
      </c>
      <c r="F54" s="118">
        <f t="shared" ref="F54" si="430">D54/E54</f>
        <v>0</v>
      </c>
      <c r="G54" s="116"/>
      <c r="H54" s="117">
        <v>5</v>
      </c>
      <c r="I54" s="118">
        <f t="shared" ref="I54" si="431">G54/H54</f>
        <v>0</v>
      </c>
      <c r="J54" s="119"/>
      <c r="K54" s="117">
        <v>5</v>
      </c>
      <c r="L54" s="118">
        <f t="shared" ref="L54" si="432">J54/K54</f>
        <v>0</v>
      </c>
      <c r="M54" s="119"/>
      <c r="N54" s="117">
        <v>5</v>
      </c>
      <c r="O54" s="118">
        <f t="shared" ref="O54" si="433">M54/N54</f>
        <v>0</v>
      </c>
      <c r="P54" s="120"/>
      <c r="Q54" s="121">
        <v>5</v>
      </c>
      <c r="R54" s="118">
        <f t="shared" ref="R54" si="434">P54/Q54</f>
        <v>0</v>
      </c>
      <c r="S54" s="116"/>
      <c r="T54" s="121">
        <v>5</v>
      </c>
      <c r="U54" s="118">
        <f t="shared" ref="U54" si="435">S54/T54</f>
        <v>0</v>
      </c>
      <c r="V54" s="116"/>
      <c r="W54" s="121">
        <v>5</v>
      </c>
      <c r="X54" s="118">
        <f t="shared" ref="X54" si="436">V54/W54</f>
        <v>0</v>
      </c>
      <c r="Y54" s="116"/>
      <c r="Z54" s="121">
        <v>5</v>
      </c>
      <c r="AA54" s="118">
        <f t="shared" ref="AA54" si="437">Y54/Z54</f>
        <v>0</v>
      </c>
      <c r="AB54" s="120"/>
      <c r="AC54" s="121">
        <v>5</v>
      </c>
      <c r="AD54" s="118">
        <f t="shared" ref="AD54" si="438">AB54/AC54</f>
        <v>0</v>
      </c>
      <c r="AE54" s="120"/>
      <c r="AF54" s="121">
        <v>5</v>
      </c>
      <c r="AG54" s="118">
        <f t="shared" ref="AG54" si="439">AE54/AF54</f>
        <v>0</v>
      </c>
      <c r="AH54" s="120"/>
      <c r="AI54" s="121">
        <v>5</v>
      </c>
      <c r="AJ54" s="118">
        <f t="shared" ref="AJ54" si="440">AH54/AI54</f>
        <v>0</v>
      </c>
      <c r="AK54" s="120"/>
      <c r="AL54" s="121">
        <v>5</v>
      </c>
      <c r="AM54" s="118">
        <f t="shared" ref="AM54" si="441">AK54/AL54</f>
        <v>0</v>
      </c>
      <c r="AN54" s="116"/>
      <c r="AO54" s="122">
        <v>5</v>
      </c>
      <c r="AP54" s="118">
        <f t="shared" ref="AP54" si="442">AN54/AO54</f>
        <v>0</v>
      </c>
      <c r="AQ54" s="116"/>
      <c r="AR54" s="122">
        <v>5</v>
      </c>
      <c r="AS54" s="118">
        <f t="shared" ref="AS54" si="443">AQ54/AR54</f>
        <v>0</v>
      </c>
      <c r="AT54" s="116"/>
      <c r="AU54" s="122">
        <v>5</v>
      </c>
      <c r="AV54" s="118">
        <f t="shared" ref="AV54" si="444">AT54/AU54</f>
        <v>0</v>
      </c>
      <c r="AW54" s="116"/>
      <c r="AX54" s="122">
        <v>5</v>
      </c>
      <c r="AY54" s="118">
        <f t="shared" ref="AY54" si="445">AW54/AX54</f>
        <v>0</v>
      </c>
      <c r="AZ54" s="116"/>
      <c r="BA54" s="122">
        <v>5</v>
      </c>
      <c r="BB54" s="118">
        <f t="shared" ref="BB54" si="446">AZ54/BA54</f>
        <v>0</v>
      </c>
      <c r="BC54" s="116"/>
      <c r="BD54" s="122">
        <v>5</v>
      </c>
      <c r="BE54" s="118">
        <f t="shared" ref="BE54" si="447">BC54/BD54</f>
        <v>0</v>
      </c>
      <c r="BF54" s="116"/>
      <c r="BG54" s="122">
        <v>5</v>
      </c>
      <c r="BH54" s="118">
        <f t="shared" ref="BH54" si="448">BF54/BG54</f>
        <v>0</v>
      </c>
      <c r="BI54" s="116"/>
      <c r="BJ54" s="122">
        <v>5</v>
      </c>
      <c r="BK54" s="118">
        <f t="shared" ref="BK54" si="449">BI54/BJ54</f>
        <v>0</v>
      </c>
      <c r="BL54" s="116"/>
      <c r="BM54" s="122">
        <v>5</v>
      </c>
      <c r="BN54" s="118">
        <f t="shared" ref="BN54" si="450">BL54/BM54</f>
        <v>0</v>
      </c>
      <c r="BO54" s="116"/>
      <c r="BP54" s="122">
        <v>5</v>
      </c>
      <c r="BQ54" s="118">
        <f t="shared" ref="BQ54" si="451">BO54/BP54</f>
        <v>0</v>
      </c>
      <c r="BR54" s="116"/>
      <c r="BS54" s="122">
        <v>5</v>
      </c>
      <c r="BT54" s="118">
        <f t="shared" ref="BT54" si="452">BR54/BS54</f>
        <v>0</v>
      </c>
      <c r="BU54" s="116"/>
      <c r="BV54" s="122">
        <v>5</v>
      </c>
      <c r="BW54" s="118">
        <f t="shared" ref="BW54" si="453">BU54/BV54</f>
        <v>0</v>
      </c>
      <c r="BX54" s="116"/>
      <c r="BY54" s="122">
        <v>5</v>
      </c>
      <c r="BZ54" s="118">
        <f t="shared" ref="BZ54" si="454">BX54/BY54</f>
        <v>0</v>
      </c>
      <c r="CA54" s="116"/>
      <c r="CB54" s="122">
        <v>5</v>
      </c>
      <c r="CC54" s="118">
        <f t="shared" ref="CC54" si="455">CA54/CB54</f>
        <v>0</v>
      </c>
      <c r="CD54" s="116"/>
      <c r="CE54" s="122">
        <v>5</v>
      </c>
      <c r="CF54" s="118">
        <f t="shared" ref="CF54" si="456">CD54/CE54</f>
        <v>0</v>
      </c>
      <c r="CG54" s="116"/>
      <c r="CH54" s="122">
        <v>5</v>
      </c>
      <c r="CI54" s="118">
        <f t="shared" ref="CI54" si="457">CG54/CH54</f>
        <v>0</v>
      </c>
      <c r="CJ54" s="116"/>
      <c r="CK54" s="122">
        <v>5</v>
      </c>
      <c r="CL54" s="118">
        <f t="shared" ref="CL54" si="458">CJ54/CK54</f>
        <v>0</v>
      </c>
      <c r="CM54" s="116"/>
      <c r="CN54" s="122">
        <v>5</v>
      </c>
      <c r="CO54" s="118">
        <f t="shared" ref="CO54" si="459">CM54/CN54</f>
        <v>0</v>
      </c>
      <c r="CP54" s="116"/>
      <c r="CQ54" s="122">
        <v>5</v>
      </c>
      <c r="CR54" s="118">
        <f t="shared" ref="CR54" si="460">CP54/CQ54</f>
        <v>0</v>
      </c>
      <c r="CS54" s="116"/>
      <c r="CT54" s="122">
        <v>5</v>
      </c>
      <c r="CU54" s="118">
        <f t="shared" ref="CU54" si="461">CS54/CT54</f>
        <v>0</v>
      </c>
      <c r="CV54" s="116"/>
      <c r="CW54" s="122">
        <v>5</v>
      </c>
      <c r="CX54" s="118">
        <f t="shared" ref="CX54" si="462">CV54/CW54</f>
        <v>0</v>
      </c>
      <c r="CY54" s="116"/>
      <c r="CZ54" s="122">
        <v>5</v>
      </c>
      <c r="DA54" s="118">
        <f t="shared" ref="DA54" si="463">CY54/CZ54</f>
        <v>0</v>
      </c>
      <c r="DB54" s="116"/>
      <c r="DC54" s="122">
        <v>5</v>
      </c>
      <c r="DD54" s="118">
        <f t="shared" ref="DD54" si="464">DB54/DC54</f>
        <v>0</v>
      </c>
      <c r="DE54" s="116"/>
      <c r="DF54" s="122">
        <v>5</v>
      </c>
      <c r="DG54" s="118">
        <f t="shared" ref="DG54" si="465">DE54/DF54</f>
        <v>0</v>
      </c>
      <c r="DH54" s="116"/>
      <c r="DI54" s="122">
        <v>5</v>
      </c>
      <c r="DJ54" s="118">
        <f t="shared" ref="DJ54" si="466">DH54/DI54</f>
        <v>0</v>
      </c>
      <c r="DK54" s="116"/>
      <c r="DL54" s="122">
        <v>5</v>
      </c>
      <c r="DM54" s="118">
        <f t="shared" ref="DM54" si="467">DK54/DL54</f>
        <v>0</v>
      </c>
      <c r="DN54" s="116"/>
      <c r="DO54" s="122">
        <v>5</v>
      </c>
      <c r="DP54" s="118">
        <f t="shared" ref="DP54" si="468">DN54/DO54</f>
        <v>0</v>
      </c>
      <c r="DQ54" s="116"/>
      <c r="DR54" s="122">
        <v>5</v>
      </c>
      <c r="DS54" s="118">
        <f t="shared" ref="DS54" si="469">DQ54/DR54</f>
        <v>0</v>
      </c>
      <c r="DT54" s="116"/>
      <c r="DU54" s="122">
        <v>5</v>
      </c>
      <c r="DV54" s="118">
        <f t="shared" ref="DV54" si="470">DT54/DU54</f>
        <v>0</v>
      </c>
      <c r="DW54" s="116"/>
      <c r="DX54" s="122">
        <v>5</v>
      </c>
      <c r="DY54" s="118">
        <f t="shared" ref="DY54" si="471">DW54/DX54</f>
        <v>0</v>
      </c>
      <c r="DZ54" s="116"/>
      <c r="EA54" s="122">
        <v>5</v>
      </c>
      <c r="EB54" s="118">
        <f t="shared" ref="EB54" si="472">DZ54/EA54</f>
        <v>0</v>
      </c>
      <c r="EC54" s="116"/>
      <c r="ED54" s="122">
        <v>5</v>
      </c>
      <c r="EE54" s="118">
        <f t="shared" ref="EE54" si="473">EC54/ED54</f>
        <v>0</v>
      </c>
      <c r="EF54" s="116"/>
      <c r="EG54" s="122">
        <v>5</v>
      </c>
      <c r="EH54" s="118">
        <f t="shared" ref="EH54" si="474">EF54/EG54</f>
        <v>0</v>
      </c>
      <c r="EI54" s="116"/>
      <c r="EJ54" s="122">
        <v>5</v>
      </c>
      <c r="EK54" s="118">
        <f t="shared" ref="EK54" si="475">EI54/EJ54</f>
        <v>0</v>
      </c>
      <c r="EL54" s="116"/>
      <c r="EM54" s="122">
        <v>5</v>
      </c>
      <c r="EN54" s="118">
        <f t="shared" ref="EN54" si="476">EL54/EM54</f>
        <v>0</v>
      </c>
      <c r="EO54" s="116"/>
      <c r="EP54" s="122">
        <v>5</v>
      </c>
      <c r="EQ54" s="145">
        <f t="shared" ref="EQ54" si="477">EO54/EP54</f>
        <v>0</v>
      </c>
      <c r="ER54" s="85">
        <f t="array" ref="ER54">IFERROR(_xlfn.LET(
_xlpm.datos,CHOOSE({1;2;3;4;5;6;7;8;9;10;11;12;13;13;14;15;16;17;18;19;20;21;22;23;23;24;25;26;27;28;29;30;31;32;33;34;35;36;37;38;39;40;41;42;43;44;45;46;47},F54,I54,L54,O54,R54,U54,X54,AA54,AD54,AG54,AJ54,AM54,AP54,AS54,AV54,AY54,BB54,BE54,BH54,BK54,BQ54,BT54,BW54,BZ54,CC54,CF54,CI54,CL54,CO54,CR54,CU54,CX54,DA54,DD54,DG54,DJ54,DM54,DP54,DS54,DV54,DY54,EB54,EE54,EH54,EK54,EN54,EQ54),
AVERAGE(_xlfn._xlws.FILTER(_xlpm.datos,(_xlpm.datos&lt;&gt;0)*(_xlpm.datos&lt;&gt;"")))
),0)</f>
        <v>0</v>
      </c>
      <c r="ES54" s="86" t="str">
        <f t="array" ref="ES54">_xlfn.IFS(ER54&gt;=91.5%,"MENSUAL",ER54&gt;=75%,"QUINCENAL",ER54&lt;75%,"SEMANAL")</f>
        <v>SEMANAL</v>
      </c>
    </row>
    <row r="55" ht="16" customHeight="1" spans="2:149" x14ac:dyDescent="0.25">
      <c r="B55" s="146" t="s">
        <v>130</v>
      </c>
      <c r="C55" s="125"/>
      <c r="D55" s="126"/>
      <c r="E55" s="127"/>
      <c r="F55" s="82">
        <f>AVERAGE(F56:F58)</f>
        <v>0</v>
      </c>
      <c r="G55" s="126"/>
      <c r="H55" s="127"/>
      <c r="I55" s="82">
        <f>AVERAGE(I56:I58)</f>
        <v>0</v>
      </c>
      <c r="J55" s="126"/>
      <c r="K55" s="127"/>
      <c r="L55" s="82">
        <f>AVERAGE(L56:L58)</f>
        <v>0</v>
      </c>
      <c r="M55" s="126"/>
      <c r="N55" s="127"/>
      <c r="O55" s="82">
        <f>AVERAGE(O56:O58)</f>
        <v>0</v>
      </c>
      <c r="P55" s="126"/>
      <c r="Q55" s="127"/>
      <c r="R55" s="82">
        <f>AVERAGE(R56:R58)</f>
        <v>0</v>
      </c>
      <c r="S55" s="126"/>
      <c r="T55" s="127"/>
      <c r="U55" s="82">
        <f>AVERAGE(U56:U58)</f>
        <v>0</v>
      </c>
      <c r="V55" s="126"/>
      <c r="W55" s="127"/>
      <c r="X55" s="82">
        <f>AVERAGE(X56:X58)</f>
        <v>0</v>
      </c>
      <c r="Y55" s="126"/>
      <c r="Z55" s="127"/>
      <c r="AA55" s="82">
        <f>AVERAGE(AA56:AA58)</f>
        <v>0</v>
      </c>
      <c r="AB55" s="126"/>
      <c r="AC55" s="127"/>
      <c r="AD55" s="82">
        <f>AVERAGE(AD56:AD58)</f>
        <v>0</v>
      </c>
      <c r="AE55" s="126"/>
      <c r="AF55" s="127"/>
      <c r="AG55" s="82">
        <f>AVERAGE(AG56:AG58)</f>
        <v>0</v>
      </c>
      <c r="AH55" s="126"/>
      <c r="AI55" s="127"/>
      <c r="AJ55" s="82">
        <f>AVERAGE(AJ56:AJ58)</f>
        <v>0</v>
      </c>
      <c r="AK55" s="126"/>
      <c r="AL55" s="127"/>
      <c r="AM55" s="82">
        <f>AVERAGE(AM56:AM58)</f>
        <v>0</v>
      </c>
      <c r="AN55" s="126"/>
      <c r="AO55" s="136"/>
      <c r="AP55" s="82">
        <f>AVERAGE(AP56:AP58)</f>
        <v>0</v>
      </c>
      <c r="AQ55" s="128"/>
      <c r="AR55" s="129"/>
      <c r="AS55" s="82">
        <f>AVERAGE(AS56:AS58)</f>
        <v>0</v>
      </c>
      <c r="AT55" s="130"/>
      <c r="AU55" s="129"/>
      <c r="AV55" s="82">
        <f>AVERAGE(AV56:AV58)</f>
        <v>0</v>
      </c>
      <c r="AW55" s="126"/>
      <c r="AX55" s="136"/>
      <c r="AY55" s="82">
        <f>AVERAGE(AY56:AY58)</f>
        <v>0</v>
      </c>
      <c r="AZ55" s="137"/>
      <c r="BA55" s="138"/>
      <c r="BB55" s="82">
        <f>AVERAGE(BB56:BB58)</f>
        <v>0</v>
      </c>
      <c r="BC55" s="128"/>
      <c r="BD55" s="132"/>
      <c r="BE55" s="82">
        <f>AVERAGE(BE56:BE58)</f>
        <v>0</v>
      </c>
      <c r="BF55" s="128"/>
      <c r="BG55" s="132"/>
      <c r="BH55" s="82">
        <f>AVERAGE(BH56:BH58)</f>
        <v>0</v>
      </c>
      <c r="BI55" s="128"/>
      <c r="BJ55" s="132"/>
      <c r="BK55" s="82">
        <f>AVERAGE(BK56:BK58)</f>
        <v>0</v>
      </c>
      <c r="BL55" s="128"/>
      <c r="BM55" s="132"/>
      <c r="BN55" s="82">
        <f>AVERAGE(BN56:BN58)</f>
        <v>0</v>
      </c>
      <c r="BO55" s="128"/>
      <c r="BP55" s="132"/>
      <c r="BQ55" s="82">
        <f>AVERAGE(BQ56:BQ58)</f>
        <v>0</v>
      </c>
      <c r="BR55" s="128"/>
      <c r="BS55" s="132"/>
      <c r="BT55" s="82">
        <f>AVERAGE(BT56:BT58)</f>
        <v>0</v>
      </c>
      <c r="BU55" s="128"/>
      <c r="BV55" s="132"/>
      <c r="BW55" s="82">
        <f>AVERAGE(BW56:BW58)</f>
        <v>0</v>
      </c>
      <c r="BX55" s="128"/>
      <c r="BY55" s="132"/>
      <c r="BZ55" s="82">
        <f>AVERAGE(BZ56:BZ58)</f>
        <v>0</v>
      </c>
      <c r="CA55" s="126"/>
      <c r="CB55" s="127"/>
      <c r="CC55" s="82">
        <f>AVERAGE(CC56:CC58)</f>
        <v>0</v>
      </c>
      <c r="CD55" s="126"/>
      <c r="CE55" s="127"/>
      <c r="CF55" s="82">
        <f>AVERAGE(CF56:CF58)</f>
        <v>0</v>
      </c>
      <c r="CG55" s="126"/>
      <c r="CH55" s="127"/>
      <c r="CI55" s="82">
        <f>AVERAGE(CI56:CI58)</f>
        <v>0</v>
      </c>
      <c r="CJ55" s="126"/>
      <c r="CK55" s="127"/>
      <c r="CL55" s="82">
        <f>AVERAGE(CL56:CL58)</f>
        <v>0</v>
      </c>
      <c r="CM55" s="126"/>
      <c r="CN55" s="127"/>
      <c r="CO55" s="82">
        <f>AVERAGE(CO56:CO58)</f>
        <v>0</v>
      </c>
      <c r="CP55" s="126"/>
      <c r="CQ55" s="127"/>
      <c r="CR55" s="82">
        <f>AVERAGE(CR56:CR58)</f>
        <v>0</v>
      </c>
      <c r="CS55" s="126"/>
      <c r="CT55" s="127"/>
      <c r="CU55" s="82">
        <f>AVERAGE(CU56:CU58)</f>
        <v>0</v>
      </c>
      <c r="CV55" s="126"/>
      <c r="CW55" s="127"/>
      <c r="CX55" s="82">
        <f>AVERAGE(CX56:CX58)</f>
        <v>0</v>
      </c>
      <c r="CY55" s="126"/>
      <c r="CZ55" s="127"/>
      <c r="DA55" s="82">
        <f>AVERAGE(DA56:DA58)</f>
        <v>0</v>
      </c>
      <c r="DB55" s="126"/>
      <c r="DC55" s="127"/>
      <c r="DD55" s="82">
        <f>AVERAGE(DD56:DD58)</f>
        <v>0</v>
      </c>
      <c r="DE55" s="126"/>
      <c r="DF55" s="127"/>
      <c r="DG55" s="82">
        <f>AVERAGE(DG56:DG58)</f>
        <v>0</v>
      </c>
      <c r="DH55" s="126"/>
      <c r="DI55" s="127"/>
      <c r="DJ55" s="82">
        <f>AVERAGE(DJ56:DJ58)</f>
        <v>0</v>
      </c>
      <c r="DK55" s="126"/>
      <c r="DL55" s="127"/>
      <c r="DM55" s="82">
        <f>AVERAGE(DM56:DM58)</f>
        <v>0</v>
      </c>
      <c r="DN55" s="126"/>
      <c r="DO55" s="127"/>
      <c r="DP55" s="82">
        <f>AVERAGE(DP56:DP58)</f>
        <v>0</v>
      </c>
      <c r="DQ55" s="126"/>
      <c r="DR55" s="127"/>
      <c r="DS55" s="82">
        <f>AVERAGE(DS56:DS58)</f>
        <v>0</v>
      </c>
      <c r="DT55" s="126"/>
      <c r="DU55" s="127"/>
      <c r="DV55" s="82">
        <f>AVERAGE(DV56:DV58)</f>
        <v>0</v>
      </c>
      <c r="DW55" s="126"/>
      <c r="DX55" s="127"/>
      <c r="DY55" s="82">
        <f>AVERAGE(DY56:DY58)</f>
        <v>0</v>
      </c>
      <c r="DZ55" s="126"/>
      <c r="EA55" s="127"/>
      <c r="EB55" s="82">
        <f>AVERAGE(EB56:EB58)</f>
        <v>0</v>
      </c>
      <c r="EC55" s="126"/>
      <c r="ED55" s="127"/>
      <c r="EE55" s="82">
        <f>AVERAGE(EE56:EE58)</f>
        <v>0</v>
      </c>
      <c r="EF55" s="126"/>
      <c r="EG55" s="127"/>
      <c r="EH55" s="82">
        <f>AVERAGE(EH56:EH58)</f>
        <v>0</v>
      </c>
      <c r="EI55" s="126"/>
      <c r="EJ55" s="127"/>
      <c r="EK55" s="82">
        <f>AVERAGE(EK56:EK58)</f>
        <v>0</v>
      </c>
      <c r="EL55" s="126"/>
      <c r="EM55" s="127"/>
      <c r="EN55" s="82">
        <f>AVERAGE(EN56:EN58)</f>
        <v>0</v>
      </c>
      <c r="EO55" s="126"/>
      <c r="EP55" s="127"/>
      <c r="EQ55" s="84">
        <f>AVERAGE(EQ56:EQ58)</f>
        <v>0</v>
      </c>
      <c r="ER55" s="85">
        <f t="array" ref="ER55">IFERROR(_xlfn.LET(
_xlpm.datos,CHOOSE({1;2;3;4;5;6;7;8;9;10;11;12;13;13;14;15;16;17;18;19;20;21;22;23;23;24;25;26;27;28;29;30;31;32;33;34;35;36;37;38;39;40;41;42;43;44;45;46;47},F55,I55,L55,O55,R55,U55,X55,AA55,AD55,AG55,AJ55,AM55,AP55,AS55,AV55,AY55,BB55,BE55,BH55,BK55,BQ55,BT55,BW55,BZ55,CC55,CF55,CI55,CL55,CO55,CR55,CU55,CX55,DA55,DD55,DG55,DJ55,DM55,DP55,DS55,DV55,DY55,EB55,EE55,EH55,EK55,EN55,EQ55),
AVERAGE(_xlfn._xlws.FILTER(_xlpm.datos,(_xlpm.datos&lt;&gt;0)*(_xlpm.datos&lt;&gt;"")))
),0)</f>
        <v>0</v>
      </c>
      <c r="ES55" s="86" t="str">
        <f t="array" ref="ES55">_xlfn.IFS(ER55&gt;=91.5%,"MENSUAL",ER55&gt;=75%,"QUINCENAL",ER55&lt;75%,"SEMANAL")</f>
        <v>SEMANAL</v>
      </c>
    </row>
    <row r="56" ht="15.5" customHeight="1" spans="2:149" x14ac:dyDescent="0.25">
      <c r="B56" s="147" t="s">
        <v>131</v>
      </c>
      <c r="C56" s="101"/>
      <c r="D56" s="116"/>
      <c r="E56" s="117">
        <v>5</v>
      </c>
      <c r="F56" s="118">
        <f t="shared" ref="F56" si="478">D56/E56</f>
        <v>0</v>
      </c>
      <c r="G56" s="116"/>
      <c r="H56" s="117">
        <v>5</v>
      </c>
      <c r="I56" s="118">
        <f t="shared" ref="I56" si="479">G56/H56</f>
        <v>0</v>
      </c>
      <c r="J56" s="119"/>
      <c r="K56" s="117">
        <v>5</v>
      </c>
      <c r="L56" s="118">
        <f t="shared" ref="L56" si="480">J56/K56</f>
        <v>0</v>
      </c>
      <c r="M56" s="119"/>
      <c r="N56" s="117">
        <v>5</v>
      </c>
      <c r="O56" s="118">
        <f t="shared" ref="O56" si="481">M56/N56</f>
        <v>0</v>
      </c>
      <c r="P56" s="120"/>
      <c r="Q56" s="121">
        <v>5</v>
      </c>
      <c r="R56" s="118">
        <f t="shared" ref="R56" si="482">P56/Q56</f>
        <v>0</v>
      </c>
      <c r="S56" s="116"/>
      <c r="T56" s="121">
        <v>5</v>
      </c>
      <c r="U56" s="118">
        <f t="shared" ref="U56" si="483">S56/T56</f>
        <v>0</v>
      </c>
      <c r="V56" s="116"/>
      <c r="W56" s="121">
        <v>5</v>
      </c>
      <c r="X56" s="118">
        <f t="shared" ref="X56" si="484">V56/W56</f>
        <v>0</v>
      </c>
      <c r="Y56" s="116"/>
      <c r="Z56" s="121">
        <v>5</v>
      </c>
      <c r="AA56" s="118">
        <f t="shared" ref="AA56" si="485">Y56/Z56</f>
        <v>0</v>
      </c>
      <c r="AB56" s="120"/>
      <c r="AC56" s="121">
        <v>5</v>
      </c>
      <c r="AD56" s="118">
        <f t="shared" ref="AD56" si="486">AB56/AC56</f>
        <v>0</v>
      </c>
      <c r="AE56" s="120"/>
      <c r="AF56" s="121">
        <v>5</v>
      </c>
      <c r="AG56" s="118">
        <f t="shared" ref="AG56" si="487">AE56/AF56</f>
        <v>0</v>
      </c>
      <c r="AH56" s="120"/>
      <c r="AI56" s="121">
        <v>5</v>
      </c>
      <c r="AJ56" s="118">
        <f t="shared" ref="AJ56" si="488">AH56/AI56</f>
        <v>0</v>
      </c>
      <c r="AK56" s="120"/>
      <c r="AL56" s="121">
        <v>5</v>
      </c>
      <c r="AM56" s="118">
        <f t="shared" ref="AM56" si="489">AK56/AL56</f>
        <v>0</v>
      </c>
      <c r="AN56" s="116"/>
      <c r="AO56" s="122">
        <v>5</v>
      </c>
      <c r="AP56" s="118">
        <f t="shared" ref="AP56" si="490">AN56/AO56</f>
        <v>0</v>
      </c>
      <c r="AQ56" s="116"/>
      <c r="AR56" s="122">
        <v>5</v>
      </c>
      <c r="AS56" s="118">
        <f t="shared" ref="AS56" si="491">AQ56/AR56</f>
        <v>0</v>
      </c>
      <c r="AT56" s="116"/>
      <c r="AU56" s="122">
        <v>5</v>
      </c>
      <c r="AV56" s="118">
        <f t="shared" ref="AV56" si="492">AT56/AU56</f>
        <v>0</v>
      </c>
      <c r="AW56" s="116"/>
      <c r="AX56" s="122">
        <v>5</v>
      </c>
      <c r="AY56" s="118">
        <f t="shared" ref="AY56" si="493">AW56/AX56</f>
        <v>0</v>
      </c>
      <c r="AZ56" s="116"/>
      <c r="BA56" s="122">
        <v>5</v>
      </c>
      <c r="BB56" s="118">
        <f t="shared" ref="BB56" si="494">AZ56/BA56</f>
        <v>0</v>
      </c>
      <c r="BC56" s="116"/>
      <c r="BD56" s="122">
        <v>5</v>
      </c>
      <c r="BE56" s="118">
        <f t="shared" ref="BE56" si="495">BC56/BD56</f>
        <v>0</v>
      </c>
      <c r="BF56" s="116"/>
      <c r="BG56" s="122">
        <v>5</v>
      </c>
      <c r="BH56" s="118">
        <f t="shared" ref="BH56" si="496">BF56/BG56</f>
        <v>0</v>
      </c>
      <c r="BI56" s="116"/>
      <c r="BJ56" s="122">
        <v>5</v>
      </c>
      <c r="BK56" s="118">
        <f t="shared" ref="BK56" si="497">BI56/BJ56</f>
        <v>0</v>
      </c>
      <c r="BL56" s="116"/>
      <c r="BM56" s="122">
        <v>5</v>
      </c>
      <c r="BN56" s="118">
        <f t="shared" ref="BN56" si="498">BL56/BM56</f>
        <v>0</v>
      </c>
      <c r="BO56" s="116"/>
      <c r="BP56" s="122">
        <v>5</v>
      </c>
      <c r="BQ56" s="118">
        <f t="shared" ref="BQ56" si="499">BO56/BP56</f>
        <v>0</v>
      </c>
      <c r="BR56" s="116"/>
      <c r="BS56" s="122">
        <v>5</v>
      </c>
      <c r="BT56" s="118">
        <f t="shared" ref="BT56" si="500">BR56/BS56</f>
        <v>0</v>
      </c>
      <c r="BU56" s="116"/>
      <c r="BV56" s="122">
        <v>5</v>
      </c>
      <c r="BW56" s="118">
        <f t="shared" ref="BW56" si="501">BU56/BV56</f>
        <v>0</v>
      </c>
      <c r="BX56" s="116"/>
      <c r="BY56" s="122">
        <v>5</v>
      </c>
      <c r="BZ56" s="118">
        <f t="shared" ref="BZ56" si="502">BX56/BY56</f>
        <v>0</v>
      </c>
      <c r="CA56" s="116"/>
      <c r="CB56" s="122">
        <v>5</v>
      </c>
      <c r="CC56" s="118">
        <f t="shared" ref="CC56" si="503">CA56/CB56</f>
        <v>0</v>
      </c>
      <c r="CD56" s="116"/>
      <c r="CE56" s="122">
        <v>5</v>
      </c>
      <c r="CF56" s="118">
        <f t="shared" ref="CF56" si="504">CD56/CE56</f>
        <v>0</v>
      </c>
      <c r="CG56" s="116"/>
      <c r="CH56" s="122">
        <v>5</v>
      </c>
      <c r="CI56" s="118">
        <f t="shared" ref="CI56" si="505">CG56/CH56</f>
        <v>0</v>
      </c>
      <c r="CJ56" s="116"/>
      <c r="CK56" s="122">
        <v>5</v>
      </c>
      <c r="CL56" s="118">
        <f t="shared" ref="CL56" si="506">CJ56/CK56</f>
        <v>0</v>
      </c>
      <c r="CM56" s="116"/>
      <c r="CN56" s="122">
        <v>5</v>
      </c>
      <c r="CO56" s="118">
        <f t="shared" ref="CO56" si="507">CM56/CN56</f>
        <v>0</v>
      </c>
      <c r="CP56" s="116"/>
      <c r="CQ56" s="122">
        <v>5</v>
      </c>
      <c r="CR56" s="118">
        <f t="shared" ref="CR56" si="508">CP56/CQ56</f>
        <v>0</v>
      </c>
      <c r="CS56" s="116"/>
      <c r="CT56" s="122">
        <v>5</v>
      </c>
      <c r="CU56" s="118">
        <f t="shared" ref="CU56" si="509">CS56/CT56</f>
        <v>0</v>
      </c>
      <c r="CV56" s="116"/>
      <c r="CW56" s="122">
        <v>5</v>
      </c>
      <c r="CX56" s="118">
        <f t="shared" ref="CX56" si="510">CV56/CW56</f>
        <v>0</v>
      </c>
      <c r="CY56" s="116"/>
      <c r="CZ56" s="122">
        <v>5</v>
      </c>
      <c r="DA56" s="118">
        <f t="shared" ref="DA56" si="511">CY56/CZ56</f>
        <v>0</v>
      </c>
      <c r="DB56" s="116"/>
      <c r="DC56" s="122">
        <v>5</v>
      </c>
      <c r="DD56" s="118">
        <f t="shared" ref="DD56" si="512">DB56/DC56</f>
        <v>0</v>
      </c>
      <c r="DE56" s="116"/>
      <c r="DF56" s="122">
        <v>5</v>
      </c>
      <c r="DG56" s="118">
        <f t="shared" ref="DG56" si="513">DE56/DF56</f>
        <v>0</v>
      </c>
      <c r="DH56" s="116"/>
      <c r="DI56" s="122">
        <v>5</v>
      </c>
      <c r="DJ56" s="118">
        <f t="shared" ref="DJ56" si="514">DH56/DI56</f>
        <v>0</v>
      </c>
      <c r="DK56" s="116"/>
      <c r="DL56" s="122">
        <v>5</v>
      </c>
      <c r="DM56" s="118">
        <f t="shared" ref="DM56" si="515">DK56/DL56</f>
        <v>0</v>
      </c>
      <c r="DN56" s="116"/>
      <c r="DO56" s="122">
        <v>5</v>
      </c>
      <c r="DP56" s="118">
        <f t="shared" ref="DP56" si="516">DN56/DO56</f>
        <v>0</v>
      </c>
      <c r="DQ56" s="116"/>
      <c r="DR56" s="122">
        <v>5</v>
      </c>
      <c r="DS56" s="118">
        <f t="shared" ref="DS56" si="517">DQ56/DR56</f>
        <v>0</v>
      </c>
      <c r="DT56" s="116"/>
      <c r="DU56" s="122">
        <v>5</v>
      </c>
      <c r="DV56" s="118">
        <f t="shared" ref="DV56" si="518">DT56/DU56</f>
        <v>0</v>
      </c>
      <c r="DW56" s="116"/>
      <c r="DX56" s="122">
        <v>5</v>
      </c>
      <c r="DY56" s="118">
        <f t="shared" ref="DY56" si="519">DW56/DX56</f>
        <v>0</v>
      </c>
      <c r="DZ56" s="116"/>
      <c r="EA56" s="122">
        <v>5</v>
      </c>
      <c r="EB56" s="118">
        <f t="shared" ref="EB56" si="520">DZ56/EA56</f>
        <v>0</v>
      </c>
      <c r="EC56" s="116"/>
      <c r="ED56" s="122">
        <v>5</v>
      </c>
      <c r="EE56" s="118">
        <f t="shared" ref="EE56" si="521">EC56/ED56</f>
        <v>0</v>
      </c>
      <c r="EF56" s="116"/>
      <c r="EG56" s="122">
        <v>5</v>
      </c>
      <c r="EH56" s="118">
        <f t="shared" ref="EH56" si="522">EF56/EG56</f>
        <v>0</v>
      </c>
      <c r="EI56" s="116"/>
      <c r="EJ56" s="122">
        <v>5</v>
      </c>
      <c r="EK56" s="118">
        <f t="shared" ref="EK56" si="523">EI56/EJ56</f>
        <v>0</v>
      </c>
      <c r="EL56" s="116"/>
      <c r="EM56" s="122">
        <v>5</v>
      </c>
      <c r="EN56" s="118">
        <f t="shared" ref="EN56" si="524">EL56/EM56</f>
        <v>0</v>
      </c>
      <c r="EO56" s="116"/>
      <c r="EP56" s="122">
        <v>5</v>
      </c>
      <c r="EQ56" s="97">
        <f t="shared" ref="EQ56:EQ58" si="525">EO56/EP56</f>
        <v>0</v>
      </c>
      <c r="ER56" s="85">
        <f t="array" ref="ER56">IFERROR(_xlfn.LET(
_xlpm.datos,CHOOSE({1;2;3;4;5;6;7;8;9;10;11;12;13;13;14;15;16;17;18;19;20;21;22;23;23;24;25;26;27;28;29;30;31;32;33;34;35;36;37;38;39;40;41;42;43;44;45;46;47},F56,I56,L56,O56,R56,U56,X56,AA56,AD56,AG56,AJ56,AM56,AP56,AS56,AV56,AY56,BB56,BE56,BH56,BK56,BQ56,BT56,BW56,BZ56,CC56,CF56,CI56,CL56,CO56,CR56,CU56,CX56,DA56,DD56,DG56,DJ56,DM56,DP56,DS56,DV56,DY56,EB56,EE56,EH56,EK56,EN56,EQ56),
AVERAGE(_xlfn._xlws.FILTER(_xlpm.datos,(_xlpm.datos&lt;&gt;0)*(_xlpm.datos&lt;&gt;"")))
),0)</f>
        <v>0</v>
      </c>
      <c r="ES56" s="86" t="str">
        <f t="array" ref="ES56">_xlfn.IFS(ER56&gt;=91.5%,"MENSUAL",ER56&gt;=75%,"QUINCENAL",ER56&lt;75%,"SEMANAL")</f>
        <v>SEMANAL</v>
      </c>
    </row>
    <row r="57" ht="22" customHeight="1" spans="2:149" x14ac:dyDescent="0.25">
      <c r="B57" s="148" t="s">
        <v>132</v>
      </c>
      <c r="C57" s="149"/>
      <c r="D57" s="102"/>
      <c r="E57" s="1"/>
      <c r="F57" s="104"/>
      <c r="G57" s="102"/>
      <c r="H57" s="1"/>
      <c r="I57" s="104"/>
      <c r="J57" s="102"/>
      <c r="K57" s="1"/>
      <c r="L57" s="104"/>
      <c r="M57" s="102"/>
      <c r="N57" s="1"/>
      <c r="O57" s="104"/>
      <c r="P57" s="102"/>
      <c r="Q57" s="1"/>
      <c r="R57" s="104"/>
      <c r="S57" s="102"/>
      <c r="T57" s="1"/>
      <c r="U57" s="104"/>
      <c r="V57" s="102"/>
      <c r="W57" s="1"/>
      <c r="X57" s="104"/>
      <c r="Y57" s="102"/>
      <c r="Z57" s="1"/>
      <c r="AA57" s="104"/>
      <c r="AB57" s="102"/>
      <c r="AC57" s="1"/>
      <c r="AD57" s="104"/>
      <c r="AE57" s="102"/>
      <c r="AF57" s="1"/>
      <c r="AG57" s="104"/>
      <c r="AH57" s="102"/>
      <c r="AI57" s="1"/>
      <c r="AJ57" s="104"/>
      <c r="AK57" s="102"/>
      <c r="AL57" s="1"/>
      <c r="AM57" s="104"/>
      <c r="AN57" s="105"/>
      <c r="AO57" s="103"/>
      <c r="AP57" s="104"/>
      <c r="AQ57" s="102"/>
      <c r="AR57" s="103"/>
      <c r="AS57" s="104"/>
      <c r="AT57" s="105"/>
      <c r="AU57" s="103"/>
      <c r="AV57" s="104"/>
      <c r="AW57" s="105"/>
      <c r="AX57" s="103"/>
      <c r="AY57" s="104"/>
      <c r="AZ57" s="106"/>
      <c r="BA57" s="107"/>
      <c r="BB57" s="104"/>
      <c r="BC57" s="102"/>
      <c r="BD57" s="107"/>
      <c r="BE57" s="104"/>
      <c r="BF57" s="102"/>
      <c r="BG57" s="107"/>
      <c r="BH57" s="104"/>
      <c r="BI57" s="102"/>
      <c r="BJ57" s="107"/>
      <c r="BK57" s="104"/>
      <c r="BL57" s="106"/>
      <c r="BM57" s="107"/>
      <c r="BN57" s="104"/>
      <c r="BO57" s="106"/>
      <c r="BP57" s="107"/>
      <c r="BQ57" s="104"/>
      <c r="BR57" s="106"/>
      <c r="BS57" s="107"/>
      <c r="BT57" s="104"/>
      <c r="BU57" s="106"/>
      <c r="BV57" s="107"/>
      <c r="BW57" s="104"/>
      <c r="BX57" s="106"/>
      <c r="BY57" s="107"/>
      <c r="BZ57" s="104"/>
      <c r="CA57" s="102"/>
      <c r="CB57" s="1"/>
      <c r="CC57" s="104"/>
      <c r="CD57" s="102"/>
      <c r="CE57" s="1"/>
      <c r="CF57" s="104"/>
      <c r="CG57" s="102"/>
      <c r="CH57" s="1"/>
      <c r="CI57" s="104"/>
      <c r="CJ57" s="102"/>
      <c r="CK57" s="1"/>
      <c r="CL57" s="104"/>
      <c r="CM57" s="102"/>
      <c r="CN57" s="1"/>
      <c r="CO57" s="104"/>
      <c r="CP57" s="102"/>
      <c r="CQ57" s="1"/>
      <c r="CR57" s="104"/>
      <c r="CS57" s="102"/>
      <c r="CT57" s="1"/>
      <c r="CU57" s="104"/>
      <c r="CV57" s="102"/>
      <c r="CW57" s="1"/>
      <c r="CX57" s="104"/>
      <c r="CY57" s="102"/>
      <c r="CZ57" s="1"/>
      <c r="DA57" s="104"/>
      <c r="DB57" s="102"/>
      <c r="DC57" s="1"/>
      <c r="DD57" s="104"/>
      <c r="DE57" s="102"/>
      <c r="DF57" s="1"/>
      <c r="DG57" s="104"/>
      <c r="DH57" s="102"/>
      <c r="DI57" s="1"/>
      <c r="DJ57" s="104"/>
      <c r="DK57" s="102"/>
      <c r="DL57" s="1"/>
      <c r="DM57" s="104"/>
      <c r="DN57" s="102"/>
      <c r="DO57" s="1"/>
      <c r="DP57" s="104"/>
      <c r="DQ57" s="102"/>
      <c r="DR57" s="1"/>
      <c r="DS57" s="104"/>
      <c r="DT57" s="102"/>
      <c r="DU57" s="1"/>
      <c r="DV57" s="104"/>
      <c r="DW57" s="102"/>
      <c r="DX57" s="1"/>
      <c r="DY57" s="104"/>
      <c r="DZ57" s="102"/>
      <c r="EA57" s="1"/>
      <c r="EB57" s="104"/>
      <c r="EC57" s="102"/>
      <c r="ED57" s="1"/>
      <c r="EE57" s="104"/>
      <c r="EF57" s="102"/>
      <c r="EG57" s="1"/>
      <c r="EH57" s="104"/>
      <c r="EI57" s="102"/>
      <c r="EJ57" s="1"/>
      <c r="EK57" s="104"/>
      <c r="EL57" s="102"/>
      <c r="EM57" s="1"/>
      <c r="EN57" s="104"/>
      <c r="EO57" s="102"/>
      <c r="EP57" s="1"/>
      <c r="EQ57" s="108"/>
      <c r="ER57" s="85">
        <f t="array" ref="ER57">IFERROR(_xlfn.LET(
_xlpm.datos,CHOOSE({1;2;3;4;5;6;7;8;9;10;11;12;13;13;14;15;16;17;18;19;20;21;22;23;23;24;25;26;27;28;29;30;31;32;33;34;35;36;37;38;39;40;41;42;43;44;45;46;47},F57,I57,L57,O57,R57,U57,X57,AA57,AD57,AG57,AJ57,AM57,AP57,AS57,AV57,AY57,BB57,BE57,BH57,BK57,BQ57,BT57,BW57,BZ57,CC57,CF57,CI57,CL57,CO57,CR57,CU57,CX57,DA57,DD57,DG57,DJ57,DM57,DP57,DS57,DV57,DY57,EB57,EE57,EH57,EK57,EN57,EQ57),
AVERAGE(_xlfn._xlws.FILTER(_xlpm.datos,(_xlpm.datos&lt;&gt;0)*(_xlpm.datos&lt;&gt;"")))
),0)</f>
        <v>0</v>
      </c>
      <c r="ES57" s="86" t="str">
        <f t="array" ref="ES57">_xlfn.IFS(ER57&gt;=91.5%,"MENSUAL",ER57&gt;=75%,"QUINCENAL",ER57&lt;75%,"SEMANAL")</f>
        <v>SEMANAL</v>
      </c>
    </row>
    <row r="58" ht="22" customHeight="1" spans="2:149" x14ac:dyDescent="0.25">
      <c r="B58" s="115" t="s">
        <v>133</v>
      </c>
      <c r="C58" s="150"/>
      <c r="D58" s="151"/>
      <c r="E58" s="152">
        <v>5</v>
      </c>
      <c r="F58" s="153">
        <f t="shared" ref="F58" si="526">D58/E58</f>
        <v>0</v>
      </c>
      <c r="G58" s="151"/>
      <c r="H58" s="152">
        <v>5</v>
      </c>
      <c r="I58" s="153">
        <f t="shared" ref="I58" si="527">G58/H58</f>
        <v>0</v>
      </c>
      <c r="J58" s="154"/>
      <c r="K58" s="152">
        <v>5</v>
      </c>
      <c r="L58" s="153">
        <f t="shared" ref="L58" si="528">J58/K58</f>
        <v>0</v>
      </c>
      <c r="M58" s="154"/>
      <c r="N58" s="152">
        <v>5</v>
      </c>
      <c r="O58" s="153">
        <f t="shared" ref="O58" si="529">M58/N58</f>
        <v>0</v>
      </c>
      <c r="P58" s="155"/>
      <c r="Q58" s="156">
        <v>5</v>
      </c>
      <c r="R58" s="153">
        <f t="shared" ref="R58" si="530">P58/Q58</f>
        <v>0</v>
      </c>
      <c r="S58" s="151"/>
      <c r="T58" s="156">
        <v>5</v>
      </c>
      <c r="U58" s="153">
        <f t="shared" ref="U58" si="531">S58/T58</f>
        <v>0</v>
      </c>
      <c r="V58" s="151"/>
      <c r="W58" s="156">
        <v>5</v>
      </c>
      <c r="X58" s="153">
        <f t="shared" ref="X58" si="532">V58/W58</f>
        <v>0</v>
      </c>
      <c r="Y58" s="151"/>
      <c r="Z58" s="156">
        <v>5</v>
      </c>
      <c r="AA58" s="153">
        <f t="shared" ref="AA58" si="533">Y58/Z58</f>
        <v>0</v>
      </c>
      <c r="AB58" s="155"/>
      <c r="AC58" s="156">
        <v>5</v>
      </c>
      <c r="AD58" s="153">
        <f t="shared" ref="AD58" si="534">AB58/AC58</f>
        <v>0</v>
      </c>
      <c r="AE58" s="155"/>
      <c r="AF58" s="156">
        <v>5</v>
      </c>
      <c r="AG58" s="153">
        <f t="shared" ref="AG58" si="535">AE58/AF58</f>
        <v>0</v>
      </c>
      <c r="AH58" s="155"/>
      <c r="AI58" s="156">
        <v>5</v>
      </c>
      <c r="AJ58" s="153">
        <f t="shared" ref="AJ58" si="536">AH58/AI58</f>
        <v>0</v>
      </c>
      <c r="AK58" s="155"/>
      <c r="AL58" s="156">
        <v>5</v>
      </c>
      <c r="AM58" s="153">
        <f t="shared" ref="AM58" si="537">AK58/AL58</f>
        <v>0</v>
      </c>
      <c r="AN58" s="151"/>
      <c r="AO58" s="157">
        <v>5</v>
      </c>
      <c r="AP58" s="153">
        <f t="shared" ref="AP58" si="538">AN58/AO58</f>
        <v>0</v>
      </c>
      <c r="AQ58" s="151"/>
      <c r="AR58" s="157">
        <v>5</v>
      </c>
      <c r="AS58" s="153">
        <f t="shared" ref="AS58" si="539">AQ58/AR58</f>
        <v>0</v>
      </c>
      <c r="AT58" s="151"/>
      <c r="AU58" s="157">
        <v>5</v>
      </c>
      <c r="AV58" s="153">
        <f t="shared" ref="AV58" si="540">AT58/AU58</f>
        <v>0</v>
      </c>
      <c r="AW58" s="151"/>
      <c r="AX58" s="157">
        <v>5</v>
      </c>
      <c r="AY58" s="153">
        <f t="shared" ref="AY58" si="541">AW58/AX58</f>
        <v>0</v>
      </c>
      <c r="AZ58" s="151"/>
      <c r="BA58" s="157">
        <v>5</v>
      </c>
      <c r="BB58" s="153">
        <f t="shared" ref="BB58" si="542">AZ58/BA58</f>
        <v>0</v>
      </c>
      <c r="BC58" s="151"/>
      <c r="BD58" s="157">
        <v>5</v>
      </c>
      <c r="BE58" s="153">
        <f t="shared" ref="BE58" si="543">BC58/BD58</f>
        <v>0</v>
      </c>
      <c r="BF58" s="151"/>
      <c r="BG58" s="157">
        <v>5</v>
      </c>
      <c r="BH58" s="153">
        <f t="shared" ref="BH58" si="544">BF58/BG58</f>
        <v>0</v>
      </c>
      <c r="BI58" s="151"/>
      <c r="BJ58" s="157">
        <v>5</v>
      </c>
      <c r="BK58" s="153">
        <f t="shared" ref="BK58" si="545">BI58/BJ58</f>
        <v>0</v>
      </c>
      <c r="BL58" s="151"/>
      <c r="BM58" s="157">
        <v>5</v>
      </c>
      <c r="BN58" s="153">
        <f t="shared" ref="BN58" si="546">BL58/BM58</f>
        <v>0</v>
      </c>
      <c r="BO58" s="151"/>
      <c r="BP58" s="157">
        <v>5</v>
      </c>
      <c r="BQ58" s="153">
        <f t="shared" ref="BQ58" si="547">BO58/BP58</f>
        <v>0</v>
      </c>
      <c r="BR58" s="151"/>
      <c r="BS58" s="157">
        <v>5</v>
      </c>
      <c r="BT58" s="153">
        <f t="shared" ref="BT58" si="548">BR58/BS58</f>
        <v>0</v>
      </c>
      <c r="BU58" s="151"/>
      <c r="BV58" s="157">
        <v>5</v>
      </c>
      <c r="BW58" s="153">
        <f t="shared" ref="BW58" si="549">BU58/BV58</f>
        <v>0</v>
      </c>
      <c r="BX58" s="151"/>
      <c r="BY58" s="157">
        <v>5</v>
      </c>
      <c r="BZ58" s="153">
        <f t="shared" ref="BZ58" si="550">BX58/BY58</f>
        <v>0</v>
      </c>
      <c r="CA58" s="151"/>
      <c r="CB58" s="157">
        <v>5</v>
      </c>
      <c r="CC58" s="153">
        <f t="shared" ref="CC58" si="551">CA58/CB58</f>
        <v>0</v>
      </c>
      <c r="CD58" s="151"/>
      <c r="CE58" s="157">
        <v>5</v>
      </c>
      <c r="CF58" s="153">
        <f t="shared" ref="CF58" si="552">CD58/CE58</f>
        <v>0</v>
      </c>
      <c r="CG58" s="151"/>
      <c r="CH58" s="157">
        <v>5</v>
      </c>
      <c r="CI58" s="153">
        <f t="shared" ref="CI58" si="553">CG58/CH58</f>
        <v>0</v>
      </c>
      <c r="CJ58" s="151"/>
      <c r="CK58" s="157">
        <v>5</v>
      </c>
      <c r="CL58" s="153">
        <f t="shared" ref="CL58" si="554">CJ58/CK58</f>
        <v>0</v>
      </c>
      <c r="CM58" s="151"/>
      <c r="CN58" s="157">
        <v>5</v>
      </c>
      <c r="CO58" s="153">
        <f t="shared" ref="CO58" si="555">CM58/CN58</f>
        <v>0</v>
      </c>
      <c r="CP58" s="151"/>
      <c r="CQ58" s="157">
        <v>5</v>
      </c>
      <c r="CR58" s="153">
        <f t="shared" ref="CR58" si="556">CP58/CQ58</f>
        <v>0</v>
      </c>
      <c r="CS58" s="151"/>
      <c r="CT58" s="157">
        <v>5</v>
      </c>
      <c r="CU58" s="153">
        <f t="shared" ref="CU58" si="557">CS58/CT58</f>
        <v>0</v>
      </c>
      <c r="CV58" s="151"/>
      <c r="CW58" s="157">
        <v>5</v>
      </c>
      <c r="CX58" s="153">
        <f t="shared" ref="CX58" si="558">CV58/CW58</f>
        <v>0</v>
      </c>
      <c r="CY58" s="151"/>
      <c r="CZ58" s="157">
        <v>5</v>
      </c>
      <c r="DA58" s="153">
        <f t="shared" ref="DA58" si="559">CY58/CZ58</f>
        <v>0</v>
      </c>
      <c r="DB58" s="151"/>
      <c r="DC58" s="157">
        <v>5</v>
      </c>
      <c r="DD58" s="153">
        <f t="shared" ref="DD58" si="560">DB58/DC58</f>
        <v>0</v>
      </c>
      <c r="DE58" s="151"/>
      <c r="DF58" s="157">
        <v>5</v>
      </c>
      <c r="DG58" s="153">
        <f t="shared" ref="DG58" si="561">DE58/DF58</f>
        <v>0</v>
      </c>
      <c r="DH58" s="151"/>
      <c r="DI58" s="157">
        <v>5</v>
      </c>
      <c r="DJ58" s="153">
        <f t="shared" ref="DJ58" si="562">DH58/DI58</f>
        <v>0</v>
      </c>
      <c r="DK58" s="151"/>
      <c r="DL58" s="157">
        <v>5</v>
      </c>
      <c r="DM58" s="153">
        <f t="shared" ref="DM58" si="563">DK58/DL58</f>
        <v>0</v>
      </c>
      <c r="DN58" s="151"/>
      <c r="DO58" s="157">
        <v>5</v>
      </c>
      <c r="DP58" s="153">
        <f t="shared" ref="DP58" si="564">DN58/DO58</f>
        <v>0</v>
      </c>
      <c r="DQ58" s="151"/>
      <c r="DR58" s="157">
        <v>5</v>
      </c>
      <c r="DS58" s="153">
        <f t="shared" ref="DS58" si="565">DQ58/DR58</f>
        <v>0</v>
      </c>
      <c r="DT58" s="151"/>
      <c r="DU58" s="157">
        <v>5</v>
      </c>
      <c r="DV58" s="153">
        <f t="shared" ref="DV58" si="566">DT58/DU58</f>
        <v>0</v>
      </c>
      <c r="DW58" s="151"/>
      <c r="DX58" s="157">
        <v>5</v>
      </c>
      <c r="DY58" s="153">
        <f t="shared" ref="DY58" si="567">DW58/DX58</f>
        <v>0</v>
      </c>
      <c r="DZ58" s="151"/>
      <c r="EA58" s="157">
        <v>5</v>
      </c>
      <c r="EB58" s="153">
        <f t="shared" ref="EB58" si="568">DZ58/EA58</f>
        <v>0</v>
      </c>
      <c r="EC58" s="151"/>
      <c r="ED58" s="157">
        <v>5</v>
      </c>
      <c r="EE58" s="153">
        <f t="shared" ref="EE58" si="569">EC58/ED58</f>
        <v>0</v>
      </c>
      <c r="EF58" s="151"/>
      <c r="EG58" s="157">
        <v>5</v>
      </c>
      <c r="EH58" s="153">
        <f t="shared" ref="EH58" si="570">EF58/EG58</f>
        <v>0</v>
      </c>
      <c r="EI58" s="151"/>
      <c r="EJ58" s="157">
        <v>5</v>
      </c>
      <c r="EK58" s="153">
        <f t="shared" ref="EK58" si="571">EI58/EJ58</f>
        <v>0</v>
      </c>
      <c r="EL58" s="151"/>
      <c r="EM58" s="157">
        <v>5</v>
      </c>
      <c r="EN58" s="153">
        <f t="shared" ref="EN58" si="572">EL58/EM58</f>
        <v>0</v>
      </c>
      <c r="EO58" s="151"/>
      <c r="EP58" s="157">
        <v>5</v>
      </c>
      <c r="EQ58" s="158">
        <f t="shared" si="525"/>
        <v>0</v>
      </c>
      <c r="ER58" s="85">
        <f t="array" ref="ER58">IFERROR(_xlfn.LET(
_xlpm.datos,CHOOSE({1;2;3;4;5;6;7;8;9;10;11;12;13;13;14;15;16;17;18;19;20;21;22;23;23;24;25;26;27;28;29;30;31;32;33;34;35;36;37;38;39;40;41;42;43;44;45;46;47},F58,I58,L58,O58,R58,U58,X58,AA58,AD58,AG58,AJ58,AM58,AP58,AS58,AV58,AY58,BB58,BE58,BH58,BK58,BQ58,BT58,BW58,BZ58,CC58,CF58,CI58,CL58,CO58,CR58,CU58,CX58,DA58,DD58,DG58,DJ58,DM58,DP58,DS58,DV58,DY58,EB58,EE58,EH58,EK58,EN58,EQ58),
AVERAGE(_xlfn._xlws.FILTER(_xlpm.datos,(_xlpm.datos&lt;&gt;0)*(_xlpm.datos&lt;&gt;"")))
),0)</f>
        <v>0</v>
      </c>
      <c r="ES58" s="86" t="str">
        <f t="array" ref="ES58">_xlfn.IFS(ER58&gt;=91.5%,"MENSUAL",ER58&gt;=75%,"QUINCENAL",ER58&lt;75%,"SEMANAL")</f>
        <v>SEMANAL</v>
      </c>
    </row>
    <row r="59" spans="46:101" x14ac:dyDescent="0.25">
      <c r="AT59" s="159"/>
      <c r="AU59" s="159"/>
      <c r="BO59" s="12"/>
      <c r="CK59" s="12"/>
      <c r="CQ59" s="12"/>
      <c r="CT59" s="12"/>
      <c r="CW59" s="12"/>
    </row>
    <row r="60" spans="67:101" x14ac:dyDescent="0.25">
      <c r="BO60" s="12"/>
      <c r="CK60" s="12"/>
      <c r="CQ60" s="12"/>
      <c r="CT60" s="12"/>
      <c r="CW60" s="12"/>
    </row>
    <row r="61" spans="67:101" x14ac:dyDescent="0.25">
      <c r="BO61" s="12"/>
      <c r="CK61" s="12"/>
      <c r="CQ61" s="12"/>
      <c r="CT61" s="12"/>
      <c r="CW61" s="12"/>
    </row>
    <row r="62" spans="67:101" x14ac:dyDescent="0.25">
      <c r="BO62" s="12"/>
      <c r="CK62" s="12"/>
      <c r="CQ62" s="12"/>
      <c r="CT62" s="12"/>
      <c r="CW62" s="12"/>
    </row>
    <row r="63" spans="67:101" x14ac:dyDescent="0.25">
      <c r="BO63" s="12"/>
      <c r="CK63" s="12"/>
      <c r="CQ63" s="12"/>
      <c r="CT63" s="12"/>
      <c r="CW63" s="12"/>
    </row>
    <row r="64" spans="67:101" x14ac:dyDescent="0.25">
      <c r="BO64" s="12"/>
      <c r="CK64" s="12"/>
      <c r="CQ64" s="12"/>
      <c r="CT64" s="12"/>
      <c r="CW64" s="12"/>
    </row>
    <row r="65" spans="67:101" x14ac:dyDescent="0.25">
      <c r="BO65" s="12"/>
      <c r="CK65" s="12"/>
      <c r="CQ65" s="12"/>
      <c r="CT65" s="12"/>
      <c r="CW65" s="12"/>
    </row>
    <row r="66" spans="67:101" x14ac:dyDescent="0.25">
      <c r="BO66" s="12"/>
      <c r="CK66" s="12"/>
      <c r="CQ66" s="12"/>
      <c r="CT66" s="12"/>
      <c r="CW66" s="12"/>
    </row>
    <row r="67" spans="67:101" x14ac:dyDescent="0.25">
      <c r="BO67" s="12"/>
      <c r="CK67" s="12"/>
      <c r="CQ67" s="12"/>
      <c r="CT67" s="12"/>
      <c r="CW67" s="12"/>
    </row>
    <row r="68" spans="67:101" x14ac:dyDescent="0.25">
      <c r="BO68" s="12"/>
      <c r="CK68" s="12"/>
      <c r="CQ68" s="12"/>
      <c r="CT68" s="12"/>
      <c r="CW68" s="12"/>
    </row>
    <row r="69" spans="67:101" x14ac:dyDescent="0.25">
      <c r="BO69" s="12"/>
      <c r="CK69" s="12"/>
      <c r="CQ69" s="12"/>
      <c r="CT69" s="12"/>
      <c r="CW69" s="12"/>
    </row>
    <row r="70" spans="67:101" x14ac:dyDescent="0.25">
      <c r="BO70" s="12"/>
      <c r="CK70" s="12"/>
      <c r="CQ70" s="12"/>
      <c r="CT70" s="12"/>
      <c r="CW70" s="12"/>
    </row>
    <row r="71" spans="53:101" x14ac:dyDescent="0.25">
      <c r="BA71" s="160"/>
      <c r="BO71" s="12"/>
      <c r="CK71" s="12"/>
      <c r="CQ71" s="12"/>
      <c r="CT71" s="12"/>
      <c r="CW71" s="12"/>
    </row>
    <row r="72" spans="67:101" x14ac:dyDescent="0.25">
      <c r="BO72" s="12"/>
      <c r="CK72" s="12"/>
      <c r="CQ72" s="12"/>
      <c r="CT72" s="12"/>
      <c r="CW72" s="12"/>
    </row>
    <row r="73" spans="67:101" x14ac:dyDescent="0.25">
      <c r="BO73" s="12"/>
      <c r="CK73" s="12"/>
      <c r="CQ73" s="12"/>
      <c r="CT73" s="12"/>
      <c r="CW73" s="12"/>
    </row>
    <row r="74" spans="67:101" x14ac:dyDescent="0.25">
      <c r="BO74" s="12"/>
      <c r="CK74" s="12"/>
      <c r="CT74" s="12"/>
      <c r="CW74" s="12"/>
    </row>
    <row r="75" spans="67:101" x14ac:dyDescent="0.25">
      <c r="BO75" s="12"/>
      <c r="CK75" s="12"/>
      <c r="CT75" s="12"/>
      <c r="CW75" s="12"/>
    </row>
    <row r="76" spans="67:101" x14ac:dyDescent="0.25">
      <c r="BO76" s="12"/>
      <c r="CK76" s="12"/>
      <c r="CT76" s="12"/>
      <c r="CW76" s="12"/>
    </row>
    <row r="77" spans="67:101" x14ac:dyDescent="0.25">
      <c r="BO77" s="12"/>
      <c r="CK77" s="12"/>
      <c r="CW77" s="12"/>
    </row>
    <row r="78" spans="67:89" x14ac:dyDescent="0.25">
      <c r="BO78" s="12"/>
      <c r="CK78" s="12"/>
    </row>
    <row r="79" spans="67:67" x14ac:dyDescent="0.25">
      <c r="BO79" s="12"/>
    </row>
  </sheetData>
  <mergeCells count="50">
    <mergeCell ref="D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AW6:AY6"/>
    <mergeCell ref="AZ6:BB6"/>
    <mergeCell ref="BC6:BE6"/>
    <mergeCell ref="BF6:BH6"/>
    <mergeCell ref="BI6:BK6"/>
    <mergeCell ref="BL6:BN6"/>
    <mergeCell ref="BO6:BQ6"/>
    <mergeCell ref="BR6:BT6"/>
    <mergeCell ref="BU6:BW6"/>
    <mergeCell ref="BX6:BZ6"/>
    <mergeCell ref="CA6:CC6"/>
    <mergeCell ref="CD6:CF6"/>
    <mergeCell ref="CG6:CI6"/>
    <mergeCell ref="CJ6:CL6"/>
    <mergeCell ref="CM6:CO6"/>
    <mergeCell ref="CP6:CR6"/>
    <mergeCell ref="CS6:CU6"/>
    <mergeCell ref="CV6:CX6"/>
    <mergeCell ref="CY6:DA6"/>
    <mergeCell ref="DB6:DD6"/>
    <mergeCell ref="DE6:DG6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EO6:EQ6"/>
    <mergeCell ref="ER6:ER7"/>
    <mergeCell ref="ES6:ES7"/>
  </mergeCells>
  <conditionalFormatting sqref="ES8:ES58">
    <cfRule type="containsText" dxfId="0" priority="1">
      <formula>NOT(ISERROR(SEARCH("QUINCENAL",ES8)))</formula>
    </cfRule>
    <cfRule type="containsText" dxfId="1" priority="2">
      <formula>NOT(ISERROR(SEARCH("MENSUAL",ES8)))</formula>
    </cfRule>
    <cfRule type="containsText" dxfId="2" priority="3">
      <formula>NOT(ISERROR(SEARCH("QUINCENAL",ES8)))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3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AJY707"/>
  <sheetViews>
    <sheetView workbookViewId="0" zoomScale="80" zoomScaleNormal="80">
      <pane xSplit="2" topLeftCell="EN1" activePane="topRight" state="frozen"/>
      <selection pane="topRight" activeCell="D27" sqref="D27"/>
    </sheetView>
  </sheetViews>
  <sheetFormatPr defaultRowHeight="12.5" outlineLevelRow="0" outlineLevelCol="0" x14ac:dyDescent="0.25" defaultColWidth="11.453125" customHeight="1"/>
  <cols>
    <col min="1" max="1" width="4" style="201" customWidth="1"/>
    <col min="2" max="2" width="46.90625" style="201" customWidth="1"/>
    <col min="3" max="3" width="9" style="201" customWidth="1"/>
    <col min="4" max="4" width="10.90625" style="201" customWidth="1"/>
    <col min="5" max="6" width="9.90625" style="201" customWidth="1"/>
    <col min="7" max="7" width="10.90625" style="201" customWidth="1"/>
    <col min="8" max="9" width="9.90625" style="201" customWidth="1"/>
    <col min="10" max="10" width="10.90625" style="201" customWidth="1"/>
    <col min="11" max="12" width="9.90625" style="201" customWidth="1"/>
    <col min="13" max="13" width="10.90625" style="201" customWidth="1"/>
    <col min="14" max="15" width="9.90625" style="201" customWidth="1"/>
    <col min="16" max="16" width="10.90625" style="201" customWidth="1"/>
    <col min="17" max="18" width="9.90625" style="201" customWidth="1"/>
    <col min="19" max="19" width="10.90625" style="201" customWidth="1"/>
    <col min="20" max="21" width="9.90625" style="201" customWidth="1"/>
    <col min="22" max="22" width="10.90625" style="201" customWidth="1"/>
    <col min="23" max="24" width="9.90625" style="201" customWidth="1"/>
    <col min="25" max="25" width="10.90625" style="201" customWidth="1"/>
    <col min="26" max="27" width="9.90625" style="201" customWidth="1"/>
    <col min="28" max="28" width="10.90625" style="201" customWidth="1"/>
    <col min="29" max="30" width="9.90625" style="201" customWidth="1"/>
    <col min="31" max="31" width="10.90625" style="201" customWidth="1"/>
    <col min="32" max="33" width="9.90625" style="201" customWidth="1"/>
    <col min="34" max="34" width="10.90625" style="201" customWidth="1"/>
    <col min="35" max="36" width="9.90625" style="201" customWidth="1"/>
    <col min="37" max="37" width="10.90625" style="201" customWidth="1"/>
    <col min="38" max="39" width="9.90625" style="201" customWidth="1"/>
    <col min="40" max="40" width="10.36328125" style="201" customWidth="1"/>
    <col min="41" max="41" width="10.90625" style="202" customWidth="1"/>
    <col min="42" max="64" width="9.90625" style="201" customWidth="1"/>
    <col min="65" max="65" width="9.90625" style="203" customWidth="1"/>
    <col min="66" max="101" width="9.90625" style="201" customWidth="1"/>
    <col min="102" max="102" width="13.54296875" style="201" customWidth="1"/>
    <col min="103" max="103" width="11.453125" style="201" customWidth="1"/>
    <col min="104" max="109" width="9.90625" style="201" customWidth="1"/>
    <col min="110" max="110" width="13.54296875" style="201" customWidth="1"/>
    <col min="111" max="111" width="11.453125" style="201" customWidth="1"/>
    <col min="112" max="147" width="9.90625" style="201" customWidth="1"/>
    <col min="148" max="148" width="13.1796875" style="201" customWidth="1"/>
    <col min="149" max="149" width="21" style="201" customWidth="1"/>
    <col min="150" max="150" width="9.90625" style="201" customWidth="1"/>
    <col min="151" max="153" width="11.453125" style="201" customWidth="1"/>
    <col min="154" max="154" width="22.26953125" style="201" customWidth="1"/>
    <col min="155" max="16384" width="11.453125" style="201" customWidth="1"/>
  </cols>
  <sheetData>
    <row r="1" ht="16" customHeight="1" spans="2:65" x14ac:dyDescent="0.25">
      <c r="B1" s="13" t="s">
        <v>8</v>
      </c>
      <c r="BM1" s="201"/>
    </row>
    <row r="2" ht="16" customHeight="1" spans="2:150" x14ac:dyDescent="0.25">
      <c r="B2" s="14" t="s">
        <v>24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6"/>
      <c r="BK2" s="16"/>
      <c r="BL2" s="16"/>
      <c r="BM2" s="16"/>
      <c r="BN2" s="16"/>
      <c r="BO2" s="16"/>
      <c r="BP2" s="16"/>
      <c r="BQ2" s="16"/>
      <c r="BR2" s="16"/>
      <c r="BS2" s="16"/>
      <c r="BT2" s="16"/>
      <c r="BU2" s="16"/>
      <c r="BV2" s="16"/>
      <c r="BW2" s="16"/>
      <c r="BX2" s="16"/>
      <c r="BY2" s="16"/>
      <c r="BZ2" s="16"/>
      <c r="CA2" s="16"/>
      <c r="CB2" s="16"/>
      <c r="CC2" s="16"/>
      <c r="CD2" s="16"/>
      <c r="CE2" s="16"/>
      <c r="CF2" s="16"/>
      <c r="CG2" s="16"/>
      <c r="CH2" s="16"/>
      <c r="CI2" s="16"/>
      <c r="CJ2" s="16"/>
      <c r="CK2" s="16"/>
      <c r="CL2" s="16"/>
      <c r="CM2" s="16"/>
      <c r="CN2" s="16"/>
      <c r="CO2" s="16"/>
      <c r="CP2" s="16"/>
      <c r="CQ2" s="16"/>
      <c r="CR2" s="16"/>
      <c r="CS2" s="16"/>
      <c r="CT2" s="16"/>
      <c r="CU2" s="16"/>
      <c r="CV2" s="16"/>
      <c r="CW2" s="16"/>
      <c r="CX2" s="16"/>
      <c r="CY2" s="16"/>
      <c r="CZ2" s="16"/>
      <c r="DA2" s="16"/>
      <c r="DB2" s="16"/>
      <c r="DC2" s="16"/>
      <c r="DD2" s="16"/>
      <c r="DE2" s="16"/>
      <c r="DF2" s="16"/>
      <c r="DG2" s="204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  <c r="ES2" s="19"/>
      <c r="ET2" s="19"/>
    </row>
    <row r="3" ht="16" customHeight="1" spans="2:150" x14ac:dyDescent="0.25">
      <c r="B3" s="20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K3" s="22"/>
      <c r="BL3" s="22"/>
      <c r="BM3" s="22"/>
      <c r="BN3" s="22"/>
      <c r="BO3" s="22"/>
      <c r="BP3" s="22"/>
      <c r="BQ3" s="22"/>
      <c r="BR3" s="22"/>
      <c r="BS3" s="22"/>
      <c r="BT3" s="22"/>
      <c r="BU3" s="22"/>
      <c r="BV3" s="22"/>
      <c r="BW3" s="22"/>
      <c r="BX3" s="22"/>
      <c r="BY3" s="22"/>
      <c r="BZ3" s="22"/>
      <c r="CA3" s="22"/>
      <c r="CB3" s="22"/>
      <c r="CC3" s="22"/>
      <c r="CD3" s="22"/>
      <c r="CE3" s="22"/>
      <c r="CF3" s="22"/>
      <c r="CG3" s="22"/>
      <c r="CH3" s="22"/>
      <c r="CI3" s="22"/>
      <c r="CJ3" s="22"/>
      <c r="CK3" s="22"/>
      <c r="CL3" s="22"/>
      <c r="CM3" s="22"/>
      <c r="CN3" s="22"/>
      <c r="CO3" s="22"/>
      <c r="CP3" s="22"/>
      <c r="CQ3" s="22"/>
      <c r="CR3" s="22"/>
      <c r="CS3" s="22"/>
      <c r="CT3" s="22"/>
      <c r="CU3" s="22"/>
      <c r="CV3" s="22"/>
      <c r="CW3" s="22"/>
      <c r="CX3" s="22"/>
      <c r="CY3" s="22"/>
      <c r="CZ3" s="22"/>
      <c r="DA3" s="22"/>
      <c r="DB3" s="22"/>
      <c r="DC3" s="22"/>
      <c r="DD3" s="22"/>
      <c r="DE3" s="22"/>
      <c r="DF3" s="22"/>
      <c r="DG3" s="205"/>
      <c r="DH3" s="25"/>
      <c r="DI3" s="25"/>
      <c r="DJ3" s="25"/>
      <c r="DK3" s="25"/>
      <c r="DL3" s="25"/>
      <c r="DM3" s="25"/>
      <c r="DN3" s="25"/>
      <c r="DO3" s="25"/>
      <c r="DP3" s="25"/>
      <c r="DQ3" s="25"/>
      <c r="DR3" s="25"/>
      <c r="DS3" s="25"/>
      <c r="DT3" s="25"/>
      <c r="DU3" s="25"/>
      <c r="DV3" s="25"/>
      <c r="DW3" s="25"/>
      <c r="DX3" s="25"/>
      <c r="DY3" s="25"/>
      <c r="DZ3" s="25"/>
      <c r="EA3" s="25"/>
      <c r="EB3" s="25"/>
      <c r="EC3" s="25"/>
      <c r="ED3" s="25"/>
      <c r="EE3" s="25"/>
      <c r="EF3" s="25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  <c r="ES3" s="25"/>
      <c r="ET3" s="25"/>
    </row>
    <row r="4" ht="16" customHeight="1" spans="2:150" x14ac:dyDescent="0.25">
      <c r="B4" s="20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5"/>
      <c r="DI4" s="25"/>
      <c r="DJ4" s="25"/>
      <c r="DK4" s="25"/>
      <c r="DL4" s="25"/>
      <c r="DM4" s="25"/>
      <c r="DN4" s="25"/>
      <c r="DO4" s="25"/>
      <c r="DP4" s="25"/>
      <c r="DQ4" s="25"/>
      <c r="DR4" s="25"/>
      <c r="DS4" s="25"/>
      <c r="DT4" s="25"/>
      <c r="DU4" s="25"/>
      <c r="DV4" s="25"/>
      <c r="DW4" s="25"/>
      <c r="DX4" s="25"/>
      <c r="DY4" s="25"/>
      <c r="DZ4" s="25"/>
      <c r="EA4" s="25"/>
      <c r="EB4" s="25"/>
      <c r="EC4" s="25"/>
      <c r="ED4" s="25"/>
      <c r="EE4" s="25"/>
      <c r="EF4" s="25"/>
      <c r="EG4" s="25"/>
      <c r="EH4" s="25"/>
      <c r="EI4" s="25"/>
      <c r="EJ4" s="25"/>
      <c r="EK4" s="25"/>
      <c r="EL4" s="25"/>
      <c r="EM4" s="25"/>
      <c r="EN4" s="25"/>
      <c r="EO4" s="25"/>
      <c r="EP4" s="25"/>
      <c r="EQ4" s="25"/>
      <c r="ER4" s="25"/>
      <c r="ES4" s="25"/>
      <c r="ET4" s="25"/>
    </row>
    <row r="5" ht="16" customHeight="1" spans="2:150" x14ac:dyDescent="0.25">
      <c r="B5" s="26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  <c r="CA5" s="15"/>
      <c r="CB5" s="15"/>
      <c r="CC5" s="15"/>
      <c r="CD5" s="15"/>
      <c r="CE5" s="15"/>
      <c r="CF5" s="15"/>
      <c r="CG5" s="15"/>
      <c r="CH5" s="15"/>
      <c r="CI5" s="15"/>
      <c r="CJ5" s="15"/>
      <c r="CK5" s="15"/>
      <c r="CL5" s="15"/>
      <c r="CM5" s="15"/>
      <c r="CN5" s="15"/>
      <c r="CO5" s="15"/>
      <c r="CP5" s="15"/>
      <c r="CQ5" s="15"/>
      <c r="CR5" s="15"/>
      <c r="CS5" s="15"/>
      <c r="CT5" s="15"/>
      <c r="CU5" s="15"/>
      <c r="CV5" s="15"/>
      <c r="CW5" s="15"/>
      <c r="CX5" s="15"/>
      <c r="CY5" s="15"/>
      <c r="CZ5" s="15"/>
      <c r="DA5" s="15"/>
      <c r="DB5" s="15"/>
      <c r="DC5" s="15"/>
      <c r="DD5" s="15"/>
      <c r="DE5" s="15"/>
      <c r="DF5" s="15"/>
      <c r="DG5" s="15"/>
      <c r="DH5" s="15"/>
      <c r="DI5" s="15"/>
      <c r="DJ5" s="15"/>
      <c r="DK5" s="15"/>
      <c r="DL5" s="15"/>
      <c r="DM5" s="15"/>
      <c r="DN5" s="15"/>
      <c r="DO5" s="15"/>
      <c r="DP5" s="15"/>
      <c r="DQ5" s="15"/>
      <c r="DR5" s="15"/>
      <c r="DS5" s="15"/>
      <c r="DT5" s="15"/>
      <c r="DU5" s="15"/>
      <c r="DV5" s="15"/>
      <c r="DW5" s="15"/>
      <c r="DX5" s="15"/>
      <c r="DY5" s="15"/>
      <c r="DZ5" s="15"/>
      <c r="EA5" s="15"/>
      <c r="EB5" s="15"/>
      <c r="EC5" s="15"/>
      <c r="ED5" s="15"/>
      <c r="EE5" s="15"/>
      <c r="EF5" s="15"/>
      <c r="EG5" s="15"/>
      <c r="EH5" s="15"/>
      <c r="EI5" s="15"/>
      <c r="EJ5" s="15"/>
      <c r="EK5" s="15"/>
      <c r="EL5" s="15"/>
      <c r="EM5" s="15"/>
      <c r="EN5" s="15"/>
      <c r="EO5" s="15"/>
      <c r="EP5" s="15"/>
      <c r="EQ5" s="15"/>
      <c r="ER5" s="19"/>
      <c r="ES5" s="19"/>
      <c r="ET5" s="19"/>
    </row>
    <row r="6" ht="17.25" customHeight="1" spans="3:154" x14ac:dyDescent="0.25">
      <c r="C6" s="206"/>
      <c r="D6" s="33" t="s">
        <v>2</v>
      </c>
      <c r="E6" s="34"/>
      <c r="F6" s="35"/>
      <c r="G6" s="33" t="s">
        <v>25</v>
      </c>
      <c r="H6" s="34"/>
      <c r="I6" s="35"/>
      <c r="J6" s="33" t="s">
        <v>26</v>
      </c>
      <c r="K6" s="34"/>
      <c r="L6" s="35"/>
      <c r="M6" s="33" t="s">
        <v>27</v>
      </c>
      <c r="N6" s="34"/>
      <c r="O6" s="35"/>
      <c r="P6" s="36" t="s">
        <v>28</v>
      </c>
      <c r="Q6" s="37"/>
      <c r="R6" s="38"/>
      <c r="S6" s="36" t="s">
        <v>29</v>
      </c>
      <c r="T6" s="37"/>
      <c r="U6" s="38"/>
      <c r="V6" s="36" t="s">
        <v>30</v>
      </c>
      <c r="W6" s="37"/>
      <c r="X6" s="38"/>
      <c r="Y6" s="36" t="s">
        <v>31</v>
      </c>
      <c r="Z6" s="37"/>
      <c r="AA6" s="38"/>
      <c r="AB6" s="39" t="s">
        <v>32</v>
      </c>
      <c r="AC6" s="40"/>
      <c r="AD6" s="41"/>
      <c r="AE6" s="39" t="s">
        <v>33</v>
      </c>
      <c r="AF6" s="40"/>
      <c r="AG6" s="41"/>
      <c r="AH6" s="39" t="s">
        <v>34</v>
      </c>
      <c r="AI6" s="40"/>
      <c r="AJ6" s="41"/>
      <c r="AK6" s="39" t="s">
        <v>35</v>
      </c>
      <c r="AL6" s="40"/>
      <c r="AM6" s="41"/>
      <c r="AN6" s="42" t="s">
        <v>36</v>
      </c>
      <c r="AO6" s="43"/>
      <c r="AP6" s="44"/>
      <c r="AQ6" s="42" t="s">
        <v>37</v>
      </c>
      <c r="AR6" s="43"/>
      <c r="AS6" s="44"/>
      <c r="AT6" s="42" t="s">
        <v>38</v>
      </c>
      <c r="AU6" s="43"/>
      <c r="AV6" s="44"/>
      <c r="AW6" s="42" t="s">
        <v>39</v>
      </c>
      <c r="AX6" s="43"/>
      <c r="AY6" s="44"/>
      <c r="AZ6" s="45" t="s">
        <v>40</v>
      </c>
      <c r="BA6" s="46"/>
      <c r="BB6" s="47"/>
      <c r="BC6" s="45" t="s">
        <v>41</v>
      </c>
      <c r="BD6" s="46"/>
      <c r="BE6" s="47"/>
      <c r="BF6" s="45" t="s">
        <v>42</v>
      </c>
      <c r="BG6" s="46"/>
      <c r="BH6" s="47"/>
      <c r="BI6" s="45" t="s">
        <v>43</v>
      </c>
      <c r="BJ6" s="46"/>
      <c r="BK6" s="47"/>
      <c r="BL6" s="48" t="s">
        <v>44</v>
      </c>
      <c r="BM6" s="49"/>
      <c r="BN6" s="50"/>
      <c r="BO6" s="48" t="s">
        <v>45</v>
      </c>
      <c r="BP6" s="49"/>
      <c r="BQ6" s="50"/>
      <c r="BR6" s="48" t="s">
        <v>46</v>
      </c>
      <c r="BS6" s="49"/>
      <c r="BT6" s="50"/>
      <c r="BU6" s="48" t="s">
        <v>47</v>
      </c>
      <c r="BV6" s="49"/>
      <c r="BW6" s="50"/>
      <c r="BX6" s="45" t="s">
        <v>48</v>
      </c>
      <c r="BY6" s="46"/>
      <c r="BZ6" s="47"/>
      <c r="CA6" s="45" t="s">
        <v>49</v>
      </c>
      <c r="CB6" s="46"/>
      <c r="CC6" s="47"/>
      <c r="CD6" s="45" t="s">
        <v>50</v>
      </c>
      <c r="CE6" s="46"/>
      <c r="CF6" s="47"/>
      <c r="CG6" s="45" t="s">
        <v>51</v>
      </c>
      <c r="CH6" s="46"/>
      <c r="CI6" s="47"/>
      <c r="CJ6" s="51" t="s">
        <v>52</v>
      </c>
      <c r="CK6" s="52"/>
      <c r="CL6" s="53"/>
      <c r="CM6" s="51" t="s">
        <v>53</v>
      </c>
      <c r="CN6" s="52"/>
      <c r="CO6" s="53"/>
      <c r="CP6" s="51" t="s">
        <v>54</v>
      </c>
      <c r="CQ6" s="52"/>
      <c r="CR6" s="53"/>
      <c r="CS6" s="51" t="s">
        <v>55</v>
      </c>
      <c r="CT6" s="52"/>
      <c r="CU6" s="53"/>
      <c r="CV6" s="54" t="s">
        <v>56</v>
      </c>
      <c r="CW6" s="55"/>
      <c r="CX6" s="56"/>
      <c r="CY6" s="54" t="s">
        <v>57</v>
      </c>
      <c r="CZ6" s="55"/>
      <c r="DA6" s="56"/>
      <c r="DB6" s="54" t="s">
        <v>58</v>
      </c>
      <c r="DC6" s="55"/>
      <c r="DD6" s="56"/>
      <c r="DE6" s="54" t="s">
        <v>59</v>
      </c>
      <c r="DF6" s="55"/>
      <c r="DG6" s="56"/>
      <c r="DH6" s="207" t="s">
        <v>60</v>
      </c>
      <c r="DI6" s="208"/>
      <c r="DJ6" s="209"/>
      <c r="DK6" s="207" t="s">
        <v>61</v>
      </c>
      <c r="DL6" s="208"/>
      <c r="DM6" s="209"/>
      <c r="DN6" s="207" t="s">
        <v>62</v>
      </c>
      <c r="DO6" s="208"/>
      <c r="DP6" s="209"/>
      <c r="DQ6" s="207" t="s">
        <v>63</v>
      </c>
      <c r="DR6" s="208"/>
      <c r="DS6" s="209"/>
      <c r="DT6" s="60" t="s">
        <v>64</v>
      </c>
      <c r="DU6" s="61"/>
      <c r="DV6" s="62"/>
      <c r="DW6" s="60" t="s">
        <v>65</v>
      </c>
      <c r="DX6" s="61"/>
      <c r="DY6" s="62"/>
      <c r="DZ6" s="60" t="s">
        <v>66</v>
      </c>
      <c r="EA6" s="61"/>
      <c r="EB6" s="62"/>
      <c r="EC6" s="60" t="s">
        <v>67</v>
      </c>
      <c r="ED6" s="61"/>
      <c r="EE6" s="62"/>
      <c r="EF6" s="63" t="s">
        <v>68</v>
      </c>
      <c r="EG6" s="64"/>
      <c r="EH6" s="65"/>
      <c r="EI6" s="63" t="s">
        <v>69</v>
      </c>
      <c r="EJ6" s="64"/>
      <c r="EK6" s="65"/>
      <c r="EL6" s="63" t="s">
        <v>70</v>
      </c>
      <c r="EM6" s="64"/>
      <c r="EN6" s="65"/>
      <c r="EO6" s="63" t="s">
        <v>3</v>
      </c>
      <c r="EP6" s="64"/>
      <c r="EQ6" s="65"/>
      <c r="ER6" s="210" t="s">
        <v>71</v>
      </c>
      <c r="ES6" s="211" t="s">
        <v>72</v>
      </c>
      <c r="ET6" s="212"/>
      <c r="EV6" s="213" t="s">
        <v>182</v>
      </c>
      <c r="EW6" s="213"/>
      <c r="EX6" s="213"/>
    </row>
    <row r="7" ht="15.5" customHeight="1" spans="1:219" s="214" customFormat="1" x14ac:dyDescent="0.25">
      <c r="A7" s="215"/>
      <c r="B7" s="216" t="s">
        <v>73</v>
      </c>
      <c r="C7" s="217"/>
      <c r="D7" s="70" t="s">
        <v>74</v>
      </c>
      <c r="E7" s="74" t="s">
        <v>75</v>
      </c>
      <c r="F7" s="72" t="s">
        <v>76</v>
      </c>
      <c r="G7" s="73" t="s">
        <v>74</v>
      </c>
      <c r="H7" s="74" t="s">
        <v>75</v>
      </c>
      <c r="I7" s="72" t="s">
        <v>76</v>
      </c>
      <c r="J7" s="70" t="s">
        <v>74</v>
      </c>
      <c r="K7" s="74" t="s">
        <v>75</v>
      </c>
      <c r="L7" s="72" t="s">
        <v>76</v>
      </c>
      <c r="M7" s="70" t="s">
        <v>74</v>
      </c>
      <c r="N7" s="74" t="s">
        <v>75</v>
      </c>
      <c r="O7" s="72" t="s">
        <v>76</v>
      </c>
      <c r="P7" s="70" t="s">
        <v>74</v>
      </c>
      <c r="Q7" s="74" t="s">
        <v>75</v>
      </c>
      <c r="R7" s="72" t="s">
        <v>76</v>
      </c>
      <c r="S7" s="70" t="s">
        <v>74</v>
      </c>
      <c r="T7" s="74" t="s">
        <v>75</v>
      </c>
      <c r="U7" s="72" t="s">
        <v>76</v>
      </c>
      <c r="V7" s="70" t="s">
        <v>74</v>
      </c>
      <c r="W7" s="74" t="s">
        <v>75</v>
      </c>
      <c r="X7" s="72" t="s">
        <v>76</v>
      </c>
      <c r="Y7" s="70" t="s">
        <v>74</v>
      </c>
      <c r="Z7" s="74" t="s">
        <v>75</v>
      </c>
      <c r="AA7" s="72" t="s">
        <v>76</v>
      </c>
      <c r="AB7" s="70" t="s">
        <v>74</v>
      </c>
      <c r="AC7" s="74" t="s">
        <v>75</v>
      </c>
      <c r="AD7" s="72" t="s">
        <v>76</v>
      </c>
      <c r="AE7" s="70" t="s">
        <v>74</v>
      </c>
      <c r="AF7" s="74" t="s">
        <v>75</v>
      </c>
      <c r="AG7" s="72" t="s">
        <v>76</v>
      </c>
      <c r="AH7" s="70" t="s">
        <v>74</v>
      </c>
      <c r="AI7" s="74" t="s">
        <v>75</v>
      </c>
      <c r="AJ7" s="72" t="s">
        <v>76</v>
      </c>
      <c r="AK7" s="70" t="s">
        <v>74</v>
      </c>
      <c r="AL7" s="74" t="s">
        <v>75</v>
      </c>
      <c r="AM7" s="72" t="s">
        <v>76</v>
      </c>
      <c r="AN7" s="70" t="s">
        <v>74</v>
      </c>
      <c r="AO7" s="74" t="s">
        <v>75</v>
      </c>
      <c r="AP7" s="72" t="s">
        <v>76</v>
      </c>
      <c r="AQ7" s="70" t="s">
        <v>74</v>
      </c>
      <c r="AR7" s="74" t="s">
        <v>75</v>
      </c>
      <c r="AS7" s="72" t="s">
        <v>76</v>
      </c>
      <c r="AT7" s="70" t="s">
        <v>74</v>
      </c>
      <c r="AU7" s="74" t="s">
        <v>75</v>
      </c>
      <c r="AV7" s="72" t="s">
        <v>76</v>
      </c>
      <c r="AW7" s="70" t="s">
        <v>74</v>
      </c>
      <c r="AX7" s="74" t="s">
        <v>75</v>
      </c>
      <c r="AY7" s="72" t="s">
        <v>76</v>
      </c>
      <c r="AZ7" s="70" t="s">
        <v>74</v>
      </c>
      <c r="BA7" s="74" t="s">
        <v>75</v>
      </c>
      <c r="BB7" s="72" t="s">
        <v>76</v>
      </c>
      <c r="BC7" s="70" t="s">
        <v>74</v>
      </c>
      <c r="BD7" s="74" t="s">
        <v>75</v>
      </c>
      <c r="BE7" s="72" t="s">
        <v>76</v>
      </c>
      <c r="BF7" s="70" t="s">
        <v>74</v>
      </c>
      <c r="BG7" s="74" t="s">
        <v>75</v>
      </c>
      <c r="BH7" s="72" t="s">
        <v>76</v>
      </c>
      <c r="BI7" s="73" t="s">
        <v>74</v>
      </c>
      <c r="BJ7" s="74" t="s">
        <v>75</v>
      </c>
      <c r="BK7" s="72" t="s">
        <v>76</v>
      </c>
      <c r="BL7" s="70" t="s">
        <v>74</v>
      </c>
      <c r="BM7" s="74" t="s">
        <v>75</v>
      </c>
      <c r="BN7" s="72" t="s">
        <v>76</v>
      </c>
      <c r="BO7" s="70" t="s">
        <v>74</v>
      </c>
      <c r="BP7" s="74" t="s">
        <v>75</v>
      </c>
      <c r="BQ7" s="72" t="s">
        <v>76</v>
      </c>
      <c r="BR7" s="70" t="s">
        <v>74</v>
      </c>
      <c r="BS7" s="74" t="s">
        <v>75</v>
      </c>
      <c r="BT7" s="72" t="s">
        <v>76</v>
      </c>
      <c r="BU7" s="70" t="s">
        <v>74</v>
      </c>
      <c r="BV7" s="74" t="s">
        <v>75</v>
      </c>
      <c r="BW7" s="72" t="s">
        <v>76</v>
      </c>
      <c r="BX7" s="70" t="s">
        <v>74</v>
      </c>
      <c r="BY7" s="74" t="s">
        <v>75</v>
      </c>
      <c r="BZ7" s="72" t="s">
        <v>76</v>
      </c>
      <c r="CA7" s="70" t="s">
        <v>74</v>
      </c>
      <c r="CB7" s="74" t="s">
        <v>75</v>
      </c>
      <c r="CC7" s="72" t="s">
        <v>76</v>
      </c>
      <c r="CD7" s="70" t="s">
        <v>74</v>
      </c>
      <c r="CE7" s="74" t="s">
        <v>75</v>
      </c>
      <c r="CF7" s="72" t="s">
        <v>76</v>
      </c>
      <c r="CG7" s="70" t="s">
        <v>74</v>
      </c>
      <c r="CH7" s="74" t="s">
        <v>75</v>
      </c>
      <c r="CI7" s="72" t="s">
        <v>76</v>
      </c>
      <c r="CJ7" s="70" t="s">
        <v>74</v>
      </c>
      <c r="CK7" s="74" t="s">
        <v>75</v>
      </c>
      <c r="CL7" s="72" t="s">
        <v>76</v>
      </c>
      <c r="CM7" s="70" t="s">
        <v>74</v>
      </c>
      <c r="CN7" s="74" t="s">
        <v>75</v>
      </c>
      <c r="CO7" s="72" t="s">
        <v>76</v>
      </c>
      <c r="CP7" s="70" t="s">
        <v>74</v>
      </c>
      <c r="CQ7" s="74" t="s">
        <v>75</v>
      </c>
      <c r="CR7" s="72" t="s">
        <v>76</v>
      </c>
      <c r="CS7" s="70" t="s">
        <v>74</v>
      </c>
      <c r="CT7" s="74" t="s">
        <v>75</v>
      </c>
      <c r="CU7" s="72" t="s">
        <v>76</v>
      </c>
      <c r="CV7" s="70" t="s">
        <v>74</v>
      </c>
      <c r="CW7" s="74" t="s">
        <v>75</v>
      </c>
      <c r="CX7" s="72" t="s">
        <v>76</v>
      </c>
      <c r="CY7" s="70" t="s">
        <v>74</v>
      </c>
      <c r="CZ7" s="74" t="s">
        <v>75</v>
      </c>
      <c r="DA7" s="72" t="s">
        <v>76</v>
      </c>
      <c r="DB7" s="70" t="s">
        <v>74</v>
      </c>
      <c r="DC7" s="74" t="s">
        <v>75</v>
      </c>
      <c r="DD7" s="72" t="s">
        <v>76</v>
      </c>
      <c r="DE7" s="70" t="s">
        <v>74</v>
      </c>
      <c r="DF7" s="74" t="s">
        <v>75</v>
      </c>
      <c r="DG7" s="72" t="s">
        <v>76</v>
      </c>
      <c r="DH7" s="70" t="s">
        <v>74</v>
      </c>
      <c r="DI7" s="74" t="s">
        <v>75</v>
      </c>
      <c r="DJ7" s="72" t="s">
        <v>76</v>
      </c>
      <c r="DK7" s="70" t="s">
        <v>74</v>
      </c>
      <c r="DL7" s="74" t="s">
        <v>75</v>
      </c>
      <c r="DM7" s="72" t="s">
        <v>76</v>
      </c>
      <c r="DN7" s="70" t="s">
        <v>74</v>
      </c>
      <c r="DO7" s="74" t="s">
        <v>75</v>
      </c>
      <c r="DP7" s="72" t="s">
        <v>76</v>
      </c>
      <c r="DQ7" s="70" t="s">
        <v>74</v>
      </c>
      <c r="DR7" s="74" t="s">
        <v>75</v>
      </c>
      <c r="DS7" s="72" t="s">
        <v>76</v>
      </c>
      <c r="DT7" s="70" t="s">
        <v>74</v>
      </c>
      <c r="DU7" s="74" t="s">
        <v>75</v>
      </c>
      <c r="DV7" s="72" t="s">
        <v>76</v>
      </c>
      <c r="DW7" s="70" t="s">
        <v>74</v>
      </c>
      <c r="DX7" s="74" t="s">
        <v>75</v>
      </c>
      <c r="DY7" s="72" t="s">
        <v>76</v>
      </c>
      <c r="DZ7" s="70" t="s">
        <v>74</v>
      </c>
      <c r="EA7" s="74" t="s">
        <v>75</v>
      </c>
      <c r="EB7" s="72" t="s">
        <v>76</v>
      </c>
      <c r="EC7" s="70" t="s">
        <v>74</v>
      </c>
      <c r="ED7" s="74" t="s">
        <v>75</v>
      </c>
      <c r="EE7" s="72" t="s">
        <v>76</v>
      </c>
      <c r="EF7" s="70" t="s">
        <v>74</v>
      </c>
      <c r="EG7" s="74" t="s">
        <v>75</v>
      </c>
      <c r="EH7" s="72" t="s">
        <v>76</v>
      </c>
      <c r="EI7" s="70" t="s">
        <v>74</v>
      </c>
      <c r="EJ7" s="74" t="s">
        <v>75</v>
      </c>
      <c r="EK7" s="72" t="s">
        <v>76</v>
      </c>
      <c r="EL7" s="70" t="s">
        <v>74</v>
      </c>
      <c r="EM7" s="74" t="s">
        <v>75</v>
      </c>
      <c r="EN7" s="72" t="s">
        <v>76</v>
      </c>
      <c r="EO7" s="73" t="s">
        <v>74</v>
      </c>
      <c r="EP7" s="74" t="s">
        <v>75</v>
      </c>
      <c r="EQ7" s="72" t="s">
        <v>76</v>
      </c>
      <c r="ER7" s="218"/>
      <c r="ES7" s="219"/>
      <c r="ET7" s="19"/>
      <c r="EV7" s="220">
        <v>1</v>
      </c>
      <c r="EW7" s="220" t="s">
        <v>79</v>
      </c>
      <c r="EX7" s="221" t="s">
        <v>80</v>
      </c>
      <c r="EY7" s="201"/>
      <c r="EZ7" s="201"/>
      <c r="FA7" s="201"/>
      <c r="FB7" s="201"/>
      <c r="FC7" s="201"/>
      <c r="FD7" s="201"/>
      <c r="FE7" s="201"/>
      <c r="FF7" s="201"/>
      <c r="FG7" s="201"/>
      <c r="FH7" s="201"/>
      <c r="FI7" s="201"/>
      <c r="FJ7" s="201"/>
      <c r="FK7" s="201"/>
      <c r="FL7" s="201"/>
      <c r="FM7" s="201"/>
      <c r="FN7" s="201"/>
      <c r="FO7" s="201"/>
      <c r="FP7" s="201"/>
      <c r="FQ7" s="201"/>
      <c r="FR7" s="201"/>
      <c r="FS7" s="201"/>
      <c r="FT7" s="201"/>
      <c r="FU7" s="201"/>
      <c r="FV7" s="201"/>
      <c r="FW7" s="201"/>
      <c r="FX7" s="201"/>
      <c r="FY7" s="201"/>
      <c r="FZ7" s="201"/>
      <c r="GA7" s="201"/>
      <c r="GB7" s="201"/>
      <c r="GC7" s="201"/>
      <c r="GD7" s="201"/>
      <c r="GE7" s="201"/>
      <c r="GF7" s="201"/>
      <c r="GG7" s="201"/>
      <c r="GH7" s="201"/>
      <c r="GI7" s="201"/>
      <c r="GJ7" s="201"/>
      <c r="GK7" s="201"/>
      <c r="GL7" s="201"/>
      <c r="GM7" s="201"/>
      <c r="GN7" s="201"/>
      <c r="GO7" s="201"/>
      <c r="GP7" s="201"/>
      <c r="GQ7" s="201"/>
      <c r="GR7" s="201"/>
      <c r="GS7" s="201"/>
      <c r="GT7" s="201"/>
      <c r="GU7" s="201"/>
      <c r="GV7" s="201"/>
      <c r="GW7" s="201"/>
      <c r="GX7" s="201"/>
      <c r="GY7" s="201"/>
      <c r="GZ7" s="201"/>
      <c r="HA7" s="201"/>
      <c r="HB7" s="201"/>
      <c r="HC7" s="201"/>
      <c r="HD7" s="201"/>
      <c r="HE7" s="201"/>
      <c r="HF7" s="201"/>
      <c r="HG7" s="201"/>
      <c r="HH7" s="201"/>
      <c r="HI7" s="201"/>
      <c r="HJ7" s="201"/>
      <c r="HK7" s="201"/>
    </row>
    <row r="8" ht="16" customHeight="1" spans="2:154" x14ac:dyDescent="0.25">
      <c r="B8" s="222"/>
      <c r="C8" s="79"/>
      <c r="D8" s="80"/>
      <c r="E8" s="83"/>
      <c r="F8" s="223">
        <f>AVERAGE(F9:F13)</f>
        <v>0</v>
      </c>
      <c r="G8" s="80"/>
      <c r="H8" s="83"/>
      <c r="I8" s="223">
        <f>AVERAGE(I9:I13)</f>
        <v>0</v>
      </c>
      <c r="J8" s="80"/>
      <c r="K8" s="83"/>
      <c r="L8" s="223">
        <f>AVERAGE(L9:L13)</f>
        <v>0</v>
      </c>
      <c r="M8" s="80"/>
      <c r="N8" s="83"/>
      <c r="O8" s="223">
        <f>AVERAGE(O9:O13)</f>
        <v>0</v>
      </c>
      <c r="P8" s="80"/>
      <c r="Q8" s="83"/>
      <c r="R8" s="223">
        <f>AVERAGE(R9:R13)</f>
        <v>0</v>
      </c>
      <c r="S8" s="80"/>
      <c r="T8" s="83"/>
      <c r="U8" s="223">
        <f>AVERAGE(U9:U13)</f>
        <v>0</v>
      </c>
      <c r="V8" s="80"/>
      <c r="W8" s="83"/>
      <c r="X8" s="223">
        <f>AVERAGE(X9:X13)</f>
        <v>0</v>
      </c>
      <c r="Y8" s="80"/>
      <c r="Z8" s="83"/>
      <c r="AA8" s="223">
        <f>AVERAGE(AA9:AA13)</f>
        <v>0</v>
      </c>
      <c r="AB8" s="80"/>
      <c r="AC8" s="83"/>
      <c r="AD8" s="223">
        <f>AVERAGE(AD9:AD13)</f>
        <v>0</v>
      </c>
      <c r="AE8" s="80"/>
      <c r="AF8" s="83"/>
      <c r="AG8" s="223">
        <f>AVERAGE(AG9:AG13)</f>
        <v>0</v>
      </c>
      <c r="AH8" s="80"/>
      <c r="AI8" s="83"/>
      <c r="AJ8" s="223">
        <f>AVERAGE(AJ9:AJ13)</f>
        <v>0</v>
      </c>
      <c r="AK8" s="80"/>
      <c r="AL8" s="83"/>
      <c r="AM8" s="223">
        <f>AVERAGE(AM9:AM13)</f>
        <v>0</v>
      </c>
      <c r="AN8" s="80"/>
      <c r="AO8" s="83"/>
      <c r="AP8" s="223">
        <f>AVERAGE(AP9:AP13)</f>
        <v>0</v>
      </c>
      <c r="AQ8" s="80"/>
      <c r="AR8" s="83"/>
      <c r="AS8" s="223">
        <f>AVERAGE(AS9:AS13)</f>
        <v>0</v>
      </c>
      <c r="AT8" s="80"/>
      <c r="AU8" s="83"/>
      <c r="AV8" s="223">
        <f>AVERAGE(AV9:AV13)</f>
        <v>0</v>
      </c>
      <c r="AW8" s="80"/>
      <c r="AX8" s="83"/>
      <c r="AY8" s="223">
        <f>AVERAGE(AY9:AY13)</f>
        <v>0</v>
      </c>
      <c r="AZ8" s="80"/>
      <c r="BA8" s="83"/>
      <c r="BB8" s="223">
        <f>AVERAGE(BB9:BB12)</f>
        <v>0</v>
      </c>
      <c r="BC8" s="80"/>
      <c r="BD8" s="83"/>
      <c r="BE8" s="223">
        <f>AVERAGE(BE9:BE12)</f>
        <v>0</v>
      </c>
      <c r="BF8" s="80"/>
      <c r="BG8" s="83"/>
      <c r="BH8" s="223">
        <f>AVERAGE(BH9:BH12)</f>
        <v>0</v>
      </c>
      <c r="BI8" s="80"/>
      <c r="BJ8" s="83"/>
      <c r="BK8" s="223">
        <f>AVERAGE(BK9:BK12)</f>
        <v>0</v>
      </c>
      <c r="BL8" s="80"/>
      <c r="BM8" s="83"/>
      <c r="BN8" s="223">
        <f>AVERAGE(BN9:BN12)</f>
        <v>0</v>
      </c>
      <c r="BO8" s="80"/>
      <c r="BP8" s="83"/>
      <c r="BQ8" s="223">
        <f>AVERAGE(BQ9:BQ12)</f>
        <v>0</v>
      </c>
      <c r="BR8" s="80"/>
      <c r="BS8" s="83"/>
      <c r="BT8" s="223">
        <f>AVERAGE(BT9:BT12)</f>
        <v>0</v>
      </c>
      <c r="BU8" s="80"/>
      <c r="BV8" s="83"/>
      <c r="BW8" s="223">
        <f>AVERAGE(BW9:BW12)</f>
        <v>0</v>
      </c>
      <c r="BX8" s="80"/>
      <c r="BY8" s="83"/>
      <c r="BZ8" s="223">
        <f>AVERAGE(BZ9:BZ12)</f>
        <v>0</v>
      </c>
      <c r="CA8" s="80"/>
      <c r="CB8" s="83"/>
      <c r="CC8" s="223">
        <f>AVERAGE(CC9:CC12)</f>
        <v>0</v>
      </c>
      <c r="CD8" s="80"/>
      <c r="CE8" s="83"/>
      <c r="CF8" s="223">
        <f>AVERAGE(CF9:CF12)</f>
        <v>0</v>
      </c>
      <c r="CG8" s="80"/>
      <c r="CH8" s="83"/>
      <c r="CI8" s="223">
        <f>AVERAGE(CI9:CI12)</f>
        <v>0</v>
      </c>
      <c r="CJ8" s="80"/>
      <c r="CK8" s="83"/>
      <c r="CL8" s="223">
        <f>AVERAGE(CL9:CL12)</f>
        <v>0</v>
      </c>
      <c r="CM8" s="80"/>
      <c r="CN8" s="83"/>
      <c r="CO8" s="223">
        <f>AVERAGE(CO9:CO12)</f>
        <v>0</v>
      </c>
      <c r="CP8" s="80"/>
      <c r="CQ8" s="83"/>
      <c r="CR8" s="223">
        <f>AVERAGE(CR9:CR12)</f>
        <v>0</v>
      </c>
      <c r="CS8" s="80"/>
      <c r="CT8" s="83"/>
      <c r="CU8" s="223">
        <f>AVERAGE(CU9:CU12)</f>
        <v>0</v>
      </c>
      <c r="CV8" s="80"/>
      <c r="CW8" s="83"/>
      <c r="CX8" s="223">
        <f>AVERAGE(CX9:CX12)</f>
        <v>0</v>
      </c>
      <c r="CY8" s="80"/>
      <c r="CZ8" s="83"/>
      <c r="DA8" s="223">
        <f>AVERAGE(DA9:DA12)</f>
        <v>0</v>
      </c>
      <c r="DB8" s="80"/>
      <c r="DC8" s="83"/>
      <c r="DD8" s="223">
        <f>AVERAGE(DD9:DD12)</f>
        <v>0</v>
      </c>
      <c r="DE8" s="80"/>
      <c r="DF8" s="83"/>
      <c r="DG8" s="224">
        <f>AVERAGE(DG9:DG12)</f>
        <v>0</v>
      </c>
      <c r="DH8" s="80"/>
      <c r="DI8" s="83"/>
      <c r="DJ8" s="223">
        <f>AVERAGE(DJ9:DJ12)</f>
        <v>0</v>
      </c>
      <c r="DK8" s="80"/>
      <c r="DL8" s="83"/>
      <c r="DM8" s="223">
        <f>AVERAGE(DM9:DM12)</f>
        <v>0</v>
      </c>
      <c r="DN8" s="80"/>
      <c r="DO8" s="83"/>
      <c r="DP8" s="223">
        <f>AVERAGE(DP9:DP12)</f>
        <v>0</v>
      </c>
      <c r="DQ8" s="80"/>
      <c r="DR8" s="83"/>
      <c r="DS8" s="223">
        <f>AVERAGE(DS9:DS12)</f>
        <v>0</v>
      </c>
      <c r="DT8" s="80"/>
      <c r="DU8" s="83"/>
      <c r="DV8" s="223">
        <f>AVERAGE(DV9:DV12)</f>
        <v>0</v>
      </c>
      <c r="DW8" s="80"/>
      <c r="DX8" s="83"/>
      <c r="DY8" s="223">
        <f>AVERAGE(DY9:DY12)</f>
        <v>0</v>
      </c>
      <c r="DZ8" s="80"/>
      <c r="EA8" s="83"/>
      <c r="EB8" s="223">
        <f>AVERAGE(EB9:EB12)</f>
        <v>0</v>
      </c>
      <c r="EC8" s="80"/>
      <c r="ED8" s="83"/>
      <c r="EE8" s="223">
        <f>AVERAGE(EE9:EE12)</f>
        <v>0</v>
      </c>
      <c r="EF8" s="80"/>
      <c r="EG8" s="83"/>
      <c r="EH8" s="223">
        <f>AVERAGE(EH9:EH13)</f>
        <v>0</v>
      </c>
      <c r="EI8" s="80"/>
      <c r="EJ8" s="83"/>
      <c r="EK8" s="223">
        <f>AVERAGE(EK9:EK13)</f>
        <v>0</v>
      </c>
      <c r="EL8" s="80"/>
      <c r="EM8" s="83"/>
      <c r="EN8" s="223">
        <f>AVERAGE(EN9:EN13)</f>
        <v>0</v>
      </c>
      <c r="EO8" s="80"/>
      <c r="EP8" s="83"/>
      <c r="EQ8" s="223">
        <f>AVERAGE(EQ9:EQ13)</f>
        <v>0</v>
      </c>
      <c r="ER8" s="85">
        <f t="array" ref="ER8">IFERROR(_xlfn.LET(
_xlpm.datos,CHOOSE({1;2;3;4;5;6;7;8;9;10;11;12;13;13;14;15;16;17;18;19;20;21;22;23;23;24;25;26;27;28;29;30;31;32;33;34;35;36;37;38;39;40;41;42;43;44;45;46;47;48},F8,I8,L8,O8,R8,U8,X8,AA8,AD8,AG8,AJ8,AM8,AP8,AS8,AV8,AY8,BB8,BE8,BH8,BK8,BN8,BQ8,BT8,BW8,BZ8,CC8,CF8,CI8,CL8,CO8,CR8,CU8,CX8,DA8,DD8,DG8,DJ8,DM8,DP8,DS8,DV8,DY8,EB8,EE8,EH8,EK8,EN8,EQ8),
AVERAGE(_xlfn._xlws.FILTER(_xlpm.datos,(_xlpm.datos&lt;&gt;0)*(_xlpm.datos&lt;&gt;"")))
),0)</f>
        <v>0</v>
      </c>
      <c r="ES8" s="162" t="str">
        <f t="array" ref="ES8">_xlfn.IFS(ER8&gt;=91.5%,"MENSUAL",ER8&gt;=75%,"QUINCENAL",ER8&lt;75%,"SEMANAL")</f>
        <v>SEMANAL</v>
      </c>
      <c r="ET8" s="212"/>
      <c r="EV8" s="225">
        <v>2</v>
      </c>
      <c r="EW8" s="225" t="s">
        <v>82</v>
      </c>
      <c r="EX8" s="226" t="s">
        <v>83</v>
      </c>
    </row>
    <row r="9" ht="27.65" customHeight="1" spans="2:154" x14ac:dyDescent="0.25">
      <c r="B9" s="227" t="s">
        <v>183</v>
      </c>
      <c r="C9" s="228"/>
      <c r="D9" s="102"/>
      <c r="E9" s="103">
        <v>5</v>
      </c>
      <c r="F9" s="104">
        <f t="shared" ref="F9" si="0">D9/E9</f>
        <v>0</v>
      </c>
      <c r="G9" s="102"/>
      <c r="H9" s="103">
        <v>5</v>
      </c>
      <c r="I9" s="104">
        <f t="shared" ref="I9" si="1">G9/H9</f>
        <v>0</v>
      </c>
      <c r="J9" s="105"/>
      <c r="K9" s="103">
        <v>5</v>
      </c>
      <c r="L9" s="104">
        <f t="shared" ref="L9" si="2">J9/K9</f>
        <v>0</v>
      </c>
      <c r="M9" s="105"/>
      <c r="N9" s="103">
        <v>5</v>
      </c>
      <c r="O9" s="104">
        <f t="shared" ref="O9" si="3">M9/N9</f>
        <v>0</v>
      </c>
      <c r="P9" s="106"/>
      <c r="Q9" s="107">
        <v>5</v>
      </c>
      <c r="R9" s="104">
        <f t="shared" ref="R9" si="4">P9/Q9</f>
        <v>0</v>
      </c>
      <c r="S9" s="102"/>
      <c r="T9" s="107">
        <v>5</v>
      </c>
      <c r="U9" s="104">
        <f t="shared" ref="U9" si="5">S9/T9</f>
        <v>0</v>
      </c>
      <c r="V9" s="102"/>
      <c r="W9" s="107">
        <v>5</v>
      </c>
      <c r="X9" s="104">
        <f t="shared" ref="X9" si="6">V9/W9</f>
        <v>0</v>
      </c>
      <c r="Y9" s="102"/>
      <c r="Z9" s="107">
        <v>5</v>
      </c>
      <c r="AA9" s="104">
        <f t="shared" ref="AA9" si="7">Y9/Z9</f>
        <v>0</v>
      </c>
      <c r="AB9" s="106"/>
      <c r="AC9" s="107">
        <v>5</v>
      </c>
      <c r="AD9" s="104">
        <f t="shared" ref="AD9" si="8">AB9/AC9</f>
        <v>0</v>
      </c>
      <c r="AE9" s="106"/>
      <c r="AF9" s="107">
        <v>5</v>
      </c>
      <c r="AG9" s="104">
        <f t="shared" ref="AG9" si="9">AE9/AF9</f>
        <v>0</v>
      </c>
      <c r="AH9" s="106"/>
      <c r="AI9" s="107">
        <v>5</v>
      </c>
      <c r="AJ9" s="104">
        <f t="shared" ref="AJ9" si="10">AH9/AI9</f>
        <v>0</v>
      </c>
      <c r="AK9" s="106"/>
      <c r="AL9" s="107">
        <v>5</v>
      </c>
      <c r="AM9" s="104">
        <f t="shared" ref="AM9" si="11">AK9/AL9</f>
        <v>0</v>
      </c>
      <c r="AN9" s="102"/>
      <c r="AO9" s="1">
        <v>5</v>
      </c>
      <c r="AP9" s="104">
        <f t="shared" ref="AP9" si="12">AN9/AO9</f>
        <v>0</v>
      </c>
      <c r="AQ9" s="102"/>
      <c r="AR9" s="1">
        <v>5</v>
      </c>
      <c r="AS9" s="104">
        <f t="shared" ref="AS9" si="13">AQ9/AR9</f>
        <v>0</v>
      </c>
      <c r="AT9" s="102"/>
      <c r="AU9" s="1">
        <v>5</v>
      </c>
      <c r="AV9" s="104">
        <f t="shared" ref="AV9" si="14">AT9/AU9</f>
        <v>0</v>
      </c>
      <c r="AW9" s="102"/>
      <c r="AX9" s="1">
        <v>5</v>
      </c>
      <c r="AY9" s="104">
        <f t="shared" ref="AY9" si="15">AW9/AX9</f>
        <v>0</v>
      </c>
      <c r="AZ9" s="102"/>
      <c r="BA9" s="1">
        <v>5</v>
      </c>
      <c r="BB9" s="104">
        <f t="shared" ref="BB9" si="16">AZ9/BA9</f>
        <v>0</v>
      </c>
      <c r="BC9" s="102"/>
      <c r="BD9" s="1">
        <v>5</v>
      </c>
      <c r="BE9" s="104">
        <f t="shared" ref="BE9" si="17">BC9/BD9</f>
        <v>0</v>
      </c>
      <c r="BF9" s="102"/>
      <c r="BG9" s="1">
        <v>5</v>
      </c>
      <c r="BH9" s="104">
        <f t="shared" ref="BH9" si="18">BF9/BG9</f>
        <v>0</v>
      </c>
      <c r="BI9" s="102"/>
      <c r="BJ9" s="1">
        <v>5</v>
      </c>
      <c r="BK9" s="104">
        <f t="shared" ref="BK9" si="19">BI9/BJ9</f>
        <v>0</v>
      </c>
      <c r="BL9" s="102"/>
      <c r="BM9" s="1">
        <v>5</v>
      </c>
      <c r="BN9" s="104">
        <f t="shared" ref="BN9" si="20">BL9/BM9</f>
        <v>0</v>
      </c>
      <c r="BO9" s="102"/>
      <c r="BP9" s="1">
        <v>5</v>
      </c>
      <c r="BQ9" s="104">
        <f t="shared" ref="BQ9" si="21">BO9/BP9</f>
        <v>0</v>
      </c>
      <c r="BR9" s="102"/>
      <c r="BS9" s="1">
        <v>5</v>
      </c>
      <c r="BT9" s="104">
        <f t="shared" ref="BT9" si="22">BR9/BS9</f>
        <v>0</v>
      </c>
      <c r="BU9" s="102"/>
      <c r="BV9" s="1">
        <v>5</v>
      </c>
      <c r="BW9" s="104">
        <f t="shared" ref="BW9" si="23">BU9/BV9</f>
        <v>0</v>
      </c>
      <c r="BX9" s="102"/>
      <c r="BY9" s="1">
        <v>5</v>
      </c>
      <c r="BZ9" s="104">
        <f t="shared" ref="BZ9" si="24">BX9/BY9</f>
        <v>0</v>
      </c>
      <c r="CA9" s="102"/>
      <c r="CB9" s="1">
        <v>5</v>
      </c>
      <c r="CC9" s="104">
        <f t="shared" ref="CC9" si="25">CA9/CB9</f>
        <v>0</v>
      </c>
      <c r="CD9" s="102"/>
      <c r="CE9" s="1">
        <v>5</v>
      </c>
      <c r="CF9" s="104">
        <f t="shared" ref="CF9" si="26">CD9/CE9</f>
        <v>0</v>
      </c>
      <c r="CG9" s="102"/>
      <c r="CH9" s="1">
        <v>5</v>
      </c>
      <c r="CI9" s="104">
        <f t="shared" ref="CI9" si="27">CG9/CH9</f>
        <v>0</v>
      </c>
      <c r="CJ9" s="102"/>
      <c r="CK9" s="1">
        <v>5</v>
      </c>
      <c r="CL9" s="104">
        <f t="shared" ref="CL9" si="28">CJ9/CK9</f>
        <v>0</v>
      </c>
      <c r="CM9" s="102"/>
      <c r="CN9" s="1">
        <v>5</v>
      </c>
      <c r="CO9" s="104">
        <f t="shared" ref="CO9" si="29">CM9/CN9</f>
        <v>0</v>
      </c>
      <c r="CP9" s="102"/>
      <c r="CQ9" s="1">
        <v>5</v>
      </c>
      <c r="CR9" s="104">
        <f t="shared" ref="CR9" si="30">CP9/CQ9</f>
        <v>0</v>
      </c>
      <c r="CS9" s="102"/>
      <c r="CT9" s="1">
        <v>5</v>
      </c>
      <c r="CU9" s="104">
        <f t="shared" ref="CU9" si="31">CS9/CT9</f>
        <v>0</v>
      </c>
      <c r="CV9" s="102"/>
      <c r="CW9" s="1">
        <v>5</v>
      </c>
      <c r="CX9" s="104">
        <f t="shared" ref="CX9" si="32">CV9/CW9</f>
        <v>0</v>
      </c>
      <c r="CY9" s="102"/>
      <c r="CZ9" s="1">
        <v>5</v>
      </c>
      <c r="DA9" s="104">
        <f t="shared" ref="DA9" si="33">CY9/CZ9</f>
        <v>0</v>
      </c>
      <c r="DB9" s="102"/>
      <c r="DC9" s="1">
        <v>5</v>
      </c>
      <c r="DD9" s="104">
        <f t="shared" ref="DD9" si="34">DB9/DC9</f>
        <v>0</v>
      </c>
      <c r="DE9" s="102"/>
      <c r="DF9" s="1">
        <v>5</v>
      </c>
      <c r="DG9" s="104">
        <f t="shared" ref="DG9" si="35">DE9/DF9</f>
        <v>0</v>
      </c>
      <c r="DH9" s="102"/>
      <c r="DI9" s="1">
        <v>5</v>
      </c>
      <c r="DJ9" s="104">
        <f t="shared" ref="DJ9" si="36">DH9/DI9</f>
        <v>0</v>
      </c>
      <c r="DK9" s="102"/>
      <c r="DL9" s="1">
        <v>5</v>
      </c>
      <c r="DM9" s="104">
        <f t="shared" ref="DM9" si="37">DK9/DL9</f>
        <v>0</v>
      </c>
      <c r="DN9" s="102"/>
      <c r="DO9" s="1">
        <v>5</v>
      </c>
      <c r="DP9" s="104">
        <f t="shared" ref="DP9" si="38">DN9/DO9</f>
        <v>0</v>
      </c>
      <c r="DQ9" s="102"/>
      <c r="DR9" s="1">
        <v>5</v>
      </c>
      <c r="DS9" s="104">
        <f t="shared" ref="DS9" si="39">DQ9/DR9</f>
        <v>0</v>
      </c>
      <c r="DT9" s="102"/>
      <c r="DU9" s="1">
        <v>5</v>
      </c>
      <c r="DV9" s="104">
        <f t="shared" ref="DV9" si="40">DT9/DU9</f>
        <v>0</v>
      </c>
      <c r="DW9" s="102"/>
      <c r="DX9" s="1">
        <v>5</v>
      </c>
      <c r="DY9" s="104">
        <f t="shared" ref="DY9" si="41">DW9/DX9</f>
        <v>0</v>
      </c>
      <c r="DZ9" s="102"/>
      <c r="EA9" s="1">
        <v>5</v>
      </c>
      <c r="EB9" s="104">
        <f t="shared" ref="EB9" si="42">DZ9/EA9</f>
        <v>0</v>
      </c>
      <c r="EC9" s="102"/>
      <c r="ED9" s="1">
        <v>5</v>
      </c>
      <c r="EE9" s="104">
        <f t="shared" ref="EE9" si="43">EC9/ED9</f>
        <v>0</v>
      </c>
      <c r="EF9" s="102"/>
      <c r="EG9" s="1">
        <v>5</v>
      </c>
      <c r="EH9" s="104">
        <f t="shared" ref="EH9" si="44">EF9/EG9</f>
        <v>0</v>
      </c>
      <c r="EI9" s="102"/>
      <c r="EJ9" s="1">
        <v>5</v>
      </c>
      <c r="EK9" s="104">
        <f t="shared" ref="EK9" si="45">EI9/EJ9</f>
        <v>0</v>
      </c>
      <c r="EL9" s="102"/>
      <c r="EM9" s="1">
        <v>5</v>
      </c>
      <c r="EN9" s="104">
        <f t="shared" ref="EN9" si="46">EL9/EM9</f>
        <v>0</v>
      </c>
      <c r="EO9" s="90">
        <v>0</v>
      </c>
      <c r="EP9" s="96">
        <v>5</v>
      </c>
      <c r="EQ9" s="104">
        <f>IFERROR(EO9/EP9,0)</f>
        <v>0</v>
      </c>
      <c r="ER9" s="85">
        <f t="array" ref="ER9">IFERROR(_xlfn.LET(
_xlpm.datos,CHOOSE({1;2;3;4;5;6;7;8;9;10;11;12;13;13;14;15;16;17;18;19;20;21;22;23;23;24;25;26;27;28;29;30;31;32;33;34;35;36;37;38;39;40;41;42;43;44;45;46;47;48},F9,I9,L9,O9,R9,U9,X9,AA9,AD9,AG9,AJ9,AM9,AP9,AS9,AV9,AY9,BB9,BE9,BH9,BK9,BN9,BQ9,BT9,BW9,BZ9,CC9,CF9,CI9,CL9,CO9,CR9,CU9,CX9,DA9,DD9,DG9,DJ9,DM9,DP9,DS9,DV9,DY9,EB9,EE9,EH9,EK9,EN9,EQ9),
AVERAGE(_xlfn._xlws.FILTER(_xlpm.datos,(_xlpm.datos&lt;&gt;0)*(_xlpm.datos&lt;&gt;"")))
),0)</f>
        <v>0</v>
      </c>
      <c r="ES9" s="162" t="str">
        <f t="array" ref="ES9">_xlfn.IFS(ER9&gt;=91.5%,"MENSUAL",ER9&gt;=75%,"QUINCENAL",ER9&lt;75%,"SEMANAL")</f>
        <v>SEMANAL</v>
      </c>
      <c r="ET9" s="19"/>
      <c r="EV9" s="114">
        <v>3</v>
      </c>
      <c r="EW9" s="114" t="s">
        <v>85</v>
      </c>
      <c r="EX9" s="109" t="s">
        <v>86</v>
      </c>
    </row>
    <row r="10" ht="22" customHeight="1" spans="2:150" x14ac:dyDescent="0.25">
      <c r="B10" s="171" t="s">
        <v>184</v>
      </c>
      <c r="C10" s="228"/>
      <c r="D10" s="102"/>
      <c r="E10" s="103">
        <v>5</v>
      </c>
      <c r="F10" s="104">
        <f t="shared" ref="F10:F13" si="47">D10/E10</f>
        <v>0</v>
      </c>
      <c r="G10" s="102"/>
      <c r="H10" s="103">
        <v>5</v>
      </c>
      <c r="I10" s="104">
        <f t="shared" ref="I10:I13" si="48">G10/H10</f>
        <v>0</v>
      </c>
      <c r="J10" s="105"/>
      <c r="K10" s="103">
        <v>5</v>
      </c>
      <c r="L10" s="104">
        <f t="shared" ref="L10:L13" si="49">J10/K10</f>
        <v>0</v>
      </c>
      <c r="M10" s="105"/>
      <c r="N10" s="103">
        <v>5</v>
      </c>
      <c r="O10" s="104">
        <f t="shared" ref="O10:O13" si="50">M10/N10</f>
        <v>0</v>
      </c>
      <c r="P10" s="106"/>
      <c r="Q10" s="107">
        <v>5</v>
      </c>
      <c r="R10" s="104">
        <f t="shared" ref="R10:R13" si="51">P10/Q10</f>
        <v>0</v>
      </c>
      <c r="S10" s="102"/>
      <c r="T10" s="107">
        <v>5</v>
      </c>
      <c r="U10" s="104">
        <f t="shared" ref="U10:U13" si="52">S10/T10</f>
        <v>0</v>
      </c>
      <c r="V10" s="102"/>
      <c r="W10" s="107">
        <v>5</v>
      </c>
      <c r="X10" s="104">
        <f t="shared" ref="X10:X13" si="53">V10/W10</f>
        <v>0</v>
      </c>
      <c r="Y10" s="102"/>
      <c r="Z10" s="107">
        <v>5</v>
      </c>
      <c r="AA10" s="104">
        <f t="shared" ref="AA10:AA13" si="54">Y10/Z10</f>
        <v>0</v>
      </c>
      <c r="AB10" s="106"/>
      <c r="AC10" s="107">
        <v>5</v>
      </c>
      <c r="AD10" s="104">
        <f t="shared" ref="AD10:AD13" si="55">AB10/AC10</f>
        <v>0</v>
      </c>
      <c r="AE10" s="106"/>
      <c r="AF10" s="107">
        <v>5</v>
      </c>
      <c r="AG10" s="104">
        <f t="shared" ref="AG10:AG13" si="56">AE10/AF10</f>
        <v>0</v>
      </c>
      <c r="AH10" s="106"/>
      <c r="AI10" s="107">
        <v>5</v>
      </c>
      <c r="AJ10" s="104">
        <f t="shared" ref="AJ10:AJ13" si="57">AH10/AI10</f>
        <v>0</v>
      </c>
      <c r="AK10" s="106"/>
      <c r="AL10" s="107">
        <v>5</v>
      </c>
      <c r="AM10" s="104">
        <f t="shared" ref="AM10:AM13" si="58">AK10/AL10</f>
        <v>0</v>
      </c>
      <c r="AN10" s="102"/>
      <c r="AO10" s="1">
        <v>5</v>
      </c>
      <c r="AP10" s="104">
        <f t="shared" ref="AP10:AP13" si="59">AN10/AO10</f>
        <v>0</v>
      </c>
      <c r="AQ10" s="102"/>
      <c r="AR10" s="1">
        <v>5</v>
      </c>
      <c r="AS10" s="104">
        <f t="shared" ref="AS10:AS13" si="60">AQ10/AR10</f>
        <v>0</v>
      </c>
      <c r="AT10" s="102"/>
      <c r="AU10" s="1">
        <v>5</v>
      </c>
      <c r="AV10" s="104">
        <f t="shared" ref="AV10:AV13" si="61">AT10/AU10</f>
        <v>0</v>
      </c>
      <c r="AW10" s="102"/>
      <c r="AX10" s="1">
        <v>5</v>
      </c>
      <c r="AY10" s="104">
        <f t="shared" ref="AY10:AY13" si="62">AW10/AX10</f>
        <v>0</v>
      </c>
      <c r="AZ10" s="102"/>
      <c r="BA10" s="1">
        <v>5</v>
      </c>
      <c r="BB10" s="104">
        <f t="shared" ref="BB10:BB13" si="63">AZ10/BA10</f>
        <v>0</v>
      </c>
      <c r="BC10" s="102"/>
      <c r="BD10" s="1">
        <v>5</v>
      </c>
      <c r="BE10" s="104">
        <f t="shared" ref="BE10:BE13" si="64">BC10/BD10</f>
        <v>0</v>
      </c>
      <c r="BF10" s="102"/>
      <c r="BG10" s="1">
        <v>5</v>
      </c>
      <c r="BH10" s="104">
        <f t="shared" ref="BH10:BH13" si="65">BF10/BG10</f>
        <v>0</v>
      </c>
      <c r="BI10" s="102"/>
      <c r="BJ10" s="1">
        <v>5</v>
      </c>
      <c r="BK10" s="104">
        <f t="shared" ref="BK10:BK13" si="66">BI10/BJ10</f>
        <v>0</v>
      </c>
      <c r="BL10" s="102"/>
      <c r="BM10" s="1">
        <v>5</v>
      </c>
      <c r="BN10" s="104">
        <f t="shared" ref="BN10:BN13" si="67">BL10/BM10</f>
        <v>0</v>
      </c>
      <c r="BO10" s="102"/>
      <c r="BP10" s="1">
        <v>5</v>
      </c>
      <c r="BQ10" s="104">
        <f t="shared" ref="BQ10:BQ13" si="68">BO10/BP10</f>
        <v>0</v>
      </c>
      <c r="BR10" s="102"/>
      <c r="BS10" s="1">
        <v>5</v>
      </c>
      <c r="BT10" s="104">
        <f t="shared" ref="BT10:BT13" si="69">BR10/BS10</f>
        <v>0</v>
      </c>
      <c r="BU10" s="102"/>
      <c r="BV10" s="1">
        <v>5</v>
      </c>
      <c r="BW10" s="104">
        <f t="shared" ref="BW10:BW13" si="70">BU10/BV10</f>
        <v>0</v>
      </c>
      <c r="BX10" s="102"/>
      <c r="BY10" s="1">
        <v>5</v>
      </c>
      <c r="BZ10" s="104">
        <f t="shared" ref="BZ10:BZ13" si="71">BX10/BY10</f>
        <v>0</v>
      </c>
      <c r="CA10" s="102"/>
      <c r="CB10" s="1">
        <v>5</v>
      </c>
      <c r="CC10" s="104">
        <f t="shared" ref="CC10:CC13" si="72">CA10/CB10</f>
        <v>0</v>
      </c>
      <c r="CD10" s="102"/>
      <c r="CE10" s="1">
        <v>5</v>
      </c>
      <c r="CF10" s="104">
        <f t="shared" ref="CF10:CF13" si="73">CD10/CE10</f>
        <v>0</v>
      </c>
      <c r="CG10" s="102"/>
      <c r="CH10" s="1">
        <v>5</v>
      </c>
      <c r="CI10" s="104">
        <f t="shared" ref="CI10:CI13" si="74">CG10/CH10</f>
        <v>0</v>
      </c>
      <c r="CJ10" s="102"/>
      <c r="CK10" s="1">
        <v>5</v>
      </c>
      <c r="CL10" s="104">
        <f t="shared" ref="CL10:CL13" si="75">CJ10/CK10</f>
        <v>0</v>
      </c>
      <c r="CM10" s="102"/>
      <c r="CN10" s="1">
        <v>5</v>
      </c>
      <c r="CO10" s="104">
        <f t="shared" ref="CO10:CO13" si="76">CM10/CN10</f>
        <v>0</v>
      </c>
      <c r="CP10" s="102"/>
      <c r="CQ10" s="1">
        <v>5</v>
      </c>
      <c r="CR10" s="104">
        <f t="shared" ref="CR10:CR13" si="77">CP10/CQ10</f>
        <v>0</v>
      </c>
      <c r="CS10" s="102"/>
      <c r="CT10" s="1">
        <v>5</v>
      </c>
      <c r="CU10" s="104">
        <f t="shared" ref="CU10:CU13" si="78">CS10/CT10</f>
        <v>0</v>
      </c>
      <c r="CV10" s="102"/>
      <c r="CW10" s="1">
        <v>5</v>
      </c>
      <c r="CX10" s="104">
        <f t="shared" ref="CX10:CX13" si="79">CV10/CW10</f>
        <v>0</v>
      </c>
      <c r="CY10" s="102"/>
      <c r="CZ10" s="1">
        <v>5</v>
      </c>
      <c r="DA10" s="104">
        <f t="shared" ref="DA10:DA13" si="80">CY10/CZ10</f>
        <v>0</v>
      </c>
      <c r="DB10" s="102"/>
      <c r="DC10" s="1">
        <v>5</v>
      </c>
      <c r="DD10" s="104">
        <f t="shared" ref="DD10:DD13" si="81">DB10/DC10</f>
        <v>0</v>
      </c>
      <c r="DE10" s="102"/>
      <c r="DF10" s="1">
        <v>5</v>
      </c>
      <c r="DG10" s="104">
        <f t="shared" ref="DG10:DG13" si="82">DE10/DF10</f>
        <v>0</v>
      </c>
      <c r="DH10" s="102"/>
      <c r="DI10" s="1">
        <v>5</v>
      </c>
      <c r="DJ10" s="104">
        <f t="shared" ref="DJ10:DJ13" si="83">DH10/DI10</f>
        <v>0</v>
      </c>
      <c r="DK10" s="102"/>
      <c r="DL10" s="1">
        <v>5</v>
      </c>
      <c r="DM10" s="104">
        <f t="shared" ref="DM10:DM13" si="84">DK10/DL10</f>
        <v>0</v>
      </c>
      <c r="DN10" s="102"/>
      <c r="DO10" s="1">
        <v>5</v>
      </c>
      <c r="DP10" s="104">
        <f t="shared" ref="DP10:DP13" si="85">DN10/DO10</f>
        <v>0</v>
      </c>
      <c r="DQ10" s="102"/>
      <c r="DR10" s="1">
        <v>5</v>
      </c>
      <c r="DS10" s="104">
        <f t="shared" ref="DS10:DS13" si="86">DQ10/DR10</f>
        <v>0</v>
      </c>
      <c r="DT10" s="102"/>
      <c r="DU10" s="1">
        <v>5</v>
      </c>
      <c r="DV10" s="104">
        <f t="shared" ref="DV10:DV13" si="87">DT10/DU10</f>
        <v>0</v>
      </c>
      <c r="DW10" s="102"/>
      <c r="DX10" s="1">
        <v>5</v>
      </c>
      <c r="DY10" s="104">
        <f t="shared" ref="DY10:DY13" si="88">DW10/DX10</f>
        <v>0</v>
      </c>
      <c r="DZ10" s="102"/>
      <c r="EA10" s="1">
        <v>5</v>
      </c>
      <c r="EB10" s="104">
        <f t="shared" ref="EB10:EB13" si="89">DZ10/EA10</f>
        <v>0</v>
      </c>
      <c r="EC10" s="102"/>
      <c r="ED10" s="1">
        <v>5</v>
      </c>
      <c r="EE10" s="104">
        <f t="shared" ref="EE10:EE13" si="90">EC10/ED10</f>
        <v>0</v>
      </c>
      <c r="EF10" s="102"/>
      <c r="EG10" s="1">
        <v>5</v>
      </c>
      <c r="EH10" s="104">
        <f t="shared" ref="EH10:EH13" si="91">EF10/EG10</f>
        <v>0</v>
      </c>
      <c r="EI10" s="102"/>
      <c r="EJ10" s="1">
        <v>5</v>
      </c>
      <c r="EK10" s="104">
        <f t="shared" ref="EK10:EK13" si="92">EI10/EJ10</f>
        <v>0</v>
      </c>
      <c r="EL10" s="102"/>
      <c r="EM10" s="1">
        <v>5</v>
      </c>
      <c r="EN10" s="104">
        <f t="shared" ref="EN10:EN13" si="93">EL10/EM10</f>
        <v>0</v>
      </c>
      <c r="EO10" s="90">
        <v>0</v>
      </c>
      <c r="EP10" s="96">
        <v>5</v>
      </c>
      <c r="EQ10" s="104">
        <f>IFERROR(EO10/EP10,0)</f>
        <v>0</v>
      </c>
      <c r="ER10" s="85">
        <f t="array" ref="ER10">IFERROR(_xlfn.LET(
_xlpm.datos,CHOOSE({1;2;3;4;5;6;7;8;9;10;11;12;13;13;14;15;16;17;18;19;20;21;22;23;23;24;25;26;27;28;29;30;31;32;33;34;35;36;37;38;39;40;41;42;43;44;45;46;47;48},F10,I10,L10,O10,R10,U10,X10,AA10,AD10,AG10,AJ10,AM10,AP10,AS10,AV10,AY10,BB10,BE10,BH10,BK10,BN10,BQ10,BT10,BW10,BZ10,CC10,CF10,CI10,CL10,CO10,CR10,CU10,CX10,DA10,DD10,DG10,DJ10,DM10,DP10,DS10,DV10,DY10,EB10,EE10,EH10,EK10,EN10,EQ10),
AVERAGE(_xlfn._xlws.FILTER(_xlpm.datos,(_xlpm.datos&lt;&gt;0)*(_xlpm.datos&lt;&gt;"")))
),0)</f>
        <v>0</v>
      </c>
      <c r="ES10" s="162" t="str">
        <f t="array" ref="ES10">_xlfn.IFS(ER10&gt;=91.5%,"MENSUAL",ER10&gt;=75%,"QUINCENAL",ER10&lt;75%,"SEMANAL")</f>
        <v>SEMANAL</v>
      </c>
      <c r="ET10" s="212"/>
    </row>
    <row r="11" ht="22" customHeight="1" spans="2:150" x14ac:dyDescent="0.25">
      <c r="B11" s="171" t="s">
        <v>185</v>
      </c>
      <c r="C11" s="228"/>
      <c r="D11" s="102"/>
      <c r="E11" s="103">
        <v>5</v>
      </c>
      <c r="F11" s="104">
        <f t="shared" si="47"/>
        <v>0</v>
      </c>
      <c r="G11" s="102"/>
      <c r="H11" s="103">
        <v>5</v>
      </c>
      <c r="I11" s="104">
        <f t="shared" si="48"/>
        <v>0</v>
      </c>
      <c r="J11" s="105"/>
      <c r="K11" s="103">
        <v>5</v>
      </c>
      <c r="L11" s="104">
        <f t="shared" si="49"/>
        <v>0</v>
      </c>
      <c r="M11" s="105"/>
      <c r="N11" s="103">
        <v>5</v>
      </c>
      <c r="O11" s="104">
        <f t="shared" si="50"/>
        <v>0</v>
      </c>
      <c r="P11" s="106"/>
      <c r="Q11" s="107">
        <v>5</v>
      </c>
      <c r="R11" s="104">
        <f t="shared" si="51"/>
        <v>0</v>
      </c>
      <c r="S11" s="102"/>
      <c r="T11" s="107">
        <v>5</v>
      </c>
      <c r="U11" s="104">
        <f t="shared" si="52"/>
        <v>0</v>
      </c>
      <c r="V11" s="102"/>
      <c r="W11" s="107">
        <v>5</v>
      </c>
      <c r="X11" s="104">
        <f t="shared" si="53"/>
        <v>0</v>
      </c>
      <c r="Y11" s="102"/>
      <c r="Z11" s="107">
        <v>5</v>
      </c>
      <c r="AA11" s="104">
        <f t="shared" si="54"/>
        <v>0</v>
      </c>
      <c r="AB11" s="106"/>
      <c r="AC11" s="107">
        <v>5</v>
      </c>
      <c r="AD11" s="104">
        <f t="shared" si="55"/>
        <v>0</v>
      </c>
      <c r="AE11" s="106"/>
      <c r="AF11" s="107">
        <v>5</v>
      </c>
      <c r="AG11" s="104">
        <f t="shared" si="56"/>
        <v>0</v>
      </c>
      <c r="AH11" s="106"/>
      <c r="AI11" s="107">
        <v>5</v>
      </c>
      <c r="AJ11" s="104">
        <f t="shared" si="57"/>
        <v>0</v>
      </c>
      <c r="AK11" s="106"/>
      <c r="AL11" s="107">
        <v>5</v>
      </c>
      <c r="AM11" s="104">
        <f t="shared" si="58"/>
        <v>0</v>
      </c>
      <c r="AN11" s="102"/>
      <c r="AO11" s="1">
        <v>5</v>
      </c>
      <c r="AP11" s="104">
        <f t="shared" si="59"/>
        <v>0</v>
      </c>
      <c r="AQ11" s="102"/>
      <c r="AR11" s="1">
        <v>5</v>
      </c>
      <c r="AS11" s="104">
        <f t="shared" si="60"/>
        <v>0</v>
      </c>
      <c r="AT11" s="102"/>
      <c r="AU11" s="1">
        <v>5</v>
      </c>
      <c r="AV11" s="104">
        <f t="shared" si="61"/>
        <v>0</v>
      </c>
      <c r="AW11" s="102"/>
      <c r="AX11" s="1">
        <v>5</v>
      </c>
      <c r="AY11" s="104">
        <f t="shared" si="62"/>
        <v>0</v>
      </c>
      <c r="AZ11" s="102"/>
      <c r="BA11" s="1">
        <v>5</v>
      </c>
      <c r="BB11" s="104">
        <f t="shared" si="63"/>
        <v>0</v>
      </c>
      <c r="BC11" s="102"/>
      <c r="BD11" s="1">
        <v>5</v>
      </c>
      <c r="BE11" s="104">
        <f t="shared" si="64"/>
        <v>0</v>
      </c>
      <c r="BF11" s="102"/>
      <c r="BG11" s="1">
        <v>5</v>
      </c>
      <c r="BH11" s="104">
        <f t="shared" si="65"/>
        <v>0</v>
      </c>
      <c r="BI11" s="102"/>
      <c r="BJ11" s="1">
        <v>5</v>
      </c>
      <c r="BK11" s="104">
        <f t="shared" si="66"/>
        <v>0</v>
      </c>
      <c r="BL11" s="102"/>
      <c r="BM11" s="1">
        <v>5</v>
      </c>
      <c r="BN11" s="104">
        <f t="shared" si="67"/>
        <v>0</v>
      </c>
      <c r="BO11" s="102"/>
      <c r="BP11" s="1">
        <v>5</v>
      </c>
      <c r="BQ11" s="104">
        <f t="shared" si="68"/>
        <v>0</v>
      </c>
      <c r="BR11" s="102"/>
      <c r="BS11" s="1">
        <v>5</v>
      </c>
      <c r="BT11" s="104">
        <f t="shared" si="69"/>
        <v>0</v>
      </c>
      <c r="BU11" s="102"/>
      <c r="BV11" s="1">
        <v>5</v>
      </c>
      <c r="BW11" s="104">
        <f t="shared" si="70"/>
        <v>0</v>
      </c>
      <c r="BX11" s="102"/>
      <c r="BY11" s="1">
        <v>5</v>
      </c>
      <c r="BZ11" s="104">
        <f t="shared" si="71"/>
        <v>0</v>
      </c>
      <c r="CA11" s="102"/>
      <c r="CB11" s="1">
        <v>5</v>
      </c>
      <c r="CC11" s="104">
        <f t="shared" si="72"/>
        <v>0</v>
      </c>
      <c r="CD11" s="102"/>
      <c r="CE11" s="1">
        <v>5</v>
      </c>
      <c r="CF11" s="104">
        <f t="shared" si="73"/>
        <v>0</v>
      </c>
      <c r="CG11" s="102"/>
      <c r="CH11" s="1">
        <v>5</v>
      </c>
      <c r="CI11" s="104">
        <f t="shared" si="74"/>
        <v>0</v>
      </c>
      <c r="CJ11" s="102"/>
      <c r="CK11" s="1">
        <v>5</v>
      </c>
      <c r="CL11" s="104">
        <f t="shared" si="75"/>
        <v>0</v>
      </c>
      <c r="CM11" s="102"/>
      <c r="CN11" s="1">
        <v>5</v>
      </c>
      <c r="CO11" s="104">
        <f t="shared" si="76"/>
        <v>0</v>
      </c>
      <c r="CP11" s="102"/>
      <c r="CQ11" s="1">
        <v>5</v>
      </c>
      <c r="CR11" s="104">
        <f t="shared" si="77"/>
        <v>0</v>
      </c>
      <c r="CS11" s="102"/>
      <c r="CT11" s="1">
        <v>5</v>
      </c>
      <c r="CU11" s="104">
        <f t="shared" si="78"/>
        <v>0</v>
      </c>
      <c r="CV11" s="102"/>
      <c r="CW11" s="1">
        <v>5</v>
      </c>
      <c r="CX11" s="104">
        <f t="shared" si="79"/>
        <v>0</v>
      </c>
      <c r="CY11" s="102"/>
      <c r="CZ11" s="1">
        <v>5</v>
      </c>
      <c r="DA11" s="104">
        <f t="shared" si="80"/>
        <v>0</v>
      </c>
      <c r="DB11" s="102"/>
      <c r="DC11" s="1">
        <v>5</v>
      </c>
      <c r="DD11" s="104">
        <f t="shared" si="81"/>
        <v>0</v>
      </c>
      <c r="DE11" s="102"/>
      <c r="DF11" s="1">
        <v>5</v>
      </c>
      <c r="DG11" s="104">
        <f t="shared" si="82"/>
        <v>0</v>
      </c>
      <c r="DH11" s="102"/>
      <c r="DI11" s="1">
        <v>5</v>
      </c>
      <c r="DJ11" s="104">
        <f t="shared" si="83"/>
        <v>0</v>
      </c>
      <c r="DK11" s="102"/>
      <c r="DL11" s="1">
        <v>5</v>
      </c>
      <c r="DM11" s="104">
        <f t="shared" si="84"/>
        <v>0</v>
      </c>
      <c r="DN11" s="102"/>
      <c r="DO11" s="1">
        <v>5</v>
      </c>
      <c r="DP11" s="104">
        <f t="shared" si="85"/>
        <v>0</v>
      </c>
      <c r="DQ11" s="102"/>
      <c r="DR11" s="1">
        <v>5</v>
      </c>
      <c r="DS11" s="104">
        <f t="shared" si="86"/>
        <v>0</v>
      </c>
      <c r="DT11" s="102"/>
      <c r="DU11" s="1">
        <v>5</v>
      </c>
      <c r="DV11" s="104">
        <f t="shared" si="87"/>
        <v>0</v>
      </c>
      <c r="DW11" s="102"/>
      <c r="DX11" s="1">
        <v>5</v>
      </c>
      <c r="DY11" s="104">
        <f t="shared" si="88"/>
        <v>0</v>
      </c>
      <c r="DZ11" s="102"/>
      <c r="EA11" s="1">
        <v>5</v>
      </c>
      <c r="EB11" s="104">
        <f t="shared" si="89"/>
        <v>0</v>
      </c>
      <c r="EC11" s="102"/>
      <c r="ED11" s="1">
        <v>5</v>
      </c>
      <c r="EE11" s="104">
        <f t="shared" si="90"/>
        <v>0</v>
      </c>
      <c r="EF11" s="102"/>
      <c r="EG11" s="1">
        <v>5</v>
      </c>
      <c r="EH11" s="104">
        <f t="shared" si="91"/>
        <v>0</v>
      </c>
      <c r="EI11" s="102"/>
      <c r="EJ11" s="1">
        <v>5</v>
      </c>
      <c r="EK11" s="104">
        <f t="shared" si="92"/>
        <v>0</v>
      </c>
      <c r="EL11" s="102"/>
      <c r="EM11" s="1">
        <v>5</v>
      </c>
      <c r="EN11" s="104">
        <f t="shared" si="93"/>
        <v>0</v>
      </c>
      <c r="EO11" s="90">
        <v>0</v>
      </c>
      <c r="EP11" s="96">
        <v>5</v>
      </c>
      <c r="EQ11" s="104">
        <f>IFERROR(EO11/EP11,0)</f>
        <v>0</v>
      </c>
      <c r="ER11" s="85">
        <f t="array" ref="ER11">IFERROR(_xlfn.LET(
_xlpm.datos,CHOOSE({1;2;3;4;5;6;7;8;9;10;11;12;13;13;14;15;16;17;18;19;20;21;22;23;23;24;25;26;27;28;29;30;31;32;33;34;35;36;37;38;39;40;41;42;43;44;45;46;47;48},F11,I11,L11,O11,R11,U11,X11,AA11,AD11,AG11,AJ11,AM11,AP11,AS11,AV11,AY11,BB11,BE11,BH11,BK11,BN11,BQ11,BT11,BW11,BZ11,CC11,CF11,CI11,CL11,CO11,CR11,CU11,CX11,DA11,DD11,DG11,DJ11,DM11,DP11,DS11,DV11,DY11,EB11,EE11,EH11,EK11,EN11,EQ11),
AVERAGE(_xlfn._xlws.FILTER(_xlpm.datos,(_xlpm.datos&lt;&gt;0)*(_xlpm.datos&lt;&gt;"")))
),0)</f>
        <v>0</v>
      </c>
      <c r="ES11" s="162" t="str">
        <f t="array" ref="ES11">_xlfn.IFS(ER11&gt;=91.5%,"MENSUAL",ER11&gt;=75%,"QUINCENAL",ER11&lt;75%,"SEMANAL")</f>
        <v>SEMANAL</v>
      </c>
      <c r="ET11" s="19"/>
    </row>
    <row r="12" ht="22" customHeight="1" spans="2:150" x14ac:dyDescent="0.25">
      <c r="B12" s="171" t="s">
        <v>186</v>
      </c>
      <c r="C12" s="228"/>
      <c r="D12" s="102"/>
      <c r="E12" s="103">
        <v>5</v>
      </c>
      <c r="F12" s="104">
        <f t="shared" si="47"/>
        <v>0</v>
      </c>
      <c r="G12" s="102"/>
      <c r="H12" s="103">
        <v>5</v>
      </c>
      <c r="I12" s="104">
        <f t="shared" si="48"/>
        <v>0</v>
      </c>
      <c r="J12" s="105"/>
      <c r="K12" s="103">
        <v>5</v>
      </c>
      <c r="L12" s="104">
        <f t="shared" si="49"/>
        <v>0</v>
      </c>
      <c r="M12" s="105"/>
      <c r="N12" s="103">
        <v>5</v>
      </c>
      <c r="O12" s="104">
        <f t="shared" si="50"/>
        <v>0</v>
      </c>
      <c r="P12" s="106"/>
      <c r="Q12" s="107">
        <v>5</v>
      </c>
      <c r="R12" s="104">
        <f t="shared" si="51"/>
        <v>0</v>
      </c>
      <c r="S12" s="102"/>
      <c r="T12" s="107">
        <v>5</v>
      </c>
      <c r="U12" s="104">
        <f t="shared" si="52"/>
        <v>0</v>
      </c>
      <c r="V12" s="102"/>
      <c r="W12" s="107">
        <v>5</v>
      </c>
      <c r="X12" s="104">
        <f t="shared" si="53"/>
        <v>0</v>
      </c>
      <c r="Y12" s="102"/>
      <c r="Z12" s="107">
        <v>5</v>
      </c>
      <c r="AA12" s="104">
        <f t="shared" si="54"/>
        <v>0</v>
      </c>
      <c r="AB12" s="106"/>
      <c r="AC12" s="107">
        <v>5</v>
      </c>
      <c r="AD12" s="104">
        <f t="shared" si="55"/>
        <v>0</v>
      </c>
      <c r="AE12" s="106"/>
      <c r="AF12" s="107">
        <v>5</v>
      </c>
      <c r="AG12" s="104">
        <f t="shared" si="56"/>
        <v>0</v>
      </c>
      <c r="AH12" s="106"/>
      <c r="AI12" s="107">
        <v>5</v>
      </c>
      <c r="AJ12" s="104">
        <f t="shared" si="57"/>
        <v>0</v>
      </c>
      <c r="AK12" s="106"/>
      <c r="AL12" s="107">
        <v>5</v>
      </c>
      <c r="AM12" s="104">
        <f t="shared" si="58"/>
        <v>0</v>
      </c>
      <c r="AN12" s="102"/>
      <c r="AO12" s="1">
        <v>5</v>
      </c>
      <c r="AP12" s="104">
        <f t="shared" si="59"/>
        <v>0</v>
      </c>
      <c r="AQ12" s="102"/>
      <c r="AR12" s="1">
        <v>5</v>
      </c>
      <c r="AS12" s="104">
        <f t="shared" si="60"/>
        <v>0</v>
      </c>
      <c r="AT12" s="102"/>
      <c r="AU12" s="1">
        <v>5</v>
      </c>
      <c r="AV12" s="104">
        <f t="shared" si="61"/>
        <v>0</v>
      </c>
      <c r="AW12" s="102"/>
      <c r="AX12" s="1">
        <v>5</v>
      </c>
      <c r="AY12" s="104">
        <f t="shared" si="62"/>
        <v>0</v>
      </c>
      <c r="AZ12" s="102"/>
      <c r="BA12" s="1">
        <v>5</v>
      </c>
      <c r="BB12" s="104">
        <f t="shared" si="63"/>
        <v>0</v>
      </c>
      <c r="BC12" s="102"/>
      <c r="BD12" s="1">
        <v>5</v>
      </c>
      <c r="BE12" s="104">
        <f t="shared" si="64"/>
        <v>0</v>
      </c>
      <c r="BF12" s="102"/>
      <c r="BG12" s="1">
        <v>5</v>
      </c>
      <c r="BH12" s="104">
        <f t="shared" si="65"/>
        <v>0</v>
      </c>
      <c r="BI12" s="102"/>
      <c r="BJ12" s="1">
        <v>5</v>
      </c>
      <c r="BK12" s="104">
        <f t="shared" si="66"/>
        <v>0</v>
      </c>
      <c r="BL12" s="102"/>
      <c r="BM12" s="1">
        <v>5</v>
      </c>
      <c r="BN12" s="104">
        <f t="shared" si="67"/>
        <v>0</v>
      </c>
      <c r="BO12" s="102"/>
      <c r="BP12" s="1">
        <v>5</v>
      </c>
      <c r="BQ12" s="104">
        <f t="shared" si="68"/>
        <v>0</v>
      </c>
      <c r="BR12" s="102"/>
      <c r="BS12" s="1">
        <v>5</v>
      </c>
      <c r="BT12" s="104">
        <f t="shared" si="69"/>
        <v>0</v>
      </c>
      <c r="BU12" s="102"/>
      <c r="BV12" s="1">
        <v>5</v>
      </c>
      <c r="BW12" s="104">
        <f t="shared" si="70"/>
        <v>0</v>
      </c>
      <c r="BX12" s="102"/>
      <c r="BY12" s="1">
        <v>5</v>
      </c>
      <c r="BZ12" s="104">
        <f t="shared" si="71"/>
        <v>0</v>
      </c>
      <c r="CA12" s="102"/>
      <c r="CB12" s="1">
        <v>5</v>
      </c>
      <c r="CC12" s="104">
        <f t="shared" si="72"/>
        <v>0</v>
      </c>
      <c r="CD12" s="102"/>
      <c r="CE12" s="1">
        <v>5</v>
      </c>
      <c r="CF12" s="104">
        <f t="shared" si="73"/>
        <v>0</v>
      </c>
      <c r="CG12" s="102"/>
      <c r="CH12" s="1">
        <v>5</v>
      </c>
      <c r="CI12" s="104">
        <f t="shared" si="74"/>
        <v>0</v>
      </c>
      <c r="CJ12" s="102"/>
      <c r="CK12" s="1">
        <v>5</v>
      </c>
      <c r="CL12" s="104">
        <f t="shared" si="75"/>
        <v>0</v>
      </c>
      <c r="CM12" s="102"/>
      <c r="CN12" s="1">
        <v>5</v>
      </c>
      <c r="CO12" s="104">
        <f t="shared" si="76"/>
        <v>0</v>
      </c>
      <c r="CP12" s="102"/>
      <c r="CQ12" s="1">
        <v>5</v>
      </c>
      <c r="CR12" s="104">
        <f t="shared" si="77"/>
        <v>0</v>
      </c>
      <c r="CS12" s="102"/>
      <c r="CT12" s="1">
        <v>5</v>
      </c>
      <c r="CU12" s="104">
        <f t="shared" si="78"/>
        <v>0</v>
      </c>
      <c r="CV12" s="102"/>
      <c r="CW12" s="1">
        <v>5</v>
      </c>
      <c r="CX12" s="104">
        <f t="shared" si="79"/>
        <v>0</v>
      </c>
      <c r="CY12" s="102"/>
      <c r="CZ12" s="1">
        <v>5</v>
      </c>
      <c r="DA12" s="104">
        <f t="shared" si="80"/>
        <v>0</v>
      </c>
      <c r="DB12" s="102"/>
      <c r="DC12" s="1">
        <v>5</v>
      </c>
      <c r="DD12" s="104">
        <f t="shared" si="81"/>
        <v>0</v>
      </c>
      <c r="DE12" s="102"/>
      <c r="DF12" s="1">
        <v>5</v>
      </c>
      <c r="DG12" s="104">
        <f t="shared" si="82"/>
        <v>0</v>
      </c>
      <c r="DH12" s="102"/>
      <c r="DI12" s="1">
        <v>5</v>
      </c>
      <c r="DJ12" s="104">
        <f t="shared" si="83"/>
        <v>0</v>
      </c>
      <c r="DK12" s="102"/>
      <c r="DL12" s="1">
        <v>5</v>
      </c>
      <c r="DM12" s="104">
        <f t="shared" si="84"/>
        <v>0</v>
      </c>
      <c r="DN12" s="102"/>
      <c r="DO12" s="1">
        <v>5</v>
      </c>
      <c r="DP12" s="104">
        <f t="shared" si="85"/>
        <v>0</v>
      </c>
      <c r="DQ12" s="102"/>
      <c r="DR12" s="1">
        <v>5</v>
      </c>
      <c r="DS12" s="104">
        <f t="shared" si="86"/>
        <v>0</v>
      </c>
      <c r="DT12" s="102"/>
      <c r="DU12" s="1">
        <v>5</v>
      </c>
      <c r="DV12" s="104">
        <f t="shared" si="87"/>
        <v>0</v>
      </c>
      <c r="DW12" s="102"/>
      <c r="DX12" s="1">
        <v>5</v>
      </c>
      <c r="DY12" s="104">
        <f t="shared" si="88"/>
        <v>0</v>
      </c>
      <c r="DZ12" s="102"/>
      <c r="EA12" s="1">
        <v>5</v>
      </c>
      <c r="EB12" s="104">
        <f t="shared" si="89"/>
        <v>0</v>
      </c>
      <c r="EC12" s="102"/>
      <c r="ED12" s="1">
        <v>5</v>
      </c>
      <c r="EE12" s="104">
        <f t="shared" si="90"/>
        <v>0</v>
      </c>
      <c r="EF12" s="102"/>
      <c r="EG12" s="1">
        <v>5</v>
      </c>
      <c r="EH12" s="104">
        <f t="shared" si="91"/>
        <v>0</v>
      </c>
      <c r="EI12" s="102"/>
      <c r="EJ12" s="1">
        <v>5</v>
      </c>
      <c r="EK12" s="104">
        <f t="shared" si="92"/>
        <v>0</v>
      </c>
      <c r="EL12" s="102"/>
      <c r="EM12" s="1">
        <v>5</v>
      </c>
      <c r="EN12" s="104">
        <f t="shared" si="93"/>
        <v>0</v>
      </c>
      <c r="EO12" s="90">
        <v>0</v>
      </c>
      <c r="EP12" s="96">
        <v>5</v>
      </c>
      <c r="EQ12" s="104">
        <f>IFERROR(EO12/EP12,0)</f>
        <v>0</v>
      </c>
      <c r="ER12" s="85">
        <f t="array" ref="ER12">IFERROR(_xlfn.LET(
_xlpm.datos,CHOOSE({1;2;3;4;5;6;7;8;9;10;11;12;13;13;14;15;16;17;18;19;20;21;22;23;23;24;25;26;27;28;29;30;31;32;33;34;35;36;37;38;39;40;41;42;43;44;45;46;47;48},F12,I12,L12,O12,R12,U12,X12,AA12,AD12,AG12,AJ12,AM12,AP12,AS12,AV12,AY12,BB12,BE12,BH12,BK12,BN12,BQ12,BT12,BW12,BZ12,CC12,CF12,CI12,CL12,CO12,CR12,CU12,CX12,DA12,DD12,DG12,DJ12,DM12,DP12,DS12,DV12,DY12,EB12,EE12,EH12,EK12,EN12,EQ12),
AVERAGE(_xlfn._xlws.FILTER(_xlpm.datos,(_xlpm.datos&lt;&gt;0)*(_xlpm.datos&lt;&gt;"")))
),0)</f>
        <v>0</v>
      </c>
      <c r="ES12" s="162" t="str">
        <f t="array" ref="ES12">_xlfn.IFS(ER12&gt;=91.5%,"MENSUAL",ER12&gt;=75%,"QUINCENAL",ER12&lt;75%,"SEMANAL")</f>
        <v>SEMANAL</v>
      </c>
      <c r="ET12" s="212"/>
    </row>
    <row r="13" ht="16" customHeight="1" spans="2:150" x14ac:dyDescent="0.25">
      <c r="B13" s="176" t="s">
        <v>187</v>
      </c>
      <c r="C13" s="228"/>
      <c r="D13" s="102"/>
      <c r="E13" s="103">
        <v>5</v>
      </c>
      <c r="F13" s="104">
        <f t="shared" si="47"/>
        <v>0</v>
      </c>
      <c r="G13" s="102"/>
      <c r="H13" s="103">
        <v>5</v>
      </c>
      <c r="I13" s="104">
        <f t="shared" si="48"/>
        <v>0</v>
      </c>
      <c r="J13" s="105"/>
      <c r="K13" s="103">
        <v>5</v>
      </c>
      <c r="L13" s="104">
        <f t="shared" si="49"/>
        <v>0</v>
      </c>
      <c r="M13" s="105"/>
      <c r="N13" s="103">
        <v>5</v>
      </c>
      <c r="O13" s="104">
        <f t="shared" si="50"/>
        <v>0</v>
      </c>
      <c r="P13" s="106"/>
      <c r="Q13" s="107">
        <v>5</v>
      </c>
      <c r="R13" s="104">
        <f t="shared" si="51"/>
        <v>0</v>
      </c>
      <c r="S13" s="102"/>
      <c r="T13" s="107">
        <v>5</v>
      </c>
      <c r="U13" s="104">
        <f t="shared" si="52"/>
        <v>0</v>
      </c>
      <c r="V13" s="102"/>
      <c r="W13" s="107">
        <v>5</v>
      </c>
      <c r="X13" s="104">
        <f t="shared" si="53"/>
        <v>0</v>
      </c>
      <c r="Y13" s="102"/>
      <c r="Z13" s="107">
        <v>5</v>
      </c>
      <c r="AA13" s="104">
        <f t="shared" si="54"/>
        <v>0</v>
      </c>
      <c r="AB13" s="106"/>
      <c r="AC13" s="107">
        <v>5</v>
      </c>
      <c r="AD13" s="104">
        <f t="shared" si="55"/>
        <v>0</v>
      </c>
      <c r="AE13" s="106"/>
      <c r="AF13" s="107">
        <v>5</v>
      </c>
      <c r="AG13" s="104">
        <f t="shared" si="56"/>
        <v>0</v>
      </c>
      <c r="AH13" s="106"/>
      <c r="AI13" s="107">
        <v>5</v>
      </c>
      <c r="AJ13" s="104">
        <f t="shared" si="57"/>
        <v>0</v>
      </c>
      <c r="AK13" s="106"/>
      <c r="AL13" s="107">
        <v>5</v>
      </c>
      <c r="AM13" s="104">
        <f t="shared" si="58"/>
        <v>0</v>
      </c>
      <c r="AN13" s="102"/>
      <c r="AO13" s="1">
        <v>5</v>
      </c>
      <c r="AP13" s="104">
        <f t="shared" si="59"/>
        <v>0</v>
      </c>
      <c r="AQ13" s="102"/>
      <c r="AR13" s="1">
        <v>5</v>
      </c>
      <c r="AS13" s="104">
        <f t="shared" si="60"/>
        <v>0</v>
      </c>
      <c r="AT13" s="102"/>
      <c r="AU13" s="1">
        <v>5</v>
      </c>
      <c r="AV13" s="104">
        <f t="shared" si="61"/>
        <v>0</v>
      </c>
      <c r="AW13" s="102"/>
      <c r="AX13" s="1">
        <v>5</v>
      </c>
      <c r="AY13" s="104">
        <f t="shared" si="62"/>
        <v>0</v>
      </c>
      <c r="AZ13" s="102"/>
      <c r="BA13" s="1">
        <v>5</v>
      </c>
      <c r="BB13" s="104">
        <f t="shared" si="63"/>
        <v>0</v>
      </c>
      <c r="BC13" s="102"/>
      <c r="BD13" s="1">
        <v>5</v>
      </c>
      <c r="BE13" s="104">
        <f t="shared" si="64"/>
        <v>0</v>
      </c>
      <c r="BF13" s="102"/>
      <c r="BG13" s="1">
        <v>5</v>
      </c>
      <c r="BH13" s="104">
        <f t="shared" si="65"/>
        <v>0</v>
      </c>
      <c r="BI13" s="102"/>
      <c r="BJ13" s="1">
        <v>5</v>
      </c>
      <c r="BK13" s="104">
        <f t="shared" si="66"/>
        <v>0</v>
      </c>
      <c r="BL13" s="102"/>
      <c r="BM13" s="1">
        <v>5</v>
      </c>
      <c r="BN13" s="104">
        <f t="shared" si="67"/>
        <v>0</v>
      </c>
      <c r="BO13" s="102"/>
      <c r="BP13" s="1">
        <v>5</v>
      </c>
      <c r="BQ13" s="104">
        <f t="shared" si="68"/>
        <v>0</v>
      </c>
      <c r="BR13" s="102"/>
      <c r="BS13" s="1">
        <v>5</v>
      </c>
      <c r="BT13" s="104">
        <f t="shared" si="69"/>
        <v>0</v>
      </c>
      <c r="BU13" s="102"/>
      <c r="BV13" s="1">
        <v>5</v>
      </c>
      <c r="BW13" s="104">
        <f t="shared" si="70"/>
        <v>0</v>
      </c>
      <c r="BX13" s="102"/>
      <c r="BY13" s="1">
        <v>5</v>
      </c>
      <c r="BZ13" s="104">
        <f t="shared" si="71"/>
        <v>0</v>
      </c>
      <c r="CA13" s="102"/>
      <c r="CB13" s="1">
        <v>5</v>
      </c>
      <c r="CC13" s="104">
        <f t="shared" si="72"/>
        <v>0</v>
      </c>
      <c r="CD13" s="102"/>
      <c r="CE13" s="1">
        <v>5</v>
      </c>
      <c r="CF13" s="104">
        <f t="shared" si="73"/>
        <v>0</v>
      </c>
      <c r="CG13" s="102"/>
      <c r="CH13" s="1">
        <v>5</v>
      </c>
      <c r="CI13" s="104">
        <f t="shared" si="74"/>
        <v>0</v>
      </c>
      <c r="CJ13" s="102"/>
      <c r="CK13" s="1">
        <v>5</v>
      </c>
      <c r="CL13" s="104">
        <f t="shared" si="75"/>
        <v>0</v>
      </c>
      <c r="CM13" s="102"/>
      <c r="CN13" s="1">
        <v>5</v>
      </c>
      <c r="CO13" s="104">
        <f t="shared" si="76"/>
        <v>0</v>
      </c>
      <c r="CP13" s="102"/>
      <c r="CQ13" s="1">
        <v>5</v>
      </c>
      <c r="CR13" s="104">
        <f t="shared" si="77"/>
        <v>0</v>
      </c>
      <c r="CS13" s="102"/>
      <c r="CT13" s="1">
        <v>5</v>
      </c>
      <c r="CU13" s="104">
        <f t="shared" si="78"/>
        <v>0</v>
      </c>
      <c r="CV13" s="102"/>
      <c r="CW13" s="1">
        <v>5</v>
      </c>
      <c r="CX13" s="104">
        <f t="shared" si="79"/>
        <v>0</v>
      </c>
      <c r="CY13" s="102"/>
      <c r="CZ13" s="1">
        <v>5</v>
      </c>
      <c r="DA13" s="104">
        <f t="shared" si="80"/>
        <v>0</v>
      </c>
      <c r="DB13" s="102"/>
      <c r="DC13" s="1">
        <v>5</v>
      </c>
      <c r="DD13" s="104">
        <f t="shared" si="81"/>
        <v>0</v>
      </c>
      <c r="DE13" s="102"/>
      <c r="DF13" s="1">
        <v>5</v>
      </c>
      <c r="DG13" s="104">
        <f t="shared" si="82"/>
        <v>0</v>
      </c>
      <c r="DH13" s="102"/>
      <c r="DI13" s="1">
        <v>5</v>
      </c>
      <c r="DJ13" s="104">
        <f t="shared" si="83"/>
        <v>0</v>
      </c>
      <c r="DK13" s="102"/>
      <c r="DL13" s="1">
        <v>5</v>
      </c>
      <c r="DM13" s="104">
        <f t="shared" si="84"/>
        <v>0</v>
      </c>
      <c r="DN13" s="102"/>
      <c r="DO13" s="1">
        <v>5</v>
      </c>
      <c r="DP13" s="104">
        <f t="shared" si="85"/>
        <v>0</v>
      </c>
      <c r="DQ13" s="102"/>
      <c r="DR13" s="1">
        <v>5</v>
      </c>
      <c r="DS13" s="104">
        <f t="shared" si="86"/>
        <v>0</v>
      </c>
      <c r="DT13" s="102"/>
      <c r="DU13" s="1">
        <v>5</v>
      </c>
      <c r="DV13" s="104">
        <f t="shared" si="87"/>
        <v>0</v>
      </c>
      <c r="DW13" s="102"/>
      <c r="DX13" s="1">
        <v>5</v>
      </c>
      <c r="DY13" s="104">
        <f t="shared" si="88"/>
        <v>0</v>
      </c>
      <c r="DZ13" s="102"/>
      <c r="EA13" s="1">
        <v>5</v>
      </c>
      <c r="EB13" s="104">
        <f t="shared" si="89"/>
        <v>0</v>
      </c>
      <c r="EC13" s="102"/>
      <c r="ED13" s="1">
        <v>5</v>
      </c>
      <c r="EE13" s="104">
        <f t="shared" si="90"/>
        <v>0</v>
      </c>
      <c r="EF13" s="102"/>
      <c r="EG13" s="1">
        <v>5</v>
      </c>
      <c r="EH13" s="104">
        <f t="shared" si="91"/>
        <v>0</v>
      </c>
      <c r="EI13" s="102"/>
      <c r="EJ13" s="1">
        <v>5</v>
      </c>
      <c r="EK13" s="104">
        <f t="shared" si="92"/>
        <v>0</v>
      </c>
      <c r="EL13" s="102"/>
      <c r="EM13" s="1">
        <v>5</v>
      </c>
      <c r="EN13" s="104">
        <f t="shared" si="93"/>
        <v>0</v>
      </c>
      <c r="EO13" s="90">
        <v>0</v>
      </c>
      <c r="EP13" s="96">
        <v>5</v>
      </c>
      <c r="EQ13" s="104">
        <f>IFERROR(EO13/EP13,0)</f>
        <v>0</v>
      </c>
      <c r="ER13" s="85">
        <f t="array" ref="ER13">IFERROR(_xlfn.LET(
_xlpm.datos,CHOOSE({1;2;3;4;5;6;7;8;9;10;11;12;13;13;14;15;16;17;18;19;20;21;22;23;23;24;25;26;27;28;29;30;31;32;33;34;35;36;37;38;39;40;41;42;43;44;45;46;47;48},F13,I13,L13,O13,R13,U13,X13,AA13,AD13,AG13,AJ13,AM13,AP13,AS13,AV13,AY13,BB13,BE13,BH13,BK13,BN13,BQ13,BT13,BW13,BZ13,CC13,CF13,CI13,CL13,CO13,CR13,CU13,CX13,DA13,DD13,DG13,DJ13,DM13,DP13,DS13,DV13,DY13,EB13,EE13,EH13,EK13,EN13,EQ13),
AVERAGE(_xlfn._xlws.FILTER(_xlpm.datos,(_xlpm.datos&lt;&gt;0)*(_xlpm.datos&lt;&gt;"")))
),0)</f>
        <v>0</v>
      </c>
      <c r="ES13" s="162" t="str">
        <f t="array" ref="ES13">_xlfn.IFS(ER13&gt;=91.5%,"MENSUAL",ER13&gt;=75%,"QUINCENAL",ER13&lt;75%,"SEMANAL")</f>
        <v>SEMANAL</v>
      </c>
      <c r="ET13" s="19"/>
    </row>
    <row r="14" ht="15.5" customHeight="1" spans="1:507" s="229" customFormat="1" x14ac:dyDescent="0.25">
      <c r="A14" s="230"/>
      <c r="B14" s="231" t="s">
        <v>188</v>
      </c>
      <c r="C14" s="127"/>
      <c r="D14" s="126"/>
      <c r="E14" s="136"/>
      <c r="F14" s="223">
        <f>AVERAGE(F15:F17)</f>
        <v>0</v>
      </c>
      <c r="G14" s="126"/>
      <c r="H14" s="136"/>
      <c r="I14" s="223">
        <f>AVERAGE(I15:I17)</f>
        <v>0</v>
      </c>
      <c r="J14" s="126"/>
      <c r="K14" s="136"/>
      <c r="L14" s="223">
        <f>AVERAGE(L15:L17)</f>
        <v>0</v>
      </c>
      <c r="M14" s="126"/>
      <c r="N14" s="136"/>
      <c r="O14" s="223">
        <f>AVERAGE(O15:O17)</f>
        <v>0</v>
      </c>
      <c r="P14" s="126"/>
      <c r="Q14" s="136"/>
      <c r="R14" s="223">
        <f>AVERAGE(R15:R17)</f>
        <v>0</v>
      </c>
      <c r="S14" s="126"/>
      <c r="T14" s="136"/>
      <c r="U14" s="223">
        <f>AVERAGE(U15:U17)</f>
        <v>0</v>
      </c>
      <c r="V14" s="126"/>
      <c r="W14" s="136"/>
      <c r="X14" s="223">
        <f>AVERAGE(X15:X17)</f>
        <v>0</v>
      </c>
      <c r="Y14" s="126"/>
      <c r="Z14" s="136"/>
      <c r="AA14" s="223">
        <f>AVERAGE(AA15:AA17)</f>
        <v>0</v>
      </c>
      <c r="AB14" s="126"/>
      <c r="AC14" s="136"/>
      <c r="AD14" s="223">
        <f>AVERAGE(AD15:AD17)</f>
        <v>0</v>
      </c>
      <c r="AE14" s="126"/>
      <c r="AF14" s="136"/>
      <c r="AG14" s="223">
        <f>AVERAGE(AG15:AG17)</f>
        <v>0</v>
      </c>
      <c r="AH14" s="126"/>
      <c r="AI14" s="136"/>
      <c r="AJ14" s="223">
        <f>AVERAGE(AJ15:AJ17)</f>
        <v>0</v>
      </c>
      <c r="AK14" s="126"/>
      <c r="AL14" s="136"/>
      <c r="AM14" s="223">
        <f>AVERAGE(AM15:AM17)</f>
        <v>0</v>
      </c>
      <c r="AN14" s="126"/>
      <c r="AO14" s="136"/>
      <c r="AP14" s="223">
        <f>AVERAGE(AP15:AP17)</f>
        <v>0</v>
      </c>
      <c r="AQ14" s="126"/>
      <c r="AR14" s="136"/>
      <c r="AS14" s="223">
        <f>AVERAGE(AS15:AS17)</f>
        <v>0</v>
      </c>
      <c r="AT14" s="126"/>
      <c r="AU14" s="136"/>
      <c r="AV14" s="223">
        <f>AVERAGE(AV15:AV17)</f>
        <v>0</v>
      </c>
      <c r="AW14" s="126"/>
      <c r="AX14" s="136"/>
      <c r="AY14" s="223">
        <f>AVERAGE(AY15:AY17)</f>
        <v>0</v>
      </c>
      <c r="AZ14" s="126"/>
      <c r="BA14" s="136"/>
      <c r="BB14" s="223">
        <f>AVERAGE(BB15:BB17)</f>
        <v>0</v>
      </c>
      <c r="BC14" s="126"/>
      <c r="BD14" s="136"/>
      <c r="BE14" s="223">
        <f>AVERAGE(BE15:BE17)</f>
        <v>0</v>
      </c>
      <c r="BF14" s="126"/>
      <c r="BG14" s="136"/>
      <c r="BH14" s="223">
        <f>AVERAGE(BH15:BH17)</f>
        <v>0</v>
      </c>
      <c r="BI14" s="126"/>
      <c r="BJ14" s="136"/>
      <c r="BK14" s="223">
        <f>AVERAGE(BK15:BK17)</f>
        <v>0</v>
      </c>
      <c r="BL14" s="126"/>
      <c r="BM14" s="136"/>
      <c r="BN14" s="223">
        <f>AVERAGE(BN15:BN17)</f>
        <v>0</v>
      </c>
      <c r="BO14" s="126"/>
      <c r="BP14" s="136"/>
      <c r="BQ14" s="223">
        <f>AVERAGE(BQ15:BQ17)</f>
        <v>0</v>
      </c>
      <c r="BR14" s="126"/>
      <c r="BS14" s="136"/>
      <c r="BT14" s="223">
        <f>AVERAGE(BT15:BT17)</f>
        <v>0</v>
      </c>
      <c r="BU14" s="126"/>
      <c r="BV14" s="136"/>
      <c r="BW14" s="223">
        <f>AVERAGE(BW15:BW17)</f>
        <v>0</v>
      </c>
      <c r="BX14" s="126"/>
      <c r="BY14" s="136"/>
      <c r="BZ14" s="223">
        <f>AVERAGE(BZ15:BZ17)</f>
        <v>0</v>
      </c>
      <c r="CA14" s="126"/>
      <c r="CB14" s="136"/>
      <c r="CC14" s="223">
        <f>AVERAGE(CC15:CC17)</f>
        <v>0</v>
      </c>
      <c r="CD14" s="126"/>
      <c r="CE14" s="136"/>
      <c r="CF14" s="223">
        <f>AVERAGE(CF15:CF17)</f>
        <v>0</v>
      </c>
      <c r="CG14" s="126"/>
      <c r="CH14" s="136"/>
      <c r="CI14" s="223">
        <f>AVERAGE(CI15:CI17)</f>
        <v>0</v>
      </c>
      <c r="CJ14" s="126"/>
      <c r="CK14" s="136"/>
      <c r="CL14" s="223">
        <f>AVERAGE(CL15:CL17)</f>
        <v>0</v>
      </c>
      <c r="CM14" s="126"/>
      <c r="CN14" s="136"/>
      <c r="CO14" s="223">
        <f>AVERAGE(CO15:CO17)</f>
        <v>0</v>
      </c>
      <c r="CP14" s="126"/>
      <c r="CQ14" s="136"/>
      <c r="CR14" s="223">
        <f>AVERAGE(CR15:CR17)</f>
        <v>0</v>
      </c>
      <c r="CS14" s="126"/>
      <c r="CT14" s="136"/>
      <c r="CU14" s="223">
        <f>AVERAGE(CU15:CU17)</f>
        <v>0</v>
      </c>
      <c r="CV14" s="126"/>
      <c r="CW14" s="136"/>
      <c r="CX14" s="223">
        <f>AVERAGE(CX15:CX17)</f>
        <v>0</v>
      </c>
      <c r="CY14" s="126"/>
      <c r="CZ14" s="136"/>
      <c r="DA14" s="223">
        <f>AVERAGE(DA15:DA17)</f>
        <v>0</v>
      </c>
      <c r="DB14" s="126"/>
      <c r="DC14" s="136"/>
      <c r="DD14" s="223">
        <f>AVERAGE(DD15:DD17)</f>
        <v>0</v>
      </c>
      <c r="DE14" s="126"/>
      <c r="DF14" s="136"/>
      <c r="DG14" s="224">
        <f>AVERAGE(DG15:DG17)</f>
        <v>0</v>
      </c>
      <c r="DH14" s="126"/>
      <c r="DI14" s="136"/>
      <c r="DJ14" s="223">
        <f>AVERAGE(DJ15:DJ17)</f>
        <v>0</v>
      </c>
      <c r="DK14" s="126"/>
      <c r="DL14" s="136"/>
      <c r="DM14" s="223">
        <f>AVERAGE(DM15:DM17)</f>
        <v>0</v>
      </c>
      <c r="DN14" s="126"/>
      <c r="DO14" s="136"/>
      <c r="DP14" s="223">
        <f>AVERAGE(DP15:DP17)</f>
        <v>0</v>
      </c>
      <c r="DQ14" s="126"/>
      <c r="DR14" s="136"/>
      <c r="DS14" s="223">
        <f>AVERAGE(DS15:DS17)</f>
        <v>0</v>
      </c>
      <c r="DT14" s="126"/>
      <c r="DU14" s="136"/>
      <c r="DV14" s="223">
        <f>AVERAGE(DV15:DV17)</f>
        <v>0</v>
      </c>
      <c r="DW14" s="126"/>
      <c r="DX14" s="136"/>
      <c r="DY14" s="223">
        <f>AVERAGE(DY15:DY17)</f>
        <v>0</v>
      </c>
      <c r="DZ14" s="126"/>
      <c r="EA14" s="136"/>
      <c r="EB14" s="223">
        <f>AVERAGE(EB15:EB17)</f>
        <v>0</v>
      </c>
      <c r="EC14" s="126"/>
      <c r="ED14" s="136"/>
      <c r="EE14" s="223">
        <f>AVERAGE(EE15:EE17)</f>
        <v>0</v>
      </c>
      <c r="EF14" s="126"/>
      <c r="EG14" s="136"/>
      <c r="EH14" s="223">
        <f>AVERAGE(EH15:EH17)</f>
        <v>0</v>
      </c>
      <c r="EI14" s="126"/>
      <c r="EJ14" s="136"/>
      <c r="EK14" s="223">
        <f>AVERAGE(EK15:EK17)</f>
        <v>0</v>
      </c>
      <c r="EL14" s="126"/>
      <c r="EM14" s="136"/>
      <c r="EN14" s="223">
        <f>AVERAGE(EN15:EN17)</f>
        <v>0</v>
      </c>
      <c r="EO14" s="126"/>
      <c r="EP14" s="136"/>
      <c r="EQ14" s="223">
        <f>AVERAGE(EQ15:EQ17)</f>
        <v>0</v>
      </c>
      <c r="ER14" s="85">
        <f t="array" ref="ER14">IFERROR(_xlfn.LET(
_xlpm.datos,CHOOSE({1;2;3;4;5;6;7;8;9;10;11;12;13;13;14;15;16;17;18;19;20;21;22;23;23;24;25;26;27;28;29;30;31;32;33;34;35;36;37;38;39;40;41;42;43;44;45;46;47;48},F14,I14,L14,O14,R14,U14,X14,AA14,AD14,AG14,AJ14,AM14,AP14,AS14,AV14,AY14,BB14,BE14,BH14,BK14,BN14,BQ14,BT14,BW14,BZ14,CC14,CF14,CI14,CL14,CO14,CR14,CU14,CX14,DA14,DD14,DG14,DJ14,DM14,DP14,DS14,DV14,DY14,EB14,EE14,EH14,EK14,EN14,EQ14),
AVERAGE(_xlfn._xlws.FILTER(_xlpm.datos,(_xlpm.datos&lt;&gt;0)*(_xlpm.datos&lt;&gt;"")))
),0)</f>
        <v>0</v>
      </c>
      <c r="ES14" s="162" t="str">
        <f t="array" ref="ES14">_xlfn.IFS(ER14&gt;=91.5%,"MENSUAL",ER14&gt;=75%,"QUINCENAL",ER14&lt;75%,"SEMANAL")</f>
        <v>SEMANAL</v>
      </c>
      <c r="ET14" s="212"/>
      <c r="EU14" s="201"/>
      <c r="EV14" s="201"/>
      <c r="EW14" s="201"/>
      <c r="EX14" s="201"/>
      <c r="EY14" s="201"/>
      <c r="EZ14" s="201"/>
      <c r="FA14" s="201"/>
      <c r="FB14" s="201"/>
      <c r="FC14" s="201"/>
      <c r="FD14" s="201"/>
      <c r="FE14" s="201"/>
      <c r="FF14" s="201"/>
      <c r="FG14" s="201"/>
      <c r="FH14" s="201"/>
      <c r="FI14" s="201"/>
      <c r="FJ14" s="201"/>
      <c r="FK14" s="201"/>
      <c r="FL14" s="201"/>
      <c r="FM14" s="201"/>
      <c r="FN14" s="201"/>
      <c r="FO14" s="201"/>
      <c r="FP14" s="201"/>
      <c r="FQ14" s="201"/>
      <c r="FR14" s="201"/>
      <c r="FS14" s="201"/>
      <c r="FT14" s="201"/>
      <c r="FU14" s="201"/>
      <c r="FV14" s="201"/>
      <c r="FW14" s="201"/>
      <c r="FX14" s="201"/>
      <c r="FY14" s="201"/>
      <c r="FZ14" s="201"/>
      <c r="GA14" s="201"/>
      <c r="GB14" s="201"/>
      <c r="GC14" s="201"/>
      <c r="GD14" s="201"/>
      <c r="GE14" s="201"/>
      <c r="GF14" s="201"/>
      <c r="GG14" s="201"/>
      <c r="GH14" s="201"/>
      <c r="GI14" s="201"/>
      <c r="GJ14" s="201"/>
      <c r="GK14" s="201"/>
      <c r="GL14" s="201"/>
      <c r="GM14" s="201"/>
      <c r="GN14" s="201"/>
      <c r="GO14" s="201"/>
      <c r="GP14" s="201"/>
      <c r="GQ14" s="201"/>
      <c r="GR14" s="201"/>
      <c r="GS14" s="201"/>
      <c r="GT14" s="201"/>
      <c r="GU14" s="201"/>
      <c r="GV14" s="201"/>
      <c r="GW14" s="201"/>
      <c r="GX14" s="201"/>
      <c r="GY14" s="201"/>
      <c r="GZ14" s="201"/>
      <c r="HA14" s="201"/>
      <c r="HB14" s="201"/>
      <c r="HC14" s="201"/>
      <c r="HD14" s="201"/>
      <c r="HE14" s="201"/>
      <c r="HF14" s="201"/>
      <c r="HG14" s="201"/>
      <c r="HH14" s="201"/>
      <c r="HI14" s="201"/>
      <c r="HJ14" s="201"/>
      <c r="HK14" s="201"/>
      <c r="HL14" s="201"/>
      <c r="HM14" s="201"/>
      <c r="HN14" s="201"/>
      <c r="HO14" s="201"/>
      <c r="HP14" s="201"/>
      <c r="HQ14" s="201"/>
      <c r="HR14" s="201"/>
      <c r="HS14" s="201"/>
      <c r="HT14" s="201"/>
      <c r="HU14" s="201"/>
      <c r="HV14" s="201"/>
      <c r="HW14" s="201"/>
      <c r="HX14" s="201"/>
      <c r="HY14" s="201"/>
      <c r="HZ14" s="201"/>
      <c r="IA14" s="201"/>
      <c r="IB14" s="201"/>
      <c r="IC14" s="201"/>
      <c r="ID14" s="201"/>
      <c r="IE14" s="201"/>
      <c r="IF14" s="201"/>
      <c r="IG14" s="201"/>
      <c r="IH14" s="201"/>
      <c r="II14" s="201"/>
      <c r="IJ14" s="201"/>
      <c r="IK14" s="201"/>
      <c r="IL14" s="201"/>
      <c r="IM14" s="201"/>
      <c r="IN14" s="201"/>
      <c r="IO14" s="201"/>
      <c r="IP14" s="201"/>
      <c r="IQ14" s="201"/>
      <c r="IR14" s="201"/>
      <c r="IS14" s="201"/>
      <c r="IT14" s="201"/>
      <c r="IU14" s="201"/>
      <c r="IV14" s="201"/>
      <c r="IW14" s="201"/>
      <c r="IX14" s="201"/>
      <c r="IY14" s="201"/>
      <c r="IZ14" s="201"/>
      <c r="JA14" s="201"/>
      <c r="JB14" s="201"/>
      <c r="JC14" s="201"/>
      <c r="JD14" s="201"/>
      <c r="JE14" s="201"/>
      <c r="JF14" s="201"/>
      <c r="JG14" s="201"/>
      <c r="JH14" s="201"/>
      <c r="JI14" s="201"/>
      <c r="JJ14" s="201"/>
      <c r="JK14" s="201"/>
      <c r="JL14" s="201"/>
      <c r="JM14" s="201"/>
      <c r="JN14" s="201"/>
      <c r="JO14" s="201"/>
      <c r="JP14" s="201"/>
      <c r="JQ14" s="201"/>
      <c r="JR14" s="201"/>
      <c r="JS14" s="201"/>
      <c r="JT14" s="201"/>
      <c r="JU14" s="201"/>
      <c r="JV14" s="201"/>
      <c r="JW14" s="201"/>
      <c r="JX14" s="201"/>
      <c r="JY14" s="201"/>
      <c r="JZ14" s="201"/>
      <c r="KA14" s="201"/>
      <c r="KB14" s="201"/>
      <c r="KC14" s="201"/>
      <c r="KD14" s="201"/>
      <c r="KE14" s="201"/>
      <c r="KF14" s="201"/>
      <c r="KG14" s="201"/>
      <c r="KH14" s="201"/>
      <c r="KI14" s="201"/>
      <c r="KJ14" s="201"/>
      <c r="KK14" s="201"/>
      <c r="KL14" s="201"/>
      <c r="KM14" s="201"/>
      <c r="KN14" s="201"/>
      <c r="KO14" s="201"/>
      <c r="KP14" s="201"/>
      <c r="KQ14" s="201"/>
      <c r="KR14" s="201"/>
      <c r="KS14" s="201"/>
      <c r="KT14" s="201"/>
      <c r="KU14" s="201"/>
      <c r="KV14" s="201"/>
      <c r="KW14" s="201"/>
      <c r="KX14" s="201"/>
      <c r="KY14" s="201"/>
      <c r="KZ14" s="201"/>
      <c r="LA14" s="201"/>
      <c r="LB14" s="201"/>
      <c r="LC14" s="201"/>
      <c r="LD14" s="201"/>
      <c r="LE14" s="201"/>
      <c r="LF14" s="201"/>
      <c r="LG14" s="201"/>
      <c r="LH14" s="201"/>
      <c r="LI14" s="201"/>
      <c r="LJ14" s="201"/>
      <c r="LK14" s="201"/>
      <c r="LL14" s="201"/>
      <c r="LM14" s="201"/>
      <c r="LN14" s="201"/>
      <c r="LO14" s="201"/>
      <c r="LP14" s="201"/>
      <c r="LQ14" s="201"/>
      <c r="LR14" s="201"/>
      <c r="LS14" s="201"/>
      <c r="LT14" s="201"/>
      <c r="LU14" s="201"/>
      <c r="LV14" s="201"/>
      <c r="LW14" s="201"/>
      <c r="LX14" s="201"/>
      <c r="LY14" s="201"/>
      <c r="LZ14" s="201"/>
      <c r="MA14" s="201"/>
      <c r="MB14" s="201"/>
      <c r="MC14" s="201"/>
      <c r="MD14" s="201"/>
      <c r="ME14" s="201"/>
      <c r="MF14" s="201"/>
      <c r="MG14" s="201"/>
      <c r="MH14" s="201"/>
      <c r="MI14" s="201"/>
      <c r="MJ14" s="201"/>
      <c r="MK14" s="201"/>
      <c r="ML14" s="201"/>
      <c r="MM14" s="201"/>
      <c r="MN14" s="201"/>
      <c r="MO14" s="201"/>
      <c r="MP14" s="201"/>
      <c r="MQ14" s="201"/>
      <c r="MR14" s="201"/>
      <c r="MS14" s="201"/>
      <c r="MT14" s="201"/>
      <c r="MU14" s="201"/>
      <c r="MV14" s="201"/>
      <c r="MW14" s="201"/>
      <c r="MX14" s="201"/>
      <c r="MY14" s="201"/>
      <c r="MZ14" s="201"/>
      <c r="NA14" s="201"/>
      <c r="NB14" s="201"/>
      <c r="NC14" s="201"/>
      <c r="ND14" s="201"/>
      <c r="NE14" s="201"/>
      <c r="NF14" s="201"/>
      <c r="NG14" s="201"/>
      <c r="NH14" s="201"/>
      <c r="NI14" s="201"/>
      <c r="NJ14" s="201"/>
      <c r="NK14" s="201"/>
      <c r="NL14" s="201"/>
      <c r="NM14" s="201"/>
      <c r="NN14" s="201"/>
      <c r="NO14" s="201"/>
      <c r="NP14" s="201"/>
      <c r="NQ14" s="201"/>
      <c r="NR14" s="201"/>
      <c r="NS14" s="201"/>
      <c r="NT14" s="201"/>
      <c r="NU14" s="201"/>
      <c r="NV14" s="201"/>
      <c r="NW14" s="201"/>
      <c r="NX14" s="201"/>
      <c r="NY14" s="201"/>
      <c r="NZ14" s="201"/>
      <c r="OA14" s="201"/>
      <c r="OB14" s="201"/>
      <c r="OC14" s="201"/>
      <c r="OD14" s="201"/>
      <c r="OE14" s="201"/>
      <c r="OF14" s="201"/>
      <c r="OG14" s="201"/>
      <c r="OH14" s="201"/>
      <c r="OI14" s="201"/>
      <c r="OJ14" s="201"/>
      <c r="OK14" s="201"/>
      <c r="OL14" s="201"/>
      <c r="OM14" s="201"/>
      <c r="ON14" s="201"/>
      <c r="OO14" s="201"/>
      <c r="OP14" s="201"/>
      <c r="OQ14" s="201"/>
      <c r="OR14" s="201"/>
      <c r="OS14" s="201"/>
      <c r="OT14" s="201"/>
      <c r="OU14" s="201"/>
      <c r="OV14" s="201"/>
      <c r="OW14" s="201"/>
      <c r="OX14" s="201"/>
      <c r="OY14" s="201"/>
      <c r="OZ14" s="201"/>
      <c r="PA14" s="201"/>
      <c r="PB14" s="201"/>
      <c r="PC14" s="201"/>
      <c r="PD14" s="201"/>
      <c r="PE14" s="201"/>
      <c r="PF14" s="201"/>
      <c r="PG14" s="201"/>
      <c r="PH14" s="201"/>
      <c r="PI14" s="201"/>
      <c r="PJ14" s="201"/>
      <c r="PK14" s="201"/>
      <c r="PL14" s="201"/>
      <c r="PM14" s="201"/>
      <c r="PN14" s="201"/>
      <c r="PO14" s="201"/>
      <c r="PP14" s="201"/>
      <c r="PQ14" s="201"/>
      <c r="PR14" s="201"/>
      <c r="PS14" s="201"/>
      <c r="PT14" s="201"/>
      <c r="PU14" s="201"/>
      <c r="PV14" s="201"/>
      <c r="PW14" s="201"/>
      <c r="PX14" s="201"/>
      <c r="PY14" s="201"/>
      <c r="PZ14" s="201"/>
      <c r="QA14" s="201"/>
      <c r="QB14" s="201"/>
      <c r="QC14" s="201"/>
      <c r="QD14" s="201"/>
      <c r="QE14" s="201"/>
      <c r="QF14" s="201"/>
      <c r="QG14" s="201"/>
      <c r="QH14" s="201"/>
      <c r="QI14" s="201"/>
      <c r="QJ14" s="201"/>
      <c r="QK14" s="201"/>
      <c r="QL14" s="201"/>
      <c r="QM14" s="201"/>
      <c r="QN14" s="201"/>
      <c r="QO14" s="201"/>
      <c r="QP14" s="201"/>
      <c r="QQ14" s="201"/>
      <c r="QR14" s="201"/>
      <c r="QS14" s="201"/>
      <c r="QT14" s="201"/>
      <c r="QU14" s="201"/>
      <c r="QV14" s="201"/>
      <c r="QW14" s="201"/>
      <c r="QX14" s="201"/>
      <c r="QY14" s="201"/>
      <c r="QZ14" s="201"/>
      <c r="RA14" s="201"/>
      <c r="RB14" s="201"/>
      <c r="RC14" s="201"/>
      <c r="RD14" s="201"/>
      <c r="RE14" s="201"/>
      <c r="RF14" s="201"/>
      <c r="RG14" s="201"/>
      <c r="RH14" s="201"/>
      <c r="RI14" s="201"/>
      <c r="RJ14" s="201"/>
      <c r="RK14" s="201"/>
      <c r="RL14" s="201"/>
      <c r="RM14" s="201"/>
      <c r="RN14" s="201"/>
      <c r="RO14" s="201"/>
      <c r="RP14" s="201"/>
      <c r="RQ14" s="201"/>
      <c r="RR14" s="201"/>
      <c r="RS14" s="201"/>
      <c r="RT14" s="201"/>
      <c r="RU14" s="201"/>
      <c r="RV14" s="201"/>
      <c r="RW14" s="201"/>
      <c r="RX14" s="201"/>
      <c r="RY14" s="201"/>
      <c r="RZ14" s="201"/>
      <c r="SA14" s="201"/>
      <c r="SB14" s="201"/>
      <c r="SC14" s="201"/>
      <c r="SD14" s="201"/>
      <c r="SE14" s="201"/>
      <c r="SF14" s="201"/>
      <c r="SG14" s="201"/>
      <c r="SH14" s="201"/>
      <c r="SI14" s="201"/>
      <c r="SJ14" s="201"/>
      <c r="SK14" s="201"/>
      <c r="SL14" s="201"/>
      <c r="SM14" s="201"/>
    </row>
    <row r="15" ht="31.25" customHeight="1" spans="2:150" x14ac:dyDescent="0.25">
      <c r="B15" s="232" t="s">
        <v>189</v>
      </c>
      <c r="C15" s="228"/>
      <c r="D15" s="102"/>
      <c r="E15" s="103">
        <v>5</v>
      </c>
      <c r="F15" s="104">
        <f t="shared" ref="F15:F17" si="94">D15/E15</f>
        <v>0</v>
      </c>
      <c r="G15" s="102"/>
      <c r="H15" s="103">
        <v>5</v>
      </c>
      <c r="I15" s="104">
        <f t="shared" ref="I15:I17" si="95">G15/H15</f>
        <v>0</v>
      </c>
      <c r="J15" s="105"/>
      <c r="K15" s="103">
        <v>5</v>
      </c>
      <c r="L15" s="104">
        <f t="shared" ref="L15:L17" si="96">J15/K15</f>
        <v>0</v>
      </c>
      <c r="M15" s="105"/>
      <c r="N15" s="103">
        <v>5</v>
      </c>
      <c r="O15" s="104">
        <f t="shared" ref="O15:O17" si="97">M15/N15</f>
        <v>0</v>
      </c>
      <c r="P15" s="106"/>
      <c r="Q15" s="107">
        <v>5</v>
      </c>
      <c r="R15" s="104">
        <f t="shared" ref="R15:R17" si="98">P15/Q15</f>
        <v>0</v>
      </c>
      <c r="S15" s="102"/>
      <c r="T15" s="107">
        <v>5</v>
      </c>
      <c r="U15" s="104">
        <f t="shared" ref="U15:U17" si="99">S15/T15</f>
        <v>0</v>
      </c>
      <c r="V15" s="102"/>
      <c r="W15" s="107">
        <v>5</v>
      </c>
      <c r="X15" s="104">
        <f t="shared" ref="X15:X17" si="100">V15/W15</f>
        <v>0</v>
      </c>
      <c r="Y15" s="102"/>
      <c r="Z15" s="107">
        <v>5</v>
      </c>
      <c r="AA15" s="104">
        <f t="shared" ref="AA15:AA17" si="101">Y15/Z15</f>
        <v>0</v>
      </c>
      <c r="AB15" s="106"/>
      <c r="AC15" s="107">
        <v>5</v>
      </c>
      <c r="AD15" s="104">
        <f t="shared" ref="AD15:AD17" si="102">AB15/AC15</f>
        <v>0</v>
      </c>
      <c r="AE15" s="106"/>
      <c r="AF15" s="107">
        <v>5</v>
      </c>
      <c r="AG15" s="104">
        <f t="shared" ref="AG15:AG17" si="103">AE15/AF15</f>
        <v>0</v>
      </c>
      <c r="AH15" s="106"/>
      <c r="AI15" s="107">
        <v>5</v>
      </c>
      <c r="AJ15" s="104">
        <f t="shared" ref="AJ15:AJ17" si="104">AH15/AI15</f>
        <v>0</v>
      </c>
      <c r="AK15" s="106"/>
      <c r="AL15" s="107">
        <v>5</v>
      </c>
      <c r="AM15" s="104">
        <f t="shared" ref="AM15:AM17" si="105">AK15/AL15</f>
        <v>0</v>
      </c>
      <c r="AN15" s="102"/>
      <c r="AO15" s="1">
        <v>5</v>
      </c>
      <c r="AP15" s="104">
        <f t="shared" ref="AP15:AP17" si="106">AN15/AO15</f>
        <v>0</v>
      </c>
      <c r="AQ15" s="102"/>
      <c r="AR15" s="1">
        <v>5</v>
      </c>
      <c r="AS15" s="104">
        <f t="shared" ref="AS15:AS17" si="107">AQ15/AR15</f>
        <v>0</v>
      </c>
      <c r="AT15" s="102"/>
      <c r="AU15" s="1">
        <v>5</v>
      </c>
      <c r="AV15" s="104">
        <f t="shared" ref="AV15:AV17" si="108">AT15/AU15</f>
        <v>0</v>
      </c>
      <c r="AW15" s="102"/>
      <c r="AX15" s="1">
        <v>5</v>
      </c>
      <c r="AY15" s="104">
        <f t="shared" ref="AY15:AY17" si="109">AW15/AX15</f>
        <v>0</v>
      </c>
      <c r="AZ15" s="102"/>
      <c r="BA15" s="1">
        <v>5</v>
      </c>
      <c r="BB15" s="104">
        <f t="shared" ref="BB15:BB17" si="110">AZ15/BA15</f>
        <v>0</v>
      </c>
      <c r="BC15" s="102"/>
      <c r="BD15" s="1">
        <v>5</v>
      </c>
      <c r="BE15" s="104">
        <f t="shared" ref="BE15:BE17" si="111">BC15/BD15</f>
        <v>0</v>
      </c>
      <c r="BF15" s="102"/>
      <c r="BG15" s="1">
        <v>5</v>
      </c>
      <c r="BH15" s="104">
        <f t="shared" ref="BH15:BH17" si="112">BF15/BG15</f>
        <v>0</v>
      </c>
      <c r="BI15" s="102"/>
      <c r="BJ15" s="1">
        <v>5</v>
      </c>
      <c r="BK15" s="104">
        <f t="shared" ref="BK15:BK17" si="113">BI15/BJ15</f>
        <v>0</v>
      </c>
      <c r="BL15" s="102"/>
      <c r="BM15" s="1">
        <v>5</v>
      </c>
      <c r="BN15" s="104">
        <f t="shared" ref="BN15:BN17" si="114">BL15/BM15</f>
        <v>0</v>
      </c>
      <c r="BO15" s="102"/>
      <c r="BP15" s="1">
        <v>5</v>
      </c>
      <c r="BQ15" s="104">
        <f t="shared" ref="BQ15:BQ17" si="115">BO15/BP15</f>
        <v>0</v>
      </c>
      <c r="BR15" s="102"/>
      <c r="BS15" s="1">
        <v>5</v>
      </c>
      <c r="BT15" s="104">
        <f t="shared" ref="BT15:BT17" si="116">BR15/BS15</f>
        <v>0</v>
      </c>
      <c r="BU15" s="102"/>
      <c r="BV15" s="1">
        <v>5</v>
      </c>
      <c r="BW15" s="104">
        <f t="shared" ref="BW15:BW17" si="117">BU15/BV15</f>
        <v>0</v>
      </c>
      <c r="BX15" s="102"/>
      <c r="BY15" s="1">
        <v>5</v>
      </c>
      <c r="BZ15" s="104">
        <f t="shared" ref="BZ15:BZ17" si="118">BX15/BY15</f>
        <v>0</v>
      </c>
      <c r="CA15" s="102"/>
      <c r="CB15" s="1">
        <v>5</v>
      </c>
      <c r="CC15" s="104">
        <f t="shared" ref="CC15:CC17" si="119">CA15/CB15</f>
        <v>0</v>
      </c>
      <c r="CD15" s="102"/>
      <c r="CE15" s="1">
        <v>5</v>
      </c>
      <c r="CF15" s="104">
        <f t="shared" ref="CF15:CF17" si="120">CD15/CE15</f>
        <v>0</v>
      </c>
      <c r="CG15" s="102"/>
      <c r="CH15" s="1">
        <v>5</v>
      </c>
      <c r="CI15" s="104">
        <f t="shared" ref="CI15:CI17" si="121">CG15/CH15</f>
        <v>0</v>
      </c>
      <c r="CJ15" s="102"/>
      <c r="CK15" s="1">
        <v>5</v>
      </c>
      <c r="CL15" s="104">
        <f t="shared" ref="CL15:CL17" si="122">CJ15/CK15</f>
        <v>0</v>
      </c>
      <c r="CM15" s="102"/>
      <c r="CN15" s="1">
        <v>5</v>
      </c>
      <c r="CO15" s="104">
        <f t="shared" ref="CO15:CO17" si="123">CM15/CN15</f>
        <v>0</v>
      </c>
      <c r="CP15" s="102"/>
      <c r="CQ15" s="1">
        <v>5</v>
      </c>
      <c r="CR15" s="104">
        <f t="shared" ref="CR15:CR17" si="124">CP15/CQ15</f>
        <v>0</v>
      </c>
      <c r="CS15" s="102"/>
      <c r="CT15" s="1">
        <v>5</v>
      </c>
      <c r="CU15" s="104">
        <f t="shared" ref="CU15:CU17" si="125">CS15/CT15</f>
        <v>0</v>
      </c>
      <c r="CV15" s="102"/>
      <c r="CW15" s="1">
        <v>5</v>
      </c>
      <c r="CX15" s="104">
        <f t="shared" ref="CX15:CX17" si="126">CV15/CW15</f>
        <v>0</v>
      </c>
      <c r="CY15" s="102"/>
      <c r="CZ15" s="1">
        <v>5</v>
      </c>
      <c r="DA15" s="104">
        <f t="shared" ref="DA15:DA17" si="127">CY15/CZ15</f>
        <v>0</v>
      </c>
      <c r="DB15" s="102"/>
      <c r="DC15" s="1">
        <v>5</v>
      </c>
      <c r="DD15" s="104">
        <f t="shared" ref="DD15:DD17" si="128">DB15/DC15</f>
        <v>0</v>
      </c>
      <c r="DE15" s="102"/>
      <c r="DF15" s="1">
        <v>5</v>
      </c>
      <c r="DG15" s="104">
        <f t="shared" ref="DG15:DG17" si="129">DE15/DF15</f>
        <v>0</v>
      </c>
      <c r="DH15" s="102"/>
      <c r="DI15" s="1">
        <v>5</v>
      </c>
      <c r="DJ15" s="104">
        <f t="shared" ref="DJ15:DJ17" si="130">DH15/DI15</f>
        <v>0</v>
      </c>
      <c r="DK15" s="102"/>
      <c r="DL15" s="1">
        <v>5</v>
      </c>
      <c r="DM15" s="104">
        <f t="shared" ref="DM15:DM17" si="131">DK15/DL15</f>
        <v>0</v>
      </c>
      <c r="DN15" s="102"/>
      <c r="DO15" s="1">
        <v>5</v>
      </c>
      <c r="DP15" s="104">
        <f t="shared" ref="DP15:DP17" si="132">DN15/DO15</f>
        <v>0</v>
      </c>
      <c r="DQ15" s="102"/>
      <c r="DR15" s="1">
        <v>5</v>
      </c>
      <c r="DS15" s="104">
        <f t="shared" ref="DS15:DS17" si="133">DQ15/DR15</f>
        <v>0</v>
      </c>
      <c r="DT15" s="102"/>
      <c r="DU15" s="1">
        <v>5</v>
      </c>
      <c r="DV15" s="104">
        <f t="shared" ref="DV15:DV17" si="134">DT15/DU15</f>
        <v>0</v>
      </c>
      <c r="DW15" s="102"/>
      <c r="DX15" s="1">
        <v>5</v>
      </c>
      <c r="DY15" s="104">
        <f t="shared" ref="DY15:DY17" si="135">DW15/DX15</f>
        <v>0</v>
      </c>
      <c r="DZ15" s="102"/>
      <c r="EA15" s="1">
        <v>5</v>
      </c>
      <c r="EB15" s="104">
        <f t="shared" ref="EB15:EB17" si="136">DZ15/EA15</f>
        <v>0</v>
      </c>
      <c r="EC15" s="102"/>
      <c r="ED15" s="1">
        <v>5</v>
      </c>
      <c r="EE15" s="104">
        <f t="shared" ref="EE15:EE17" si="137">EC15/ED15</f>
        <v>0</v>
      </c>
      <c r="EF15" s="102"/>
      <c r="EG15" s="1">
        <v>5</v>
      </c>
      <c r="EH15" s="104">
        <f t="shared" ref="EH15:EH17" si="138">EF15/EG15</f>
        <v>0</v>
      </c>
      <c r="EI15" s="102"/>
      <c r="EJ15" s="1">
        <v>5</v>
      </c>
      <c r="EK15" s="104">
        <f t="shared" ref="EK15:EK17" si="139">EI15/EJ15</f>
        <v>0</v>
      </c>
      <c r="EL15" s="102"/>
      <c r="EM15" s="1">
        <v>5</v>
      </c>
      <c r="EN15" s="104">
        <f t="shared" ref="EN15:EN17" si="140">EL15/EM15</f>
        <v>0</v>
      </c>
      <c r="EO15" s="90">
        <v>0</v>
      </c>
      <c r="EP15" s="96">
        <v>5</v>
      </c>
      <c r="EQ15" s="104">
        <f>IFERROR(EO15/EP15,0)</f>
        <v>0</v>
      </c>
      <c r="ER15" s="85">
        <f t="array" ref="ER15">IFERROR(_xlfn.LET(
_xlpm.datos,CHOOSE({1;2;3;4;5;6;7;8;9;10;11;12;13;13;14;15;16;17;18;19;20;21;22;23;23;24;25;26;27;28;29;30;31;32;33;34;35;36;37;38;39;40;41;42;43;44;45;46;47;48},F15,I15,L15,O15,R15,U15,X15,AA15,AD15,AG15,AJ15,AM15,AP15,AS15,AV15,AY15,BB15,BE15,BH15,BK15,BN15,BQ15,BT15,BW15,BZ15,CC15,CF15,CI15,CL15,CO15,CR15,CU15,CX15,DA15,DD15,DG15,DJ15,DM15,DP15,DS15,DV15,DY15,EB15,EE15,EH15,EK15,EN15,EQ15),
AVERAGE(_xlfn._xlws.FILTER(_xlpm.datos,(_xlpm.datos&lt;&gt;0)*(_xlpm.datos&lt;&gt;"")))
),0)</f>
        <v>0</v>
      </c>
      <c r="ES15" s="162" t="str">
        <f t="array" ref="ES15">_xlfn.IFS(ER15&gt;=91.5%,"MENSUAL",ER15&gt;=75%,"QUINCENAL",ER15&lt;75%,"SEMANAL")</f>
        <v>SEMANAL</v>
      </c>
      <c r="ET15" s="19"/>
    </row>
    <row r="16" ht="36" customHeight="1" spans="2:150" x14ac:dyDescent="0.25">
      <c r="B16" s="171" t="s">
        <v>190</v>
      </c>
      <c r="C16" s="228"/>
      <c r="D16" s="102"/>
      <c r="E16" s="103">
        <v>5</v>
      </c>
      <c r="F16" s="104">
        <f t="shared" si="94"/>
        <v>0</v>
      </c>
      <c r="G16" s="102"/>
      <c r="H16" s="103">
        <v>5</v>
      </c>
      <c r="I16" s="104">
        <f t="shared" si="95"/>
        <v>0</v>
      </c>
      <c r="J16" s="105"/>
      <c r="K16" s="103">
        <v>5</v>
      </c>
      <c r="L16" s="104">
        <f t="shared" si="96"/>
        <v>0</v>
      </c>
      <c r="M16" s="105"/>
      <c r="N16" s="103">
        <v>5</v>
      </c>
      <c r="O16" s="104">
        <f t="shared" si="97"/>
        <v>0</v>
      </c>
      <c r="P16" s="106"/>
      <c r="Q16" s="107">
        <v>5</v>
      </c>
      <c r="R16" s="104">
        <f t="shared" si="98"/>
        <v>0</v>
      </c>
      <c r="S16" s="102"/>
      <c r="T16" s="107">
        <v>5</v>
      </c>
      <c r="U16" s="104">
        <f t="shared" si="99"/>
        <v>0</v>
      </c>
      <c r="V16" s="102"/>
      <c r="W16" s="107">
        <v>5</v>
      </c>
      <c r="X16" s="104">
        <f t="shared" si="100"/>
        <v>0</v>
      </c>
      <c r="Y16" s="102"/>
      <c r="Z16" s="107">
        <v>5</v>
      </c>
      <c r="AA16" s="104">
        <f t="shared" si="101"/>
        <v>0</v>
      </c>
      <c r="AB16" s="106"/>
      <c r="AC16" s="107">
        <v>5</v>
      </c>
      <c r="AD16" s="104">
        <f t="shared" si="102"/>
        <v>0</v>
      </c>
      <c r="AE16" s="106"/>
      <c r="AF16" s="107">
        <v>5</v>
      </c>
      <c r="AG16" s="104">
        <f t="shared" si="103"/>
        <v>0</v>
      </c>
      <c r="AH16" s="106"/>
      <c r="AI16" s="107">
        <v>5</v>
      </c>
      <c r="AJ16" s="104">
        <f t="shared" si="104"/>
        <v>0</v>
      </c>
      <c r="AK16" s="106"/>
      <c r="AL16" s="107">
        <v>5</v>
      </c>
      <c r="AM16" s="104">
        <f t="shared" si="105"/>
        <v>0</v>
      </c>
      <c r="AN16" s="102"/>
      <c r="AO16" s="1">
        <v>5</v>
      </c>
      <c r="AP16" s="104">
        <f t="shared" si="106"/>
        <v>0</v>
      </c>
      <c r="AQ16" s="102"/>
      <c r="AR16" s="1">
        <v>5</v>
      </c>
      <c r="AS16" s="104">
        <f t="shared" si="107"/>
        <v>0</v>
      </c>
      <c r="AT16" s="102"/>
      <c r="AU16" s="1">
        <v>5</v>
      </c>
      <c r="AV16" s="104">
        <f t="shared" si="108"/>
        <v>0</v>
      </c>
      <c r="AW16" s="102"/>
      <c r="AX16" s="1">
        <v>5</v>
      </c>
      <c r="AY16" s="104">
        <f t="shared" si="109"/>
        <v>0</v>
      </c>
      <c r="AZ16" s="102"/>
      <c r="BA16" s="1">
        <v>5</v>
      </c>
      <c r="BB16" s="104">
        <f t="shared" si="110"/>
        <v>0</v>
      </c>
      <c r="BC16" s="102"/>
      <c r="BD16" s="1">
        <v>5</v>
      </c>
      <c r="BE16" s="104">
        <f t="shared" si="111"/>
        <v>0</v>
      </c>
      <c r="BF16" s="102"/>
      <c r="BG16" s="1">
        <v>5</v>
      </c>
      <c r="BH16" s="104">
        <f t="shared" si="112"/>
        <v>0</v>
      </c>
      <c r="BI16" s="102"/>
      <c r="BJ16" s="1">
        <v>5</v>
      </c>
      <c r="BK16" s="104">
        <f t="shared" si="113"/>
        <v>0</v>
      </c>
      <c r="BL16" s="102"/>
      <c r="BM16" s="1">
        <v>5</v>
      </c>
      <c r="BN16" s="104">
        <f t="shared" si="114"/>
        <v>0</v>
      </c>
      <c r="BO16" s="102"/>
      <c r="BP16" s="1">
        <v>5</v>
      </c>
      <c r="BQ16" s="104">
        <f t="shared" si="115"/>
        <v>0</v>
      </c>
      <c r="BR16" s="102"/>
      <c r="BS16" s="1">
        <v>5</v>
      </c>
      <c r="BT16" s="104">
        <f t="shared" si="116"/>
        <v>0</v>
      </c>
      <c r="BU16" s="102"/>
      <c r="BV16" s="1">
        <v>5</v>
      </c>
      <c r="BW16" s="104">
        <f t="shared" si="117"/>
        <v>0</v>
      </c>
      <c r="BX16" s="102"/>
      <c r="BY16" s="1">
        <v>5</v>
      </c>
      <c r="BZ16" s="104">
        <f t="shared" si="118"/>
        <v>0</v>
      </c>
      <c r="CA16" s="102"/>
      <c r="CB16" s="1">
        <v>5</v>
      </c>
      <c r="CC16" s="104">
        <f t="shared" si="119"/>
        <v>0</v>
      </c>
      <c r="CD16" s="102"/>
      <c r="CE16" s="1">
        <v>5</v>
      </c>
      <c r="CF16" s="104">
        <f t="shared" si="120"/>
        <v>0</v>
      </c>
      <c r="CG16" s="102"/>
      <c r="CH16" s="1">
        <v>5</v>
      </c>
      <c r="CI16" s="104">
        <f t="shared" si="121"/>
        <v>0</v>
      </c>
      <c r="CJ16" s="102"/>
      <c r="CK16" s="1">
        <v>5</v>
      </c>
      <c r="CL16" s="104">
        <f t="shared" si="122"/>
        <v>0</v>
      </c>
      <c r="CM16" s="102"/>
      <c r="CN16" s="1">
        <v>5</v>
      </c>
      <c r="CO16" s="104">
        <f t="shared" si="123"/>
        <v>0</v>
      </c>
      <c r="CP16" s="102"/>
      <c r="CQ16" s="1">
        <v>5</v>
      </c>
      <c r="CR16" s="104">
        <f t="shared" si="124"/>
        <v>0</v>
      </c>
      <c r="CS16" s="102"/>
      <c r="CT16" s="1">
        <v>5</v>
      </c>
      <c r="CU16" s="104">
        <f t="shared" si="125"/>
        <v>0</v>
      </c>
      <c r="CV16" s="102"/>
      <c r="CW16" s="1">
        <v>5</v>
      </c>
      <c r="CX16" s="104">
        <f t="shared" si="126"/>
        <v>0</v>
      </c>
      <c r="CY16" s="102"/>
      <c r="CZ16" s="1">
        <v>5</v>
      </c>
      <c r="DA16" s="104">
        <f t="shared" si="127"/>
        <v>0</v>
      </c>
      <c r="DB16" s="102"/>
      <c r="DC16" s="1">
        <v>5</v>
      </c>
      <c r="DD16" s="104">
        <f t="shared" si="128"/>
        <v>0</v>
      </c>
      <c r="DE16" s="102"/>
      <c r="DF16" s="1">
        <v>5</v>
      </c>
      <c r="DG16" s="104">
        <f t="shared" si="129"/>
        <v>0</v>
      </c>
      <c r="DH16" s="102"/>
      <c r="DI16" s="1">
        <v>5</v>
      </c>
      <c r="DJ16" s="104">
        <f t="shared" si="130"/>
        <v>0</v>
      </c>
      <c r="DK16" s="102"/>
      <c r="DL16" s="1">
        <v>5</v>
      </c>
      <c r="DM16" s="104">
        <f t="shared" si="131"/>
        <v>0</v>
      </c>
      <c r="DN16" s="102"/>
      <c r="DO16" s="1">
        <v>5</v>
      </c>
      <c r="DP16" s="104">
        <f t="shared" si="132"/>
        <v>0</v>
      </c>
      <c r="DQ16" s="102"/>
      <c r="DR16" s="1">
        <v>5</v>
      </c>
      <c r="DS16" s="104">
        <f t="shared" si="133"/>
        <v>0</v>
      </c>
      <c r="DT16" s="102"/>
      <c r="DU16" s="1">
        <v>5</v>
      </c>
      <c r="DV16" s="104">
        <f t="shared" si="134"/>
        <v>0</v>
      </c>
      <c r="DW16" s="102"/>
      <c r="DX16" s="1">
        <v>5</v>
      </c>
      <c r="DY16" s="104">
        <f t="shared" si="135"/>
        <v>0</v>
      </c>
      <c r="DZ16" s="102"/>
      <c r="EA16" s="1">
        <v>5</v>
      </c>
      <c r="EB16" s="104">
        <f t="shared" si="136"/>
        <v>0</v>
      </c>
      <c r="EC16" s="102"/>
      <c r="ED16" s="1">
        <v>5</v>
      </c>
      <c r="EE16" s="104">
        <f t="shared" si="137"/>
        <v>0</v>
      </c>
      <c r="EF16" s="102"/>
      <c r="EG16" s="1">
        <v>5</v>
      </c>
      <c r="EH16" s="104">
        <f t="shared" si="138"/>
        <v>0</v>
      </c>
      <c r="EI16" s="102"/>
      <c r="EJ16" s="1">
        <v>5</v>
      </c>
      <c r="EK16" s="104">
        <f t="shared" si="139"/>
        <v>0</v>
      </c>
      <c r="EL16" s="102"/>
      <c r="EM16" s="1">
        <v>5</v>
      </c>
      <c r="EN16" s="104">
        <f t="shared" si="140"/>
        <v>0</v>
      </c>
      <c r="EO16" s="90">
        <v>0</v>
      </c>
      <c r="EP16" s="96">
        <v>5</v>
      </c>
      <c r="EQ16" s="104">
        <f>IFERROR(EO16/EP16,0)</f>
        <v>0</v>
      </c>
      <c r="ER16" s="85">
        <f t="array" ref="ER16">IFERROR(_xlfn.LET(
_xlpm.datos,CHOOSE({1;2;3;4;5;6;7;8;9;10;11;12;13;13;14;15;16;17;18;19;20;21;22;23;23;24;25;26;27;28;29;30;31;32;33;34;35;36;37;38;39;40;41;42;43;44;45;46;47;48},F16,I16,L16,O16,R16,U16,X16,AA16,AD16,AG16,AJ16,AM16,AP16,AS16,AV16,AY16,BB16,BE16,BH16,BK16,BN16,BQ16,BT16,BW16,BZ16,CC16,CF16,CI16,CL16,CO16,CR16,CU16,CX16,DA16,DD16,DG16,DJ16,DM16,DP16,DS16,DV16,DY16,EB16,EE16,EH16,EK16,EN16,EQ16),
AVERAGE(_xlfn._xlws.FILTER(_xlpm.datos,(_xlpm.datos&lt;&gt;0)*(_xlpm.datos&lt;&gt;"")))
),0)</f>
        <v>0</v>
      </c>
      <c r="ES16" s="162" t="str">
        <f t="array" ref="ES16">_xlfn.IFS(ER16&gt;=91.5%,"MENSUAL",ER16&gt;=75%,"QUINCENAL",ER16&lt;75%,"SEMANAL")</f>
        <v>SEMANAL</v>
      </c>
      <c r="ET16" s="212"/>
    </row>
    <row r="17" ht="20.5" customHeight="1" spans="2:150" s="233" customFormat="1" x14ac:dyDescent="0.25">
      <c r="B17" s="234" t="s">
        <v>91</v>
      </c>
      <c r="C17" s="235"/>
      <c r="D17" s="102"/>
      <c r="E17" s="103">
        <v>5</v>
      </c>
      <c r="F17" s="104">
        <f t="shared" si="94"/>
        <v>0</v>
      </c>
      <c r="G17" s="102"/>
      <c r="H17" s="103">
        <v>5</v>
      </c>
      <c r="I17" s="104">
        <f t="shared" si="95"/>
        <v>0</v>
      </c>
      <c r="J17" s="105"/>
      <c r="K17" s="103">
        <v>5</v>
      </c>
      <c r="L17" s="104">
        <f t="shared" si="96"/>
        <v>0</v>
      </c>
      <c r="M17" s="105"/>
      <c r="N17" s="103">
        <v>5</v>
      </c>
      <c r="O17" s="104">
        <f t="shared" si="97"/>
        <v>0</v>
      </c>
      <c r="P17" s="106"/>
      <c r="Q17" s="107">
        <v>5</v>
      </c>
      <c r="R17" s="104">
        <f t="shared" si="98"/>
        <v>0</v>
      </c>
      <c r="S17" s="102"/>
      <c r="T17" s="107">
        <v>5</v>
      </c>
      <c r="U17" s="104">
        <f t="shared" si="99"/>
        <v>0</v>
      </c>
      <c r="V17" s="102"/>
      <c r="W17" s="107">
        <v>5</v>
      </c>
      <c r="X17" s="104">
        <f t="shared" si="100"/>
        <v>0</v>
      </c>
      <c r="Y17" s="102"/>
      <c r="Z17" s="107">
        <v>5</v>
      </c>
      <c r="AA17" s="104">
        <f t="shared" si="101"/>
        <v>0</v>
      </c>
      <c r="AB17" s="106"/>
      <c r="AC17" s="107">
        <v>5</v>
      </c>
      <c r="AD17" s="104">
        <f t="shared" si="102"/>
        <v>0</v>
      </c>
      <c r="AE17" s="106"/>
      <c r="AF17" s="107">
        <v>5</v>
      </c>
      <c r="AG17" s="104">
        <f t="shared" si="103"/>
        <v>0</v>
      </c>
      <c r="AH17" s="106"/>
      <c r="AI17" s="107">
        <v>5</v>
      </c>
      <c r="AJ17" s="104">
        <f t="shared" si="104"/>
        <v>0</v>
      </c>
      <c r="AK17" s="106"/>
      <c r="AL17" s="107">
        <v>5</v>
      </c>
      <c r="AM17" s="104">
        <f t="shared" si="105"/>
        <v>0</v>
      </c>
      <c r="AN17" s="102"/>
      <c r="AO17" s="1">
        <v>5</v>
      </c>
      <c r="AP17" s="104">
        <f t="shared" si="106"/>
        <v>0</v>
      </c>
      <c r="AQ17" s="102"/>
      <c r="AR17" s="1">
        <v>5</v>
      </c>
      <c r="AS17" s="104">
        <f t="shared" si="107"/>
        <v>0</v>
      </c>
      <c r="AT17" s="102"/>
      <c r="AU17" s="1">
        <v>5</v>
      </c>
      <c r="AV17" s="104">
        <f t="shared" si="108"/>
        <v>0</v>
      </c>
      <c r="AW17" s="102"/>
      <c r="AX17" s="1">
        <v>5</v>
      </c>
      <c r="AY17" s="104">
        <f t="shared" si="109"/>
        <v>0</v>
      </c>
      <c r="AZ17" s="102"/>
      <c r="BA17" s="1">
        <v>5</v>
      </c>
      <c r="BB17" s="104">
        <f t="shared" si="110"/>
        <v>0</v>
      </c>
      <c r="BC17" s="102"/>
      <c r="BD17" s="1">
        <v>5</v>
      </c>
      <c r="BE17" s="104">
        <f t="shared" si="111"/>
        <v>0</v>
      </c>
      <c r="BF17" s="102"/>
      <c r="BG17" s="1">
        <v>5</v>
      </c>
      <c r="BH17" s="104">
        <f t="shared" si="112"/>
        <v>0</v>
      </c>
      <c r="BI17" s="102"/>
      <c r="BJ17" s="1">
        <v>5</v>
      </c>
      <c r="BK17" s="104">
        <f t="shared" si="113"/>
        <v>0</v>
      </c>
      <c r="BL17" s="102"/>
      <c r="BM17" s="1">
        <v>5</v>
      </c>
      <c r="BN17" s="104">
        <f t="shared" si="114"/>
        <v>0</v>
      </c>
      <c r="BO17" s="102"/>
      <c r="BP17" s="1">
        <v>5</v>
      </c>
      <c r="BQ17" s="104">
        <f t="shared" si="115"/>
        <v>0</v>
      </c>
      <c r="BR17" s="102"/>
      <c r="BS17" s="1">
        <v>5</v>
      </c>
      <c r="BT17" s="104">
        <f t="shared" si="116"/>
        <v>0</v>
      </c>
      <c r="BU17" s="102"/>
      <c r="BV17" s="1">
        <v>5</v>
      </c>
      <c r="BW17" s="104">
        <f t="shared" si="117"/>
        <v>0</v>
      </c>
      <c r="BX17" s="102"/>
      <c r="BY17" s="1">
        <v>5</v>
      </c>
      <c r="BZ17" s="104">
        <f t="shared" si="118"/>
        <v>0</v>
      </c>
      <c r="CA17" s="102"/>
      <c r="CB17" s="1">
        <v>5</v>
      </c>
      <c r="CC17" s="104">
        <f t="shared" si="119"/>
        <v>0</v>
      </c>
      <c r="CD17" s="102"/>
      <c r="CE17" s="1">
        <v>5</v>
      </c>
      <c r="CF17" s="104">
        <f t="shared" si="120"/>
        <v>0</v>
      </c>
      <c r="CG17" s="102"/>
      <c r="CH17" s="1">
        <v>5</v>
      </c>
      <c r="CI17" s="104">
        <f t="shared" si="121"/>
        <v>0</v>
      </c>
      <c r="CJ17" s="102"/>
      <c r="CK17" s="1">
        <v>5</v>
      </c>
      <c r="CL17" s="104">
        <f t="shared" si="122"/>
        <v>0</v>
      </c>
      <c r="CM17" s="102"/>
      <c r="CN17" s="1">
        <v>5</v>
      </c>
      <c r="CO17" s="104">
        <f t="shared" si="123"/>
        <v>0</v>
      </c>
      <c r="CP17" s="102"/>
      <c r="CQ17" s="1">
        <v>5</v>
      </c>
      <c r="CR17" s="104">
        <f t="shared" si="124"/>
        <v>0</v>
      </c>
      <c r="CS17" s="102"/>
      <c r="CT17" s="1">
        <v>5</v>
      </c>
      <c r="CU17" s="104">
        <f t="shared" si="125"/>
        <v>0</v>
      </c>
      <c r="CV17" s="102"/>
      <c r="CW17" s="1">
        <v>5</v>
      </c>
      <c r="CX17" s="104">
        <f t="shared" si="126"/>
        <v>0</v>
      </c>
      <c r="CY17" s="102"/>
      <c r="CZ17" s="1">
        <v>5</v>
      </c>
      <c r="DA17" s="104">
        <f t="shared" si="127"/>
        <v>0</v>
      </c>
      <c r="DB17" s="102"/>
      <c r="DC17" s="1">
        <v>5</v>
      </c>
      <c r="DD17" s="104">
        <f t="shared" si="128"/>
        <v>0</v>
      </c>
      <c r="DE17" s="102"/>
      <c r="DF17" s="1">
        <v>5</v>
      </c>
      <c r="DG17" s="104">
        <f t="shared" si="129"/>
        <v>0</v>
      </c>
      <c r="DH17" s="102"/>
      <c r="DI17" s="1">
        <v>5</v>
      </c>
      <c r="DJ17" s="104">
        <f t="shared" si="130"/>
        <v>0</v>
      </c>
      <c r="DK17" s="102"/>
      <c r="DL17" s="1">
        <v>5</v>
      </c>
      <c r="DM17" s="104">
        <f t="shared" si="131"/>
        <v>0</v>
      </c>
      <c r="DN17" s="102"/>
      <c r="DO17" s="1">
        <v>5</v>
      </c>
      <c r="DP17" s="104">
        <f t="shared" si="132"/>
        <v>0</v>
      </c>
      <c r="DQ17" s="102"/>
      <c r="DR17" s="1">
        <v>5</v>
      </c>
      <c r="DS17" s="104">
        <f t="shared" si="133"/>
        <v>0</v>
      </c>
      <c r="DT17" s="102"/>
      <c r="DU17" s="1">
        <v>5</v>
      </c>
      <c r="DV17" s="104">
        <f t="shared" si="134"/>
        <v>0</v>
      </c>
      <c r="DW17" s="102"/>
      <c r="DX17" s="1">
        <v>5</v>
      </c>
      <c r="DY17" s="104">
        <f t="shared" si="135"/>
        <v>0</v>
      </c>
      <c r="DZ17" s="102"/>
      <c r="EA17" s="1">
        <v>5</v>
      </c>
      <c r="EB17" s="104">
        <f t="shared" si="136"/>
        <v>0</v>
      </c>
      <c r="EC17" s="102"/>
      <c r="ED17" s="1">
        <v>5</v>
      </c>
      <c r="EE17" s="104">
        <f t="shared" si="137"/>
        <v>0</v>
      </c>
      <c r="EF17" s="102"/>
      <c r="EG17" s="1">
        <v>5</v>
      </c>
      <c r="EH17" s="104">
        <f t="shared" si="138"/>
        <v>0</v>
      </c>
      <c r="EI17" s="102"/>
      <c r="EJ17" s="1">
        <v>5</v>
      </c>
      <c r="EK17" s="104">
        <f t="shared" si="139"/>
        <v>0</v>
      </c>
      <c r="EL17" s="102"/>
      <c r="EM17" s="1">
        <v>5</v>
      </c>
      <c r="EN17" s="104">
        <f t="shared" si="140"/>
        <v>0</v>
      </c>
      <c r="EO17" s="90">
        <v>0</v>
      </c>
      <c r="EP17" s="96">
        <v>5</v>
      </c>
      <c r="EQ17" s="104">
        <f>IFERROR(EO17/EP17,0)</f>
        <v>0</v>
      </c>
      <c r="ER17" s="85">
        <f t="array" ref="ER17">IFERROR(_xlfn.LET(
_xlpm.datos,CHOOSE({1;2;3;4;5;6;7;8;9;10;11;12;13;13;14;15;16;17;18;19;20;21;22;23;23;24;25;26;27;28;29;30;31;32;33;34;35;36;37;38;39;40;41;42;43;44;45;46;47;48},F17,I17,L17,O17,R17,U17,X17,AA17,AD17,AG17,AJ17,AM17,AP17,AS17,AV17,AY17,BB17,BE17,BH17,BK17,BN17,BQ17,BT17,BW17,BZ17,CC17,CF17,CI17,CL17,CO17,CR17,CU17,CX17,DA17,DD17,DG17,DJ17,DM17,DP17,DS17,DV17,DY17,EB17,EE17,EH17,EK17,EN17,EQ17),
AVERAGE(_xlfn._xlws.FILTER(_xlpm.datos,(_xlpm.datos&lt;&gt;0)*(_xlpm.datos&lt;&gt;"")))
),0)</f>
        <v>0</v>
      </c>
      <c r="ES17" s="162" t="str">
        <f t="array" ref="ES17">_xlfn.IFS(ER17&gt;=91.5%,"MENSUAL",ER17&gt;=75%,"QUINCENAL",ER17&lt;75%,"SEMANAL")</f>
        <v>SEMANAL</v>
      </c>
      <c r="ET17" s="19"/>
    </row>
    <row r="18" ht="11.25" customHeight="1" spans="1:507" s="214" customFormat="1" x14ac:dyDescent="0.25">
      <c r="A18" s="215"/>
      <c r="B18" s="236" t="s">
        <v>191</v>
      </c>
      <c r="C18" s="237"/>
      <c r="D18" s="126"/>
      <c r="E18" s="136"/>
      <c r="F18" s="223">
        <f>AVERAGE(F19:F25)</f>
        <v>0</v>
      </c>
      <c r="G18" s="126"/>
      <c r="H18" s="136"/>
      <c r="I18" s="223">
        <f>AVERAGE(I19:I25)</f>
        <v>0</v>
      </c>
      <c r="J18" s="126"/>
      <c r="K18" s="136"/>
      <c r="L18" s="223">
        <f>AVERAGE(L19:L25)</f>
        <v>0</v>
      </c>
      <c r="M18" s="126"/>
      <c r="N18" s="136"/>
      <c r="O18" s="223">
        <f>AVERAGE(O19:O25)</f>
        <v>0</v>
      </c>
      <c r="P18" s="126"/>
      <c r="Q18" s="136"/>
      <c r="R18" s="223">
        <f>AVERAGE(R19:R25)</f>
        <v>0</v>
      </c>
      <c r="S18" s="126"/>
      <c r="T18" s="136"/>
      <c r="U18" s="223">
        <f>AVERAGE(U19:U25)</f>
        <v>0</v>
      </c>
      <c r="V18" s="126"/>
      <c r="W18" s="136"/>
      <c r="X18" s="223">
        <f>AVERAGE(X19:X25)</f>
        <v>0</v>
      </c>
      <c r="Y18" s="126"/>
      <c r="Z18" s="136"/>
      <c r="AA18" s="223">
        <f>AVERAGE(AA19:AA25)</f>
        <v>0</v>
      </c>
      <c r="AB18" s="126"/>
      <c r="AC18" s="136"/>
      <c r="AD18" s="223">
        <f>AVERAGE(AD19:AD25)</f>
        <v>0</v>
      </c>
      <c r="AE18" s="126"/>
      <c r="AF18" s="136"/>
      <c r="AG18" s="223">
        <f>AVERAGE(AG19:AG25)</f>
        <v>0</v>
      </c>
      <c r="AH18" s="126"/>
      <c r="AI18" s="136"/>
      <c r="AJ18" s="223">
        <f>AVERAGE(AJ19:AJ25)</f>
        <v>0</v>
      </c>
      <c r="AK18" s="126"/>
      <c r="AL18" s="136"/>
      <c r="AM18" s="223">
        <f>AVERAGE(AM19:AM25)</f>
        <v>0</v>
      </c>
      <c r="AN18" s="126"/>
      <c r="AO18" s="136"/>
      <c r="AP18" s="223">
        <f>AVERAGE(AP19:AP25)</f>
        <v>0</v>
      </c>
      <c r="AQ18" s="126"/>
      <c r="AR18" s="136"/>
      <c r="AS18" s="223">
        <f>AVERAGE(AS19:AS25)</f>
        <v>0</v>
      </c>
      <c r="AT18" s="126"/>
      <c r="AU18" s="136"/>
      <c r="AV18" s="223">
        <f>AVERAGE(AV19:AV25)</f>
        <v>0</v>
      </c>
      <c r="AW18" s="126"/>
      <c r="AX18" s="136"/>
      <c r="AY18" s="223">
        <f>AVERAGE(AY19:AY25)</f>
        <v>0</v>
      </c>
      <c r="AZ18" s="126"/>
      <c r="BA18" s="136"/>
      <c r="BB18" s="223">
        <f>AVERAGE(BB19:BB25)</f>
        <v>0</v>
      </c>
      <c r="BC18" s="126"/>
      <c r="BD18" s="136"/>
      <c r="BE18" s="223">
        <f>AVERAGE(BE19:BE25)</f>
        <v>0</v>
      </c>
      <c r="BF18" s="126"/>
      <c r="BG18" s="136"/>
      <c r="BH18" s="223">
        <f>AVERAGE(BH19:BH25)</f>
        <v>0</v>
      </c>
      <c r="BI18" s="126"/>
      <c r="BJ18" s="136"/>
      <c r="BK18" s="223">
        <f>AVERAGE(BK19:BK25)</f>
        <v>0</v>
      </c>
      <c r="BL18" s="126"/>
      <c r="BM18" s="136"/>
      <c r="BN18" s="223">
        <f>AVERAGE(BN19:BN25)</f>
        <v>0</v>
      </c>
      <c r="BO18" s="126"/>
      <c r="BP18" s="136"/>
      <c r="BQ18" s="223">
        <f>AVERAGE(BQ19:BQ25)</f>
        <v>0</v>
      </c>
      <c r="BR18" s="126"/>
      <c r="BS18" s="136"/>
      <c r="BT18" s="223">
        <f>AVERAGE(BT19:BT25)</f>
        <v>0</v>
      </c>
      <c r="BU18" s="126"/>
      <c r="BV18" s="136"/>
      <c r="BW18" s="223">
        <f>AVERAGE(BW19:BW25)</f>
        <v>0</v>
      </c>
      <c r="BX18" s="126"/>
      <c r="BY18" s="136"/>
      <c r="BZ18" s="223">
        <f>AVERAGE(BZ19:BZ25)</f>
        <v>0</v>
      </c>
      <c r="CA18" s="126"/>
      <c r="CB18" s="136"/>
      <c r="CC18" s="223">
        <f>AVERAGE(CC19:CC25)</f>
        <v>0</v>
      </c>
      <c r="CD18" s="126"/>
      <c r="CE18" s="136"/>
      <c r="CF18" s="223">
        <f>AVERAGE(CF19:CF25)</f>
        <v>0</v>
      </c>
      <c r="CG18" s="126"/>
      <c r="CH18" s="136"/>
      <c r="CI18" s="223">
        <f>AVERAGE(CI19:CI25)</f>
        <v>0</v>
      </c>
      <c r="CJ18" s="126"/>
      <c r="CK18" s="136"/>
      <c r="CL18" s="223">
        <f>AVERAGE(CL19:CL25)</f>
        <v>0</v>
      </c>
      <c r="CM18" s="126"/>
      <c r="CN18" s="136"/>
      <c r="CO18" s="223">
        <f>AVERAGE(CO19:CO25)</f>
        <v>0</v>
      </c>
      <c r="CP18" s="126"/>
      <c r="CQ18" s="136"/>
      <c r="CR18" s="223">
        <f>AVERAGE(CR19:CR25)</f>
        <v>0</v>
      </c>
      <c r="CS18" s="126"/>
      <c r="CT18" s="136"/>
      <c r="CU18" s="223">
        <f>AVERAGE(CU19:CU25)</f>
        <v>0</v>
      </c>
      <c r="CV18" s="126"/>
      <c r="CW18" s="136"/>
      <c r="CX18" s="223">
        <f>AVERAGE(CX19:CX25)</f>
        <v>0</v>
      </c>
      <c r="CY18" s="126"/>
      <c r="CZ18" s="136"/>
      <c r="DA18" s="223">
        <f>AVERAGE(DA19:DA25)</f>
        <v>0</v>
      </c>
      <c r="DB18" s="126"/>
      <c r="DC18" s="136"/>
      <c r="DD18" s="223">
        <f>AVERAGE(DD19:DD25)</f>
        <v>0</v>
      </c>
      <c r="DE18" s="126"/>
      <c r="DF18" s="136"/>
      <c r="DG18" s="224">
        <f>AVERAGE(DG19:DG25)</f>
        <v>0</v>
      </c>
      <c r="DH18" s="126"/>
      <c r="DI18" s="136"/>
      <c r="DJ18" s="223">
        <f>AVERAGE(DJ19:DJ25)</f>
        <v>0</v>
      </c>
      <c r="DK18" s="126"/>
      <c r="DL18" s="136"/>
      <c r="DM18" s="223">
        <f>AVERAGE(DM19:DM25)</f>
        <v>0</v>
      </c>
      <c r="DN18" s="126"/>
      <c r="DO18" s="136"/>
      <c r="DP18" s="223">
        <f>AVERAGE(DP19:DP25)</f>
        <v>0</v>
      </c>
      <c r="DQ18" s="126"/>
      <c r="DR18" s="136"/>
      <c r="DS18" s="223">
        <f>AVERAGE(DS19:DS25)</f>
        <v>0</v>
      </c>
      <c r="DT18" s="126"/>
      <c r="DU18" s="136"/>
      <c r="DV18" s="223">
        <f>AVERAGE(DV19:DV25)</f>
        <v>0</v>
      </c>
      <c r="DW18" s="126"/>
      <c r="DX18" s="136"/>
      <c r="DY18" s="223">
        <f>AVERAGE(DY19:DY25)</f>
        <v>0</v>
      </c>
      <c r="DZ18" s="126"/>
      <c r="EA18" s="136"/>
      <c r="EB18" s="223">
        <f>AVERAGE(EB19:EB25)</f>
        <v>0</v>
      </c>
      <c r="EC18" s="126"/>
      <c r="ED18" s="136"/>
      <c r="EE18" s="223">
        <f>AVERAGE(EE19:EE25)</f>
        <v>0</v>
      </c>
      <c r="EF18" s="126"/>
      <c r="EG18" s="136"/>
      <c r="EH18" s="223">
        <f>AVERAGE(EH19:EH25)</f>
        <v>0</v>
      </c>
      <c r="EI18" s="126"/>
      <c r="EJ18" s="136"/>
      <c r="EK18" s="223">
        <f>AVERAGE(EK19:EK25)</f>
        <v>0</v>
      </c>
      <c r="EL18" s="126"/>
      <c r="EM18" s="136"/>
      <c r="EN18" s="223">
        <f>AVERAGE(EN19:EN25)</f>
        <v>0</v>
      </c>
      <c r="EO18" s="126"/>
      <c r="EP18" s="136"/>
      <c r="EQ18" s="223">
        <f>AVERAGE(EQ19:EQ25)</f>
        <v>0</v>
      </c>
      <c r="ER18" s="85">
        <f t="array" ref="ER18">IFERROR(_xlfn.LET(
_xlpm.datos,CHOOSE({1;2;3;4;5;6;7;8;9;10;11;12;13;13;14;15;16;17;18;19;20;21;22;23;23;24;25;26;27;28;29;30;31;32;33;34;35;36;37;38;39;40;41;42;43;44;45;46;47;48},F18,I18,L18,O18,R18,U18,X18,AA18,AD18,AG18,AJ18,AM18,AP18,AS18,AV18,AY18,BB18,BE18,BH18,BK18,BN18,BQ18,BT18,BW18,BZ18,CC18,CF18,CI18,CL18,CO18,CR18,CU18,CX18,DA18,DD18,DG18,DJ18,DM18,DP18,DS18,DV18,DY18,EB18,EE18,EH18,EK18,EN18,EQ18),
AVERAGE(_xlfn._xlws.FILTER(_xlpm.datos,(_xlpm.datos&lt;&gt;0)*(_xlpm.datos&lt;&gt;"")))
),0)</f>
        <v>0</v>
      </c>
      <c r="ES18" s="162" t="str">
        <f t="array" ref="ES18">_xlfn.IFS(ER18&gt;=91.5%,"MENSUAL",ER18&gt;=75%,"QUINCENAL",ER18&lt;75%,"SEMANAL")</f>
        <v>SEMANAL</v>
      </c>
      <c r="ET18" s="212"/>
      <c r="EU18" s="201"/>
      <c r="EV18" s="201"/>
      <c r="EW18" s="201"/>
      <c r="EX18" s="201"/>
      <c r="EY18" s="201"/>
      <c r="EZ18" s="201"/>
      <c r="FA18" s="201"/>
      <c r="FB18" s="201"/>
      <c r="FC18" s="201"/>
      <c r="FD18" s="201"/>
      <c r="FE18" s="201"/>
      <c r="FF18" s="201"/>
      <c r="FG18" s="201"/>
      <c r="FH18" s="201"/>
      <c r="FI18" s="201"/>
      <c r="FJ18" s="201"/>
      <c r="FK18" s="201"/>
      <c r="FL18" s="201"/>
      <c r="FM18" s="201"/>
      <c r="FN18" s="201"/>
      <c r="FO18" s="201"/>
      <c r="FP18" s="201"/>
      <c r="FQ18" s="201"/>
      <c r="FR18" s="201"/>
      <c r="FS18" s="201"/>
      <c r="FT18" s="201"/>
      <c r="FU18" s="201"/>
      <c r="FV18" s="201"/>
      <c r="FW18" s="201"/>
      <c r="FX18" s="201"/>
      <c r="FY18" s="201"/>
      <c r="FZ18" s="201"/>
      <c r="GA18" s="201"/>
      <c r="GB18" s="201"/>
      <c r="GC18" s="201"/>
      <c r="GD18" s="201"/>
      <c r="GE18" s="201"/>
      <c r="GF18" s="201"/>
      <c r="GG18" s="201"/>
      <c r="GH18" s="201"/>
      <c r="GI18" s="201"/>
      <c r="GJ18" s="201"/>
      <c r="GK18" s="201"/>
      <c r="GL18" s="201"/>
      <c r="GM18" s="201"/>
      <c r="GN18" s="201"/>
      <c r="GO18" s="201"/>
      <c r="GP18" s="201"/>
      <c r="GQ18" s="201"/>
      <c r="GR18" s="201"/>
      <c r="GS18" s="201"/>
      <c r="GT18" s="201"/>
      <c r="GU18" s="201"/>
      <c r="GV18" s="201"/>
      <c r="GW18" s="201"/>
      <c r="GX18" s="201"/>
      <c r="GY18" s="201"/>
      <c r="GZ18" s="201"/>
      <c r="HA18" s="201"/>
      <c r="HB18" s="201"/>
      <c r="HC18" s="201"/>
      <c r="HD18" s="201"/>
      <c r="HE18" s="201"/>
      <c r="HF18" s="201"/>
      <c r="HG18" s="201"/>
      <c r="HH18" s="201"/>
      <c r="HI18" s="201"/>
      <c r="HJ18" s="201"/>
      <c r="HK18" s="201"/>
      <c r="HL18" s="201"/>
      <c r="HM18" s="201"/>
      <c r="HN18" s="201"/>
      <c r="HO18" s="201"/>
      <c r="HP18" s="201"/>
      <c r="HQ18" s="201"/>
      <c r="HR18" s="201"/>
      <c r="HS18" s="201"/>
      <c r="HT18" s="201"/>
      <c r="HU18" s="201"/>
      <c r="HV18" s="201"/>
      <c r="HW18" s="201"/>
      <c r="HX18" s="201"/>
      <c r="HY18" s="201"/>
      <c r="HZ18" s="201"/>
      <c r="IA18" s="201"/>
      <c r="IB18" s="201"/>
      <c r="IC18" s="201"/>
      <c r="ID18" s="201"/>
      <c r="IE18" s="201"/>
      <c r="IF18" s="201"/>
      <c r="IG18" s="201"/>
      <c r="IH18" s="201"/>
      <c r="II18" s="201"/>
      <c r="IJ18" s="201"/>
      <c r="IK18" s="201"/>
      <c r="IL18" s="201"/>
      <c r="IM18" s="201"/>
      <c r="IN18" s="201"/>
      <c r="IO18" s="201"/>
      <c r="IP18" s="201"/>
      <c r="IQ18" s="201"/>
      <c r="IR18" s="201"/>
      <c r="IS18" s="201"/>
      <c r="IT18" s="201"/>
      <c r="IU18" s="201"/>
      <c r="IV18" s="201"/>
      <c r="IW18" s="201"/>
      <c r="IX18" s="201"/>
      <c r="IY18" s="201"/>
      <c r="IZ18" s="201"/>
      <c r="JA18" s="201"/>
      <c r="JB18" s="201"/>
      <c r="JC18" s="201"/>
      <c r="JD18" s="201"/>
      <c r="JE18" s="201"/>
      <c r="JF18" s="201"/>
      <c r="JG18" s="201"/>
      <c r="JH18" s="201"/>
      <c r="JI18" s="201"/>
      <c r="JJ18" s="201"/>
      <c r="JK18" s="201"/>
      <c r="JL18" s="201"/>
      <c r="JM18" s="201"/>
      <c r="JN18" s="201"/>
      <c r="JO18" s="201"/>
      <c r="JP18" s="201"/>
      <c r="JQ18" s="201"/>
      <c r="JR18" s="201"/>
      <c r="JS18" s="201"/>
      <c r="JT18" s="201"/>
      <c r="JU18" s="201"/>
      <c r="JV18" s="201"/>
      <c r="JW18" s="201"/>
      <c r="JX18" s="201"/>
      <c r="JY18" s="201"/>
      <c r="JZ18" s="201"/>
      <c r="KA18" s="201"/>
      <c r="KB18" s="201"/>
      <c r="KC18" s="201"/>
      <c r="KD18" s="201"/>
      <c r="KE18" s="201"/>
      <c r="KF18" s="201"/>
      <c r="KG18" s="201"/>
      <c r="KH18" s="201"/>
      <c r="KI18" s="201"/>
      <c r="KJ18" s="201"/>
      <c r="KK18" s="201"/>
      <c r="KL18" s="201"/>
      <c r="KM18" s="201"/>
      <c r="KN18" s="201"/>
      <c r="KO18" s="201"/>
      <c r="KP18" s="201"/>
      <c r="KQ18" s="201"/>
      <c r="KR18" s="201"/>
      <c r="KS18" s="201"/>
      <c r="KT18" s="201"/>
      <c r="KU18" s="201"/>
      <c r="KV18" s="201"/>
      <c r="KW18" s="201"/>
      <c r="KX18" s="201"/>
      <c r="KY18" s="201"/>
      <c r="KZ18" s="201"/>
      <c r="LA18" s="201"/>
      <c r="LB18" s="201"/>
      <c r="LC18" s="201"/>
      <c r="LD18" s="201"/>
      <c r="LE18" s="201"/>
      <c r="LF18" s="201"/>
      <c r="LG18" s="201"/>
      <c r="LH18" s="201"/>
      <c r="LI18" s="201"/>
      <c r="LJ18" s="201"/>
      <c r="LK18" s="201"/>
      <c r="LL18" s="201"/>
      <c r="LM18" s="201"/>
      <c r="LN18" s="201"/>
      <c r="LO18" s="201"/>
      <c r="LP18" s="201"/>
      <c r="LQ18" s="201"/>
      <c r="LR18" s="201"/>
      <c r="LS18" s="201"/>
      <c r="LT18" s="201"/>
      <c r="LU18" s="201"/>
      <c r="LV18" s="201"/>
      <c r="LW18" s="201"/>
      <c r="LX18" s="201"/>
      <c r="LY18" s="201"/>
      <c r="LZ18" s="201"/>
      <c r="MA18" s="201"/>
      <c r="MB18" s="201"/>
      <c r="MC18" s="201"/>
      <c r="MD18" s="201"/>
      <c r="ME18" s="201"/>
      <c r="MF18" s="201"/>
      <c r="MG18" s="201"/>
      <c r="MH18" s="201"/>
      <c r="MI18" s="201"/>
      <c r="MJ18" s="201"/>
      <c r="MK18" s="201"/>
      <c r="ML18" s="201"/>
      <c r="MM18" s="201"/>
      <c r="MN18" s="201"/>
      <c r="MO18" s="201"/>
      <c r="MP18" s="201"/>
      <c r="MQ18" s="201"/>
      <c r="MR18" s="201"/>
      <c r="MS18" s="201"/>
      <c r="MT18" s="201"/>
      <c r="MU18" s="201"/>
      <c r="MV18" s="201"/>
      <c r="MW18" s="201"/>
      <c r="MX18" s="201"/>
      <c r="MY18" s="201"/>
      <c r="MZ18" s="201"/>
      <c r="NA18" s="201"/>
      <c r="NB18" s="201"/>
      <c r="NC18" s="201"/>
      <c r="ND18" s="201"/>
      <c r="NE18" s="201"/>
      <c r="NF18" s="201"/>
      <c r="NG18" s="201"/>
      <c r="NH18" s="201"/>
      <c r="NI18" s="201"/>
      <c r="NJ18" s="201"/>
      <c r="NK18" s="201"/>
      <c r="NL18" s="201"/>
      <c r="NM18" s="201"/>
      <c r="NN18" s="201"/>
      <c r="NO18" s="201"/>
      <c r="NP18" s="201"/>
      <c r="NQ18" s="201"/>
      <c r="NR18" s="201"/>
      <c r="NS18" s="201"/>
      <c r="NT18" s="201"/>
      <c r="NU18" s="201"/>
      <c r="NV18" s="201"/>
      <c r="NW18" s="201"/>
      <c r="NX18" s="201"/>
      <c r="NY18" s="201"/>
      <c r="NZ18" s="201"/>
      <c r="OA18" s="201"/>
      <c r="OB18" s="201"/>
      <c r="OC18" s="201"/>
      <c r="OD18" s="201"/>
      <c r="OE18" s="201"/>
      <c r="OF18" s="201"/>
      <c r="OG18" s="201"/>
      <c r="OH18" s="201"/>
      <c r="OI18" s="201"/>
      <c r="OJ18" s="201"/>
      <c r="OK18" s="201"/>
      <c r="OL18" s="201"/>
      <c r="OM18" s="201"/>
      <c r="ON18" s="201"/>
      <c r="OO18" s="201"/>
      <c r="OP18" s="201"/>
      <c r="OQ18" s="201"/>
      <c r="OR18" s="201"/>
      <c r="OS18" s="201"/>
      <c r="OT18" s="201"/>
      <c r="OU18" s="201"/>
      <c r="OV18" s="201"/>
      <c r="OW18" s="201"/>
      <c r="OX18" s="201"/>
      <c r="OY18" s="201"/>
      <c r="OZ18" s="201"/>
      <c r="PA18" s="201"/>
      <c r="PB18" s="201"/>
      <c r="PC18" s="201"/>
      <c r="PD18" s="201"/>
      <c r="PE18" s="201"/>
      <c r="PF18" s="201"/>
      <c r="PG18" s="201"/>
      <c r="PH18" s="201"/>
      <c r="PI18" s="201"/>
      <c r="PJ18" s="201"/>
      <c r="PK18" s="201"/>
      <c r="PL18" s="201"/>
      <c r="PM18" s="201"/>
      <c r="PN18" s="201"/>
      <c r="PO18" s="201"/>
      <c r="PP18" s="201"/>
      <c r="PQ18" s="201"/>
      <c r="PR18" s="201"/>
      <c r="PS18" s="201"/>
      <c r="PT18" s="201"/>
      <c r="PU18" s="201"/>
      <c r="PV18" s="201"/>
      <c r="PW18" s="201"/>
      <c r="PX18" s="201"/>
      <c r="PY18" s="201"/>
      <c r="PZ18" s="201"/>
      <c r="QA18" s="201"/>
      <c r="QB18" s="201"/>
      <c r="QC18" s="201"/>
      <c r="QD18" s="201"/>
      <c r="QE18" s="201"/>
      <c r="QF18" s="201"/>
      <c r="QG18" s="201"/>
      <c r="QH18" s="201"/>
      <c r="QI18" s="201"/>
      <c r="QJ18" s="201"/>
      <c r="QK18" s="201"/>
      <c r="QL18" s="201"/>
      <c r="QM18" s="201"/>
      <c r="QN18" s="201"/>
      <c r="QO18" s="201"/>
      <c r="QP18" s="201"/>
      <c r="QQ18" s="201"/>
      <c r="QR18" s="201"/>
      <c r="QS18" s="201"/>
      <c r="QT18" s="201"/>
      <c r="QU18" s="201"/>
      <c r="QV18" s="201"/>
      <c r="QW18" s="201"/>
      <c r="QX18" s="201"/>
      <c r="QY18" s="201"/>
      <c r="QZ18" s="201"/>
      <c r="RA18" s="201"/>
      <c r="RB18" s="201"/>
      <c r="RC18" s="201"/>
      <c r="RD18" s="201"/>
      <c r="RE18" s="201"/>
      <c r="RF18" s="201"/>
      <c r="RG18" s="201"/>
      <c r="RH18" s="201"/>
      <c r="RI18" s="201"/>
      <c r="RJ18" s="201"/>
      <c r="RK18" s="201"/>
      <c r="RL18" s="201"/>
      <c r="RM18" s="201"/>
      <c r="RN18" s="201"/>
      <c r="RO18" s="201"/>
      <c r="RP18" s="201"/>
      <c r="RQ18" s="201"/>
      <c r="RR18" s="201"/>
      <c r="RS18" s="201"/>
      <c r="RT18" s="201"/>
      <c r="RU18" s="201"/>
      <c r="RV18" s="201"/>
      <c r="RW18" s="201"/>
      <c r="RX18" s="201"/>
      <c r="RY18" s="201"/>
      <c r="RZ18" s="201"/>
      <c r="SA18" s="201"/>
      <c r="SB18" s="201"/>
      <c r="SC18" s="201"/>
      <c r="SD18" s="201"/>
      <c r="SE18" s="201"/>
      <c r="SF18" s="201"/>
      <c r="SG18" s="201"/>
      <c r="SH18" s="201"/>
      <c r="SI18" s="201"/>
      <c r="SJ18" s="201"/>
      <c r="SK18" s="201"/>
      <c r="SL18" s="201"/>
      <c r="SM18" s="201"/>
    </row>
    <row r="19" ht="40.75" customHeight="1" spans="2:150" x14ac:dyDescent="0.25">
      <c r="B19" s="227" t="s">
        <v>192</v>
      </c>
      <c r="C19" s="228"/>
      <c r="D19" s="102"/>
      <c r="E19" s="103">
        <v>5</v>
      </c>
      <c r="F19" s="104">
        <f t="shared" ref="F19:F25" si="141">D19/E19</f>
        <v>0</v>
      </c>
      <c r="G19" s="102"/>
      <c r="H19" s="103">
        <v>5</v>
      </c>
      <c r="I19" s="104">
        <f t="shared" ref="I19:I25" si="142">G19/H19</f>
        <v>0</v>
      </c>
      <c r="J19" s="105"/>
      <c r="K19" s="103">
        <v>5</v>
      </c>
      <c r="L19" s="104">
        <f t="shared" ref="L19:L25" si="143">J19/K19</f>
        <v>0</v>
      </c>
      <c r="M19" s="105"/>
      <c r="N19" s="103">
        <v>5</v>
      </c>
      <c r="O19" s="104">
        <f t="shared" ref="O19:O25" si="144">M19/N19</f>
        <v>0</v>
      </c>
      <c r="P19" s="106"/>
      <c r="Q19" s="107">
        <v>5</v>
      </c>
      <c r="R19" s="104">
        <f t="shared" ref="R19:R25" si="145">P19/Q19</f>
        <v>0</v>
      </c>
      <c r="S19" s="102"/>
      <c r="T19" s="107">
        <v>5</v>
      </c>
      <c r="U19" s="104">
        <f t="shared" ref="U19:U25" si="146">S19/T19</f>
        <v>0</v>
      </c>
      <c r="V19" s="102"/>
      <c r="W19" s="107">
        <v>5</v>
      </c>
      <c r="X19" s="104">
        <f t="shared" ref="X19:X25" si="147">V19/W19</f>
        <v>0</v>
      </c>
      <c r="Y19" s="102"/>
      <c r="Z19" s="107">
        <v>5</v>
      </c>
      <c r="AA19" s="104">
        <f t="shared" ref="AA19:AA25" si="148">Y19/Z19</f>
        <v>0</v>
      </c>
      <c r="AB19" s="106"/>
      <c r="AC19" s="107">
        <v>5</v>
      </c>
      <c r="AD19" s="104">
        <f t="shared" ref="AD19:AD25" si="149">AB19/AC19</f>
        <v>0</v>
      </c>
      <c r="AE19" s="106"/>
      <c r="AF19" s="107">
        <v>5</v>
      </c>
      <c r="AG19" s="104">
        <f t="shared" ref="AG19:AG25" si="150">AE19/AF19</f>
        <v>0</v>
      </c>
      <c r="AH19" s="106"/>
      <c r="AI19" s="107">
        <v>5</v>
      </c>
      <c r="AJ19" s="104">
        <f t="shared" ref="AJ19:AJ25" si="151">AH19/AI19</f>
        <v>0</v>
      </c>
      <c r="AK19" s="106"/>
      <c r="AL19" s="107">
        <v>5</v>
      </c>
      <c r="AM19" s="104">
        <f t="shared" ref="AM19:AM25" si="152">AK19/AL19</f>
        <v>0</v>
      </c>
      <c r="AN19" s="102"/>
      <c r="AO19" s="1">
        <v>5</v>
      </c>
      <c r="AP19" s="104">
        <f t="shared" ref="AP19:AP25" si="153">AN19/AO19</f>
        <v>0</v>
      </c>
      <c r="AQ19" s="102"/>
      <c r="AR19" s="1">
        <v>5</v>
      </c>
      <c r="AS19" s="104">
        <f t="shared" ref="AS19:AS25" si="154">AQ19/AR19</f>
        <v>0</v>
      </c>
      <c r="AT19" s="102"/>
      <c r="AU19" s="1">
        <v>5</v>
      </c>
      <c r="AV19" s="104">
        <f t="shared" ref="AV19:AV25" si="155">AT19/AU19</f>
        <v>0</v>
      </c>
      <c r="AW19" s="102"/>
      <c r="AX19" s="1">
        <v>5</v>
      </c>
      <c r="AY19" s="104">
        <f t="shared" ref="AY19:AY25" si="156">AW19/AX19</f>
        <v>0</v>
      </c>
      <c r="AZ19" s="102"/>
      <c r="BA19" s="1">
        <v>5</v>
      </c>
      <c r="BB19" s="104">
        <f t="shared" ref="BB19:BB25" si="157">AZ19/BA19</f>
        <v>0</v>
      </c>
      <c r="BC19" s="102"/>
      <c r="BD19" s="1">
        <v>5</v>
      </c>
      <c r="BE19" s="104">
        <f t="shared" ref="BE19:BE25" si="158">BC19/BD19</f>
        <v>0</v>
      </c>
      <c r="BF19" s="102"/>
      <c r="BG19" s="1">
        <v>5</v>
      </c>
      <c r="BH19" s="104">
        <f t="shared" ref="BH19:BH25" si="159">BF19/BG19</f>
        <v>0</v>
      </c>
      <c r="BI19" s="102"/>
      <c r="BJ19" s="1">
        <v>5</v>
      </c>
      <c r="BK19" s="104">
        <f t="shared" ref="BK19:BK25" si="160">BI19/BJ19</f>
        <v>0</v>
      </c>
      <c r="BL19" s="102"/>
      <c r="BM19" s="1">
        <v>5</v>
      </c>
      <c r="BN19" s="104">
        <f t="shared" ref="BN19:BN25" si="161">BL19/BM19</f>
        <v>0</v>
      </c>
      <c r="BO19" s="102"/>
      <c r="BP19" s="1">
        <v>5</v>
      </c>
      <c r="BQ19" s="104">
        <f t="shared" ref="BQ19:BQ25" si="162">BO19/BP19</f>
        <v>0</v>
      </c>
      <c r="BR19" s="102"/>
      <c r="BS19" s="1">
        <v>5</v>
      </c>
      <c r="BT19" s="104">
        <f t="shared" ref="BT19:BT25" si="163">BR19/BS19</f>
        <v>0</v>
      </c>
      <c r="BU19" s="102"/>
      <c r="BV19" s="1">
        <v>5</v>
      </c>
      <c r="BW19" s="104">
        <f t="shared" ref="BW19:BW25" si="164">BU19/BV19</f>
        <v>0</v>
      </c>
      <c r="BX19" s="102"/>
      <c r="BY19" s="1">
        <v>5</v>
      </c>
      <c r="BZ19" s="104">
        <f t="shared" ref="BZ19:BZ25" si="165">BX19/BY19</f>
        <v>0</v>
      </c>
      <c r="CA19" s="102"/>
      <c r="CB19" s="1">
        <v>5</v>
      </c>
      <c r="CC19" s="104">
        <f t="shared" ref="CC19:CC25" si="166">CA19/CB19</f>
        <v>0</v>
      </c>
      <c r="CD19" s="102"/>
      <c r="CE19" s="1">
        <v>5</v>
      </c>
      <c r="CF19" s="104">
        <f t="shared" ref="CF19:CF25" si="167">CD19/CE19</f>
        <v>0</v>
      </c>
      <c r="CG19" s="102"/>
      <c r="CH19" s="1">
        <v>5</v>
      </c>
      <c r="CI19" s="104">
        <f t="shared" ref="CI19:CI25" si="168">CG19/CH19</f>
        <v>0</v>
      </c>
      <c r="CJ19" s="102"/>
      <c r="CK19" s="1">
        <v>5</v>
      </c>
      <c r="CL19" s="104">
        <f t="shared" ref="CL19:CL25" si="169">CJ19/CK19</f>
        <v>0</v>
      </c>
      <c r="CM19" s="102"/>
      <c r="CN19" s="1">
        <v>5</v>
      </c>
      <c r="CO19" s="104">
        <f t="shared" ref="CO19:CO25" si="170">CM19/CN19</f>
        <v>0</v>
      </c>
      <c r="CP19" s="102"/>
      <c r="CQ19" s="1">
        <v>5</v>
      </c>
      <c r="CR19" s="104">
        <f t="shared" ref="CR19:CR25" si="171">CP19/CQ19</f>
        <v>0</v>
      </c>
      <c r="CS19" s="102"/>
      <c r="CT19" s="1">
        <v>5</v>
      </c>
      <c r="CU19" s="104">
        <f t="shared" ref="CU19:CU25" si="172">CS19/CT19</f>
        <v>0</v>
      </c>
      <c r="CV19" s="102"/>
      <c r="CW19" s="1">
        <v>5</v>
      </c>
      <c r="CX19" s="104">
        <f t="shared" ref="CX19:CX25" si="173">CV19/CW19</f>
        <v>0</v>
      </c>
      <c r="CY19" s="102"/>
      <c r="CZ19" s="1">
        <v>5</v>
      </c>
      <c r="DA19" s="104">
        <f t="shared" ref="DA19:DA25" si="174">CY19/CZ19</f>
        <v>0</v>
      </c>
      <c r="DB19" s="102"/>
      <c r="DC19" s="1">
        <v>5</v>
      </c>
      <c r="DD19" s="104">
        <f t="shared" ref="DD19:DD25" si="175">DB19/DC19</f>
        <v>0</v>
      </c>
      <c r="DE19" s="102"/>
      <c r="DF19" s="1">
        <v>5</v>
      </c>
      <c r="DG19" s="104">
        <f t="shared" ref="DG19:DG25" si="176">DE19/DF19</f>
        <v>0</v>
      </c>
      <c r="DH19" s="102"/>
      <c r="DI19" s="1">
        <v>5</v>
      </c>
      <c r="DJ19" s="104">
        <f t="shared" ref="DJ19:DJ25" si="177">DH19/DI19</f>
        <v>0</v>
      </c>
      <c r="DK19" s="102"/>
      <c r="DL19" s="1">
        <v>5</v>
      </c>
      <c r="DM19" s="104">
        <f t="shared" ref="DM19:DM25" si="178">DK19/DL19</f>
        <v>0</v>
      </c>
      <c r="DN19" s="102"/>
      <c r="DO19" s="1">
        <v>5</v>
      </c>
      <c r="DP19" s="104">
        <f t="shared" ref="DP19:DP25" si="179">DN19/DO19</f>
        <v>0</v>
      </c>
      <c r="DQ19" s="102"/>
      <c r="DR19" s="1">
        <v>5</v>
      </c>
      <c r="DS19" s="104">
        <f t="shared" ref="DS19:DS25" si="180">DQ19/DR19</f>
        <v>0</v>
      </c>
      <c r="DT19" s="102"/>
      <c r="DU19" s="1">
        <v>5</v>
      </c>
      <c r="DV19" s="104">
        <f t="shared" ref="DV19:DV25" si="181">DT19/DU19</f>
        <v>0</v>
      </c>
      <c r="DW19" s="102"/>
      <c r="DX19" s="1">
        <v>5</v>
      </c>
      <c r="DY19" s="104">
        <f t="shared" ref="DY19:DY25" si="182">DW19/DX19</f>
        <v>0</v>
      </c>
      <c r="DZ19" s="102"/>
      <c r="EA19" s="1">
        <v>5</v>
      </c>
      <c r="EB19" s="104">
        <f t="shared" ref="EB19:EB25" si="183">DZ19/EA19</f>
        <v>0</v>
      </c>
      <c r="EC19" s="102"/>
      <c r="ED19" s="1">
        <v>5</v>
      </c>
      <c r="EE19" s="104">
        <f t="shared" ref="EE19:EE25" si="184">EC19/ED19</f>
        <v>0</v>
      </c>
      <c r="EF19" s="102"/>
      <c r="EG19" s="1">
        <v>5</v>
      </c>
      <c r="EH19" s="104">
        <f t="shared" ref="EH19:EH25" si="185">EF19/EG19</f>
        <v>0</v>
      </c>
      <c r="EI19" s="102"/>
      <c r="EJ19" s="1">
        <v>5</v>
      </c>
      <c r="EK19" s="104">
        <f t="shared" ref="EK19:EK25" si="186">EI19/EJ19</f>
        <v>0</v>
      </c>
      <c r="EL19" s="102"/>
      <c r="EM19" s="1">
        <v>5</v>
      </c>
      <c r="EN19" s="104">
        <f t="shared" ref="EN19:EN25" si="187">EL19/EM19</f>
        <v>0</v>
      </c>
      <c r="EO19" s="90">
        <v>0</v>
      </c>
      <c r="EP19" s="96">
        <v>5</v>
      </c>
      <c r="EQ19" s="104">
        <f t="shared" ref="EQ19:EQ25" si="188">IFERROR(EO19/EP19,0)</f>
        <v>0</v>
      </c>
      <c r="ER19" s="85">
        <f t="array" ref="ER19">IFERROR(_xlfn.LET(
_xlpm.datos,CHOOSE({1;2;3;4;5;6;7;8;9;10;11;12;13;13;14;15;16;17;18;19;20;21;22;23;23;24;25;26;27;28;29;30;31;32;33;34;35;36;37;38;39;40;41;42;43;44;45;46;47;48},F19,I19,L19,O19,R19,U19,X19,AA19,AD19,AG19,AJ19,AM19,AP19,AS19,AV19,AY19,BB19,BE19,BH19,BK19,BN19,BQ19,BT19,BW19,BZ19,CC19,CF19,CI19,CL19,CO19,CR19,CU19,CX19,DA19,DD19,DG19,DJ19,DM19,DP19,DS19,DV19,DY19,EB19,EE19,EH19,EK19,EN19,EQ19),
AVERAGE(_xlfn._xlws.FILTER(_xlpm.datos,(_xlpm.datos&lt;&gt;0)*(_xlpm.datos&lt;&gt;"")))
),0)</f>
        <v>0</v>
      </c>
      <c r="ES19" s="162" t="str">
        <f t="array" ref="ES19">_xlfn.IFS(ER19&gt;=91.5%,"MENSUAL",ER19&gt;=75%,"QUINCENAL",ER19&lt;75%,"SEMANAL")</f>
        <v>SEMANAL</v>
      </c>
      <c r="ET19" s="19"/>
    </row>
    <row r="20" ht="50.25" customHeight="1" spans="2:150" x14ac:dyDescent="0.25">
      <c r="B20" s="171" t="s">
        <v>193</v>
      </c>
      <c r="C20" s="228"/>
      <c r="D20" s="102"/>
      <c r="E20" s="103">
        <v>5</v>
      </c>
      <c r="F20" s="104">
        <f t="shared" si="141"/>
        <v>0</v>
      </c>
      <c r="G20" s="102"/>
      <c r="H20" s="103">
        <v>5</v>
      </c>
      <c r="I20" s="104">
        <f t="shared" si="142"/>
        <v>0</v>
      </c>
      <c r="J20" s="105"/>
      <c r="K20" s="103">
        <v>5</v>
      </c>
      <c r="L20" s="104">
        <f t="shared" si="143"/>
        <v>0</v>
      </c>
      <c r="M20" s="105"/>
      <c r="N20" s="103">
        <v>5</v>
      </c>
      <c r="O20" s="104">
        <f t="shared" si="144"/>
        <v>0</v>
      </c>
      <c r="P20" s="106"/>
      <c r="Q20" s="107">
        <v>5</v>
      </c>
      <c r="R20" s="104">
        <f t="shared" si="145"/>
        <v>0</v>
      </c>
      <c r="S20" s="102"/>
      <c r="T20" s="107">
        <v>5</v>
      </c>
      <c r="U20" s="104">
        <f t="shared" si="146"/>
        <v>0</v>
      </c>
      <c r="V20" s="102"/>
      <c r="W20" s="107">
        <v>5</v>
      </c>
      <c r="X20" s="104">
        <f t="shared" si="147"/>
        <v>0</v>
      </c>
      <c r="Y20" s="102"/>
      <c r="Z20" s="107">
        <v>5</v>
      </c>
      <c r="AA20" s="104">
        <f t="shared" si="148"/>
        <v>0</v>
      </c>
      <c r="AB20" s="106"/>
      <c r="AC20" s="107">
        <v>5</v>
      </c>
      <c r="AD20" s="104">
        <f t="shared" si="149"/>
        <v>0</v>
      </c>
      <c r="AE20" s="106"/>
      <c r="AF20" s="107">
        <v>5</v>
      </c>
      <c r="AG20" s="104">
        <f t="shared" si="150"/>
        <v>0</v>
      </c>
      <c r="AH20" s="106"/>
      <c r="AI20" s="107">
        <v>5</v>
      </c>
      <c r="AJ20" s="104">
        <f t="shared" si="151"/>
        <v>0</v>
      </c>
      <c r="AK20" s="106"/>
      <c r="AL20" s="107">
        <v>5</v>
      </c>
      <c r="AM20" s="104">
        <f t="shared" si="152"/>
        <v>0</v>
      </c>
      <c r="AN20" s="102"/>
      <c r="AO20" s="1">
        <v>5</v>
      </c>
      <c r="AP20" s="104">
        <f t="shared" si="153"/>
        <v>0</v>
      </c>
      <c r="AQ20" s="102"/>
      <c r="AR20" s="1">
        <v>5</v>
      </c>
      <c r="AS20" s="104">
        <f t="shared" si="154"/>
        <v>0</v>
      </c>
      <c r="AT20" s="102"/>
      <c r="AU20" s="1">
        <v>5</v>
      </c>
      <c r="AV20" s="104">
        <f t="shared" si="155"/>
        <v>0</v>
      </c>
      <c r="AW20" s="102"/>
      <c r="AX20" s="1">
        <v>5</v>
      </c>
      <c r="AY20" s="104">
        <f t="shared" si="156"/>
        <v>0</v>
      </c>
      <c r="AZ20" s="102"/>
      <c r="BA20" s="1">
        <v>5</v>
      </c>
      <c r="BB20" s="104">
        <f t="shared" si="157"/>
        <v>0</v>
      </c>
      <c r="BC20" s="102"/>
      <c r="BD20" s="1">
        <v>5</v>
      </c>
      <c r="BE20" s="104">
        <f t="shared" si="158"/>
        <v>0</v>
      </c>
      <c r="BF20" s="102"/>
      <c r="BG20" s="1">
        <v>5</v>
      </c>
      <c r="BH20" s="104">
        <f t="shared" si="159"/>
        <v>0</v>
      </c>
      <c r="BI20" s="102"/>
      <c r="BJ20" s="1">
        <v>5</v>
      </c>
      <c r="BK20" s="104">
        <f t="shared" si="160"/>
        <v>0</v>
      </c>
      <c r="BL20" s="102"/>
      <c r="BM20" s="1">
        <v>5</v>
      </c>
      <c r="BN20" s="104">
        <f t="shared" si="161"/>
        <v>0</v>
      </c>
      <c r="BO20" s="102"/>
      <c r="BP20" s="1">
        <v>5</v>
      </c>
      <c r="BQ20" s="104">
        <f t="shared" si="162"/>
        <v>0</v>
      </c>
      <c r="BR20" s="102"/>
      <c r="BS20" s="1">
        <v>5</v>
      </c>
      <c r="BT20" s="104">
        <f t="shared" si="163"/>
        <v>0</v>
      </c>
      <c r="BU20" s="102"/>
      <c r="BV20" s="1">
        <v>5</v>
      </c>
      <c r="BW20" s="104">
        <f t="shared" si="164"/>
        <v>0</v>
      </c>
      <c r="BX20" s="102"/>
      <c r="BY20" s="1">
        <v>5</v>
      </c>
      <c r="BZ20" s="104">
        <f t="shared" si="165"/>
        <v>0</v>
      </c>
      <c r="CA20" s="102"/>
      <c r="CB20" s="1">
        <v>5</v>
      </c>
      <c r="CC20" s="104">
        <f t="shared" si="166"/>
        <v>0</v>
      </c>
      <c r="CD20" s="102"/>
      <c r="CE20" s="1">
        <v>5</v>
      </c>
      <c r="CF20" s="104">
        <f t="shared" si="167"/>
        <v>0</v>
      </c>
      <c r="CG20" s="102"/>
      <c r="CH20" s="1">
        <v>5</v>
      </c>
      <c r="CI20" s="104">
        <f t="shared" si="168"/>
        <v>0</v>
      </c>
      <c r="CJ20" s="102"/>
      <c r="CK20" s="1">
        <v>5</v>
      </c>
      <c r="CL20" s="104">
        <f t="shared" si="169"/>
        <v>0</v>
      </c>
      <c r="CM20" s="102"/>
      <c r="CN20" s="1">
        <v>5</v>
      </c>
      <c r="CO20" s="104">
        <f t="shared" si="170"/>
        <v>0</v>
      </c>
      <c r="CP20" s="102"/>
      <c r="CQ20" s="1">
        <v>5</v>
      </c>
      <c r="CR20" s="104">
        <f t="shared" si="171"/>
        <v>0</v>
      </c>
      <c r="CS20" s="102"/>
      <c r="CT20" s="1">
        <v>5</v>
      </c>
      <c r="CU20" s="104">
        <f t="shared" si="172"/>
        <v>0</v>
      </c>
      <c r="CV20" s="102"/>
      <c r="CW20" s="1">
        <v>5</v>
      </c>
      <c r="CX20" s="104">
        <f t="shared" si="173"/>
        <v>0</v>
      </c>
      <c r="CY20" s="102"/>
      <c r="CZ20" s="1">
        <v>5</v>
      </c>
      <c r="DA20" s="104">
        <f t="shared" si="174"/>
        <v>0</v>
      </c>
      <c r="DB20" s="102"/>
      <c r="DC20" s="1">
        <v>5</v>
      </c>
      <c r="DD20" s="104">
        <f t="shared" si="175"/>
        <v>0</v>
      </c>
      <c r="DE20" s="102"/>
      <c r="DF20" s="1">
        <v>5</v>
      </c>
      <c r="DG20" s="104">
        <f t="shared" si="176"/>
        <v>0</v>
      </c>
      <c r="DH20" s="102"/>
      <c r="DI20" s="1">
        <v>5</v>
      </c>
      <c r="DJ20" s="104">
        <f t="shared" si="177"/>
        <v>0</v>
      </c>
      <c r="DK20" s="102"/>
      <c r="DL20" s="1">
        <v>5</v>
      </c>
      <c r="DM20" s="104">
        <f t="shared" si="178"/>
        <v>0</v>
      </c>
      <c r="DN20" s="102"/>
      <c r="DO20" s="1">
        <v>5</v>
      </c>
      <c r="DP20" s="104">
        <f t="shared" si="179"/>
        <v>0</v>
      </c>
      <c r="DQ20" s="102"/>
      <c r="DR20" s="1">
        <v>5</v>
      </c>
      <c r="DS20" s="104">
        <f t="shared" si="180"/>
        <v>0</v>
      </c>
      <c r="DT20" s="102"/>
      <c r="DU20" s="1">
        <v>5</v>
      </c>
      <c r="DV20" s="104">
        <f t="shared" si="181"/>
        <v>0</v>
      </c>
      <c r="DW20" s="102"/>
      <c r="DX20" s="1">
        <v>5</v>
      </c>
      <c r="DY20" s="104">
        <f t="shared" si="182"/>
        <v>0</v>
      </c>
      <c r="DZ20" s="102"/>
      <c r="EA20" s="1">
        <v>5</v>
      </c>
      <c r="EB20" s="104">
        <f t="shared" si="183"/>
        <v>0</v>
      </c>
      <c r="EC20" s="102"/>
      <c r="ED20" s="1">
        <v>5</v>
      </c>
      <c r="EE20" s="104">
        <f t="shared" si="184"/>
        <v>0</v>
      </c>
      <c r="EF20" s="102"/>
      <c r="EG20" s="1">
        <v>5</v>
      </c>
      <c r="EH20" s="104">
        <f t="shared" si="185"/>
        <v>0</v>
      </c>
      <c r="EI20" s="102"/>
      <c r="EJ20" s="1">
        <v>5</v>
      </c>
      <c r="EK20" s="104">
        <f t="shared" si="186"/>
        <v>0</v>
      </c>
      <c r="EL20" s="102"/>
      <c r="EM20" s="1">
        <v>5</v>
      </c>
      <c r="EN20" s="104">
        <f t="shared" si="187"/>
        <v>0</v>
      </c>
      <c r="EO20" s="90">
        <v>0</v>
      </c>
      <c r="EP20" s="96">
        <v>5</v>
      </c>
      <c r="EQ20" s="104">
        <f t="shared" si="188"/>
        <v>0</v>
      </c>
      <c r="ER20" s="85">
        <f t="array" ref="ER20">IFERROR(_xlfn.LET(
_xlpm.datos,CHOOSE({1;2;3;4;5;6;7;8;9;10;11;12;13;13;14;15;16;17;18;19;20;21;22;23;23;24;25;26;27;28;29;30;31;32;33;34;35;36;37;38;39;40;41;42;43;44;45;46;47;48},F20,I20,L20,O20,R20,U20,X20,AA20,AD20,AG20,AJ20,AM20,AP20,AS20,AV20,AY20,BB20,BE20,BH20,BK20,BN20,BQ20,BT20,BW20,BZ20,CC20,CF20,CI20,CL20,CO20,CR20,CU20,CX20,DA20,DD20,DG20,DJ20,DM20,DP20,DS20,DV20,DY20,EB20,EE20,EH20,EK20,EN20,EQ20),
AVERAGE(_xlfn._xlws.FILTER(_xlpm.datos,(_xlpm.datos&lt;&gt;0)*(_xlpm.datos&lt;&gt;"")))
),0)</f>
        <v>0</v>
      </c>
      <c r="ES20" s="162" t="str">
        <f t="array" ref="ES20">_xlfn.IFS(ER20&gt;=91.5%,"MENSUAL",ER20&gt;=75%,"QUINCENAL",ER20&lt;75%,"SEMANAL")</f>
        <v>SEMANAL</v>
      </c>
      <c r="ET20" s="212"/>
    </row>
    <row r="21" ht="27.75" customHeight="1" spans="2:150" x14ac:dyDescent="0.25">
      <c r="B21" s="171" t="s">
        <v>143</v>
      </c>
      <c r="C21" s="228"/>
      <c r="D21" s="102"/>
      <c r="E21" s="103">
        <v>5</v>
      </c>
      <c r="F21" s="104">
        <f t="shared" si="141"/>
        <v>0</v>
      </c>
      <c r="G21" s="102"/>
      <c r="H21" s="103">
        <v>5</v>
      </c>
      <c r="I21" s="104">
        <f t="shared" si="142"/>
        <v>0</v>
      </c>
      <c r="J21" s="105"/>
      <c r="K21" s="103">
        <v>5</v>
      </c>
      <c r="L21" s="104">
        <f t="shared" si="143"/>
        <v>0</v>
      </c>
      <c r="M21" s="105"/>
      <c r="N21" s="103">
        <v>5</v>
      </c>
      <c r="O21" s="104">
        <f t="shared" si="144"/>
        <v>0</v>
      </c>
      <c r="P21" s="106"/>
      <c r="Q21" s="107">
        <v>5</v>
      </c>
      <c r="R21" s="104">
        <f t="shared" si="145"/>
        <v>0</v>
      </c>
      <c r="S21" s="102"/>
      <c r="T21" s="107">
        <v>5</v>
      </c>
      <c r="U21" s="104">
        <f t="shared" si="146"/>
        <v>0</v>
      </c>
      <c r="V21" s="102"/>
      <c r="W21" s="107">
        <v>5</v>
      </c>
      <c r="X21" s="104">
        <f t="shared" si="147"/>
        <v>0</v>
      </c>
      <c r="Y21" s="102"/>
      <c r="Z21" s="107">
        <v>5</v>
      </c>
      <c r="AA21" s="104">
        <f t="shared" si="148"/>
        <v>0</v>
      </c>
      <c r="AB21" s="106"/>
      <c r="AC21" s="107">
        <v>5</v>
      </c>
      <c r="AD21" s="104">
        <f t="shared" si="149"/>
        <v>0</v>
      </c>
      <c r="AE21" s="106"/>
      <c r="AF21" s="107">
        <v>5</v>
      </c>
      <c r="AG21" s="104">
        <f t="shared" si="150"/>
        <v>0</v>
      </c>
      <c r="AH21" s="106"/>
      <c r="AI21" s="107">
        <v>5</v>
      </c>
      <c r="AJ21" s="104">
        <f t="shared" si="151"/>
        <v>0</v>
      </c>
      <c r="AK21" s="106"/>
      <c r="AL21" s="107">
        <v>5</v>
      </c>
      <c r="AM21" s="104">
        <f t="shared" si="152"/>
        <v>0</v>
      </c>
      <c r="AN21" s="102"/>
      <c r="AO21" s="1">
        <v>5</v>
      </c>
      <c r="AP21" s="104">
        <f t="shared" si="153"/>
        <v>0</v>
      </c>
      <c r="AQ21" s="102"/>
      <c r="AR21" s="1">
        <v>5</v>
      </c>
      <c r="AS21" s="104">
        <f t="shared" si="154"/>
        <v>0</v>
      </c>
      <c r="AT21" s="102"/>
      <c r="AU21" s="1">
        <v>5</v>
      </c>
      <c r="AV21" s="104">
        <f t="shared" si="155"/>
        <v>0</v>
      </c>
      <c r="AW21" s="102"/>
      <c r="AX21" s="1">
        <v>5</v>
      </c>
      <c r="AY21" s="104">
        <f t="shared" si="156"/>
        <v>0</v>
      </c>
      <c r="AZ21" s="102"/>
      <c r="BA21" s="1">
        <v>5</v>
      </c>
      <c r="BB21" s="104">
        <f t="shared" si="157"/>
        <v>0</v>
      </c>
      <c r="BC21" s="102"/>
      <c r="BD21" s="1">
        <v>5</v>
      </c>
      <c r="BE21" s="104">
        <f t="shared" si="158"/>
        <v>0</v>
      </c>
      <c r="BF21" s="102"/>
      <c r="BG21" s="1">
        <v>5</v>
      </c>
      <c r="BH21" s="104">
        <f t="shared" si="159"/>
        <v>0</v>
      </c>
      <c r="BI21" s="102"/>
      <c r="BJ21" s="1">
        <v>5</v>
      </c>
      <c r="BK21" s="104">
        <f t="shared" si="160"/>
        <v>0</v>
      </c>
      <c r="BL21" s="102"/>
      <c r="BM21" s="1">
        <v>5</v>
      </c>
      <c r="BN21" s="104">
        <f t="shared" si="161"/>
        <v>0</v>
      </c>
      <c r="BO21" s="102"/>
      <c r="BP21" s="1">
        <v>5</v>
      </c>
      <c r="BQ21" s="104">
        <f t="shared" si="162"/>
        <v>0</v>
      </c>
      <c r="BR21" s="102"/>
      <c r="BS21" s="1">
        <v>5</v>
      </c>
      <c r="BT21" s="104">
        <f t="shared" si="163"/>
        <v>0</v>
      </c>
      <c r="BU21" s="102"/>
      <c r="BV21" s="1">
        <v>5</v>
      </c>
      <c r="BW21" s="104">
        <f t="shared" si="164"/>
        <v>0</v>
      </c>
      <c r="BX21" s="102"/>
      <c r="BY21" s="1">
        <v>5</v>
      </c>
      <c r="BZ21" s="104">
        <f t="shared" si="165"/>
        <v>0</v>
      </c>
      <c r="CA21" s="102"/>
      <c r="CB21" s="1">
        <v>5</v>
      </c>
      <c r="CC21" s="104">
        <f t="shared" si="166"/>
        <v>0</v>
      </c>
      <c r="CD21" s="102"/>
      <c r="CE21" s="1">
        <v>5</v>
      </c>
      <c r="CF21" s="104">
        <f t="shared" si="167"/>
        <v>0</v>
      </c>
      <c r="CG21" s="102"/>
      <c r="CH21" s="1">
        <v>5</v>
      </c>
      <c r="CI21" s="104">
        <f t="shared" si="168"/>
        <v>0</v>
      </c>
      <c r="CJ21" s="102"/>
      <c r="CK21" s="1">
        <v>5</v>
      </c>
      <c r="CL21" s="104">
        <f t="shared" si="169"/>
        <v>0</v>
      </c>
      <c r="CM21" s="102"/>
      <c r="CN21" s="1">
        <v>5</v>
      </c>
      <c r="CO21" s="104">
        <f t="shared" si="170"/>
        <v>0</v>
      </c>
      <c r="CP21" s="102"/>
      <c r="CQ21" s="1">
        <v>5</v>
      </c>
      <c r="CR21" s="104">
        <f t="shared" si="171"/>
        <v>0</v>
      </c>
      <c r="CS21" s="102"/>
      <c r="CT21" s="1">
        <v>5</v>
      </c>
      <c r="CU21" s="104">
        <f t="shared" si="172"/>
        <v>0</v>
      </c>
      <c r="CV21" s="102"/>
      <c r="CW21" s="1">
        <v>5</v>
      </c>
      <c r="CX21" s="104">
        <f t="shared" si="173"/>
        <v>0</v>
      </c>
      <c r="CY21" s="102"/>
      <c r="CZ21" s="1">
        <v>5</v>
      </c>
      <c r="DA21" s="104">
        <f t="shared" si="174"/>
        <v>0</v>
      </c>
      <c r="DB21" s="102"/>
      <c r="DC21" s="1">
        <v>5</v>
      </c>
      <c r="DD21" s="104">
        <f t="shared" si="175"/>
        <v>0</v>
      </c>
      <c r="DE21" s="102"/>
      <c r="DF21" s="1">
        <v>5</v>
      </c>
      <c r="DG21" s="104">
        <f t="shared" si="176"/>
        <v>0</v>
      </c>
      <c r="DH21" s="102"/>
      <c r="DI21" s="1">
        <v>5</v>
      </c>
      <c r="DJ21" s="104">
        <f t="shared" si="177"/>
        <v>0</v>
      </c>
      <c r="DK21" s="102"/>
      <c r="DL21" s="1">
        <v>5</v>
      </c>
      <c r="DM21" s="104">
        <f t="shared" si="178"/>
        <v>0</v>
      </c>
      <c r="DN21" s="102"/>
      <c r="DO21" s="1">
        <v>5</v>
      </c>
      <c r="DP21" s="104">
        <f t="shared" si="179"/>
        <v>0</v>
      </c>
      <c r="DQ21" s="102"/>
      <c r="DR21" s="1">
        <v>5</v>
      </c>
      <c r="DS21" s="104">
        <f t="shared" si="180"/>
        <v>0</v>
      </c>
      <c r="DT21" s="102"/>
      <c r="DU21" s="1">
        <v>5</v>
      </c>
      <c r="DV21" s="104">
        <f t="shared" si="181"/>
        <v>0</v>
      </c>
      <c r="DW21" s="102"/>
      <c r="DX21" s="1">
        <v>5</v>
      </c>
      <c r="DY21" s="104">
        <f t="shared" si="182"/>
        <v>0</v>
      </c>
      <c r="DZ21" s="102"/>
      <c r="EA21" s="1">
        <v>5</v>
      </c>
      <c r="EB21" s="104">
        <f t="shared" si="183"/>
        <v>0</v>
      </c>
      <c r="EC21" s="102"/>
      <c r="ED21" s="1">
        <v>5</v>
      </c>
      <c r="EE21" s="104">
        <f t="shared" si="184"/>
        <v>0</v>
      </c>
      <c r="EF21" s="102"/>
      <c r="EG21" s="1">
        <v>5</v>
      </c>
      <c r="EH21" s="104">
        <f t="shared" si="185"/>
        <v>0</v>
      </c>
      <c r="EI21" s="102"/>
      <c r="EJ21" s="1">
        <v>5</v>
      </c>
      <c r="EK21" s="104">
        <f t="shared" si="186"/>
        <v>0</v>
      </c>
      <c r="EL21" s="102"/>
      <c r="EM21" s="1">
        <v>5</v>
      </c>
      <c r="EN21" s="104">
        <f t="shared" si="187"/>
        <v>0</v>
      </c>
      <c r="EO21" s="90">
        <v>0</v>
      </c>
      <c r="EP21" s="96">
        <v>5</v>
      </c>
      <c r="EQ21" s="104">
        <f t="shared" si="188"/>
        <v>0</v>
      </c>
      <c r="ER21" s="85">
        <f t="array" ref="ER21">IFERROR(_xlfn.LET(
_xlpm.datos,CHOOSE({1;2;3;4;5;6;7;8;9;10;11;12;13;13;14;15;16;17;18;19;20;21;22;23;23;24;25;26;27;28;29;30;31;32;33;34;35;36;37;38;39;40;41;42;43;44;45;46;47;48},F21,I21,L21,O21,R21,U21,X21,AA21,AD21,AG21,AJ21,AM21,AP21,AS21,AV21,AY21,BB21,BE21,BH21,BK21,BN21,BQ21,BT21,BW21,BZ21,CC21,CF21,CI21,CL21,CO21,CR21,CU21,CX21,DA21,DD21,DG21,DJ21,DM21,DP21,DS21,DV21,DY21,EB21,EE21,EH21,EK21,EN21,EQ21),
AVERAGE(_xlfn._xlws.FILTER(_xlpm.datos,(_xlpm.datos&lt;&gt;0)*(_xlpm.datos&lt;&gt;"")))
),0)</f>
        <v>0</v>
      </c>
      <c r="ES21" s="162" t="str">
        <f t="array" ref="ES21">_xlfn.IFS(ER21&gt;=91.5%,"MENSUAL",ER21&gt;=75%,"QUINCENAL",ER21&lt;75%,"SEMANAL")</f>
        <v>SEMANAL</v>
      </c>
      <c r="ET21" s="19"/>
    </row>
    <row r="22" ht="21.75" customHeight="1" spans="2:150" x14ac:dyDescent="0.25">
      <c r="B22" s="171" t="s">
        <v>96</v>
      </c>
      <c r="C22" s="228"/>
      <c r="D22" s="102"/>
      <c r="E22" s="103">
        <v>5</v>
      </c>
      <c r="F22" s="104">
        <f t="shared" si="141"/>
        <v>0</v>
      </c>
      <c r="G22" s="102"/>
      <c r="H22" s="103">
        <v>5</v>
      </c>
      <c r="I22" s="104">
        <f t="shared" si="142"/>
        <v>0</v>
      </c>
      <c r="J22" s="105"/>
      <c r="K22" s="103">
        <v>5</v>
      </c>
      <c r="L22" s="104">
        <f t="shared" si="143"/>
        <v>0</v>
      </c>
      <c r="M22" s="105"/>
      <c r="N22" s="103">
        <v>5</v>
      </c>
      <c r="O22" s="104">
        <f t="shared" si="144"/>
        <v>0</v>
      </c>
      <c r="P22" s="106"/>
      <c r="Q22" s="107">
        <v>5</v>
      </c>
      <c r="R22" s="104">
        <f t="shared" si="145"/>
        <v>0</v>
      </c>
      <c r="S22" s="102"/>
      <c r="T22" s="107">
        <v>5</v>
      </c>
      <c r="U22" s="104">
        <f t="shared" si="146"/>
        <v>0</v>
      </c>
      <c r="V22" s="102"/>
      <c r="W22" s="107">
        <v>5</v>
      </c>
      <c r="X22" s="104">
        <f t="shared" si="147"/>
        <v>0</v>
      </c>
      <c r="Y22" s="102"/>
      <c r="Z22" s="107">
        <v>5</v>
      </c>
      <c r="AA22" s="104">
        <f t="shared" si="148"/>
        <v>0</v>
      </c>
      <c r="AB22" s="106"/>
      <c r="AC22" s="107">
        <v>5</v>
      </c>
      <c r="AD22" s="104">
        <f t="shared" si="149"/>
        <v>0</v>
      </c>
      <c r="AE22" s="106"/>
      <c r="AF22" s="107">
        <v>5</v>
      </c>
      <c r="AG22" s="104">
        <f t="shared" si="150"/>
        <v>0</v>
      </c>
      <c r="AH22" s="106"/>
      <c r="AI22" s="107">
        <v>5</v>
      </c>
      <c r="AJ22" s="104">
        <f t="shared" si="151"/>
        <v>0</v>
      </c>
      <c r="AK22" s="106"/>
      <c r="AL22" s="107">
        <v>5</v>
      </c>
      <c r="AM22" s="104">
        <f t="shared" si="152"/>
        <v>0</v>
      </c>
      <c r="AN22" s="102"/>
      <c r="AO22" s="1">
        <v>5</v>
      </c>
      <c r="AP22" s="104">
        <f t="shared" si="153"/>
        <v>0</v>
      </c>
      <c r="AQ22" s="102"/>
      <c r="AR22" s="1">
        <v>5</v>
      </c>
      <c r="AS22" s="104">
        <f t="shared" si="154"/>
        <v>0</v>
      </c>
      <c r="AT22" s="102"/>
      <c r="AU22" s="1">
        <v>5</v>
      </c>
      <c r="AV22" s="104">
        <f t="shared" si="155"/>
        <v>0</v>
      </c>
      <c r="AW22" s="102"/>
      <c r="AX22" s="1">
        <v>5</v>
      </c>
      <c r="AY22" s="104">
        <f t="shared" si="156"/>
        <v>0</v>
      </c>
      <c r="AZ22" s="102"/>
      <c r="BA22" s="1">
        <v>5</v>
      </c>
      <c r="BB22" s="104">
        <f t="shared" si="157"/>
        <v>0</v>
      </c>
      <c r="BC22" s="102"/>
      <c r="BD22" s="1">
        <v>5</v>
      </c>
      <c r="BE22" s="104">
        <f t="shared" si="158"/>
        <v>0</v>
      </c>
      <c r="BF22" s="102"/>
      <c r="BG22" s="1">
        <v>5</v>
      </c>
      <c r="BH22" s="104">
        <f t="shared" si="159"/>
        <v>0</v>
      </c>
      <c r="BI22" s="102"/>
      <c r="BJ22" s="1">
        <v>5</v>
      </c>
      <c r="BK22" s="104">
        <f t="shared" si="160"/>
        <v>0</v>
      </c>
      <c r="BL22" s="102"/>
      <c r="BM22" s="1">
        <v>5</v>
      </c>
      <c r="BN22" s="104">
        <f t="shared" si="161"/>
        <v>0</v>
      </c>
      <c r="BO22" s="102"/>
      <c r="BP22" s="1">
        <v>5</v>
      </c>
      <c r="BQ22" s="104">
        <f t="shared" si="162"/>
        <v>0</v>
      </c>
      <c r="BR22" s="102"/>
      <c r="BS22" s="1">
        <v>5</v>
      </c>
      <c r="BT22" s="104">
        <f t="shared" si="163"/>
        <v>0</v>
      </c>
      <c r="BU22" s="102"/>
      <c r="BV22" s="1">
        <v>5</v>
      </c>
      <c r="BW22" s="104">
        <f t="shared" si="164"/>
        <v>0</v>
      </c>
      <c r="BX22" s="102"/>
      <c r="BY22" s="1">
        <v>5</v>
      </c>
      <c r="BZ22" s="104">
        <f t="shared" si="165"/>
        <v>0</v>
      </c>
      <c r="CA22" s="102"/>
      <c r="CB22" s="1">
        <v>5</v>
      </c>
      <c r="CC22" s="104">
        <f t="shared" si="166"/>
        <v>0</v>
      </c>
      <c r="CD22" s="102"/>
      <c r="CE22" s="1">
        <v>5</v>
      </c>
      <c r="CF22" s="104">
        <f t="shared" si="167"/>
        <v>0</v>
      </c>
      <c r="CG22" s="102"/>
      <c r="CH22" s="1">
        <v>5</v>
      </c>
      <c r="CI22" s="104">
        <f t="shared" si="168"/>
        <v>0</v>
      </c>
      <c r="CJ22" s="102"/>
      <c r="CK22" s="1">
        <v>5</v>
      </c>
      <c r="CL22" s="104">
        <f t="shared" si="169"/>
        <v>0</v>
      </c>
      <c r="CM22" s="102"/>
      <c r="CN22" s="1">
        <v>5</v>
      </c>
      <c r="CO22" s="104">
        <f t="shared" si="170"/>
        <v>0</v>
      </c>
      <c r="CP22" s="102"/>
      <c r="CQ22" s="1">
        <v>5</v>
      </c>
      <c r="CR22" s="104">
        <f t="shared" si="171"/>
        <v>0</v>
      </c>
      <c r="CS22" s="102"/>
      <c r="CT22" s="1">
        <v>5</v>
      </c>
      <c r="CU22" s="104">
        <f t="shared" si="172"/>
        <v>0</v>
      </c>
      <c r="CV22" s="102"/>
      <c r="CW22" s="1">
        <v>5</v>
      </c>
      <c r="CX22" s="104">
        <f t="shared" si="173"/>
        <v>0</v>
      </c>
      <c r="CY22" s="102"/>
      <c r="CZ22" s="1">
        <v>5</v>
      </c>
      <c r="DA22" s="104">
        <f t="shared" si="174"/>
        <v>0</v>
      </c>
      <c r="DB22" s="102"/>
      <c r="DC22" s="1">
        <v>5</v>
      </c>
      <c r="DD22" s="104">
        <f t="shared" si="175"/>
        <v>0</v>
      </c>
      <c r="DE22" s="102"/>
      <c r="DF22" s="1">
        <v>5</v>
      </c>
      <c r="DG22" s="104">
        <f t="shared" si="176"/>
        <v>0</v>
      </c>
      <c r="DH22" s="102"/>
      <c r="DI22" s="1">
        <v>5</v>
      </c>
      <c r="DJ22" s="104">
        <f t="shared" si="177"/>
        <v>0</v>
      </c>
      <c r="DK22" s="102"/>
      <c r="DL22" s="1">
        <v>5</v>
      </c>
      <c r="DM22" s="104">
        <f t="shared" si="178"/>
        <v>0</v>
      </c>
      <c r="DN22" s="102"/>
      <c r="DO22" s="1">
        <v>5</v>
      </c>
      <c r="DP22" s="104">
        <f t="shared" si="179"/>
        <v>0</v>
      </c>
      <c r="DQ22" s="102"/>
      <c r="DR22" s="1">
        <v>5</v>
      </c>
      <c r="DS22" s="104">
        <f t="shared" si="180"/>
        <v>0</v>
      </c>
      <c r="DT22" s="102"/>
      <c r="DU22" s="1">
        <v>5</v>
      </c>
      <c r="DV22" s="104">
        <f t="shared" si="181"/>
        <v>0</v>
      </c>
      <c r="DW22" s="102"/>
      <c r="DX22" s="1">
        <v>5</v>
      </c>
      <c r="DY22" s="104">
        <f t="shared" si="182"/>
        <v>0</v>
      </c>
      <c r="DZ22" s="102"/>
      <c r="EA22" s="1">
        <v>5</v>
      </c>
      <c r="EB22" s="104">
        <f t="shared" si="183"/>
        <v>0</v>
      </c>
      <c r="EC22" s="102"/>
      <c r="ED22" s="1">
        <v>5</v>
      </c>
      <c r="EE22" s="104">
        <f t="shared" si="184"/>
        <v>0</v>
      </c>
      <c r="EF22" s="102"/>
      <c r="EG22" s="1">
        <v>5</v>
      </c>
      <c r="EH22" s="104">
        <f t="shared" si="185"/>
        <v>0</v>
      </c>
      <c r="EI22" s="102"/>
      <c r="EJ22" s="1">
        <v>5</v>
      </c>
      <c r="EK22" s="104">
        <f t="shared" si="186"/>
        <v>0</v>
      </c>
      <c r="EL22" s="102"/>
      <c r="EM22" s="1">
        <v>5</v>
      </c>
      <c r="EN22" s="104">
        <f t="shared" si="187"/>
        <v>0</v>
      </c>
      <c r="EO22" s="90">
        <v>0</v>
      </c>
      <c r="EP22" s="96">
        <v>5</v>
      </c>
      <c r="EQ22" s="104">
        <f t="shared" si="188"/>
        <v>0</v>
      </c>
      <c r="ER22" s="85">
        <f t="array" ref="ER22">IFERROR(_xlfn.LET(
_xlpm.datos,CHOOSE({1;2;3;4;5;6;7;8;9;10;11;12;13;13;14;15;16;17;18;19;20;21;22;23;23;24;25;26;27;28;29;30;31;32;33;34;35;36;37;38;39;40;41;42;43;44;45;46;47;48},F22,I22,L22,O22,R22,U22,X22,AA22,AD22,AG22,AJ22,AM22,AP22,AS22,AV22,AY22,BB22,BE22,BH22,BK22,BN22,BQ22,BT22,BW22,BZ22,CC22,CF22,CI22,CL22,CO22,CR22,CU22,CX22,DA22,DD22,DG22,DJ22,DM22,DP22,DS22,DV22,DY22,EB22,EE22,EH22,EK22,EN22,EQ22),
AVERAGE(_xlfn._xlws.FILTER(_xlpm.datos,(_xlpm.datos&lt;&gt;0)*(_xlpm.datos&lt;&gt;"")))
),0)</f>
        <v>0</v>
      </c>
      <c r="ES22" s="162" t="str">
        <f t="array" ref="ES22">_xlfn.IFS(ER22&gt;=91.5%,"MENSUAL",ER22&gt;=75%,"QUINCENAL",ER22&lt;75%,"SEMANAL")</f>
        <v>SEMANAL</v>
      </c>
      <c r="ET22" s="212"/>
    </row>
    <row r="23" ht="36" customHeight="1" spans="2:150" x14ac:dyDescent="0.25">
      <c r="B23" s="171" t="s">
        <v>97</v>
      </c>
      <c r="C23" s="228"/>
      <c r="D23" s="102"/>
      <c r="E23" s="103">
        <v>5</v>
      </c>
      <c r="F23" s="104">
        <f t="shared" si="141"/>
        <v>0</v>
      </c>
      <c r="G23" s="102"/>
      <c r="H23" s="103">
        <v>5</v>
      </c>
      <c r="I23" s="104">
        <f t="shared" si="142"/>
        <v>0</v>
      </c>
      <c r="J23" s="105"/>
      <c r="K23" s="103">
        <v>5</v>
      </c>
      <c r="L23" s="104">
        <f t="shared" si="143"/>
        <v>0</v>
      </c>
      <c r="M23" s="105"/>
      <c r="N23" s="103">
        <v>5</v>
      </c>
      <c r="O23" s="104">
        <f t="shared" si="144"/>
        <v>0</v>
      </c>
      <c r="P23" s="106"/>
      <c r="Q23" s="107">
        <v>5</v>
      </c>
      <c r="R23" s="104">
        <f t="shared" si="145"/>
        <v>0</v>
      </c>
      <c r="S23" s="102"/>
      <c r="T23" s="107">
        <v>5</v>
      </c>
      <c r="U23" s="104">
        <f t="shared" si="146"/>
        <v>0</v>
      </c>
      <c r="V23" s="102"/>
      <c r="W23" s="107">
        <v>5</v>
      </c>
      <c r="X23" s="104">
        <f t="shared" si="147"/>
        <v>0</v>
      </c>
      <c r="Y23" s="102"/>
      <c r="Z23" s="107">
        <v>5</v>
      </c>
      <c r="AA23" s="104">
        <f t="shared" si="148"/>
        <v>0</v>
      </c>
      <c r="AB23" s="106"/>
      <c r="AC23" s="107">
        <v>5</v>
      </c>
      <c r="AD23" s="104">
        <f t="shared" si="149"/>
        <v>0</v>
      </c>
      <c r="AE23" s="106"/>
      <c r="AF23" s="107">
        <v>5</v>
      </c>
      <c r="AG23" s="104">
        <f t="shared" si="150"/>
        <v>0</v>
      </c>
      <c r="AH23" s="106"/>
      <c r="AI23" s="107">
        <v>5</v>
      </c>
      <c r="AJ23" s="104">
        <f t="shared" si="151"/>
        <v>0</v>
      </c>
      <c r="AK23" s="106"/>
      <c r="AL23" s="107">
        <v>5</v>
      </c>
      <c r="AM23" s="104">
        <f t="shared" si="152"/>
        <v>0</v>
      </c>
      <c r="AN23" s="102"/>
      <c r="AO23" s="1">
        <v>5</v>
      </c>
      <c r="AP23" s="104">
        <f t="shared" si="153"/>
        <v>0</v>
      </c>
      <c r="AQ23" s="102"/>
      <c r="AR23" s="1">
        <v>5</v>
      </c>
      <c r="AS23" s="104">
        <f t="shared" si="154"/>
        <v>0</v>
      </c>
      <c r="AT23" s="102"/>
      <c r="AU23" s="1">
        <v>5</v>
      </c>
      <c r="AV23" s="104">
        <f t="shared" si="155"/>
        <v>0</v>
      </c>
      <c r="AW23" s="102"/>
      <c r="AX23" s="1">
        <v>5</v>
      </c>
      <c r="AY23" s="104">
        <f t="shared" si="156"/>
        <v>0</v>
      </c>
      <c r="AZ23" s="102"/>
      <c r="BA23" s="1">
        <v>5</v>
      </c>
      <c r="BB23" s="104">
        <f t="shared" si="157"/>
        <v>0</v>
      </c>
      <c r="BC23" s="102"/>
      <c r="BD23" s="1">
        <v>5</v>
      </c>
      <c r="BE23" s="104">
        <f t="shared" si="158"/>
        <v>0</v>
      </c>
      <c r="BF23" s="102"/>
      <c r="BG23" s="1">
        <v>5</v>
      </c>
      <c r="BH23" s="104">
        <f t="shared" si="159"/>
        <v>0</v>
      </c>
      <c r="BI23" s="102"/>
      <c r="BJ23" s="1">
        <v>5</v>
      </c>
      <c r="BK23" s="104">
        <f t="shared" si="160"/>
        <v>0</v>
      </c>
      <c r="BL23" s="102"/>
      <c r="BM23" s="1">
        <v>5</v>
      </c>
      <c r="BN23" s="104">
        <f t="shared" si="161"/>
        <v>0</v>
      </c>
      <c r="BO23" s="102"/>
      <c r="BP23" s="1">
        <v>5</v>
      </c>
      <c r="BQ23" s="104">
        <f t="shared" si="162"/>
        <v>0</v>
      </c>
      <c r="BR23" s="102"/>
      <c r="BS23" s="1">
        <v>5</v>
      </c>
      <c r="BT23" s="104">
        <f t="shared" si="163"/>
        <v>0</v>
      </c>
      <c r="BU23" s="102"/>
      <c r="BV23" s="1">
        <v>5</v>
      </c>
      <c r="BW23" s="104">
        <f t="shared" si="164"/>
        <v>0</v>
      </c>
      <c r="BX23" s="102"/>
      <c r="BY23" s="1">
        <v>5</v>
      </c>
      <c r="BZ23" s="104">
        <f t="shared" si="165"/>
        <v>0</v>
      </c>
      <c r="CA23" s="102"/>
      <c r="CB23" s="1">
        <v>5</v>
      </c>
      <c r="CC23" s="104">
        <f t="shared" si="166"/>
        <v>0</v>
      </c>
      <c r="CD23" s="102"/>
      <c r="CE23" s="1">
        <v>5</v>
      </c>
      <c r="CF23" s="104">
        <f t="shared" si="167"/>
        <v>0</v>
      </c>
      <c r="CG23" s="102"/>
      <c r="CH23" s="1">
        <v>5</v>
      </c>
      <c r="CI23" s="104">
        <f t="shared" si="168"/>
        <v>0</v>
      </c>
      <c r="CJ23" s="102"/>
      <c r="CK23" s="1">
        <v>5</v>
      </c>
      <c r="CL23" s="104">
        <f t="shared" si="169"/>
        <v>0</v>
      </c>
      <c r="CM23" s="102"/>
      <c r="CN23" s="1">
        <v>5</v>
      </c>
      <c r="CO23" s="104">
        <f t="shared" si="170"/>
        <v>0</v>
      </c>
      <c r="CP23" s="102"/>
      <c r="CQ23" s="1">
        <v>5</v>
      </c>
      <c r="CR23" s="104">
        <f t="shared" si="171"/>
        <v>0</v>
      </c>
      <c r="CS23" s="102"/>
      <c r="CT23" s="1">
        <v>5</v>
      </c>
      <c r="CU23" s="104">
        <f t="shared" si="172"/>
        <v>0</v>
      </c>
      <c r="CV23" s="102"/>
      <c r="CW23" s="1">
        <v>5</v>
      </c>
      <c r="CX23" s="104">
        <f t="shared" si="173"/>
        <v>0</v>
      </c>
      <c r="CY23" s="102"/>
      <c r="CZ23" s="1">
        <v>5</v>
      </c>
      <c r="DA23" s="104">
        <f t="shared" si="174"/>
        <v>0</v>
      </c>
      <c r="DB23" s="102"/>
      <c r="DC23" s="1">
        <v>5</v>
      </c>
      <c r="DD23" s="104">
        <f t="shared" si="175"/>
        <v>0</v>
      </c>
      <c r="DE23" s="102"/>
      <c r="DF23" s="1">
        <v>5</v>
      </c>
      <c r="DG23" s="104">
        <f t="shared" si="176"/>
        <v>0</v>
      </c>
      <c r="DH23" s="102"/>
      <c r="DI23" s="1">
        <v>5</v>
      </c>
      <c r="DJ23" s="104">
        <f t="shared" si="177"/>
        <v>0</v>
      </c>
      <c r="DK23" s="102"/>
      <c r="DL23" s="1">
        <v>5</v>
      </c>
      <c r="DM23" s="104">
        <f t="shared" si="178"/>
        <v>0</v>
      </c>
      <c r="DN23" s="102"/>
      <c r="DO23" s="1">
        <v>5</v>
      </c>
      <c r="DP23" s="104">
        <f t="shared" si="179"/>
        <v>0</v>
      </c>
      <c r="DQ23" s="102"/>
      <c r="DR23" s="1">
        <v>5</v>
      </c>
      <c r="DS23" s="104">
        <f t="shared" si="180"/>
        <v>0</v>
      </c>
      <c r="DT23" s="102"/>
      <c r="DU23" s="1">
        <v>5</v>
      </c>
      <c r="DV23" s="104">
        <f t="shared" si="181"/>
        <v>0</v>
      </c>
      <c r="DW23" s="102"/>
      <c r="DX23" s="1">
        <v>5</v>
      </c>
      <c r="DY23" s="104">
        <f t="shared" si="182"/>
        <v>0</v>
      </c>
      <c r="DZ23" s="102"/>
      <c r="EA23" s="1">
        <v>5</v>
      </c>
      <c r="EB23" s="104">
        <f t="shared" si="183"/>
        <v>0</v>
      </c>
      <c r="EC23" s="102"/>
      <c r="ED23" s="1">
        <v>5</v>
      </c>
      <c r="EE23" s="104">
        <f t="shared" si="184"/>
        <v>0</v>
      </c>
      <c r="EF23" s="102"/>
      <c r="EG23" s="1">
        <v>5</v>
      </c>
      <c r="EH23" s="104">
        <f t="shared" si="185"/>
        <v>0</v>
      </c>
      <c r="EI23" s="102"/>
      <c r="EJ23" s="1">
        <v>5</v>
      </c>
      <c r="EK23" s="104">
        <f t="shared" si="186"/>
        <v>0</v>
      </c>
      <c r="EL23" s="102"/>
      <c r="EM23" s="1">
        <v>5</v>
      </c>
      <c r="EN23" s="104">
        <f t="shared" si="187"/>
        <v>0</v>
      </c>
      <c r="EO23" s="90">
        <v>0</v>
      </c>
      <c r="EP23" s="96">
        <v>5</v>
      </c>
      <c r="EQ23" s="104">
        <f t="shared" si="188"/>
        <v>0</v>
      </c>
      <c r="ER23" s="85">
        <f t="array" ref="ER23">IFERROR(_xlfn.LET(
_xlpm.datos,CHOOSE({1;2;3;4;5;6;7;8;9;10;11;12;13;13;14;15;16;17;18;19;20;21;22;23;23;24;25;26;27;28;29;30;31;32;33;34;35;36;37;38;39;40;41;42;43;44;45;46;47;48},F23,I23,L23,O23,R23,U23,X23,AA23,AD23,AG23,AJ23,AM23,AP23,AS23,AV23,AY23,BB23,BE23,BH23,BK23,BN23,BQ23,BT23,BW23,BZ23,CC23,CF23,CI23,CL23,CO23,CR23,CU23,CX23,DA23,DD23,DG23,DJ23,DM23,DP23,DS23,DV23,DY23,EB23,EE23,EH23,EK23,EN23,EQ23),
AVERAGE(_xlfn._xlws.FILTER(_xlpm.datos,(_xlpm.datos&lt;&gt;0)*(_xlpm.datos&lt;&gt;"")))
),0)</f>
        <v>0</v>
      </c>
      <c r="ES23" s="162" t="str">
        <f t="array" ref="ES23">_xlfn.IFS(ER23&gt;=91.5%,"MENSUAL",ER23&gt;=75%,"QUINCENAL",ER23&lt;75%,"SEMANAL")</f>
        <v>SEMANAL</v>
      </c>
      <c r="ET23" s="19"/>
    </row>
    <row r="24" ht="39" customHeight="1" spans="2:150" x14ac:dyDescent="0.25">
      <c r="B24" s="171" t="s">
        <v>144</v>
      </c>
      <c r="C24" s="228"/>
      <c r="D24" s="102"/>
      <c r="E24" s="103">
        <v>5</v>
      </c>
      <c r="F24" s="104">
        <f t="shared" si="141"/>
        <v>0</v>
      </c>
      <c r="G24" s="102"/>
      <c r="H24" s="103">
        <v>5</v>
      </c>
      <c r="I24" s="104">
        <f t="shared" si="142"/>
        <v>0</v>
      </c>
      <c r="J24" s="105"/>
      <c r="K24" s="103">
        <v>5</v>
      </c>
      <c r="L24" s="104">
        <f t="shared" si="143"/>
        <v>0</v>
      </c>
      <c r="M24" s="105"/>
      <c r="N24" s="103">
        <v>5</v>
      </c>
      <c r="O24" s="104">
        <f t="shared" si="144"/>
        <v>0</v>
      </c>
      <c r="P24" s="106"/>
      <c r="Q24" s="107">
        <v>5</v>
      </c>
      <c r="R24" s="104">
        <f t="shared" si="145"/>
        <v>0</v>
      </c>
      <c r="S24" s="102"/>
      <c r="T24" s="107">
        <v>5</v>
      </c>
      <c r="U24" s="104">
        <f t="shared" si="146"/>
        <v>0</v>
      </c>
      <c r="V24" s="102"/>
      <c r="W24" s="107">
        <v>5</v>
      </c>
      <c r="X24" s="104">
        <f t="shared" si="147"/>
        <v>0</v>
      </c>
      <c r="Y24" s="102"/>
      <c r="Z24" s="107">
        <v>5</v>
      </c>
      <c r="AA24" s="104">
        <f t="shared" si="148"/>
        <v>0</v>
      </c>
      <c r="AB24" s="106"/>
      <c r="AC24" s="107">
        <v>5</v>
      </c>
      <c r="AD24" s="104">
        <f t="shared" si="149"/>
        <v>0</v>
      </c>
      <c r="AE24" s="106"/>
      <c r="AF24" s="107">
        <v>5</v>
      </c>
      <c r="AG24" s="104">
        <f t="shared" si="150"/>
        <v>0</v>
      </c>
      <c r="AH24" s="106"/>
      <c r="AI24" s="107">
        <v>5</v>
      </c>
      <c r="AJ24" s="104">
        <f t="shared" si="151"/>
        <v>0</v>
      </c>
      <c r="AK24" s="106"/>
      <c r="AL24" s="107">
        <v>5</v>
      </c>
      <c r="AM24" s="104">
        <f t="shared" si="152"/>
        <v>0</v>
      </c>
      <c r="AN24" s="102"/>
      <c r="AO24" s="1">
        <v>5</v>
      </c>
      <c r="AP24" s="104">
        <f t="shared" si="153"/>
        <v>0</v>
      </c>
      <c r="AQ24" s="102"/>
      <c r="AR24" s="1">
        <v>5</v>
      </c>
      <c r="AS24" s="104">
        <f t="shared" si="154"/>
        <v>0</v>
      </c>
      <c r="AT24" s="102"/>
      <c r="AU24" s="1">
        <v>5</v>
      </c>
      <c r="AV24" s="104">
        <f t="shared" si="155"/>
        <v>0</v>
      </c>
      <c r="AW24" s="102"/>
      <c r="AX24" s="1">
        <v>5</v>
      </c>
      <c r="AY24" s="104">
        <f t="shared" si="156"/>
        <v>0</v>
      </c>
      <c r="AZ24" s="102"/>
      <c r="BA24" s="1">
        <v>5</v>
      </c>
      <c r="BB24" s="104">
        <f t="shared" si="157"/>
        <v>0</v>
      </c>
      <c r="BC24" s="102"/>
      <c r="BD24" s="1">
        <v>5</v>
      </c>
      <c r="BE24" s="104">
        <f t="shared" si="158"/>
        <v>0</v>
      </c>
      <c r="BF24" s="102"/>
      <c r="BG24" s="1">
        <v>5</v>
      </c>
      <c r="BH24" s="104">
        <f t="shared" si="159"/>
        <v>0</v>
      </c>
      <c r="BI24" s="102"/>
      <c r="BJ24" s="1">
        <v>5</v>
      </c>
      <c r="BK24" s="104">
        <f t="shared" si="160"/>
        <v>0</v>
      </c>
      <c r="BL24" s="102"/>
      <c r="BM24" s="1">
        <v>5</v>
      </c>
      <c r="BN24" s="104">
        <f t="shared" si="161"/>
        <v>0</v>
      </c>
      <c r="BO24" s="102"/>
      <c r="BP24" s="1">
        <v>5</v>
      </c>
      <c r="BQ24" s="104">
        <f t="shared" si="162"/>
        <v>0</v>
      </c>
      <c r="BR24" s="102"/>
      <c r="BS24" s="1">
        <v>5</v>
      </c>
      <c r="BT24" s="104">
        <f t="shared" si="163"/>
        <v>0</v>
      </c>
      <c r="BU24" s="102"/>
      <c r="BV24" s="1">
        <v>5</v>
      </c>
      <c r="BW24" s="104">
        <f t="shared" si="164"/>
        <v>0</v>
      </c>
      <c r="BX24" s="102"/>
      <c r="BY24" s="1">
        <v>5</v>
      </c>
      <c r="BZ24" s="104">
        <f t="shared" si="165"/>
        <v>0</v>
      </c>
      <c r="CA24" s="102"/>
      <c r="CB24" s="1">
        <v>5</v>
      </c>
      <c r="CC24" s="104">
        <f t="shared" si="166"/>
        <v>0</v>
      </c>
      <c r="CD24" s="102"/>
      <c r="CE24" s="1">
        <v>5</v>
      </c>
      <c r="CF24" s="104">
        <f t="shared" si="167"/>
        <v>0</v>
      </c>
      <c r="CG24" s="102"/>
      <c r="CH24" s="1">
        <v>5</v>
      </c>
      <c r="CI24" s="104">
        <f t="shared" si="168"/>
        <v>0</v>
      </c>
      <c r="CJ24" s="102"/>
      <c r="CK24" s="1">
        <v>5</v>
      </c>
      <c r="CL24" s="104">
        <f t="shared" si="169"/>
        <v>0</v>
      </c>
      <c r="CM24" s="102"/>
      <c r="CN24" s="1">
        <v>5</v>
      </c>
      <c r="CO24" s="104">
        <f t="shared" si="170"/>
        <v>0</v>
      </c>
      <c r="CP24" s="102"/>
      <c r="CQ24" s="1">
        <v>5</v>
      </c>
      <c r="CR24" s="104">
        <f t="shared" si="171"/>
        <v>0</v>
      </c>
      <c r="CS24" s="102"/>
      <c r="CT24" s="1">
        <v>5</v>
      </c>
      <c r="CU24" s="104">
        <f t="shared" si="172"/>
        <v>0</v>
      </c>
      <c r="CV24" s="102"/>
      <c r="CW24" s="1">
        <v>5</v>
      </c>
      <c r="CX24" s="104">
        <f t="shared" si="173"/>
        <v>0</v>
      </c>
      <c r="CY24" s="102"/>
      <c r="CZ24" s="1">
        <v>5</v>
      </c>
      <c r="DA24" s="104">
        <f t="shared" si="174"/>
        <v>0</v>
      </c>
      <c r="DB24" s="102"/>
      <c r="DC24" s="1">
        <v>5</v>
      </c>
      <c r="DD24" s="104">
        <f t="shared" si="175"/>
        <v>0</v>
      </c>
      <c r="DE24" s="102"/>
      <c r="DF24" s="1">
        <v>5</v>
      </c>
      <c r="DG24" s="104">
        <f t="shared" si="176"/>
        <v>0</v>
      </c>
      <c r="DH24" s="102"/>
      <c r="DI24" s="1">
        <v>5</v>
      </c>
      <c r="DJ24" s="104">
        <f t="shared" si="177"/>
        <v>0</v>
      </c>
      <c r="DK24" s="102"/>
      <c r="DL24" s="1">
        <v>5</v>
      </c>
      <c r="DM24" s="104">
        <f t="shared" si="178"/>
        <v>0</v>
      </c>
      <c r="DN24" s="102"/>
      <c r="DO24" s="1">
        <v>5</v>
      </c>
      <c r="DP24" s="104">
        <f t="shared" si="179"/>
        <v>0</v>
      </c>
      <c r="DQ24" s="102"/>
      <c r="DR24" s="1">
        <v>5</v>
      </c>
      <c r="DS24" s="104">
        <f t="shared" si="180"/>
        <v>0</v>
      </c>
      <c r="DT24" s="102"/>
      <c r="DU24" s="1">
        <v>5</v>
      </c>
      <c r="DV24" s="104">
        <f t="shared" si="181"/>
        <v>0</v>
      </c>
      <c r="DW24" s="102"/>
      <c r="DX24" s="1">
        <v>5</v>
      </c>
      <c r="DY24" s="104">
        <f t="shared" si="182"/>
        <v>0</v>
      </c>
      <c r="DZ24" s="102"/>
      <c r="EA24" s="1">
        <v>5</v>
      </c>
      <c r="EB24" s="104">
        <f t="shared" si="183"/>
        <v>0</v>
      </c>
      <c r="EC24" s="102"/>
      <c r="ED24" s="1">
        <v>5</v>
      </c>
      <c r="EE24" s="104">
        <f t="shared" si="184"/>
        <v>0</v>
      </c>
      <c r="EF24" s="102"/>
      <c r="EG24" s="1">
        <v>5</v>
      </c>
      <c r="EH24" s="104">
        <f t="shared" si="185"/>
        <v>0</v>
      </c>
      <c r="EI24" s="102"/>
      <c r="EJ24" s="1">
        <v>5</v>
      </c>
      <c r="EK24" s="104">
        <f t="shared" si="186"/>
        <v>0</v>
      </c>
      <c r="EL24" s="102"/>
      <c r="EM24" s="1">
        <v>5</v>
      </c>
      <c r="EN24" s="104">
        <f t="shared" si="187"/>
        <v>0</v>
      </c>
      <c r="EO24" s="90">
        <v>0</v>
      </c>
      <c r="EP24" s="96">
        <v>5</v>
      </c>
      <c r="EQ24" s="104">
        <f t="shared" si="188"/>
        <v>0</v>
      </c>
      <c r="ER24" s="85">
        <f t="array" ref="ER24">IFERROR(_xlfn.LET(
_xlpm.datos,CHOOSE({1;2;3;4;5;6;7;8;9;10;11;12;13;13;14;15;16;17;18;19;20;21;22;23;23;24;25;26;27;28;29;30;31;32;33;34;35;36;37;38;39;40;41;42;43;44;45;46;47;48},F24,I24,L24,O24,R24,U24,X24,AA24,AD24,AG24,AJ24,AM24,AP24,AS24,AV24,AY24,BB24,BE24,BH24,BK24,BN24,BQ24,BT24,BW24,BZ24,CC24,CF24,CI24,CL24,CO24,CR24,CU24,CX24,DA24,DD24,DG24,DJ24,DM24,DP24,DS24,DV24,DY24,EB24,EE24,EH24,EK24,EN24,EQ24),
AVERAGE(_xlfn._xlws.FILTER(_xlpm.datos,(_xlpm.datos&lt;&gt;0)*(_xlpm.datos&lt;&gt;"")))
),0)</f>
        <v>0</v>
      </c>
      <c r="ES24" s="162" t="str">
        <f t="array" ref="ES24">_xlfn.IFS(ER24&gt;=91.5%,"MENSUAL",ER24&gt;=75%,"QUINCENAL",ER24&lt;75%,"SEMANAL")</f>
        <v>SEMANAL</v>
      </c>
      <c r="ET24" s="212"/>
    </row>
    <row r="25" ht="22" customHeight="1" spans="2:150" x14ac:dyDescent="0.25">
      <c r="B25" s="238" t="s">
        <v>194</v>
      </c>
      <c r="C25" s="228"/>
      <c r="D25" s="102"/>
      <c r="E25" s="103">
        <v>5</v>
      </c>
      <c r="F25" s="104">
        <f t="shared" si="141"/>
        <v>0</v>
      </c>
      <c r="G25" s="102"/>
      <c r="H25" s="103">
        <v>5</v>
      </c>
      <c r="I25" s="104">
        <f t="shared" si="142"/>
        <v>0</v>
      </c>
      <c r="J25" s="105"/>
      <c r="K25" s="103">
        <v>5</v>
      </c>
      <c r="L25" s="104">
        <f t="shared" si="143"/>
        <v>0</v>
      </c>
      <c r="M25" s="105"/>
      <c r="N25" s="103">
        <v>5</v>
      </c>
      <c r="O25" s="104">
        <f t="shared" si="144"/>
        <v>0</v>
      </c>
      <c r="P25" s="106"/>
      <c r="Q25" s="107">
        <v>5</v>
      </c>
      <c r="R25" s="104">
        <f t="shared" si="145"/>
        <v>0</v>
      </c>
      <c r="S25" s="102"/>
      <c r="T25" s="107">
        <v>5</v>
      </c>
      <c r="U25" s="104">
        <f t="shared" si="146"/>
        <v>0</v>
      </c>
      <c r="V25" s="102"/>
      <c r="W25" s="107">
        <v>5</v>
      </c>
      <c r="X25" s="104">
        <f t="shared" si="147"/>
        <v>0</v>
      </c>
      <c r="Y25" s="102"/>
      <c r="Z25" s="107">
        <v>5</v>
      </c>
      <c r="AA25" s="104">
        <f t="shared" si="148"/>
        <v>0</v>
      </c>
      <c r="AB25" s="106"/>
      <c r="AC25" s="107">
        <v>5</v>
      </c>
      <c r="AD25" s="104">
        <f t="shared" si="149"/>
        <v>0</v>
      </c>
      <c r="AE25" s="106"/>
      <c r="AF25" s="107">
        <v>5</v>
      </c>
      <c r="AG25" s="104">
        <f t="shared" si="150"/>
        <v>0</v>
      </c>
      <c r="AH25" s="106"/>
      <c r="AI25" s="107">
        <v>5</v>
      </c>
      <c r="AJ25" s="104">
        <f t="shared" si="151"/>
        <v>0</v>
      </c>
      <c r="AK25" s="106"/>
      <c r="AL25" s="107">
        <v>5</v>
      </c>
      <c r="AM25" s="104">
        <f t="shared" si="152"/>
        <v>0</v>
      </c>
      <c r="AN25" s="102"/>
      <c r="AO25" s="1">
        <v>5</v>
      </c>
      <c r="AP25" s="104">
        <f t="shared" si="153"/>
        <v>0</v>
      </c>
      <c r="AQ25" s="102"/>
      <c r="AR25" s="1">
        <v>5</v>
      </c>
      <c r="AS25" s="104">
        <f t="shared" si="154"/>
        <v>0</v>
      </c>
      <c r="AT25" s="102"/>
      <c r="AU25" s="1">
        <v>5</v>
      </c>
      <c r="AV25" s="104">
        <f t="shared" si="155"/>
        <v>0</v>
      </c>
      <c r="AW25" s="102"/>
      <c r="AX25" s="1">
        <v>5</v>
      </c>
      <c r="AY25" s="104">
        <f t="shared" si="156"/>
        <v>0</v>
      </c>
      <c r="AZ25" s="102"/>
      <c r="BA25" s="1">
        <v>5</v>
      </c>
      <c r="BB25" s="104">
        <f t="shared" si="157"/>
        <v>0</v>
      </c>
      <c r="BC25" s="102"/>
      <c r="BD25" s="1">
        <v>5</v>
      </c>
      <c r="BE25" s="104">
        <f t="shared" si="158"/>
        <v>0</v>
      </c>
      <c r="BF25" s="102"/>
      <c r="BG25" s="1">
        <v>5</v>
      </c>
      <c r="BH25" s="104">
        <f t="shared" si="159"/>
        <v>0</v>
      </c>
      <c r="BI25" s="102"/>
      <c r="BJ25" s="1">
        <v>5</v>
      </c>
      <c r="BK25" s="104">
        <f t="shared" si="160"/>
        <v>0</v>
      </c>
      <c r="BL25" s="102"/>
      <c r="BM25" s="1">
        <v>5</v>
      </c>
      <c r="BN25" s="104">
        <f t="shared" si="161"/>
        <v>0</v>
      </c>
      <c r="BO25" s="102"/>
      <c r="BP25" s="1">
        <v>5</v>
      </c>
      <c r="BQ25" s="104">
        <f t="shared" si="162"/>
        <v>0</v>
      </c>
      <c r="BR25" s="102"/>
      <c r="BS25" s="1">
        <v>5</v>
      </c>
      <c r="BT25" s="104">
        <f t="shared" si="163"/>
        <v>0</v>
      </c>
      <c r="BU25" s="102"/>
      <c r="BV25" s="1">
        <v>5</v>
      </c>
      <c r="BW25" s="104">
        <f t="shared" si="164"/>
        <v>0</v>
      </c>
      <c r="BX25" s="102"/>
      <c r="BY25" s="1">
        <v>5</v>
      </c>
      <c r="BZ25" s="104">
        <f t="shared" si="165"/>
        <v>0</v>
      </c>
      <c r="CA25" s="102"/>
      <c r="CB25" s="1">
        <v>5</v>
      </c>
      <c r="CC25" s="104">
        <f t="shared" si="166"/>
        <v>0</v>
      </c>
      <c r="CD25" s="102"/>
      <c r="CE25" s="1">
        <v>5</v>
      </c>
      <c r="CF25" s="104">
        <f t="shared" si="167"/>
        <v>0</v>
      </c>
      <c r="CG25" s="102"/>
      <c r="CH25" s="1">
        <v>5</v>
      </c>
      <c r="CI25" s="104">
        <f t="shared" si="168"/>
        <v>0</v>
      </c>
      <c r="CJ25" s="102"/>
      <c r="CK25" s="1">
        <v>5</v>
      </c>
      <c r="CL25" s="104">
        <f t="shared" si="169"/>
        <v>0</v>
      </c>
      <c r="CM25" s="102"/>
      <c r="CN25" s="1">
        <v>5</v>
      </c>
      <c r="CO25" s="104">
        <f t="shared" si="170"/>
        <v>0</v>
      </c>
      <c r="CP25" s="102"/>
      <c r="CQ25" s="1">
        <v>5</v>
      </c>
      <c r="CR25" s="104">
        <f t="shared" si="171"/>
        <v>0</v>
      </c>
      <c r="CS25" s="102"/>
      <c r="CT25" s="1">
        <v>5</v>
      </c>
      <c r="CU25" s="104">
        <f t="shared" si="172"/>
        <v>0</v>
      </c>
      <c r="CV25" s="102"/>
      <c r="CW25" s="1">
        <v>5</v>
      </c>
      <c r="CX25" s="104">
        <f t="shared" si="173"/>
        <v>0</v>
      </c>
      <c r="CY25" s="102"/>
      <c r="CZ25" s="1">
        <v>5</v>
      </c>
      <c r="DA25" s="104">
        <f t="shared" si="174"/>
        <v>0</v>
      </c>
      <c r="DB25" s="102"/>
      <c r="DC25" s="1">
        <v>5</v>
      </c>
      <c r="DD25" s="104">
        <f t="shared" si="175"/>
        <v>0</v>
      </c>
      <c r="DE25" s="102"/>
      <c r="DF25" s="1">
        <v>5</v>
      </c>
      <c r="DG25" s="104">
        <f t="shared" si="176"/>
        <v>0</v>
      </c>
      <c r="DH25" s="102"/>
      <c r="DI25" s="1">
        <v>5</v>
      </c>
      <c r="DJ25" s="104">
        <f t="shared" si="177"/>
        <v>0</v>
      </c>
      <c r="DK25" s="102"/>
      <c r="DL25" s="1">
        <v>5</v>
      </c>
      <c r="DM25" s="104">
        <f t="shared" si="178"/>
        <v>0</v>
      </c>
      <c r="DN25" s="102"/>
      <c r="DO25" s="1">
        <v>5</v>
      </c>
      <c r="DP25" s="104">
        <f t="shared" si="179"/>
        <v>0</v>
      </c>
      <c r="DQ25" s="102"/>
      <c r="DR25" s="1">
        <v>5</v>
      </c>
      <c r="DS25" s="104">
        <f t="shared" si="180"/>
        <v>0</v>
      </c>
      <c r="DT25" s="102"/>
      <c r="DU25" s="1">
        <v>5</v>
      </c>
      <c r="DV25" s="104">
        <f t="shared" si="181"/>
        <v>0</v>
      </c>
      <c r="DW25" s="102"/>
      <c r="DX25" s="1">
        <v>5</v>
      </c>
      <c r="DY25" s="104">
        <f t="shared" si="182"/>
        <v>0</v>
      </c>
      <c r="DZ25" s="102"/>
      <c r="EA25" s="1">
        <v>5</v>
      </c>
      <c r="EB25" s="104">
        <f t="shared" si="183"/>
        <v>0</v>
      </c>
      <c r="EC25" s="102"/>
      <c r="ED25" s="1">
        <v>5</v>
      </c>
      <c r="EE25" s="104">
        <f t="shared" si="184"/>
        <v>0</v>
      </c>
      <c r="EF25" s="102"/>
      <c r="EG25" s="1">
        <v>5</v>
      </c>
      <c r="EH25" s="104">
        <f t="shared" si="185"/>
        <v>0</v>
      </c>
      <c r="EI25" s="102"/>
      <c r="EJ25" s="1">
        <v>5</v>
      </c>
      <c r="EK25" s="104">
        <f t="shared" si="186"/>
        <v>0</v>
      </c>
      <c r="EL25" s="102"/>
      <c r="EM25" s="1">
        <v>5</v>
      </c>
      <c r="EN25" s="104">
        <f t="shared" si="187"/>
        <v>0</v>
      </c>
      <c r="EO25" s="90">
        <v>0</v>
      </c>
      <c r="EP25" s="96">
        <v>5</v>
      </c>
      <c r="EQ25" s="104">
        <f t="shared" si="188"/>
        <v>0</v>
      </c>
      <c r="ER25" s="85">
        <f t="array" ref="ER25">IFERROR(_xlfn.LET(
_xlpm.datos,CHOOSE({1;2;3;4;5;6;7;8;9;10;11;12;13;13;14;15;16;17;18;19;20;21;22;23;23;24;25;26;27;28;29;30;31;32;33;34;35;36;37;38;39;40;41;42;43;44;45;46;47;48},F25,I25,L25,O25,R25,U25,X25,AA25,AD25,AG25,AJ25,AM25,AP25,AS25,AV25,AY25,BB25,BE25,BH25,BK25,BN25,BQ25,BT25,BW25,BZ25,CC25,CF25,CI25,CL25,CO25,CR25,CU25,CX25,DA25,DD25,DG25,DJ25,DM25,DP25,DS25,DV25,DY25,EB25,EE25,EH25,EK25,EN25,EQ25),
AVERAGE(_xlfn._xlws.FILTER(_xlpm.datos,(_xlpm.datos&lt;&gt;0)*(_xlpm.datos&lt;&gt;"")))
),0)</f>
        <v>0</v>
      </c>
      <c r="ES25" s="162" t="str">
        <f t="array" ref="ES25">_xlfn.IFS(ER25&gt;=91.5%,"MENSUAL",ER25&gt;=75%,"QUINCENAL",ER25&lt;75%,"SEMANAL")</f>
        <v>SEMANAL</v>
      </c>
      <c r="ET25" s="19"/>
    </row>
    <row r="26" ht="12" customHeight="1" spans="1:507" s="214" customFormat="1" x14ac:dyDescent="0.25">
      <c r="A26" s="215"/>
      <c r="B26" s="179" t="s">
        <v>105</v>
      </c>
      <c r="C26" s="237"/>
      <c r="D26" s="128"/>
      <c r="E26" s="127"/>
      <c r="F26" s="223">
        <f>AVERAGE(F27:F36)</f>
        <v>0</v>
      </c>
      <c r="G26" s="128"/>
      <c r="H26" s="127"/>
      <c r="I26" s="223">
        <f>AVERAGE(I27:I36)</f>
        <v>0</v>
      </c>
      <c r="J26" s="128"/>
      <c r="K26" s="127"/>
      <c r="L26" s="223">
        <f>AVERAGE(L27:L36)</f>
        <v>0</v>
      </c>
      <c r="M26" s="128"/>
      <c r="N26" s="127"/>
      <c r="O26" s="223">
        <f>AVERAGE(O27:O36)</f>
        <v>0</v>
      </c>
      <c r="P26" s="128"/>
      <c r="Q26" s="127"/>
      <c r="R26" s="223">
        <f>AVERAGE(R27:R36)</f>
        <v>0</v>
      </c>
      <c r="S26" s="128"/>
      <c r="T26" s="127"/>
      <c r="U26" s="223">
        <f>AVERAGE(U27:U36)</f>
        <v>0</v>
      </c>
      <c r="V26" s="128"/>
      <c r="W26" s="127"/>
      <c r="X26" s="223">
        <f>AVERAGE(X27:X36)</f>
        <v>0</v>
      </c>
      <c r="Y26" s="128"/>
      <c r="Z26" s="127"/>
      <c r="AA26" s="223">
        <f>AVERAGE(AA27:AA36)</f>
        <v>0</v>
      </c>
      <c r="AB26" s="128"/>
      <c r="AC26" s="127"/>
      <c r="AD26" s="223">
        <f>AVERAGE(AD27:AD36)</f>
        <v>0</v>
      </c>
      <c r="AE26" s="128"/>
      <c r="AF26" s="127"/>
      <c r="AG26" s="223">
        <f>AVERAGE(AG27:AG36)</f>
        <v>0</v>
      </c>
      <c r="AH26" s="128"/>
      <c r="AI26" s="127"/>
      <c r="AJ26" s="223">
        <f>AVERAGE(AJ27:AJ36)</f>
        <v>0</v>
      </c>
      <c r="AK26" s="128"/>
      <c r="AL26" s="127"/>
      <c r="AM26" s="223">
        <f>AVERAGE(AM27:AM36)</f>
        <v>0</v>
      </c>
      <c r="AN26" s="128"/>
      <c r="AO26" s="127"/>
      <c r="AP26" s="223">
        <f>AVERAGE(AP27:AP36)</f>
        <v>0</v>
      </c>
      <c r="AQ26" s="128"/>
      <c r="AR26" s="127"/>
      <c r="AS26" s="223">
        <f>AVERAGE(AS27:AS36)</f>
        <v>0</v>
      </c>
      <c r="AT26" s="128"/>
      <c r="AU26" s="127"/>
      <c r="AV26" s="223">
        <f>AVERAGE(AV27:AV36)</f>
        <v>0</v>
      </c>
      <c r="AW26" s="128"/>
      <c r="AX26" s="127"/>
      <c r="AY26" s="223">
        <f>AVERAGE(AY27:AY36)</f>
        <v>0</v>
      </c>
      <c r="AZ26" s="128"/>
      <c r="BA26" s="127"/>
      <c r="BB26" s="223">
        <f>AVERAGE(BB27:BB36)</f>
        <v>0</v>
      </c>
      <c r="BC26" s="128"/>
      <c r="BD26" s="127"/>
      <c r="BE26" s="223">
        <f>AVERAGE(BE27:BE36)</f>
        <v>0</v>
      </c>
      <c r="BF26" s="128"/>
      <c r="BG26" s="127"/>
      <c r="BH26" s="223">
        <f>AVERAGE(BH27:BH36)</f>
        <v>0</v>
      </c>
      <c r="BI26" s="128"/>
      <c r="BJ26" s="127"/>
      <c r="BK26" s="223">
        <f>AVERAGE(BK27:BK36)</f>
        <v>0</v>
      </c>
      <c r="BL26" s="128"/>
      <c r="BM26" s="127"/>
      <c r="BN26" s="223">
        <f>AVERAGE(BN27:BN36)</f>
        <v>0</v>
      </c>
      <c r="BO26" s="128"/>
      <c r="BP26" s="127"/>
      <c r="BQ26" s="223">
        <f>AVERAGE(BQ27:BQ36)</f>
        <v>0</v>
      </c>
      <c r="BR26" s="128"/>
      <c r="BS26" s="127"/>
      <c r="BT26" s="223">
        <f>AVERAGE(BT27:BT36)</f>
        <v>0</v>
      </c>
      <c r="BU26" s="128"/>
      <c r="BV26" s="127"/>
      <c r="BW26" s="223">
        <f>AVERAGE(BW27:BW36)</f>
        <v>0</v>
      </c>
      <c r="BX26" s="128"/>
      <c r="BY26" s="127"/>
      <c r="BZ26" s="223">
        <f>AVERAGE(BZ27:BZ36)</f>
        <v>0</v>
      </c>
      <c r="CA26" s="128"/>
      <c r="CB26" s="127"/>
      <c r="CC26" s="223">
        <f>AVERAGE(CC27:CC36)</f>
        <v>0</v>
      </c>
      <c r="CD26" s="128"/>
      <c r="CE26" s="127"/>
      <c r="CF26" s="223">
        <f>AVERAGE(CF27:CF36)</f>
        <v>0</v>
      </c>
      <c r="CG26" s="128"/>
      <c r="CH26" s="127"/>
      <c r="CI26" s="223">
        <f>AVERAGE(CI27:CI36)</f>
        <v>0</v>
      </c>
      <c r="CJ26" s="128"/>
      <c r="CK26" s="127"/>
      <c r="CL26" s="223">
        <f>AVERAGE(CL27:CL36)</f>
        <v>0</v>
      </c>
      <c r="CM26" s="128"/>
      <c r="CN26" s="127"/>
      <c r="CO26" s="223">
        <f>AVERAGE(CO27:CO36)</f>
        <v>0</v>
      </c>
      <c r="CP26" s="128"/>
      <c r="CQ26" s="127"/>
      <c r="CR26" s="223">
        <f>AVERAGE(CR27:CR36)</f>
        <v>0</v>
      </c>
      <c r="CS26" s="128"/>
      <c r="CT26" s="127"/>
      <c r="CU26" s="223">
        <f>AVERAGE(CU27:CU36)</f>
        <v>0</v>
      </c>
      <c r="CV26" s="128"/>
      <c r="CW26" s="127"/>
      <c r="CX26" s="223">
        <f>AVERAGE(CX27:CX36)</f>
        <v>0</v>
      </c>
      <c r="CY26" s="128"/>
      <c r="CZ26" s="127"/>
      <c r="DA26" s="223">
        <f>AVERAGE(DA27:DA36)</f>
        <v>0</v>
      </c>
      <c r="DB26" s="128"/>
      <c r="DC26" s="127"/>
      <c r="DD26" s="223">
        <f>AVERAGE(DD27:DD36)</f>
        <v>0</v>
      </c>
      <c r="DE26" s="128"/>
      <c r="DF26" s="127"/>
      <c r="DG26" s="224">
        <f>AVERAGE(DG27:DG36)</f>
        <v>0</v>
      </c>
      <c r="DH26" s="128"/>
      <c r="DI26" s="127"/>
      <c r="DJ26" s="223">
        <f>AVERAGE(DJ27:DJ36)</f>
        <v>0</v>
      </c>
      <c r="DK26" s="128"/>
      <c r="DL26" s="127"/>
      <c r="DM26" s="223">
        <f>AVERAGE(DM27:DM36)</f>
        <v>0</v>
      </c>
      <c r="DN26" s="128"/>
      <c r="DO26" s="127"/>
      <c r="DP26" s="223">
        <f>AVERAGE(DP27:DP36)</f>
        <v>0</v>
      </c>
      <c r="DQ26" s="128"/>
      <c r="DR26" s="127"/>
      <c r="DS26" s="223">
        <f>AVERAGE(DS27:DS36)</f>
        <v>0</v>
      </c>
      <c r="DT26" s="128"/>
      <c r="DU26" s="127"/>
      <c r="DV26" s="223">
        <f>AVERAGE(DV27:DV36)</f>
        <v>0</v>
      </c>
      <c r="DW26" s="128"/>
      <c r="DX26" s="127"/>
      <c r="DY26" s="223">
        <f>AVERAGE(DY27:DY36)</f>
        <v>0</v>
      </c>
      <c r="DZ26" s="128"/>
      <c r="EA26" s="127"/>
      <c r="EB26" s="223">
        <f>AVERAGE(EB27:EB36)</f>
        <v>0</v>
      </c>
      <c r="EC26" s="128"/>
      <c r="ED26" s="127"/>
      <c r="EE26" s="223">
        <f>AVERAGE(EE27:EE36)</f>
        <v>0</v>
      </c>
      <c r="EF26" s="128"/>
      <c r="EG26" s="127"/>
      <c r="EH26" s="223">
        <f>AVERAGE(EH27:EH36)</f>
        <v>0</v>
      </c>
      <c r="EI26" s="128"/>
      <c r="EJ26" s="127"/>
      <c r="EK26" s="223">
        <f>AVERAGE(EK27:EK36)</f>
        <v>0</v>
      </c>
      <c r="EL26" s="128"/>
      <c r="EM26" s="127"/>
      <c r="EN26" s="223">
        <f>AVERAGE(EN27:EN36)</f>
        <v>0</v>
      </c>
      <c r="EO26" s="128"/>
      <c r="EP26" s="127"/>
      <c r="EQ26" s="223">
        <f>AVERAGE(EQ27:EQ36)</f>
        <v>0</v>
      </c>
      <c r="ER26" s="85">
        <f t="array" ref="ER26">IFERROR(_xlfn.LET(
_xlpm.datos,CHOOSE({1;2;3;4;5;6;7;8;9;10;11;12;13;13;14;15;16;17;18;19;20;21;22;23;23;24;25;26;27;28;29;30;31;32;33;34;35;36;37;38;39;40;41;42;43;44;45;46;47;48},F26,I26,L26,O26,R26,U26,X26,AA26,AD26,AG26,AJ26,AM26,AP26,AS26,AV26,AY26,BB26,BE26,BH26,BK26,BN26,BQ26,BT26,BW26,BZ26,CC26,CF26,CI26,CL26,CO26,CR26,CU26,CX26,DA26,DD26,DG26,DJ26,DM26,DP26,DS26,DV26,DY26,EB26,EE26,EH26,EK26,EN26,EQ26),
AVERAGE(_xlfn._xlws.FILTER(_xlpm.datos,(_xlpm.datos&lt;&gt;0)*(_xlpm.datos&lt;&gt;"")))
),0)</f>
        <v>0</v>
      </c>
      <c r="ES26" s="162" t="str">
        <f t="array" ref="ES26">_xlfn.IFS(ER26&gt;=91.5%,"MENSUAL",ER26&gt;=75%,"QUINCENAL",ER26&lt;75%,"SEMANAL")</f>
        <v>SEMANAL</v>
      </c>
      <c r="ET26" s="212"/>
      <c r="EU26" s="201"/>
      <c r="EV26" s="201"/>
      <c r="EW26" s="201"/>
      <c r="EX26" s="201"/>
      <c r="EY26" s="201"/>
      <c r="EZ26" s="201"/>
      <c r="FA26" s="201"/>
      <c r="FB26" s="201"/>
      <c r="FC26" s="201"/>
      <c r="FD26" s="201"/>
      <c r="FE26" s="201"/>
      <c r="FF26" s="201"/>
      <c r="FG26" s="201"/>
      <c r="FH26" s="201"/>
      <c r="FI26" s="201"/>
      <c r="FJ26" s="201"/>
      <c r="FK26" s="201"/>
      <c r="FL26" s="201"/>
      <c r="FM26" s="201"/>
      <c r="FN26" s="201"/>
      <c r="FO26" s="201"/>
      <c r="FP26" s="201"/>
      <c r="FQ26" s="201"/>
      <c r="FR26" s="201"/>
      <c r="FS26" s="201"/>
      <c r="FT26" s="201"/>
      <c r="FU26" s="201"/>
      <c r="FV26" s="201"/>
      <c r="FW26" s="201"/>
      <c r="FX26" s="201"/>
      <c r="FY26" s="201"/>
      <c r="FZ26" s="201"/>
      <c r="GA26" s="201"/>
      <c r="GB26" s="201"/>
      <c r="GC26" s="201"/>
      <c r="GD26" s="201"/>
      <c r="GE26" s="201"/>
      <c r="GF26" s="201"/>
      <c r="GG26" s="201"/>
      <c r="GH26" s="201"/>
      <c r="GI26" s="201"/>
      <c r="GJ26" s="201"/>
      <c r="GK26" s="201"/>
      <c r="GL26" s="201"/>
      <c r="GM26" s="201"/>
      <c r="GN26" s="201"/>
      <c r="GO26" s="201"/>
      <c r="GP26" s="201"/>
      <c r="GQ26" s="201"/>
      <c r="GR26" s="201"/>
      <c r="GS26" s="201"/>
      <c r="GT26" s="201"/>
      <c r="GU26" s="201"/>
      <c r="GV26" s="201"/>
      <c r="GW26" s="201"/>
      <c r="GX26" s="201"/>
      <c r="GY26" s="201"/>
      <c r="GZ26" s="201"/>
      <c r="HA26" s="201"/>
      <c r="HB26" s="201"/>
      <c r="HC26" s="201"/>
      <c r="HD26" s="201"/>
      <c r="HE26" s="201"/>
      <c r="HF26" s="201"/>
      <c r="HG26" s="201"/>
      <c r="HH26" s="201"/>
      <c r="HI26" s="201"/>
      <c r="HJ26" s="201"/>
      <c r="HK26" s="201"/>
      <c r="HL26" s="201"/>
      <c r="HM26" s="201"/>
      <c r="HN26" s="201"/>
      <c r="HO26" s="201"/>
      <c r="HP26" s="201"/>
      <c r="HQ26" s="201"/>
      <c r="HR26" s="201"/>
      <c r="HS26" s="201"/>
      <c r="HT26" s="201"/>
      <c r="HU26" s="201"/>
      <c r="HV26" s="201"/>
      <c r="HW26" s="201"/>
      <c r="HX26" s="201"/>
      <c r="HY26" s="201"/>
      <c r="HZ26" s="201"/>
      <c r="IA26" s="201"/>
      <c r="IB26" s="201"/>
      <c r="IC26" s="201"/>
      <c r="ID26" s="201"/>
      <c r="IE26" s="201"/>
      <c r="IF26" s="201"/>
      <c r="IG26" s="201"/>
      <c r="IH26" s="201"/>
      <c r="II26" s="201"/>
      <c r="IJ26" s="201"/>
      <c r="IK26" s="201"/>
      <c r="IL26" s="201"/>
      <c r="IM26" s="201"/>
      <c r="IN26" s="201"/>
      <c r="IO26" s="201"/>
      <c r="IP26" s="201"/>
      <c r="IQ26" s="201"/>
      <c r="IR26" s="201"/>
      <c r="IS26" s="201"/>
      <c r="IT26" s="201"/>
      <c r="IU26" s="201"/>
      <c r="IV26" s="201"/>
      <c r="IW26" s="201"/>
      <c r="IX26" s="201"/>
      <c r="IY26" s="201"/>
      <c r="IZ26" s="201"/>
      <c r="JA26" s="201"/>
      <c r="JB26" s="201"/>
      <c r="JC26" s="201"/>
      <c r="JD26" s="201"/>
      <c r="JE26" s="201"/>
      <c r="JF26" s="201"/>
      <c r="JG26" s="201"/>
      <c r="JH26" s="201"/>
      <c r="JI26" s="201"/>
      <c r="JJ26" s="201"/>
      <c r="JK26" s="201"/>
      <c r="JL26" s="201"/>
      <c r="JM26" s="201"/>
      <c r="JN26" s="201"/>
      <c r="JO26" s="201"/>
      <c r="JP26" s="201"/>
      <c r="JQ26" s="201"/>
      <c r="JR26" s="201"/>
      <c r="JS26" s="201"/>
      <c r="JT26" s="201"/>
      <c r="JU26" s="201"/>
      <c r="JV26" s="201"/>
      <c r="JW26" s="201"/>
      <c r="JX26" s="201"/>
      <c r="JY26" s="201"/>
      <c r="JZ26" s="201"/>
      <c r="KA26" s="201"/>
      <c r="KB26" s="201"/>
      <c r="KC26" s="201"/>
      <c r="KD26" s="201"/>
      <c r="KE26" s="201"/>
      <c r="KF26" s="201"/>
      <c r="KG26" s="201"/>
      <c r="KH26" s="201"/>
      <c r="KI26" s="201"/>
      <c r="KJ26" s="201"/>
      <c r="KK26" s="201"/>
      <c r="KL26" s="201"/>
      <c r="KM26" s="201"/>
      <c r="KN26" s="201"/>
      <c r="KO26" s="201"/>
      <c r="KP26" s="201"/>
      <c r="KQ26" s="201"/>
      <c r="KR26" s="201"/>
      <c r="KS26" s="201"/>
      <c r="KT26" s="201"/>
      <c r="KU26" s="201"/>
      <c r="KV26" s="201"/>
      <c r="KW26" s="201"/>
      <c r="KX26" s="201"/>
      <c r="KY26" s="201"/>
      <c r="KZ26" s="201"/>
      <c r="LA26" s="201"/>
      <c r="LB26" s="201"/>
      <c r="LC26" s="201"/>
      <c r="LD26" s="201"/>
      <c r="LE26" s="201"/>
      <c r="LF26" s="201"/>
      <c r="LG26" s="201"/>
      <c r="LH26" s="201"/>
      <c r="LI26" s="201"/>
      <c r="LJ26" s="201"/>
      <c r="LK26" s="201"/>
      <c r="LL26" s="201"/>
      <c r="LM26" s="201"/>
      <c r="LN26" s="201"/>
      <c r="LO26" s="201"/>
      <c r="LP26" s="201"/>
      <c r="LQ26" s="201"/>
      <c r="LR26" s="201"/>
      <c r="LS26" s="201"/>
      <c r="LT26" s="201"/>
      <c r="LU26" s="201"/>
      <c r="LV26" s="201"/>
      <c r="LW26" s="201"/>
      <c r="LX26" s="201"/>
      <c r="LY26" s="201"/>
      <c r="LZ26" s="201"/>
      <c r="MA26" s="201"/>
      <c r="MB26" s="201"/>
      <c r="MC26" s="201"/>
      <c r="MD26" s="201"/>
      <c r="ME26" s="201"/>
      <c r="MF26" s="201"/>
      <c r="MG26" s="201"/>
      <c r="MH26" s="201"/>
      <c r="MI26" s="201"/>
      <c r="MJ26" s="201"/>
      <c r="MK26" s="201"/>
      <c r="ML26" s="201"/>
      <c r="MM26" s="201"/>
      <c r="MN26" s="201"/>
      <c r="MO26" s="201"/>
      <c r="MP26" s="201"/>
      <c r="MQ26" s="201"/>
      <c r="MR26" s="201"/>
      <c r="MS26" s="201"/>
      <c r="MT26" s="201"/>
      <c r="MU26" s="201"/>
      <c r="MV26" s="201"/>
      <c r="MW26" s="201"/>
      <c r="MX26" s="201"/>
      <c r="MY26" s="201"/>
      <c r="MZ26" s="201"/>
      <c r="NA26" s="201"/>
      <c r="NB26" s="201"/>
      <c r="NC26" s="201"/>
      <c r="ND26" s="201"/>
      <c r="NE26" s="201"/>
      <c r="NF26" s="201"/>
      <c r="NG26" s="201"/>
      <c r="NH26" s="201"/>
      <c r="NI26" s="201"/>
      <c r="NJ26" s="201"/>
      <c r="NK26" s="201"/>
      <c r="NL26" s="201"/>
      <c r="NM26" s="201"/>
      <c r="NN26" s="201"/>
      <c r="NO26" s="201"/>
      <c r="NP26" s="201"/>
      <c r="NQ26" s="201"/>
      <c r="NR26" s="201"/>
      <c r="NS26" s="201"/>
      <c r="NT26" s="201"/>
      <c r="NU26" s="201"/>
      <c r="NV26" s="201"/>
      <c r="NW26" s="201"/>
      <c r="NX26" s="201"/>
      <c r="NY26" s="201"/>
      <c r="NZ26" s="201"/>
      <c r="OA26" s="201"/>
      <c r="OB26" s="201"/>
      <c r="OC26" s="201"/>
      <c r="OD26" s="201"/>
      <c r="OE26" s="201"/>
      <c r="OF26" s="201"/>
      <c r="OG26" s="201"/>
      <c r="OH26" s="201"/>
      <c r="OI26" s="201"/>
      <c r="OJ26" s="201"/>
      <c r="OK26" s="201"/>
      <c r="OL26" s="201"/>
      <c r="OM26" s="201"/>
      <c r="ON26" s="201"/>
      <c r="OO26" s="201"/>
      <c r="OP26" s="201"/>
      <c r="OQ26" s="201"/>
      <c r="OR26" s="201"/>
      <c r="OS26" s="201"/>
      <c r="OT26" s="201"/>
      <c r="OU26" s="201"/>
      <c r="OV26" s="201"/>
      <c r="OW26" s="201"/>
      <c r="OX26" s="201"/>
      <c r="OY26" s="201"/>
      <c r="OZ26" s="201"/>
      <c r="PA26" s="201"/>
      <c r="PB26" s="201"/>
      <c r="PC26" s="201"/>
      <c r="PD26" s="201"/>
      <c r="PE26" s="201"/>
      <c r="PF26" s="201"/>
      <c r="PG26" s="201"/>
      <c r="PH26" s="201"/>
      <c r="PI26" s="201"/>
      <c r="PJ26" s="201"/>
      <c r="PK26" s="201"/>
      <c r="PL26" s="201"/>
      <c r="PM26" s="201"/>
      <c r="PN26" s="201"/>
      <c r="PO26" s="201"/>
      <c r="PP26" s="201"/>
      <c r="PQ26" s="201"/>
      <c r="PR26" s="201"/>
      <c r="PS26" s="201"/>
      <c r="PT26" s="201"/>
      <c r="PU26" s="201"/>
      <c r="PV26" s="201"/>
      <c r="PW26" s="201"/>
      <c r="PX26" s="201"/>
      <c r="PY26" s="201"/>
      <c r="PZ26" s="201"/>
      <c r="QA26" s="201"/>
      <c r="QB26" s="201"/>
      <c r="QC26" s="201"/>
      <c r="QD26" s="201"/>
      <c r="QE26" s="201"/>
      <c r="QF26" s="201"/>
      <c r="QG26" s="201"/>
      <c r="QH26" s="201"/>
      <c r="QI26" s="201"/>
      <c r="QJ26" s="201"/>
      <c r="QK26" s="201"/>
      <c r="QL26" s="201"/>
      <c r="QM26" s="201"/>
      <c r="QN26" s="201"/>
      <c r="QO26" s="201"/>
      <c r="QP26" s="201"/>
      <c r="QQ26" s="201"/>
      <c r="QR26" s="201"/>
      <c r="QS26" s="201"/>
      <c r="QT26" s="201"/>
      <c r="QU26" s="201"/>
      <c r="QV26" s="201"/>
      <c r="QW26" s="201"/>
      <c r="QX26" s="201"/>
      <c r="QY26" s="201"/>
      <c r="QZ26" s="201"/>
      <c r="RA26" s="201"/>
      <c r="RB26" s="201"/>
      <c r="RC26" s="201"/>
      <c r="RD26" s="201"/>
      <c r="RE26" s="201"/>
      <c r="RF26" s="201"/>
      <c r="RG26" s="201"/>
      <c r="RH26" s="201"/>
      <c r="RI26" s="201"/>
      <c r="RJ26" s="201"/>
      <c r="RK26" s="201"/>
      <c r="RL26" s="201"/>
      <c r="RM26" s="201"/>
      <c r="RN26" s="201"/>
      <c r="RO26" s="201"/>
      <c r="RP26" s="201"/>
      <c r="RQ26" s="201"/>
      <c r="RR26" s="201"/>
      <c r="RS26" s="201"/>
      <c r="RT26" s="201"/>
      <c r="RU26" s="201"/>
      <c r="RV26" s="201"/>
      <c r="RW26" s="201"/>
      <c r="RX26" s="201"/>
      <c r="RY26" s="201"/>
      <c r="RZ26" s="201"/>
      <c r="SA26" s="201"/>
      <c r="SB26" s="201"/>
      <c r="SC26" s="201"/>
      <c r="SD26" s="201"/>
      <c r="SE26" s="201"/>
      <c r="SF26" s="201"/>
      <c r="SG26" s="201"/>
      <c r="SH26" s="201"/>
      <c r="SI26" s="201"/>
      <c r="SJ26" s="201"/>
      <c r="SK26" s="201"/>
      <c r="SL26" s="201"/>
      <c r="SM26" s="201"/>
    </row>
    <row r="27" ht="27.75" customHeight="1" spans="2:150" x14ac:dyDescent="0.25">
      <c r="B27" s="227" t="s">
        <v>195</v>
      </c>
      <c r="C27" s="228"/>
      <c r="D27" s="102"/>
      <c r="E27" s="103">
        <v>5</v>
      </c>
      <c r="F27" s="104">
        <f t="shared" ref="F27:F36" si="189">D27/E27</f>
        <v>0</v>
      </c>
      <c r="G27" s="102"/>
      <c r="H27" s="103">
        <v>5</v>
      </c>
      <c r="I27" s="104">
        <f t="shared" ref="I27:I36" si="190">G27/H27</f>
        <v>0</v>
      </c>
      <c r="J27" s="105"/>
      <c r="K27" s="103">
        <v>5</v>
      </c>
      <c r="L27" s="104">
        <f t="shared" ref="L27:L36" si="191">J27/K27</f>
        <v>0</v>
      </c>
      <c r="M27" s="105"/>
      <c r="N27" s="103">
        <v>5</v>
      </c>
      <c r="O27" s="104">
        <f t="shared" ref="O27:O36" si="192">M27/N27</f>
        <v>0</v>
      </c>
      <c r="P27" s="106"/>
      <c r="Q27" s="107">
        <v>5</v>
      </c>
      <c r="R27" s="104">
        <f t="shared" ref="R27:R36" si="193">P27/Q27</f>
        <v>0</v>
      </c>
      <c r="S27" s="102"/>
      <c r="T27" s="107">
        <v>5</v>
      </c>
      <c r="U27" s="104">
        <f t="shared" ref="U27:U36" si="194">S27/T27</f>
        <v>0</v>
      </c>
      <c r="V27" s="102"/>
      <c r="W27" s="107">
        <v>5</v>
      </c>
      <c r="X27" s="104">
        <f t="shared" ref="X27:X36" si="195">V27/W27</f>
        <v>0</v>
      </c>
      <c r="Y27" s="102"/>
      <c r="Z27" s="107">
        <v>5</v>
      </c>
      <c r="AA27" s="104">
        <f t="shared" ref="AA27:AA36" si="196">Y27/Z27</f>
        <v>0</v>
      </c>
      <c r="AB27" s="106"/>
      <c r="AC27" s="107">
        <v>5</v>
      </c>
      <c r="AD27" s="104">
        <f t="shared" ref="AD27:AD36" si="197">AB27/AC27</f>
        <v>0</v>
      </c>
      <c r="AE27" s="106"/>
      <c r="AF27" s="107">
        <v>5</v>
      </c>
      <c r="AG27" s="104">
        <f t="shared" ref="AG27:AG36" si="198">AE27/AF27</f>
        <v>0</v>
      </c>
      <c r="AH27" s="106"/>
      <c r="AI27" s="107">
        <v>5</v>
      </c>
      <c r="AJ27" s="104">
        <f t="shared" ref="AJ27:AJ36" si="199">AH27/AI27</f>
        <v>0</v>
      </c>
      <c r="AK27" s="106"/>
      <c r="AL27" s="107">
        <v>5</v>
      </c>
      <c r="AM27" s="104">
        <f t="shared" ref="AM27:AM36" si="200">AK27/AL27</f>
        <v>0</v>
      </c>
      <c r="AN27" s="102"/>
      <c r="AO27" s="1">
        <v>5</v>
      </c>
      <c r="AP27" s="104">
        <f t="shared" ref="AP27:AP36" si="201">AN27/AO27</f>
        <v>0</v>
      </c>
      <c r="AQ27" s="102"/>
      <c r="AR27" s="1">
        <v>5</v>
      </c>
      <c r="AS27" s="104">
        <f t="shared" ref="AS27:AS36" si="202">AQ27/AR27</f>
        <v>0</v>
      </c>
      <c r="AT27" s="102"/>
      <c r="AU27" s="1">
        <v>5</v>
      </c>
      <c r="AV27" s="104">
        <f t="shared" ref="AV27:AV36" si="203">AT27/AU27</f>
        <v>0</v>
      </c>
      <c r="AW27" s="102"/>
      <c r="AX27" s="1">
        <v>5</v>
      </c>
      <c r="AY27" s="104">
        <f t="shared" ref="AY27:AY36" si="204">AW27/AX27</f>
        <v>0</v>
      </c>
      <c r="AZ27" s="102"/>
      <c r="BA27" s="1">
        <v>5</v>
      </c>
      <c r="BB27" s="104">
        <f t="shared" ref="BB27:BB36" si="205">AZ27/BA27</f>
        <v>0</v>
      </c>
      <c r="BC27" s="102"/>
      <c r="BD27" s="1">
        <v>5</v>
      </c>
      <c r="BE27" s="104">
        <f t="shared" ref="BE27:BE36" si="206">BC27/BD27</f>
        <v>0</v>
      </c>
      <c r="BF27" s="102"/>
      <c r="BG27" s="1">
        <v>5</v>
      </c>
      <c r="BH27" s="104">
        <f t="shared" ref="BH27:BH36" si="207">BF27/BG27</f>
        <v>0</v>
      </c>
      <c r="BI27" s="102"/>
      <c r="BJ27" s="1">
        <v>5</v>
      </c>
      <c r="BK27" s="104">
        <f t="shared" ref="BK27:BK36" si="208">BI27/BJ27</f>
        <v>0</v>
      </c>
      <c r="BL27" s="102"/>
      <c r="BM27" s="1">
        <v>5</v>
      </c>
      <c r="BN27" s="104">
        <f t="shared" ref="BN27:BN36" si="209">BL27/BM27</f>
        <v>0</v>
      </c>
      <c r="BO27" s="102"/>
      <c r="BP27" s="1">
        <v>5</v>
      </c>
      <c r="BQ27" s="104">
        <f t="shared" ref="BQ27:BQ36" si="210">BO27/BP27</f>
        <v>0</v>
      </c>
      <c r="BR27" s="102"/>
      <c r="BS27" s="1">
        <v>5</v>
      </c>
      <c r="BT27" s="104">
        <f t="shared" ref="BT27:BT36" si="211">BR27/BS27</f>
        <v>0</v>
      </c>
      <c r="BU27" s="102"/>
      <c r="BV27" s="1">
        <v>5</v>
      </c>
      <c r="BW27" s="104">
        <f t="shared" ref="BW27:BW36" si="212">BU27/BV27</f>
        <v>0</v>
      </c>
      <c r="BX27" s="102"/>
      <c r="BY27" s="1">
        <v>5</v>
      </c>
      <c r="BZ27" s="104">
        <f t="shared" ref="BZ27:BZ36" si="213">BX27/BY27</f>
        <v>0</v>
      </c>
      <c r="CA27" s="102"/>
      <c r="CB27" s="1">
        <v>5</v>
      </c>
      <c r="CC27" s="104">
        <f t="shared" ref="CC27:CC36" si="214">CA27/CB27</f>
        <v>0</v>
      </c>
      <c r="CD27" s="102"/>
      <c r="CE27" s="1">
        <v>5</v>
      </c>
      <c r="CF27" s="104">
        <f t="shared" ref="CF27:CF36" si="215">CD27/CE27</f>
        <v>0</v>
      </c>
      <c r="CG27" s="102"/>
      <c r="CH27" s="1">
        <v>5</v>
      </c>
      <c r="CI27" s="104">
        <f t="shared" ref="CI27:CI36" si="216">CG27/CH27</f>
        <v>0</v>
      </c>
      <c r="CJ27" s="102"/>
      <c r="CK27" s="1">
        <v>5</v>
      </c>
      <c r="CL27" s="104">
        <f t="shared" ref="CL27:CL36" si="217">CJ27/CK27</f>
        <v>0</v>
      </c>
      <c r="CM27" s="102"/>
      <c r="CN27" s="1">
        <v>5</v>
      </c>
      <c r="CO27" s="104">
        <f t="shared" ref="CO27:CO36" si="218">CM27/CN27</f>
        <v>0</v>
      </c>
      <c r="CP27" s="102"/>
      <c r="CQ27" s="1">
        <v>5</v>
      </c>
      <c r="CR27" s="104">
        <f t="shared" ref="CR27:CR36" si="219">CP27/CQ27</f>
        <v>0</v>
      </c>
      <c r="CS27" s="102"/>
      <c r="CT27" s="1">
        <v>5</v>
      </c>
      <c r="CU27" s="104">
        <f t="shared" ref="CU27:CU36" si="220">CS27/CT27</f>
        <v>0</v>
      </c>
      <c r="CV27" s="102"/>
      <c r="CW27" s="1">
        <v>5</v>
      </c>
      <c r="CX27" s="104">
        <f t="shared" ref="CX27:CX36" si="221">CV27/CW27</f>
        <v>0</v>
      </c>
      <c r="CY27" s="102"/>
      <c r="CZ27" s="1">
        <v>5</v>
      </c>
      <c r="DA27" s="104">
        <f t="shared" ref="DA27:DA36" si="222">CY27/CZ27</f>
        <v>0</v>
      </c>
      <c r="DB27" s="102"/>
      <c r="DC27" s="1">
        <v>5</v>
      </c>
      <c r="DD27" s="104">
        <f t="shared" ref="DD27:DD36" si="223">DB27/DC27</f>
        <v>0</v>
      </c>
      <c r="DE27" s="102"/>
      <c r="DF27" s="1">
        <v>5</v>
      </c>
      <c r="DG27" s="104">
        <f t="shared" ref="DG27:DG36" si="224">DE27/DF27</f>
        <v>0</v>
      </c>
      <c r="DH27" s="102"/>
      <c r="DI27" s="1">
        <v>5</v>
      </c>
      <c r="DJ27" s="104">
        <f t="shared" ref="DJ27:DJ36" si="225">DH27/DI27</f>
        <v>0</v>
      </c>
      <c r="DK27" s="102"/>
      <c r="DL27" s="1">
        <v>5</v>
      </c>
      <c r="DM27" s="104">
        <f t="shared" ref="DM27:DM36" si="226">DK27/DL27</f>
        <v>0</v>
      </c>
      <c r="DN27" s="102"/>
      <c r="DO27" s="1">
        <v>5</v>
      </c>
      <c r="DP27" s="104">
        <f t="shared" ref="DP27:DP36" si="227">DN27/DO27</f>
        <v>0</v>
      </c>
      <c r="DQ27" s="102"/>
      <c r="DR27" s="1">
        <v>5</v>
      </c>
      <c r="DS27" s="104">
        <f t="shared" ref="DS27:DS36" si="228">DQ27/DR27</f>
        <v>0</v>
      </c>
      <c r="DT27" s="102"/>
      <c r="DU27" s="1">
        <v>5</v>
      </c>
      <c r="DV27" s="104">
        <f t="shared" ref="DV27:DV36" si="229">DT27/DU27</f>
        <v>0</v>
      </c>
      <c r="DW27" s="102"/>
      <c r="DX27" s="1">
        <v>5</v>
      </c>
      <c r="DY27" s="104">
        <f t="shared" ref="DY27:DY36" si="230">DW27/DX27</f>
        <v>0</v>
      </c>
      <c r="DZ27" s="102"/>
      <c r="EA27" s="1">
        <v>5</v>
      </c>
      <c r="EB27" s="104">
        <f t="shared" ref="EB27:EB36" si="231">DZ27/EA27</f>
        <v>0</v>
      </c>
      <c r="EC27" s="102"/>
      <c r="ED27" s="1">
        <v>5</v>
      </c>
      <c r="EE27" s="104">
        <f t="shared" ref="EE27:EE36" si="232">EC27/ED27</f>
        <v>0</v>
      </c>
      <c r="EF27" s="102"/>
      <c r="EG27" s="1">
        <v>5</v>
      </c>
      <c r="EH27" s="104">
        <f t="shared" ref="EH27:EH36" si="233">EF27/EG27</f>
        <v>0</v>
      </c>
      <c r="EI27" s="102"/>
      <c r="EJ27" s="1">
        <v>5</v>
      </c>
      <c r="EK27" s="104">
        <f t="shared" ref="EK27:EK36" si="234">EI27/EJ27</f>
        <v>0</v>
      </c>
      <c r="EL27" s="102"/>
      <c r="EM27" s="1">
        <v>5</v>
      </c>
      <c r="EN27" s="104">
        <f t="shared" ref="EN27:EN36" si="235">EL27/EM27</f>
        <v>0</v>
      </c>
      <c r="EO27" s="90">
        <v>0</v>
      </c>
      <c r="EP27" s="96">
        <v>5</v>
      </c>
      <c r="EQ27" s="104">
        <f t="shared" ref="EQ27:EQ36" si="236">IFERROR(EO27/EP27,0)</f>
        <v>0</v>
      </c>
      <c r="ER27" s="85">
        <f t="array" ref="ER27">IFERROR(_xlfn.LET(
_xlpm.datos,CHOOSE({1;2;3;4;5;6;7;8;9;10;11;12;13;13;14;15;16;17;18;19;20;21;22;23;23;24;25;26;27;28;29;30;31;32;33;34;35;36;37;38;39;40;41;42;43;44;45;46;47;48},F27,I27,L27,O27,R27,U27,X27,AA27,AD27,AG27,AJ27,AM27,AP27,AS27,AV27,AY27,BB27,BE27,BH27,BK27,BN27,BQ27,BT27,BW27,BZ27,CC27,CF27,CI27,CL27,CO27,CR27,CU27,CX27,DA27,DD27,DG27,DJ27,DM27,DP27,DS27,DV27,DY27,EB27,EE27,EH27,EK27,EN27,EQ27),
AVERAGE(_xlfn._xlws.FILTER(_xlpm.datos,(_xlpm.datos&lt;&gt;0)*(_xlpm.datos&lt;&gt;"")))
),0)</f>
        <v>0</v>
      </c>
      <c r="ES27" s="162" t="str">
        <f t="array" ref="ES27">_xlfn.IFS(ER27&gt;=91.5%,"MENSUAL",ER27&gt;=75%,"QUINCENAL",ER27&lt;75%,"SEMANAL")</f>
        <v>SEMANAL</v>
      </c>
      <c r="ET27" s="19"/>
    </row>
    <row r="28" ht="33" customHeight="1" spans="2:150" x14ac:dyDescent="0.25">
      <c r="B28" s="171" t="s">
        <v>196</v>
      </c>
      <c r="C28" s="228"/>
      <c r="D28" s="102"/>
      <c r="E28" s="103">
        <v>5</v>
      </c>
      <c r="F28" s="104">
        <f t="shared" si="189"/>
        <v>0</v>
      </c>
      <c r="G28" s="102"/>
      <c r="H28" s="103">
        <v>5</v>
      </c>
      <c r="I28" s="104">
        <f t="shared" si="190"/>
        <v>0</v>
      </c>
      <c r="J28" s="105"/>
      <c r="K28" s="103">
        <v>5</v>
      </c>
      <c r="L28" s="104">
        <f t="shared" si="191"/>
        <v>0</v>
      </c>
      <c r="M28" s="105"/>
      <c r="N28" s="103">
        <v>5</v>
      </c>
      <c r="O28" s="104">
        <f t="shared" si="192"/>
        <v>0</v>
      </c>
      <c r="P28" s="106"/>
      <c r="Q28" s="107">
        <v>5</v>
      </c>
      <c r="R28" s="104">
        <f t="shared" si="193"/>
        <v>0</v>
      </c>
      <c r="S28" s="102"/>
      <c r="T28" s="107">
        <v>5</v>
      </c>
      <c r="U28" s="104">
        <f t="shared" si="194"/>
        <v>0</v>
      </c>
      <c r="V28" s="102"/>
      <c r="W28" s="107">
        <v>5</v>
      </c>
      <c r="X28" s="104">
        <f t="shared" si="195"/>
        <v>0</v>
      </c>
      <c r="Y28" s="102"/>
      <c r="Z28" s="107">
        <v>5</v>
      </c>
      <c r="AA28" s="104">
        <f t="shared" si="196"/>
        <v>0</v>
      </c>
      <c r="AB28" s="106"/>
      <c r="AC28" s="107">
        <v>5</v>
      </c>
      <c r="AD28" s="104">
        <f t="shared" si="197"/>
        <v>0</v>
      </c>
      <c r="AE28" s="106"/>
      <c r="AF28" s="107">
        <v>5</v>
      </c>
      <c r="AG28" s="104">
        <f t="shared" si="198"/>
        <v>0</v>
      </c>
      <c r="AH28" s="106"/>
      <c r="AI28" s="107">
        <v>5</v>
      </c>
      <c r="AJ28" s="104">
        <f t="shared" si="199"/>
        <v>0</v>
      </c>
      <c r="AK28" s="106"/>
      <c r="AL28" s="107">
        <v>5</v>
      </c>
      <c r="AM28" s="104">
        <f t="shared" si="200"/>
        <v>0</v>
      </c>
      <c r="AN28" s="102"/>
      <c r="AO28" s="1">
        <v>5</v>
      </c>
      <c r="AP28" s="104">
        <f t="shared" si="201"/>
        <v>0</v>
      </c>
      <c r="AQ28" s="102"/>
      <c r="AR28" s="1">
        <v>5</v>
      </c>
      <c r="AS28" s="104">
        <f t="shared" si="202"/>
        <v>0</v>
      </c>
      <c r="AT28" s="102"/>
      <c r="AU28" s="1">
        <v>5</v>
      </c>
      <c r="AV28" s="104">
        <f t="shared" si="203"/>
        <v>0</v>
      </c>
      <c r="AW28" s="102"/>
      <c r="AX28" s="1">
        <v>5</v>
      </c>
      <c r="AY28" s="104">
        <f t="shared" si="204"/>
        <v>0</v>
      </c>
      <c r="AZ28" s="102"/>
      <c r="BA28" s="1">
        <v>5</v>
      </c>
      <c r="BB28" s="104">
        <f t="shared" si="205"/>
        <v>0</v>
      </c>
      <c r="BC28" s="102"/>
      <c r="BD28" s="1">
        <v>5</v>
      </c>
      <c r="BE28" s="104">
        <f t="shared" si="206"/>
        <v>0</v>
      </c>
      <c r="BF28" s="102"/>
      <c r="BG28" s="1">
        <v>5</v>
      </c>
      <c r="BH28" s="104">
        <f t="shared" si="207"/>
        <v>0</v>
      </c>
      <c r="BI28" s="102"/>
      <c r="BJ28" s="1">
        <v>5</v>
      </c>
      <c r="BK28" s="104">
        <f t="shared" si="208"/>
        <v>0</v>
      </c>
      <c r="BL28" s="102"/>
      <c r="BM28" s="1">
        <v>5</v>
      </c>
      <c r="BN28" s="104">
        <f t="shared" si="209"/>
        <v>0</v>
      </c>
      <c r="BO28" s="102"/>
      <c r="BP28" s="1">
        <v>5</v>
      </c>
      <c r="BQ28" s="104">
        <f t="shared" si="210"/>
        <v>0</v>
      </c>
      <c r="BR28" s="102"/>
      <c r="BS28" s="1">
        <v>5</v>
      </c>
      <c r="BT28" s="104">
        <f t="shared" si="211"/>
        <v>0</v>
      </c>
      <c r="BU28" s="102"/>
      <c r="BV28" s="1">
        <v>5</v>
      </c>
      <c r="BW28" s="104">
        <f t="shared" si="212"/>
        <v>0</v>
      </c>
      <c r="BX28" s="102"/>
      <c r="BY28" s="1">
        <v>5</v>
      </c>
      <c r="BZ28" s="104">
        <f t="shared" si="213"/>
        <v>0</v>
      </c>
      <c r="CA28" s="102"/>
      <c r="CB28" s="1">
        <v>5</v>
      </c>
      <c r="CC28" s="104">
        <f t="shared" si="214"/>
        <v>0</v>
      </c>
      <c r="CD28" s="102"/>
      <c r="CE28" s="1">
        <v>5</v>
      </c>
      <c r="CF28" s="104">
        <f t="shared" si="215"/>
        <v>0</v>
      </c>
      <c r="CG28" s="102"/>
      <c r="CH28" s="1">
        <v>5</v>
      </c>
      <c r="CI28" s="104">
        <f t="shared" si="216"/>
        <v>0</v>
      </c>
      <c r="CJ28" s="102"/>
      <c r="CK28" s="1">
        <v>5</v>
      </c>
      <c r="CL28" s="104">
        <f t="shared" si="217"/>
        <v>0</v>
      </c>
      <c r="CM28" s="102"/>
      <c r="CN28" s="1">
        <v>5</v>
      </c>
      <c r="CO28" s="104">
        <f t="shared" si="218"/>
        <v>0</v>
      </c>
      <c r="CP28" s="102"/>
      <c r="CQ28" s="1">
        <v>5</v>
      </c>
      <c r="CR28" s="104">
        <f t="shared" si="219"/>
        <v>0</v>
      </c>
      <c r="CS28" s="102"/>
      <c r="CT28" s="1">
        <v>5</v>
      </c>
      <c r="CU28" s="104">
        <f t="shared" si="220"/>
        <v>0</v>
      </c>
      <c r="CV28" s="102"/>
      <c r="CW28" s="1">
        <v>5</v>
      </c>
      <c r="CX28" s="104">
        <f t="shared" si="221"/>
        <v>0</v>
      </c>
      <c r="CY28" s="102"/>
      <c r="CZ28" s="1">
        <v>5</v>
      </c>
      <c r="DA28" s="104">
        <f t="shared" si="222"/>
        <v>0</v>
      </c>
      <c r="DB28" s="102"/>
      <c r="DC28" s="1">
        <v>5</v>
      </c>
      <c r="DD28" s="104">
        <f t="shared" si="223"/>
        <v>0</v>
      </c>
      <c r="DE28" s="102"/>
      <c r="DF28" s="1">
        <v>5</v>
      </c>
      <c r="DG28" s="104">
        <f t="shared" si="224"/>
        <v>0</v>
      </c>
      <c r="DH28" s="102"/>
      <c r="DI28" s="1">
        <v>5</v>
      </c>
      <c r="DJ28" s="104">
        <f t="shared" si="225"/>
        <v>0</v>
      </c>
      <c r="DK28" s="102"/>
      <c r="DL28" s="1">
        <v>5</v>
      </c>
      <c r="DM28" s="104">
        <f t="shared" si="226"/>
        <v>0</v>
      </c>
      <c r="DN28" s="102"/>
      <c r="DO28" s="1">
        <v>5</v>
      </c>
      <c r="DP28" s="104">
        <f t="shared" si="227"/>
        <v>0</v>
      </c>
      <c r="DQ28" s="102"/>
      <c r="DR28" s="1">
        <v>5</v>
      </c>
      <c r="DS28" s="104">
        <f t="shared" si="228"/>
        <v>0</v>
      </c>
      <c r="DT28" s="102"/>
      <c r="DU28" s="1">
        <v>5</v>
      </c>
      <c r="DV28" s="104">
        <f t="shared" si="229"/>
        <v>0</v>
      </c>
      <c r="DW28" s="102"/>
      <c r="DX28" s="1">
        <v>5</v>
      </c>
      <c r="DY28" s="104">
        <f t="shared" si="230"/>
        <v>0</v>
      </c>
      <c r="DZ28" s="102"/>
      <c r="EA28" s="1">
        <v>5</v>
      </c>
      <c r="EB28" s="104">
        <f t="shared" si="231"/>
        <v>0</v>
      </c>
      <c r="EC28" s="102"/>
      <c r="ED28" s="1">
        <v>5</v>
      </c>
      <c r="EE28" s="104">
        <f t="shared" si="232"/>
        <v>0</v>
      </c>
      <c r="EF28" s="102"/>
      <c r="EG28" s="1">
        <v>5</v>
      </c>
      <c r="EH28" s="104">
        <f t="shared" si="233"/>
        <v>0</v>
      </c>
      <c r="EI28" s="102"/>
      <c r="EJ28" s="1">
        <v>5</v>
      </c>
      <c r="EK28" s="104">
        <f t="shared" si="234"/>
        <v>0</v>
      </c>
      <c r="EL28" s="102"/>
      <c r="EM28" s="1">
        <v>5</v>
      </c>
      <c r="EN28" s="104">
        <f t="shared" si="235"/>
        <v>0</v>
      </c>
      <c r="EO28" s="90">
        <v>0</v>
      </c>
      <c r="EP28" s="96">
        <v>5</v>
      </c>
      <c r="EQ28" s="104">
        <f t="shared" si="236"/>
        <v>0</v>
      </c>
      <c r="ER28" s="85">
        <f t="array" ref="ER28">IFERROR(_xlfn.LET(
_xlpm.datos,CHOOSE({1;2;3;4;5;6;7;8;9;10;11;12;13;13;14;15;16;17;18;19;20;21;22;23;23;24;25;26;27;28;29;30;31;32;33;34;35;36;37;38;39;40;41;42;43;44;45;46;47;48},F28,I28,L28,O28,R28,U28,X28,AA28,AD28,AG28,AJ28,AM28,AP28,AS28,AV28,AY28,BB28,BE28,BH28,BK28,BN28,BQ28,BT28,BW28,BZ28,CC28,CF28,CI28,CL28,CO28,CR28,CU28,CX28,DA28,DD28,DG28,DJ28,DM28,DP28,DS28,DV28,DY28,EB28,EE28,EH28,EK28,EN28,EQ28),
AVERAGE(_xlfn._xlws.FILTER(_xlpm.datos,(_xlpm.datos&lt;&gt;0)*(_xlpm.datos&lt;&gt;"")))
),0)</f>
        <v>0</v>
      </c>
      <c r="ES28" s="162" t="str">
        <f t="array" ref="ES28">_xlfn.IFS(ER28&gt;=91.5%,"MENSUAL",ER28&gt;=75%,"QUINCENAL",ER28&lt;75%,"SEMANAL")</f>
        <v>SEMANAL</v>
      </c>
      <c r="ET28" s="212"/>
    </row>
    <row r="29" ht="27.75" customHeight="1" spans="2:150" x14ac:dyDescent="0.25">
      <c r="B29" s="174" t="s">
        <v>197</v>
      </c>
      <c r="C29" s="228"/>
      <c r="D29" s="102"/>
      <c r="E29" s="103">
        <v>5</v>
      </c>
      <c r="F29" s="104">
        <f t="shared" si="189"/>
        <v>0</v>
      </c>
      <c r="G29" s="102"/>
      <c r="H29" s="103">
        <v>5</v>
      </c>
      <c r="I29" s="104">
        <f t="shared" si="190"/>
        <v>0</v>
      </c>
      <c r="J29" s="105"/>
      <c r="K29" s="103">
        <v>5</v>
      </c>
      <c r="L29" s="104">
        <f t="shared" si="191"/>
        <v>0</v>
      </c>
      <c r="M29" s="105"/>
      <c r="N29" s="103">
        <v>5</v>
      </c>
      <c r="O29" s="104">
        <f t="shared" si="192"/>
        <v>0</v>
      </c>
      <c r="P29" s="106"/>
      <c r="Q29" s="107">
        <v>5</v>
      </c>
      <c r="R29" s="104">
        <f t="shared" si="193"/>
        <v>0</v>
      </c>
      <c r="S29" s="102"/>
      <c r="T29" s="107">
        <v>5</v>
      </c>
      <c r="U29" s="104">
        <f t="shared" si="194"/>
        <v>0</v>
      </c>
      <c r="V29" s="102"/>
      <c r="W29" s="107">
        <v>5</v>
      </c>
      <c r="X29" s="104">
        <f t="shared" si="195"/>
        <v>0</v>
      </c>
      <c r="Y29" s="102"/>
      <c r="Z29" s="107">
        <v>5</v>
      </c>
      <c r="AA29" s="104">
        <f t="shared" si="196"/>
        <v>0</v>
      </c>
      <c r="AB29" s="106"/>
      <c r="AC29" s="107">
        <v>5</v>
      </c>
      <c r="AD29" s="104">
        <f t="shared" si="197"/>
        <v>0</v>
      </c>
      <c r="AE29" s="106"/>
      <c r="AF29" s="107">
        <v>5</v>
      </c>
      <c r="AG29" s="104">
        <f t="shared" si="198"/>
        <v>0</v>
      </c>
      <c r="AH29" s="106"/>
      <c r="AI29" s="107">
        <v>5</v>
      </c>
      <c r="AJ29" s="104">
        <f t="shared" si="199"/>
        <v>0</v>
      </c>
      <c r="AK29" s="106"/>
      <c r="AL29" s="107">
        <v>5</v>
      </c>
      <c r="AM29" s="104">
        <f t="shared" si="200"/>
        <v>0</v>
      </c>
      <c r="AN29" s="102"/>
      <c r="AO29" s="1">
        <v>5</v>
      </c>
      <c r="AP29" s="104">
        <f t="shared" si="201"/>
        <v>0</v>
      </c>
      <c r="AQ29" s="102"/>
      <c r="AR29" s="1">
        <v>5</v>
      </c>
      <c r="AS29" s="104">
        <f t="shared" si="202"/>
        <v>0</v>
      </c>
      <c r="AT29" s="102"/>
      <c r="AU29" s="1">
        <v>5</v>
      </c>
      <c r="AV29" s="104">
        <f t="shared" si="203"/>
        <v>0</v>
      </c>
      <c r="AW29" s="102"/>
      <c r="AX29" s="1">
        <v>5</v>
      </c>
      <c r="AY29" s="104">
        <f t="shared" si="204"/>
        <v>0</v>
      </c>
      <c r="AZ29" s="102"/>
      <c r="BA29" s="1">
        <v>5</v>
      </c>
      <c r="BB29" s="104">
        <f t="shared" si="205"/>
        <v>0</v>
      </c>
      <c r="BC29" s="102"/>
      <c r="BD29" s="1">
        <v>5</v>
      </c>
      <c r="BE29" s="104">
        <f t="shared" si="206"/>
        <v>0</v>
      </c>
      <c r="BF29" s="102"/>
      <c r="BG29" s="1">
        <v>5</v>
      </c>
      <c r="BH29" s="104">
        <f t="shared" si="207"/>
        <v>0</v>
      </c>
      <c r="BI29" s="102"/>
      <c r="BJ29" s="1">
        <v>5</v>
      </c>
      <c r="BK29" s="104">
        <f t="shared" si="208"/>
        <v>0</v>
      </c>
      <c r="BL29" s="102"/>
      <c r="BM29" s="1">
        <v>5</v>
      </c>
      <c r="BN29" s="104">
        <f t="shared" si="209"/>
        <v>0</v>
      </c>
      <c r="BO29" s="102"/>
      <c r="BP29" s="1">
        <v>5</v>
      </c>
      <c r="BQ29" s="104">
        <f t="shared" si="210"/>
        <v>0</v>
      </c>
      <c r="BR29" s="102"/>
      <c r="BS29" s="1">
        <v>5</v>
      </c>
      <c r="BT29" s="104">
        <f t="shared" si="211"/>
        <v>0</v>
      </c>
      <c r="BU29" s="102"/>
      <c r="BV29" s="1">
        <v>5</v>
      </c>
      <c r="BW29" s="104">
        <f t="shared" si="212"/>
        <v>0</v>
      </c>
      <c r="BX29" s="102"/>
      <c r="BY29" s="1">
        <v>5</v>
      </c>
      <c r="BZ29" s="104">
        <f t="shared" si="213"/>
        <v>0</v>
      </c>
      <c r="CA29" s="102"/>
      <c r="CB29" s="1">
        <v>5</v>
      </c>
      <c r="CC29" s="104">
        <f t="shared" si="214"/>
        <v>0</v>
      </c>
      <c r="CD29" s="102"/>
      <c r="CE29" s="1">
        <v>5</v>
      </c>
      <c r="CF29" s="104">
        <f t="shared" si="215"/>
        <v>0</v>
      </c>
      <c r="CG29" s="102"/>
      <c r="CH29" s="1">
        <v>5</v>
      </c>
      <c r="CI29" s="104">
        <f t="shared" si="216"/>
        <v>0</v>
      </c>
      <c r="CJ29" s="102"/>
      <c r="CK29" s="1">
        <v>5</v>
      </c>
      <c r="CL29" s="104">
        <f t="shared" si="217"/>
        <v>0</v>
      </c>
      <c r="CM29" s="102"/>
      <c r="CN29" s="1">
        <v>5</v>
      </c>
      <c r="CO29" s="104">
        <f t="shared" si="218"/>
        <v>0</v>
      </c>
      <c r="CP29" s="102"/>
      <c r="CQ29" s="1">
        <v>5</v>
      </c>
      <c r="CR29" s="104">
        <f t="shared" si="219"/>
        <v>0</v>
      </c>
      <c r="CS29" s="102"/>
      <c r="CT29" s="1">
        <v>5</v>
      </c>
      <c r="CU29" s="104">
        <f t="shared" si="220"/>
        <v>0</v>
      </c>
      <c r="CV29" s="102"/>
      <c r="CW29" s="1">
        <v>5</v>
      </c>
      <c r="CX29" s="104">
        <f t="shared" si="221"/>
        <v>0</v>
      </c>
      <c r="CY29" s="102"/>
      <c r="CZ29" s="1">
        <v>5</v>
      </c>
      <c r="DA29" s="104">
        <f t="shared" si="222"/>
        <v>0</v>
      </c>
      <c r="DB29" s="102"/>
      <c r="DC29" s="1">
        <v>5</v>
      </c>
      <c r="DD29" s="104">
        <f t="shared" si="223"/>
        <v>0</v>
      </c>
      <c r="DE29" s="102"/>
      <c r="DF29" s="1">
        <v>5</v>
      </c>
      <c r="DG29" s="104">
        <f t="shared" si="224"/>
        <v>0</v>
      </c>
      <c r="DH29" s="102"/>
      <c r="DI29" s="1">
        <v>5</v>
      </c>
      <c r="DJ29" s="104">
        <f t="shared" si="225"/>
        <v>0</v>
      </c>
      <c r="DK29" s="102"/>
      <c r="DL29" s="1">
        <v>5</v>
      </c>
      <c r="DM29" s="104">
        <f t="shared" si="226"/>
        <v>0</v>
      </c>
      <c r="DN29" s="102"/>
      <c r="DO29" s="1">
        <v>5</v>
      </c>
      <c r="DP29" s="104">
        <f t="shared" si="227"/>
        <v>0</v>
      </c>
      <c r="DQ29" s="102"/>
      <c r="DR29" s="1">
        <v>5</v>
      </c>
      <c r="DS29" s="104">
        <f t="shared" si="228"/>
        <v>0</v>
      </c>
      <c r="DT29" s="102"/>
      <c r="DU29" s="1">
        <v>5</v>
      </c>
      <c r="DV29" s="104">
        <f t="shared" si="229"/>
        <v>0</v>
      </c>
      <c r="DW29" s="102"/>
      <c r="DX29" s="1">
        <v>5</v>
      </c>
      <c r="DY29" s="104">
        <f t="shared" si="230"/>
        <v>0</v>
      </c>
      <c r="DZ29" s="102"/>
      <c r="EA29" s="1">
        <v>5</v>
      </c>
      <c r="EB29" s="104">
        <f t="shared" si="231"/>
        <v>0</v>
      </c>
      <c r="EC29" s="102"/>
      <c r="ED29" s="1">
        <v>5</v>
      </c>
      <c r="EE29" s="104">
        <f t="shared" si="232"/>
        <v>0</v>
      </c>
      <c r="EF29" s="102"/>
      <c r="EG29" s="1">
        <v>5</v>
      </c>
      <c r="EH29" s="104">
        <f t="shared" si="233"/>
        <v>0</v>
      </c>
      <c r="EI29" s="102"/>
      <c r="EJ29" s="1">
        <v>5</v>
      </c>
      <c r="EK29" s="104">
        <f t="shared" si="234"/>
        <v>0</v>
      </c>
      <c r="EL29" s="102"/>
      <c r="EM29" s="1">
        <v>5</v>
      </c>
      <c r="EN29" s="104">
        <f t="shared" si="235"/>
        <v>0</v>
      </c>
      <c r="EO29" s="90">
        <v>0</v>
      </c>
      <c r="EP29" s="96">
        <v>5</v>
      </c>
      <c r="EQ29" s="104">
        <f t="shared" si="236"/>
        <v>0</v>
      </c>
      <c r="ER29" s="85">
        <f t="array" ref="ER29">IFERROR(_xlfn.LET(
_xlpm.datos,CHOOSE({1;2;3;4;5;6;7;8;9;10;11;12;13;13;14;15;16;17;18;19;20;21;22;23;23;24;25;26;27;28;29;30;31;32;33;34;35;36;37;38;39;40;41;42;43;44;45;46;47;48},F29,I29,L29,O29,R29,U29,X29,AA29,AD29,AG29,AJ29,AM29,AP29,AS29,AV29,AY29,BB29,BE29,BH29,BK29,BN29,BQ29,BT29,BW29,BZ29,CC29,CF29,CI29,CL29,CO29,CR29,CU29,CX29,DA29,DD29,DG29,DJ29,DM29,DP29,DS29,DV29,DY29,EB29,EE29,EH29,EK29,EN29,EQ29),
AVERAGE(_xlfn._xlws.FILTER(_xlpm.datos,(_xlpm.datos&lt;&gt;0)*(_xlpm.datos&lt;&gt;"")))
),0)</f>
        <v>0</v>
      </c>
      <c r="ES29" s="162" t="str">
        <f t="array" ref="ES29">_xlfn.IFS(ER29&gt;=91.5%,"MENSUAL",ER29&gt;=75%,"QUINCENAL",ER29&lt;75%,"SEMANAL")</f>
        <v>SEMANAL</v>
      </c>
      <c r="ET29" s="239"/>
    </row>
    <row r="30" ht="26.25" customHeight="1" spans="2:150" x14ac:dyDescent="0.25">
      <c r="B30" s="174" t="s">
        <v>198</v>
      </c>
      <c r="C30" s="228"/>
      <c r="D30" s="102"/>
      <c r="E30" s="103">
        <v>5</v>
      </c>
      <c r="F30" s="104">
        <f t="shared" si="189"/>
        <v>0</v>
      </c>
      <c r="G30" s="102"/>
      <c r="H30" s="103">
        <v>5</v>
      </c>
      <c r="I30" s="104">
        <f t="shared" si="190"/>
        <v>0</v>
      </c>
      <c r="J30" s="105"/>
      <c r="K30" s="103">
        <v>5</v>
      </c>
      <c r="L30" s="104">
        <f t="shared" si="191"/>
        <v>0</v>
      </c>
      <c r="M30" s="105"/>
      <c r="N30" s="103">
        <v>5</v>
      </c>
      <c r="O30" s="104">
        <f t="shared" si="192"/>
        <v>0</v>
      </c>
      <c r="P30" s="106"/>
      <c r="Q30" s="107">
        <v>5</v>
      </c>
      <c r="R30" s="104">
        <f t="shared" si="193"/>
        <v>0</v>
      </c>
      <c r="S30" s="102"/>
      <c r="T30" s="107">
        <v>5</v>
      </c>
      <c r="U30" s="104">
        <f t="shared" si="194"/>
        <v>0</v>
      </c>
      <c r="V30" s="102"/>
      <c r="W30" s="107">
        <v>5</v>
      </c>
      <c r="X30" s="104">
        <f t="shared" si="195"/>
        <v>0</v>
      </c>
      <c r="Y30" s="102"/>
      <c r="Z30" s="107">
        <v>5</v>
      </c>
      <c r="AA30" s="104">
        <f t="shared" si="196"/>
        <v>0</v>
      </c>
      <c r="AB30" s="106"/>
      <c r="AC30" s="107">
        <v>5</v>
      </c>
      <c r="AD30" s="104">
        <f t="shared" si="197"/>
        <v>0</v>
      </c>
      <c r="AE30" s="106"/>
      <c r="AF30" s="107">
        <v>5</v>
      </c>
      <c r="AG30" s="104">
        <f t="shared" si="198"/>
        <v>0</v>
      </c>
      <c r="AH30" s="106"/>
      <c r="AI30" s="107">
        <v>5</v>
      </c>
      <c r="AJ30" s="104">
        <f t="shared" si="199"/>
        <v>0</v>
      </c>
      <c r="AK30" s="106"/>
      <c r="AL30" s="107">
        <v>5</v>
      </c>
      <c r="AM30" s="104">
        <f t="shared" si="200"/>
        <v>0</v>
      </c>
      <c r="AN30" s="102"/>
      <c r="AO30" s="1">
        <v>5</v>
      </c>
      <c r="AP30" s="104">
        <f t="shared" si="201"/>
        <v>0</v>
      </c>
      <c r="AQ30" s="102"/>
      <c r="AR30" s="1">
        <v>5</v>
      </c>
      <c r="AS30" s="104">
        <f t="shared" si="202"/>
        <v>0</v>
      </c>
      <c r="AT30" s="102"/>
      <c r="AU30" s="1">
        <v>5</v>
      </c>
      <c r="AV30" s="104">
        <f t="shared" si="203"/>
        <v>0</v>
      </c>
      <c r="AW30" s="102"/>
      <c r="AX30" s="1">
        <v>5</v>
      </c>
      <c r="AY30" s="104">
        <f t="shared" si="204"/>
        <v>0</v>
      </c>
      <c r="AZ30" s="102"/>
      <c r="BA30" s="1">
        <v>5</v>
      </c>
      <c r="BB30" s="104">
        <f t="shared" si="205"/>
        <v>0</v>
      </c>
      <c r="BC30" s="102"/>
      <c r="BD30" s="1">
        <v>5</v>
      </c>
      <c r="BE30" s="104">
        <f t="shared" si="206"/>
        <v>0</v>
      </c>
      <c r="BF30" s="102"/>
      <c r="BG30" s="1">
        <v>5</v>
      </c>
      <c r="BH30" s="104">
        <f t="shared" si="207"/>
        <v>0</v>
      </c>
      <c r="BI30" s="102"/>
      <c r="BJ30" s="1">
        <v>5</v>
      </c>
      <c r="BK30" s="104">
        <f t="shared" si="208"/>
        <v>0</v>
      </c>
      <c r="BL30" s="102"/>
      <c r="BM30" s="1">
        <v>5</v>
      </c>
      <c r="BN30" s="104">
        <f t="shared" si="209"/>
        <v>0</v>
      </c>
      <c r="BO30" s="102"/>
      <c r="BP30" s="1">
        <v>5</v>
      </c>
      <c r="BQ30" s="104">
        <f t="shared" si="210"/>
        <v>0</v>
      </c>
      <c r="BR30" s="102"/>
      <c r="BS30" s="1">
        <v>5</v>
      </c>
      <c r="BT30" s="104">
        <f t="shared" si="211"/>
        <v>0</v>
      </c>
      <c r="BU30" s="102"/>
      <c r="BV30" s="1">
        <v>5</v>
      </c>
      <c r="BW30" s="104">
        <f t="shared" si="212"/>
        <v>0</v>
      </c>
      <c r="BX30" s="102"/>
      <c r="BY30" s="1">
        <v>5</v>
      </c>
      <c r="BZ30" s="104">
        <f t="shared" si="213"/>
        <v>0</v>
      </c>
      <c r="CA30" s="102"/>
      <c r="CB30" s="1">
        <v>5</v>
      </c>
      <c r="CC30" s="104">
        <f t="shared" si="214"/>
        <v>0</v>
      </c>
      <c r="CD30" s="102"/>
      <c r="CE30" s="1">
        <v>5</v>
      </c>
      <c r="CF30" s="104">
        <f t="shared" si="215"/>
        <v>0</v>
      </c>
      <c r="CG30" s="102"/>
      <c r="CH30" s="1">
        <v>5</v>
      </c>
      <c r="CI30" s="104">
        <f t="shared" si="216"/>
        <v>0</v>
      </c>
      <c r="CJ30" s="102"/>
      <c r="CK30" s="1">
        <v>5</v>
      </c>
      <c r="CL30" s="104">
        <f t="shared" si="217"/>
        <v>0</v>
      </c>
      <c r="CM30" s="102"/>
      <c r="CN30" s="1">
        <v>5</v>
      </c>
      <c r="CO30" s="104">
        <f t="shared" si="218"/>
        <v>0</v>
      </c>
      <c r="CP30" s="102"/>
      <c r="CQ30" s="1">
        <v>5</v>
      </c>
      <c r="CR30" s="104">
        <f t="shared" si="219"/>
        <v>0</v>
      </c>
      <c r="CS30" s="102"/>
      <c r="CT30" s="1">
        <v>5</v>
      </c>
      <c r="CU30" s="104">
        <f t="shared" si="220"/>
        <v>0</v>
      </c>
      <c r="CV30" s="102"/>
      <c r="CW30" s="1">
        <v>5</v>
      </c>
      <c r="CX30" s="104">
        <f t="shared" si="221"/>
        <v>0</v>
      </c>
      <c r="CY30" s="102"/>
      <c r="CZ30" s="1">
        <v>5</v>
      </c>
      <c r="DA30" s="104">
        <f t="shared" si="222"/>
        <v>0</v>
      </c>
      <c r="DB30" s="102"/>
      <c r="DC30" s="1">
        <v>5</v>
      </c>
      <c r="DD30" s="104">
        <f t="shared" si="223"/>
        <v>0</v>
      </c>
      <c r="DE30" s="102"/>
      <c r="DF30" s="1">
        <v>5</v>
      </c>
      <c r="DG30" s="104">
        <f t="shared" si="224"/>
        <v>0</v>
      </c>
      <c r="DH30" s="102"/>
      <c r="DI30" s="1">
        <v>5</v>
      </c>
      <c r="DJ30" s="104">
        <f t="shared" si="225"/>
        <v>0</v>
      </c>
      <c r="DK30" s="102"/>
      <c r="DL30" s="1">
        <v>5</v>
      </c>
      <c r="DM30" s="104">
        <f t="shared" si="226"/>
        <v>0</v>
      </c>
      <c r="DN30" s="102"/>
      <c r="DO30" s="1">
        <v>5</v>
      </c>
      <c r="DP30" s="104">
        <f t="shared" si="227"/>
        <v>0</v>
      </c>
      <c r="DQ30" s="102"/>
      <c r="DR30" s="1">
        <v>5</v>
      </c>
      <c r="DS30" s="104">
        <f t="shared" si="228"/>
        <v>0</v>
      </c>
      <c r="DT30" s="102"/>
      <c r="DU30" s="1">
        <v>5</v>
      </c>
      <c r="DV30" s="104">
        <f t="shared" si="229"/>
        <v>0</v>
      </c>
      <c r="DW30" s="102"/>
      <c r="DX30" s="1">
        <v>5</v>
      </c>
      <c r="DY30" s="104">
        <f t="shared" si="230"/>
        <v>0</v>
      </c>
      <c r="DZ30" s="102"/>
      <c r="EA30" s="1">
        <v>5</v>
      </c>
      <c r="EB30" s="104">
        <f t="shared" si="231"/>
        <v>0</v>
      </c>
      <c r="EC30" s="102"/>
      <c r="ED30" s="1">
        <v>5</v>
      </c>
      <c r="EE30" s="104">
        <f t="shared" si="232"/>
        <v>0</v>
      </c>
      <c r="EF30" s="102"/>
      <c r="EG30" s="1">
        <v>5</v>
      </c>
      <c r="EH30" s="104">
        <f t="shared" si="233"/>
        <v>0</v>
      </c>
      <c r="EI30" s="102"/>
      <c r="EJ30" s="1">
        <v>5</v>
      </c>
      <c r="EK30" s="104">
        <f t="shared" si="234"/>
        <v>0</v>
      </c>
      <c r="EL30" s="102"/>
      <c r="EM30" s="1">
        <v>5</v>
      </c>
      <c r="EN30" s="104">
        <f t="shared" si="235"/>
        <v>0</v>
      </c>
      <c r="EO30" s="90">
        <v>0</v>
      </c>
      <c r="EP30" s="96">
        <v>5</v>
      </c>
      <c r="EQ30" s="104">
        <f t="shared" si="236"/>
        <v>0</v>
      </c>
      <c r="ER30" s="85">
        <f t="array" ref="ER30">IFERROR(_xlfn.LET(
_xlpm.datos,CHOOSE({1;2;3;4;5;6;7;8;9;10;11;12;13;13;14;15;16;17;18;19;20;21;22;23;23;24;25;26;27;28;29;30;31;32;33;34;35;36;37;38;39;40;41;42;43;44;45;46;47;48},F30,I30,L30,O30,R30,U30,X30,AA30,AD30,AG30,AJ30,AM30,AP30,AS30,AV30,AY30,BB30,BE30,BH30,BK30,BN30,BQ30,BT30,BW30,BZ30,CC30,CF30,CI30,CL30,CO30,CR30,CU30,CX30,DA30,DD30,DG30,DJ30,DM30,DP30,DS30,DV30,DY30,EB30,EE30,EH30,EK30,EN30,EQ30),
AVERAGE(_xlfn._xlws.FILTER(_xlpm.datos,(_xlpm.datos&lt;&gt;0)*(_xlpm.datos&lt;&gt;"")))
),0)</f>
        <v>0</v>
      </c>
      <c r="ES30" s="162" t="str">
        <f t="array" ref="ES30">_xlfn.IFS(ER30&gt;=91.5%,"MENSUAL",ER30&gt;=75%,"QUINCENAL",ER30&lt;75%,"SEMANAL")</f>
        <v>SEMANAL</v>
      </c>
      <c r="ET30" s="239"/>
    </row>
    <row r="31" ht="22.5" customHeight="1" spans="2:150" x14ac:dyDescent="0.25">
      <c r="B31" s="171" t="s">
        <v>108</v>
      </c>
      <c r="C31" s="228"/>
      <c r="D31" s="102"/>
      <c r="E31" s="103">
        <v>5</v>
      </c>
      <c r="F31" s="104">
        <f t="shared" si="189"/>
        <v>0</v>
      </c>
      <c r="G31" s="102"/>
      <c r="H31" s="103">
        <v>5</v>
      </c>
      <c r="I31" s="104">
        <f t="shared" si="190"/>
        <v>0</v>
      </c>
      <c r="J31" s="105"/>
      <c r="K31" s="103">
        <v>5</v>
      </c>
      <c r="L31" s="104">
        <f t="shared" si="191"/>
        <v>0</v>
      </c>
      <c r="M31" s="105"/>
      <c r="N31" s="103">
        <v>5</v>
      </c>
      <c r="O31" s="104">
        <f t="shared" si="192"/>
        <v>0</v>
      </c>
      <c r="P31" s="106"/>
      <c r="Q31" s="107">
        <v>5</v>
      </c>
      <c r="R31" s="104">
        <f t="shared" si="193"/>
        <v>0</v>
      </c>
      <c r="S31" s="102"/>
      <c r="T31" s="107">
        <v>5</v>
      </c>
      <c r="U31" s="104">
        <f t="shared" si="194"/>
        <v>0</v>
      </c>
      <c r="V31" s="102"/>
      <c r="W31" s="107">
        <v>5</v>
      </c>
      <c r="X31" s="104">
        <f t="shared" si="195"/>
        <v>0</v>
      </c>
      <c r="Y31" s="102"/>
      <c r="Z31" s="107">
        <v>5</v>
      </c>
      <c r="AA31" s="104">
        <f t="shared" si="196"/>
        <v>0</v>
      </c>
      <c r="AB31" s="106"/>
      <c r="AC31" s="107">
        <v>5</v>
      </c>
      <c r="AD31" s="104">
        <f t="shared" si="197"/>
        <v>0</v>
      </c>
      <c r="AE31" s="106"/>
      <c r="AF31" s="107">
        <v>5</v>
      </c>
      <c r="AG31" s="104">
        <f t="shared" si="198"/>
        <v>0</v>
      </c>
      <c r="AH31" s="106"/>
      <c r="AI31" s="107">
        <v>5</v>
      </c>
      <c r="AJ31" s="104">
        <f t="shared" si="199"/>
        <v>0</v>
      </c>
      <c r="AK31" s="106"/>
      <c r="AL31" s="107">
        <v>5</v>
      </c>
      <c r="AM31" s="104">
        <f t="shared" si="200"/>
        <v>0</v>
      </c>
      <c r="AN31" s="102"/>
      <c r="AO31" s="1">
        <v>5</v>
      </c>
      <c r="AP31" s="104">
        <f t="shared" si="201"/>
        <v>0</v>
      </c>
      <c r="AQ31" s="102"/>
      <c r="AR31" s="1">
        <v>5</v>
      </c>
      <c r="AS31" s="104">
        <f t="shared" si="202"/>
        <v>0</v>
      </c>
      <c r="AT31" s="102"/>
      <c r="AU31" s="1">
        <v>5</v>
      </c>
      <c r="AV31" s="104">
        <f t="shared" si="203"/>
        <v>0</v>
      </c>
      <c r="AW31" s="102"/>
      <c r="AX31" s="1">
        <v>5</v>
      </c>
      <c r="AY31" s="104">
        <f t="shared" si="204"/>
        <v>0</v>
      </c>
      <c r="AZ31" s="102"/>
      <c r="BA31" s="1">
        <v>5</v>
      </c>
      <c r="BB31" s="104">
        <f t="shared" si="205"/>
        <v>0</v>
      </c>
      <c r="BC31" s="102"/>
      <c r="BD31" s="1">
        <v>5</v>
      </c>
      <c r="BE31" s="104">
        <f t="shared" si="206"/>
        <v>0</v>
      </c>
      <c r="BF31" s="102"/>
      <c r="BG31" s="1">
        <v>5</v>
      </c>
      <c r="BH31" s="104">
        <f t="shared" si="207"/>
        <v>0</v>
      </c>
      <c r="BI31" s="102"/>
      <c r="BJ31" s="1">
        <v>5</v>
      </c>
      <c r="BK31" s="104">
        <f t="shared" si="208"/>
        <v>0</v>
      </c>
      <c r="BL31" s="102"/>
      <c r="BM31" s="1">
        <v>5</v>
      </c>
      <c r="BN31" s="104">
        <f t="shared" si="209"/>
        <v>0</v>
      </c>
      <c r="BO31" s="102"/>
      <c r="BP31" s="1">
        <v>5</v>
      </c>
      <c r="BQ31" s="104">
        <f t="shared" si="210"/>
        <v>0</v>
      </c>
      <c r="BR31" s="102"/>
      <c r="BS31" s="1">
        <v>5</v>
      </c>
      <c r="BT31" s="104">
        <f t="shared" si="211"/>
        <v>0</v>
      </c>
      <c r="BU31" s="102"/>
      <c r="BV31" s="1">
        <v>5</v>
      </c>
      <c r="BW31" s="104">
        <f t="shared" si="212"/>
        <v>0</v>
      </c>
      <c r="BX31" s="102"/>
      <c r="BY31" s="1">
        <v>5</v>
      </c>
      <c r="BZ31" s="104">
        <f t="shared" si="213"/>
        <v>0</v>
      </c>
      <c r="CA31" s="102"/>
      <c r="CB31" s="1">
        <v>5</v>
      </c>
      <c r="CC31" s="104">
        <f t="shared" si="214"/>
        <v>0</v>
      </c>
      <c r="CD31" s="102"/>
      <c r="CE31" s="1">
        <v>5</v>
      </c>
      <c r="CF31" s="104">
        <f t="shared" si="215"/>
        <v>0</v>
      </c>
      <c r="CG31" s="102"/>
      <c r="CH31" s="1">
        <v>5</v>
      </c>
      <c r="CI31" s="104">
        <f t="shared" si="216"/>
        <v>0</v>
      </c>
      <c r="CJ31" s="102"/>
      <c r="CK31" s="1">
        <v>5</v>
      </c>
      <c r="CL31" s="104">
        <f t="shared" si="217"/>
        <v>0</v>
      </c>
      <c r="CM31" s="102"/>
      <c r="CN31" s="1">
        <v>5</v>
      </c>
      <c r="CO31" s="104">
        <f t="shared" si="218"/>
        <v>0</v>
      </c>
      <c r="CP31" s="102"/>
      <c r="CQ31" s="1">
        <v>5</v>
      </c>
      <c r="CR31" s="104">
        <f t="shared" si="219"/>
        <v>0</v>
      </c>
      <c r="CS31" s="102"/>
      <c r="CT31" s="1">
        <v>5</v>
      </c>
      <c r="CU31" s="104">
        <f t="shared" si="220"/>
        <v>0</v>
      </c>
      <c r="CV31" s="102"/>
      <c r="CW31" s="1">
        <v>5</v>
      </c>
      <c r="CX31" s="104">
        <f t="shared" si="221"/>
        <v>0</v>
      </c>
      <c r="CY31" s="102"/>
      <c r="CZ31" s="1">
        <v>5</v>
      </c>
      <c r="DA31" s="104">
        <f t="shared" si="222"/>
        <v>0</v>
      </c>
      <c r="DB31" s="102"/>
      <c r="DC31" s="1">
        <v>5</v>
      </c>
      <c r="DD31" s="104">
        <f t="shared" si="223"/>
        <v>0</v>
      </c>
      <c r="DE31" s="102"/>
      <c r="DF31" s="1">
        <v>5</v>
      </c>
      <c r="DG31" s="104">
        <f t="shared" si="224"/>
        <v>0</v>
      </c>
      <c r="DH31" s="102"/>
      <c r="DI31" s="1">
        <v>5</v>
      </c>
      <c r="DJ31" s="104">
        <f t="shared" si="225"/>
        <v>0</v>
      </c>
      <c r="DK31" s="102"/>
      <c r="DL31" s="1">
        <v>5</v>
      </c>
      <c r="DM31" s="104">
        <f t="shared" si="226"/>
        <v>0</v>
      </c>
      <c r="DN31" s="102"/>
      <c r="DO31" s="1">
        <v>5</v>
      </c>
      <c r="DP31" s="104">
        <f t="shared" si="227"/>
        <v>0</v>
      </c>
      <c r="DQ31" s="102"/>
      <c r="DR31" s="1">
        <v>5</v>
      </c>
      <c r="DS31" s="104">
        <f t="shared" si="228"/>
        <v>0</v>
      </c>
      <c r="DT31" s="102"/>
      <c r="DU31" s="1">
        <v>5</v>
      </c>
      <c r="DV31" s="104">
        <f t="shared" si="229"/>
        <v>0</v>
      </c>
      <c r="DW31" s="102"/>
      <c r="DX31" s="1">
        <v>5</v>
      </c>
      <c r="DY31" s="104">
        <f t="shared" si="230"/>
        <v>0</v>
      </c>
      <c r="DZ31" s="102"/>
      <c r="EA31" s="1">
        <v>5</v>
      </c>
      <c r="EB31" s="104">
        <f t="shared" si="231"/>
        <v>0</v>
      </c>
      <c r="EC31" s="102"/>
      <c r="ED31" s="1">
        <v>5</v>
      </c>
      <c r="EE31" s="104">
        <f t="shared" si="232"/>
        <v>0</v>
      </c>
      <c r="EF31" s="102"/>
      <c r="EG31" s="1">
        <v>5</v>
      </c>
      <c r="EH31" s="104">
        <f t="shared" si="233"/>
        <v>0</v>
      </c>
      <c r="EI31" s="102"/>
      <c r="EJ31" s="1">
        <v>5</v>
      </c>
      <c r="EK31" s="104">
        <f t="shared" si="234"/>
        <v>0</v>
      </c>
      <c r="EL31" s="102"/>
      <c r="EM31" s="1">
        <v>5</v>
      </c>
      <c r="EN31" s="104">
        <f t="shared" si="235"/>
        <v>0</v>
      </c>
      <c r="EO31" s="90">
        <v>0</v>
      </c>
      <c r="EP31" s="96">
        <v>5</v>
      </c>
      <c r="EQ31" s="104">
        <f t="shared" si="236"/>
        <v>0</v>
      </c>
      <c r="ER31" s="85">
        <f t="array" ref="ER31">IFERROR(_xlfn.LET(
_xlpm.datos,CHOOSE({1;2;3;4;5;6;7;8;9;10;11;12;13;13;14;15;16;17;18;19;20;21;22;23;23;24;25;26;27;28;29;30;31;32;33;34;35;36;37;38;39;40;41;42;43;44;45;46;47;48},F31,I31,L31,O31,R31,U31,X31,AA31,AD31,AG31,AJ31,AM31,AP31,AS31,AV31,AY31,BB31,BE31,BH31,BK31,BN31,BQ31,BT31,BW31,BZ31,CC31,CF31,CI31,CL31,CO31,CR31,CU31,CX31,DA31,DD31,DG31,DJ31,DM31,DP31,DS31,DV31,DY31,EB31,EE31,EH31,EK31,EN31,EQ31),
AVERAGE(_xlfn._xlws.FILTER(_xlpm.datos,(_xlpm.datos&lt;&gt;0)*(_xlpm.datos&lt;&gt;"")))
),0)</f>
        <v>0</v>
      </c>
      <c r="ES31" s="162" t="str">
        <f t="array" ref="ES31">_xlfn.IFS(ER31&gt;=91.5%,"MENSUAL",ER31&gt;=75%,"QUINCENAL",ER31&lt;75%,"SEMANAL")</f>
        <v>SEMANAL</v>
      </c>
      <c r="ET31" s="239"/>
    </row>
    <row r="32" ht="25.5" customHeight="1" spans="2:150" x14ac:dyDescent="0.25">
      <c r="B32" s="171" t="s">
        <v>199</v>
      </c>
      <c r="C32" s="228"/>
      <c r="D32" s="102"/>
      <c r="E32" s="103">
        <v>5</v>
      </c>
      <c r="F32" s="104">
        <f t="shared" si="189"/>
        <v>0</v>
      </c>
      <c r="G32" s="102"/>
      <c r="H32" s="103">
        <v>5</v>
      </c>
      <c r="I32" s="104">
        <f t="shared" si="190"/>
        <v>0</v>
      </c>
      <c r="J32" s="105"/>
      <c r="K32" s="103">
        <v>5</v>
      </c>
      <c r="L32" s="104">
        <f t="shared" si="191"/>
        <v>0</v>
      </c>
      <c r="M32" s="105"/>
      <c r="N32" s="103">
        <v>5</v>
      </c>
      <c r="O32" s="104">
        <f t="shared" si="192"/>
        <v>0</v>
      </c>
      <c r="P32" s="106"/>
      <c r="Q32" s="107">
        <v>5</v>
      </c>
      <c r="R32" s="104">
        <f t="shared" si="193"/>
        <v>0</v>
      </c>
      <c r="S32" s="102"/>
      <c r="T32" s="107">
        <v>5</v>
      </c>
      <c r="U32" s="104">
        <f t="shared" si="194"/>
        <v>0</v>
      </c>
      <c r="V32" s="102"/>
      <c r="W32" s="107">
        <v>5</v>
      </c>
      <c r="X32" s="104">
        <f t="shared" si="195"/>
        <v>0</v>
      </c>
      <c r="Y32" s="102"/>
      <c r="Z32" s="107">
        <v>5</v>
      </c>
      <c r="AA32" s="104">
        <f t="shared" si="196"/>
        <v>0</v>
      </c>
      <c r="AB32" s="106"/>
      <c r="AC32" s="107">
        <v>5</v>
      </c>
      <c r="AD32" s="104">
        <f t="shared" si="197"/>
        <v>0</v>
      </c>
      <c r="AE32" s="106"/>
      <c r="AF32" s="107">
        <v>5</v>
      </c>
      <c r="AG32" s="104">
        <f t="shared" si="198"/>
        <v>0</v>
      </c>
      <c r="AH32" s="106"/>
      <c r="AI32" s="107">
        <v>5</v>
      </c>
      <c r="AJ32" s="104">
        <f t="shared" si="199"/>
        <v>0</v>
      </c>
      <c r="AK32" s="106"/>
      <c r="AL32" s="107">
        <v>5</v>
      </c>
      <c r="AM32" s="104">
        <f t="shared" si="200"/>
        <v>0</v>
      </c>
      <c r="AN32" s="102"/>
      <c r="AO32" s="1">
        <v>5</v>
      </c>
      <c r="AP32" s="104">
        <f t="shared" si="201"/>
        <v>0</v>
      </c>
      <c r="AQ32" s="102"/>
      <c r="AR32" s="1">
        <v>5</v>
      </c>
      <c r="AS32" s="104">
        <f t="shared" si="202"/>
        <v>0</v>
      </c>
      <c r="AT32" s="102"/>
      <c r="AU32" s="1">
        <v>5</v>
      </c>
      <c r="AV32" s="104">
        <f t="shared" si="203"/>
        <v>0</v>
      </c>
      <c r="AW32" s="102"/>
      <c r="AX32" s="1">
        <v>5</v>
      </c>
      <c r="AY32" s="104">
        <f t="shared" si="204"/>
        <v>0</v>
      </c>
      <c r="AZ32" s="102"/>
      <c r="BA32" s="1">
        <v>5</v>
      </c>
      <c r="BB32" s="104">
        <f t="shared" si="205"/>
        <v>0</v>
      </c>
      <c r="BC32" s="102"/>
      <c r="BD32" s="1">
        <v>5</v>
      </c>
      <c r="BE32" s="104">
        <f t="shared" si="206"/>
        <v>0</v>
      </c>
      <c r="BF32" s="102"/>
      <c r="BG32" s="1">
        <v>5</v>
      </c>
      <c r="BH32" s="104">
        <f t="shared" si="207"/>
        <v>0</v>
      </c>
      <c r="BI32" s="102"/>
      <c r="BJ32" s="1">
        <v>5</v>
      </c>
      <c r="BK32" s="104">
        <f t="shared" si="208"/>
        <v>0</v>
      </c>
      <c r="BL32" s="102"/>
      <c r="BM32" s="1">
        <v>5</v>
      </c>
      <c r="BN32" s="104">
        <f t="shared" si="209"/>
        <v>0</v>
      </c>
      <c r="BO32" s="102"/>
      <c r="BP32" s="1">
        <v>5</v>
      </c>
      <c r="BQ32" s="104">
        <f t="shared" si="210"/>
        <v>0</v>
      </c>
      <c r="BR32" s="102"/>
      <c r="BS32" s="1">
        <v>5</v>
      </c>
      <c r="BT32" s="104">
        <f t="shared" si="211"/>
        <v>0</v>
      </c>
      <c r="BU32" s="102"/>
      <c r="BV32" s="1">
        <v>5</v>
      </c>
      <c r="BW32" s="104">
        <f t="shared" si="212"/>
        <v>0</v>
      </c>
      <c r="BX32" s="102"/>
      <c r="BY32" s="1">
        <v>5</v>
      </c>
      <c r="BZ32" s="104">
        <f t="shared" si="213"/>
        <v>0</v>
      </c>
      <c r="CA32" s="102"/>
      <c r="CB32" s="1">
        <v>5</v>
      </c>
      <c r="CC32" s="104">
        <f t="shared" si="214"/>
        <v>0</v>
      </c>
      <c r="CD32" s="102"/>
      <c r="CE32" s="1">
        <v>5</v>
      </c>
      <c r="CF32" s="104">
        <f t="shared" si="215"/>
        <v>0</v>
      </c>
      <c r="CG32" s="102"/>
      <c r="CH32" s="1">
        <v>5</v>
      </c>
      <c r="CI32" s="104">
        <f t="shared" si="216"/>
        <v>0</v>
      </c>
      <c r="CJ32" s="102"/>
      <c r="CK32" s="1">
        <v>5</v>
      </c>
      <c r="CL32" s="104">
        <f t="shared" si="217"/>
        <v>0</v>
      </c>
      <c r="CM32" s="102"/>
      <c r="CN32" s="1">
        <v>5</v>
      </c>
      <c r="CO32" s="104">
        <f t="shared" si="218"/>
        <v>0</v>
      </c>
      <c r="CP32" s="102"/>
      <c r="CQ32" s="1">
        <v>5</v>
      </c>
      <c r="CR32" s="104">
        <f t="shared" si="219"/>
        <v>0</v>
      </c>
      <c r="CS32" s="102"/>
      <c r="CT32" s="1">
        <v>5</v>
      </c>
      <c r="CU32" s="104">
        <f t="shared" si="220"/>
        <v>0</v>
      </c>
      <c r="CV32" s="102"/>
      <c r="CW32" s="1">
        <v>5</v>
      </c>
      <c r="CX32" s="104">
        <f t="shared" si="221"/>
        <v>0</v>
      </c>
      <c r="CY32" s="102"/>
      <c r="CZ32" s="1">
        <v>5</v>
      </c>
      <c r="DA32" s="104">
        <f t="shared" si="222"/>
        <v>0</v>
      </c>
      <c r="DB32" s="102"/>
      <c r="DC32" s="1">
        <v>5</v>
      </c>
      <c r="DD32" s="104">
        <f t="shared" si="223"/>
        <v>0</v>
      </c>
      <c r="DE32" s="102"/>
      <c r="DF32" s="1">
        <v>5</v>
      </c>
      <c r="DG32" s="104">
        <f t="shared" si="224"/>
        <v>0</v>
      </c>
      <c r="DH32" s="102"/>
      <c r="DI32" s="1">
        <v>5</v>
      </c>
      <c r="DJ32" s="104">
        <f t="shared" si="225"/>
        <v>0</v>
      </c>
      <c r="DK32" s="102"/>
      <c r="DL32" s="1">
        <v>5</v>
      </c>
      <c r="DM32" s="104">
        <f t="shared" si="226"/>
        <v>0</v>
      </c>
      <c r="DN32" s="102"/>
      <c r="DO32" s="1">
        <v>5</v>
      </c>
      <c r="DP32" s="104">
        <f t="shared" si="227"/>
        <v>0</v>
      </c>
      <c r="DQ32" s="102"/>
      <c r="DR32" s="1">
        <v>5</v>
      </c>
      <c r="DS32" s="104">
        <f t="shared" si="228"/>
        <v>0</v>
      </c>
      <c r="DT32" s="102"/>
      <c r="DU32" s="1">
        <v>5</v>
      </c>
      <c r="DV32" s="104">
        <f t="shared" si="229"/>
        <v>0</v>
      </c>
      <c r="DW32" s="102"/>
      <c r="DX32" s="1">
        <v>5</v>
      </c>
      <c r="DY32" s="104">
        <f t="shared" si="230"/>
        <v>0</v>
      </c>
      <c r="DZ32" s="102"/>
      <c r="EA32" s="1">
        <v>5</v>
      </c>
      <c r="EB32" s="104">
        <f t="shared" si="231"/>
        <v>0</v>
      </c>
      <c r="EC32" s="102"/>
      <c r="ED32" s="1">
        <v>5</v>
      </c>
      <c r="EE32" s="104">
        <f t="shared" si="232"/>
        <v>0</v>
      </c>
      <c r="EF32" s="102"/>
      <c r="EG32" s="1">
        <v>5</v>
      </c>
      <c r="EH32" s="104">
        <f t="shared" si="233"/>
        <v>0</v>
      </c>
      <c r="EI32" s="102"/>
      <c r="EJ32" s="1">
        <v>5</v>
      </c>
      <c r="EK32" s="104">
        <f t="shared" si="234"/>
        <v>0</v>
      </c>
      <c r="EL32" s="102"/>
      <c r="EM32" s="1">
        <v>5</v>
      </c>
      <c r="EN32" s="104">
        <f t="shared" si="235"/>
        <v>0</v>
      </c>
      <c r="EO32" s="90">
        <v>0</v>
      </c>
      <c r="EP32" s="96">
        <v>5</v>
      </c>
      <c r="EQ32" s="104">
        <f t="shared" si="236"/>
        <v>0</v>
      </c>
      <c r="ER32" s="85">
        <f t="array" ref="ER32">IFERROR(_xlfn.LET(
_xlpm.datos,CHOOSE({1;2;3;4;5;6;7;8;9;10;11;12;13;13;14;15;16;17;18;19;20;21;22;23;23;24;25;26;27;28;29;30;31;32;33;34;35;36;37;38;39;40;41;42;43;44;45;46;47;48},F32,I32,L32,O32,R32,U32,X32,AA32,AD32,AG32,AJ32,AM32,AP32,AS32,AV32,AY32,BB32,BE32,BH32,BK32,BN32,BQ32,BT32,BW32,BZ32,CC32,CF32,CI32,CL32,CO32,CR32,CU32,CX32,DA32,DD32,DG32,DJ32,DM32,DP32,DS32,DV32,DY32,EB32,EE32,EH32,EK32,EN32,EQ32),
AVERAGE(_xlfn._xlws.FILTER(_xlpm.datos,(_xlpm.datos&lt;&gt;0)*(_xlpm.datos&lt;&gt;"")))
),0)</f>
        <v>0</v>
      </c>
      <c r="ES32" s="162" t="str">
        <f t="array" ref="ES32">_xlfn.IFS(ER32&gt;=91.5%,"MENSUAL",ER32&gt;=75%,"QUINCENAL",ER32&lt;75%,"SEMANAL")</f>
        <v>SEMANAL</v>
      </c>
      <c r="ET32" s="239"/>
    </row>
    <row r="33" ht="19.5" customHeight="1" spans="2:150" x14ac:dyDescent="0.25">
      <c r="B33" s="171" t="s">
        <v>200</v>
      </c>
      <c r="C33" s="228"/>
      <c r="D33" s="102"/>
      <c r="E33" s="103">
        <v>5</v>
      </c>
      <c r="F33" s="104">
        <f t="shared" si="189"/>
        <v>0</v>
      </c>
      <c r="G33" s="102"/>
      <c r="H33" s="103">
        <v>5</v>
      </c>
      <c r="I33" s="104">
        <f t="shared" si="190"/>
        <v>0</v>
      </c>
      <c r="J33" s="105"/>
      <c r="K33" s="103">
        <v>5</v>
      </c>
      <c r="L33" s="104">
        <f t="shared" si="191"/>
        <v>0</v>
      </c>
      <c r="M33" s="105"/>
      <c r="N33" s="103">
        <v>5</v>
      </c>
      <c r="O33" s="104">
        <f t="shared" si="192"/>
        <v>0</v>
      </c>
      <c r="P33" s="106"/>
      <c r="Q33" s="107">
        <v>5</v>
      </c>
      <c r="R33" s="104">
        <f t="shared" si="193"/>
        <v>0</v>
      </c>
      <c r="S33" s="102"/>
      <c r="T33" s="107">
        <v>5</v>
      </c>
      <c r="U33" s="104">
        <f t="shared" si="194"/>
        <v>0</v>
      </c>
      <c r="V33" s="102"/>
      <c r="W33" s="107">
        <v>5</v>
      </c>
      <c r="X33" s="104">
        <f t="shared" si="195"/>
        <v>0</v>
      </c>
      <c r="Y33" s="102"/>
      <c r="Z33" s="107">
        <v>5</v>
      </c>
      <c r="AA33" s="104">
        <f t="shared" si="196"/>
        <v>0</v>
      </c>
      <c r="AB33" s="106"/>
      <c r="AC33" s="107">
        <v>5</v>
      </c>
      <c r="AD33" s="104">
        <f t="shared" si="197"/>
        <v>0</v>
      </c>
      <c r="AE33" s="106"/>
      <c r="AF33" s="107">
        <v>5</v>
      </c>
      <c r="AG33" s="104">
        <f t="shared" si="198"/>
        <v>0</v>
      </c>
      <c r="AH33" s="106"/>
      <c r="AI33" s="107">
        <v>5</v>
      </c>
      <c r="AJ33" s="104">
        <f t="shared" si="199"/>
        <v>0</v>
      </c>
      <c r="AK33" s="106"/>
      <c r="AL33" s="107">
        <v>5</v>
      </c>
      <c r="AM33" s="104">
        <f t="shared" si="200"/>
        <v>0</v>
      </c>
      <c r="AN33" s="102"/>
      <c r="AO33" s="1">
        <v>5</v>
      </c>
      <c r="AP33" s="104">
        <f t="shared" si="201"/>
        <v>0</v>
      </c>
      <c r="AQ33" s="102"/>
      <c r="AR33" s="1">
        <v>5</v>
      </c>
      <c r="AS33" s="104">
        <f t="shared" si="202"/>
        <v>0</v>
      </c>
      <c r="AT33" s="102"/>
      <c r="AU33" s="1">
        <v>5</v>
      </c>
      <c r="AV33" s="104">
        <f t="shared" si="203"/>
        <v>0</v>
      </c>
      <c r="AW33" s="102"/>
      <c r="AX33" s="1">
        <v>5</v>
      </c>
      <c r="AY33" s="104">
        <f t="shared" si="204"/>
        <v>0</v>
      </c>
      <c r="AZ33" s="102"/>
      <c r="BA33" s="1">
        <v>5</v>
      </c>
      <c r="BB33" s="104">
        <f t="shared" si="205"/>
        <v>0</v>
      </c>
      <c r="BC33" s="102"/>
      <c r="BD33" s="1">
        <v>5</v>
      </c>
      <c r="BE33" s="104">
        <f t="shared" si="206"/>
        <v>0</v>
      </c>
      <c r="BF33" s="102"/>
      <c r="BG33" s="1">
        <v>5</v>
      </c>
      <c r="BH33" s="104">
        <f t="shared" si="207"/>
        <v>0</v>
      </c>
      <c r="BI33" s="102"/>
      <c r="BJ33" s="1">
        <v>5</v>
      </c>
      <c r="BK33" s="104">
        <f t="shared" si="208"/>
        <v>0</v>
      </c>
      <c r="BL33" s="102"/>
      <c r="BM33" s="1">
        <v>5</v>
      </c>
      <c r="BN33" s="104">
        <f t="shared" si="209"/>
        <v>0</v>
      </c>
      <c r="BO33" s="102"/>
      <c r="BP33" s="1">
        <v>5</v>
      </c>
      <c r="BQ33" s="104">
        <f t="shared" si="210"/>
        <v>0</v>
      </c>
      <c r="BR33" s="102"/>
      <c r="BS33" s="1">
        <v>5</v>
      </c>
      <c r="BT33" s="104">
        <f t="shared" si="211"/>
        <v>0</v>
      </c>
      <c r="BU33" s="102"/>
      <c r="BV33" s="1">
        <v>5</v>
      </c>
      <c r="BW33" s="104">
        <f t="shared" si="212"/>
        <v>0</v>
      </c>
      <c r="BX33" s="102"/>
      <c r="BY33" s="1">
        <v>5</v>
      </c>
      <c r="BZ33" s="104">
        <f t="shared" si="213"/>
        <v>0</v>
      </c>
      <c r="CA33" s="102"/>
      <c r="CB33" s="1">
        <v>5</v>
      </c>
      <c r="CC33" s="104">
        <f t="shared" si="214"/>
        <v>0</v>
      </c>
      <c r="CD33" s="102"/>
      <c r="CE33" s="1">
        <v>5</v>
      </c>
      <c r="CF33" s="104">
        <f t="shared" si="215"/>
        <v>0</v>
      </c>
      <c r="CG33" s="102"/>
      <c r="CH33" s="1">
        <v>5</v>
      </c>
      <c r="CI33" s="104">
        <f t="shared" si="216"/>
        <v>0</v>
      </c>
      <c r="CJ33" s="102"/>
      <c r="CK33" s="1">
        <v>5</v>
      </c>
      <c r="CL33" s="104">
        <f t="shared" si="217"/>
        <v>0</v>
      </c>
      <c r="CM33" s="102"/>
      <c r="CN33" s="1">
        <v>5</v>
      </c>
      <c r="CO33" s="104">
        <f t="shared" si="218"/>
        <v>0</v>
      </c>
      <c r="CP33" s="102"/>
      <c r="CQ33" s="1">
        <v>5</v>
      </c>
      <c r="CR33" s="104">
        <f t="shared" si="219"/>
        <v>0</v>
      </c>
      <c r="CS33" s="102"/>
      <c r="CT33" s="1">
        <v>5</v>
      </c>
      <c r="CU33" s="104">
        <f t="shared" si="220"/>
        <v>0</v>
      </c>
      <c r="CV33" s="102"/>
      <c r="CW33" s="1">
        <v>5</v>
      </c>
      <c r="CX33" s="104">
        <f t="shared" si="221"/>
        <v>0</v>
      </c>
      <c r="CY33" s="102"/>
      <c r="CZ33" s="1">
        <v>5</v>
      </c>
      <c r="DA33" s="104">
        <f t="shared" si="222"/>
        <v>0</v>
      </c>
      <c r="DB33" s="102"/>
      <c r="DC33" s="1">
        <v>5</v>
      </c>
      <c r="DD33" s="104">
        <f t="shared" si="223"/>
        <v>0</v>
      </c>
      <c r="DE33" s="102"/>
      <c r="DF33" s="1">
        <v>5</v>
      </c>
      <c r="DG33" s="104">
        <f t="shared" si="224"/>
        <v>0</v>
      </c>
      <c r="DH33" s="102"/>
      <c r="DI33" s="1">
        <v>5</v>
      </c>
      <c r="DJ33" s="104">
        <f t="shared" si="225"/>
        <v>0</v>
      </c>
      <c r="DK33" s="102"/>
      <c r="DL33" s="1">
        <v>5</v>
      </c>
      <c r="DM33" s="104">
        <f t="shared" si="226"/>
        <v>0</v>
      </c>
      <c r="DN33" s="102"/>
      <c r="DO33" s="1">
        <v>5</v>
      </c>
      <c r="DP33" s="104">
        <f t="shared" si="227"/>
        <v>0</v>
      </c>
      <c r="DQ33" s="102"/>
      <c r="DR33" s="1">
        <v>5</v>
      </c>
      <c r="DS33" s="104">
        <f t="shared" si="228"/>
        <v>0</v>
      </c>
      <c r="DT33" s="102"/>
      <c r="DU33" s="1">
        <v>5</v>
      </c>
      <c r="DV33" s="104">
        <f t="shared" si="229"/>
        <v>0</v>
      </c>
      <c r="DW33" s="102"/>
      <c r="DX33" s="1">
        <v>5</v>
      </c>
      <c r="DY33" s="104">
        <f t="shared" si="230"/>
        <v>0</v>
      </c>
      <c r="DZ33" s="102"/>
      <c r="EA33" s="1">
        <v>5</v>
      </c>
      <c r="EB33" s="104">
        <f t="shared" si="231"/>
        <v>0</v>
      </c>
      <c r="EC33" s="102"/>
      <c r="ED33" s="1">
        <v>5</v>
      </c>
      <c r="EE33" s="104">
        <f t="shared" si="232"/>
        <v>0</v>
      </c>
      <c r="EF33" s="102"/>
      <c r="EG33" s="1">
        <v>5</v>
      </c>
      <c r="EH33" s="104">
        <f t="shared" si="233"/>
        <v>0</v>
      </c>
      <c r="EI33" s="102"/>
      <c r="EJ33" s="1">
        <v>5</v>
      </c>
      <c r="EK33" s="104">
        <f t="shared" si="234"/>
        <v>0</v>
      </c>
      <c r="EL33" s="102"/>
      <c r="EM33" s="1">
        <v>5</v>
      </c>
      <c r="EN33" s="104">
        <f t="shared" si="235"/>
        <v>0</v>
      </c>
      <c r="EO33" s="90">
        <v>0</v>
      </c>
      <c r="EP33" s="96">
        <v>5</v>
      </c>
      <c r="EQ33" s="104">
        <f t="shared" si="236"/>
        <v>0</v>
      </c>
      <c r="ER33" s="85">
        <f t="array" ref="ER33">IFERROR(_xlfn.LET(
_xlpm.datos,CHOOSE({1;2;3;4;5;6;7;8;9;10;11;12;13;13;14;15;16;17;18;19;20;21;22;23;23;24;25;26;27;28;29;30;31;32;33;34;35;36;37;38;39;40;41;42;43;44;45;46;47;48},F33,I33,L33,O33,R33,U33,X33,AA33,AD33,AG33,AJ33,AM33,AP33,AS33,AV33,AY33,BB33,BE33,BH33,BK33,BN33,BQ33,BT33,BW33,BZ33,CC33,CF33,CI33,CL33,CO33,CR33,CU33,CX33,DA33,DD33,DG33,DJ33,DM33,DP33,DS33,DV33,DY33,EB33,EE33,EH33,EK33,EN33,EQ33),
AVERAGE(_xlfn._xlws.FILTER(_xlpm.datos,(_xlpm.datos&lt;&gt;0)*(_xlpm.datos&lt;&gt;"")))
),0)</f>
        <v>0</v>
      </c>
      <c r="ES33" s="162" t="str">
        <f t="array" ref="ES33">_xlfn.IFS(ER33&gt;=91.5%,"MENSUAL",ER33&gt;=75%,"QUINCENAL",ER33&lt;75%,"SEMANAL")</f>
        <v>SEMANAL</v>
      </c>
      <c r="ET33" s="239"/>
    </row>
    <row r="34" ht="20.25" customHeight="1" spans="2:150" x14ac:dyDescent="0.25">
      <c r="B34" s="171" t="s">
        <v>201</v>
      </c>
      <c r="C34" s="228"/>
      <c r="D34" s="102"/>
      <c r="E34" s="103">
        <v>5</v>
      </c>
      <c r="F34" s="104">
        <f t="shared" si="189"/>
        <v>0</v>
      </c>
      <c r="G34" s="102"/>
      <c r="H34" s="103">
        <v>5</v>
      </c>
      <c r="I34" s="104">
        <f t="shared" si="190"/>
        <v>0</v>
      </c>
      <c r="J34" s="105"/>
      <c r="K34" s="103">
        <v>5</v>
      </c>
      <c r="L34" s="104">
        <f t="shared" si="191"/>
        <v>0</v>
      </c>
      <c r="M34" s="105"/>
      <c r="N34" s="103">
        <v>5</v>
      </c>
      <c r="O34" s="104">
        <f t="shared" si="192"/>
        <v>0</v>
      </c>
      <c r="P34" s="106"/>
      <c r="Q34" s="107">
        <v>5</v>
      </c>
      <c r="R34" s="104">
        <f t="shared" si="193"/>
        <v>0</v>
      </c>
      <c r="S34" s="102"/>
      <c r="T34" s="107">
        <v>5</v>
      </c>
      <c r="U34" s="104">
        <f t="shared" si="194"/>
        <v>0</v>
      </c>
      <c r="V34" s="102"/>
      <c r="W34" s="107">
        <v>5</v>
      </c>
      <c r="X34" s="104">
        <f t="shared" si="195"/>
        <v>0</v>
      </c>
      <c r="Y34" s="102"/>
      <c r="Z34" s="107">
        <v>5</v>
      </c>
      <c r="AA34" s="104">
        <f t="shared" si="196"/>
        <v>0</v>
      </c>
      <c r="AB34" s="106"/>
      <c r="AC34" s="107">
        <v>5</v>
      </c>
      <c r="AD34" s="104">
        <f t="shared" si="197"/>
        <v>0</v>
      </c>
      <c r="AE34" s="106"/>
      <c r="AF34" s="107">
        <v>5</v>
      </c>
      <c r="AG34" s="104">
        <f t="shared" si="198"/>
        <v>0</v>
      </c>
      <c r="AH34" s="106"/>
      <c r="AI34" s="107">
        <v>5</v>
      </c>
      <c r="AJ34" s="104">
        <f t="shared" si="199"/>
        <v>0</v>
      </c>
      <c r="AK34" s="106"/>
      <c r="AL34" s="107">
        <v>5</v>
      </c>
      <c r="AM34" s="104">
        <f t="shared" si="200"/>
        <v>0</v>
      </c>
      <c r="AN34" s="102"/>
      <c r="AO34" s="1">
        <v>5</v>
      </c>
      <c r="AP34" s="104">
        <f t="shared" si="201"/>
        <v>0</v>
      </c>
      <c r="AQ34" s="102"/>
      <c r="AR34" s="1">
        <v>5</v>
      </c>
      <c r="AS34" s="104">
        <f t="shared" si="202"/>
        <v>0</v>
      </c>
      <c r="AT34" s="102"/>
      <c r="AU34" s="1">
        <v>5</v>
      </c>
      <c r="AV34" s="104">
        <f t="shared" si="203"/>
        <v>0</v>
      </c>
      <c r="AW34" s="102"/>
      <c r="AX34" s="1">
        <v>5</v>
      </c>
      <c r="AY34" s="104">
        <f t="shared" si="204"/>
        <v>0</v>
      </c>
      <c r="AZ34" s="102"/>
      <c r="BA34" s="1">
        <v>5</v>
      </c>
      <c r="BB34" s="104">
        <f t="shared" si="205"/>
        <v>0</v>
      </c>
      <c r="BC34" s="102"/>
      <c r="BD34" s="1">
        <v>5</v>
      </c>
      <c r="BE34" s="104">
        <f t="shared" si="206"/>
        <v>0</v>
      </c>
      <c r="BF34" s="102"/>
      <c r="BG34" s="1">
        <v>5</v>
      </c>
      <c r="BH34" s="104">
        <f t="shared" si="207"/>
        <v>0</v>
      </c>
      <c r="BI34" s="102"/>
      <c r="BJ34" s="1">
        <v>5</v>
      </c>
      <c r="BK34" s="104">
        <f t="shared" si="208"/>
        <v>0</v>
      </c>
      <c r="BL34" s="102"/>
      <c r="BM34" s="1">
        <v>5</v>
      </c>
      <c r="BN34" s="104">
        <f t="shared" si="209"/>
        <v>0</v>
      </c>
      <c r="BO34" s="102"/>
      <c r="BP34" s="1">
        <v>5</v>
      </c>
      <c r="BQ34" s="104">
        <f t="shared" si="210"/>
        <v>0</v>
      </c>
      <c r="BR34" s="102"/>
      <c r="BS34" s="1">
        <v>5</v>
      </c>
      <c r="BT34" s="104">
        <f t="shared" si="211"/>
        <v>0</v>
      </c>
      <c r="BU34" s="102"/>
      <c r="BV34" s="1">
        <v>5</v>
      </c>
      <c r="BW34" s="104">
        <f t="shared" si="212"/>
        <v>0</v>
      </c>
      <c r="BX34" s="102"/>
      <c r="BY34" s="1">
        <v>5</v>
      </c>
      <c r="BZ34" s="104">
        <f t="shared" si="213"/>
        <v>0</v>
      </c>
      <c r="CA34" s="102"/>
      <c r="CB34" s="1">
        <v>5</v>
      </c>
      <c r="CC34" s="104">
        <f t="shared" si="214"/>
        <v>0</v>
      </c>
      <c r="CD34" s="102"/>
      <c r="CE34" s="1">
        <v>5</v>
      </c>
      <c r="CF34" s="104">
        <f t="shared" si="215"/>
        <v>0</v>
      </c>
      <c r="CG34" s="102"/>
      <c r="CH34" s="1">
        <v>5</v>
      </c>
      <c r="CI34" s="104">
        <f t="shared" si="216"/>
        <v>0</v>
      </c>
      <c r="CJ34" s="102"/>
      <c r="CK34" s="1">
        <v>5</v>
      </c>
      <c r="CL34" s="104">
        <f t="shared" si="217"/>
        <v>0</v>
      </c>
      <c r="CM34" s="102"/>
      <c r="CN34" s="1">
        <v>5</v>
      </c>
      <c r="CO34" s="104">
        <f t="shared" si="218"/>
        <v>0</v>
      </c>
      <c r="CP34" s="102"/>
      <c r="CQ34" s="1">
        <v>5</v>
      </c>
      <c r="CR34" s="104">
        <f t="shared" si="219"/>
        <v>0</v>
      </c>
      <c r="CS34" s="102"/>
      <c r="CT34" s="1">
        <v>5</v>
      </c>
      <c r="CU34" s="104">
        <f t="shared" si="220"/>
        <v>0</v>
      </c>
      <c r="CV34" s="102"/>
      <c r="CW34" s="1">
        <v>5</v>
      </c>
      <c r="CX34" s="104">
        <f t="shared" si="221"/>
        <v>0</v>
      </c>
      <c r="CY34" s="102"/>
      <c r="CZ34" s="1">
        <v>5</v>
      </c>
      <c r="DA34" s="104">
        <f t="shared" si="222"/>
        <v>0</v>
      </c>
      <c r="DB34" s="102"/>
      <c r="DC34" s="1">
        <v>5</v>
      </c>
      <c r="DD34" s="104">
        <f t="shared" si="223"/>
        <v>0</v>
      </c>
      <c r="DE34" s="102"/>
      <c r="DF34" s="1">
        <v>5</v>
      </c>
      <c r="DG34" s="104">
        <f t="shared" si="224"/>
        <v>0</v>
      </c>
      <c r="DH34" s="102"/>
      <c r="DI34" s="1">
        <v>5</v>
      </c>
      <c r="DJ34" s="104">
        <f t="shared" si="225"/>
        <v>0</v>
      </c>
      <c r="DK34" s="102"/>
      <c r="DL34" s="1">
        <v>5</v>
      </c>
      <c r="DM34" s="104">
        <f t="shared" si="226"/>
        <v>0</v>
      </c>
      <c r="DN34" s="102"/>
      <c r="DO34" s="1">
        <v>5</v>
      </c>
      <c r="DP34" s="104">
        <f t="shared" si="227"/>
        <v>0</v>
      </c>
      <c r="DQ34" s="102"/>
      <c r="DR34" s="1">
        <v>5</v>
      </c>
      <c r="DS34" s="104">
        <f t="shared" si="228"/>
        <v>0</v>
      </c>
      <c r="DT34" s="102"/>
      <c r="DU34" s="1">
        <v>5</v>
      </c>
      <c r="DV34" s="104">
        <f t="shared" si="229"/>
        <v>0</v>
      </c>
      <c r="DW34" s="102"/>
      <c r="DX34" s="1">
        <v>5</v>
      </c>
      <c r="DY34" s="104">
        <f t="shared" si="230"/>
        <v>0</v>
      </c>
      <c r="DZ34" s="102"/>
      <c r="EA34" s="1">
        <v>5</v>
      </c>
      <c r="EB34" s="104">
        <f t="shared" si="231"/>
        <v>0</v>
      </c>
      <c r="EC34" s="102"/>
      <c r="ED34" s="1">
        <v>5</v>
      </c>
      <c r="EE34" s="104">
        <f t="shared" si="232"/>
        <v>0</v>
      </c>
      <c r="EF34" s="102"/>
      <c r="EG34" s="1">
        <v>5</v>
      </c>
      <c r="EH34" s="104">
        <f t="shared" si="233"/>
        <v>0</v>
      </c>
      <c r="EI34" s="102"/>
      <c r="EJ34" s="1">
        <v>5</v>
      </c>
      <c r="EK34" s="104">
        <f t="shared" si="234"/>
        <v>0</v>
      </c>
      <c r="EL34" s="102"/>
      <c r="EM34" s="1">
        <v>5</v>
      </c>
      <c r="EN34" s="104">
        <f t="shared" si="235"/>
        <v>0</v>
      </c>
      <c r="EO34" s="90">
        <v>0</v>
      </c>
      <c r="EP34" s="96">
        <v>5</v>
      </c>
      <c r="EQ34" s="104">
        <f t="shared" si="236"/>
        <v>0</v>
      </c>
      <c r="ER34" s="85">
        <f t="array" ref="ER34">IFERROR(_xlfn.LET(
_xlpm.datos,CHOOSE({1;2;3;4;5;6;7;8;9;10;11;12;13;13;14;15;16;17;18;19;20;21;22;23;23;24;25;26;27;28;29;30;31;32;33;34;35;36;37;38;39;40;41;42;43;44;45;46;47;48},F34,I34,L34,O34,R34,U34,X34,AA34,AD34,AG34,AJ34,AM34,AP34,AS34,AV34,AY34,BB34,BE34,BH34,BK34,BN34,BQ34,BT34,BW34,BZ34,CC34,CF34,CI34,CL34,CO34,CR34,CU34,CX34,DA34,DD34,DG34,DJ34,DM34,DP34,DS34,DV34,DY34,EB34,EE34,EH34,EK34,EN34,EQ34),
AVERAGE(_xlfn._xlws.FILTER(_xlpm.datos,(_xlpm.datos&lt;&gt;0)*(_xlpm.datos&lt;&gt;"")))
),0)</f>
        <v>0</v>
      </c>
      <c r="ES34" s="162" t="str">
        <f t="array" ref="ES34">_xlfn.IFS(ER34&gt;=91.5%,"MENSUAL",ER34&gt;=75%,"QUINCENAL",ER34&lt;75%,"SEMANAL")</f>
        <v>SEMANAL</v>
      </c>
      <c r="ET34" s="239"/>
    </row>
    <row r="35" ht="24" customHeight="1" spans="2:150" x14ac:dyDescent="0.25">
      <c r="B35" s="240" t="s">
        <v>202</v>
      </c>
      <c r="C35" s="228"/>
      <c r="D35" s="102"/>
      <c r="E35" s="103">
        <v>5</v>
      </c>
      <c r="F35" s="104">
        <f t="shared" si="189"/>
        <v>0</v>
      </c>
      <c r="G35" s="102"/>
      <c r="H35" s="103">
        <v>5</v>
      </c>
      <c r="I35" s="104">
        <f t="shared" si="190"/>
        <v>0</v>
      </c>
      <c r="J35" s="105"/>
      <c r="K35" s="103">
        <v>5</v>
      </c>
      <c r="L35" s="104">
        <f t="shared" si="191"/>
        <v>0</v>
      </c>
      <c r="M35" s="105"/>
      <c r="N35" s="103">
        <v>5</v>
      </c>
      <c r="O35" s="104">
        <f t="shared" si="192"/>
        <v>0</v>
      </c>
      <c r="P35" s="106"/>
      <c r="Q35" s="107">
        <v>5</v>
      </c>
      <c r="R35" s="104">
        <f t="shared" si="193"/>
        <v>0</v>
      </c>
      <c r="S35" s="102"/>
      <c r="T35" s="107">
        <v>5</v>
      </c>
      <c r="U35" s="104">
        <f t="shared" si="194"/>
        <v>0</v>
      </c>
      <c r="V35" s="102"/>
      <c r="W35" s="107">
        <v>5</v>
      </c>
      <c r="X35" s="104">
        <f t="shared" si="195"/>
        <v>0</v>
      </c>
      <c r="Y35" s="102"/>
      <c r="Z35" s="107">
        <v>5</v>
      </c>
      <c r="AA35" s="104">
        <f t="shared" si="196"/>
        <v>0</v>
      </c>
      <c r="AB35" s="106"/>
      <c r="AC35" s="107">
        <v>5</v>
      </c>
      <c r="AD35" s="104">
        <f t="shared" si="197"/>
        <v>0</v>
      </c>
      <c r="AE35" s="106"/>
      <c r="AF35" s="107">
        <v>5</v>
      </c>
      <c r="AG35" s="104">
        <f t="shared" si="198"/>
        <v>0</v>
      </c>
      <c r="AH35" s="106"/>
      <c r="AI35" s="107">
        <v>5</v>
      </c>
      <c r="AJ35" s="104">
        <f t="shared" si="199"/>
        <v>0</v>
      </c>
      <c r="AK35" s="106"/>
      <c r="AL35" s="107">
        <v>5</v>
      </c>
      <c r="AM35" s="104">
        <f t="shared" si="200"/>
        <v>0</v>
      </c>
      <c r="AN35" s="102"/>
      <c r="AO35" s="1">
        <v>5</v>
      </c>
      <c r="AP35" s="104">
        <f t="shared" si="201"/>
        <v>0</v>
      </c>
      <c r="AQ35" s="102"/>
      <c r="AR35" s="1">
        <v>5</v>
      </c>
      <c r="AS35" s="104">
        <f t="shared" si="202"/>
        <v>0</v>
      </c>
      <c r="AT35" s="102"/>
      <c r="AU35" s="1">
        <v>5</v>
      </c>
      <c r="AV35" s="104">
        <f t="shared" si="203"/>
        <v>0</v>
      </c>
      <c r="AW35" s="102"/>
      <c r="AX35" s="1">
        <v>5</v>
      </c>
      <c r="AY35" s="104">
        <f t="shared" si="204"/>
        <v>0</v>
      </c>
      <c r="AZ35" s="102"/>
      <c r="BA35" s="1">
        <v>5</v>
      </c>
      <c r="BB35" s="104">
        <f t="shared" si="205"/>
        <v>0</v>
      </c>
      <c r="BC35" s="102"/>
      <c r="BD35" s="1">
        <v>5</v>
      </c>
      <c r="BE35" s="104">
        <f t="shared" si="206"/>
        <v>0</v>
      </c>
      <c r="BF35" s="102"/>
      <c r="BG35" s="1">
        <v>5</v>
      </c>
      <c r="BH35" s="104">
        <f t="shared" si="207"/>
        <v>0</v>
      </c>
      <c r="BI35" s="102"/>
      <c r="BJ35" s="1">
        <v>5</v>
      </c>
      <c r="BK35" s="104">
        <f t="shared" si="208"/>
        <v>0</v>
      </c>
      <c r="BL35" s="102"/>
      <c r="BM35" s="1">
        <v>5</v>
      </c>
      <c r="BN35" s="104">
        <f t="shared" si="209"/>
        <v>0</v>
      </c>
      <c r="BO35" s="102"/>
      <c r="BP35" s="1">
        <v>5</v>
      </c>
      <c r="BQ35" s="104">
        <f t="shared" si="210"/>
        <v>0</v>
      </c>
      <c r="BR35" s="102"/>
      <c r="BS35" s="1">
        <v>5</v>
      </c>
      <c r="BT35" s="104">
        <f t="shared" si="211"/>
        <v>0</v>
      </c>
      <c r="BU35" s="102"/>
      <c r="BV35" s="1">
        <v>5</v>
      </c>
      <c r="BW35" s="104">
        <f t="shared" si="212"/>
        <v>0</v>
      </c>
      <c r="BX35" s="102"/>
      <c r="BY35" s="1">
        <v>5</v>
      </c>
      <c r="BZ35" s="104">
        <f t="shared" si="213"/>
        <v>0</v>
      </c>
      <c r="CA35" s="102"/>
      <c r="CB35" s="1">
        <v>5</v>
      </c>
      <c r="CC35" s="104">
        <f t="shared" si="214"/>
        <v>0</v>
      </c>
      <c r="CD35" s="102"/>
      <c r="CE35" s="1">
        <v>5</v>
      </c>
      <c r="CF35" s="104">
        <f t="shared" si="215"/>
        <v>0</v>
      </c>
      <c r="CG35" s="102"/>
      <c r="CH35" s="1">
        <v>5</v>
      </c>
      <c r="CI35" s="104">
        <f t="shared" si="216"/>
        <v>0</v>
      </c>
      <c r="CJ35" s="102"/>
      <c r="CK35" s="1">
        <v>5</v>
      </c>
      <c r="CL35" s="104">
        <f t="shared" si="217"/>
        <v>0</v>
      </c>
      <c r="CM35" s="102"/>
      <c r="CN35" s="1">
        <v>5</v>
      </c>
      <c r="CO35" s="104">
        <f t="shared" si="218"/>
        <v>0</v>
      </c>
      <c r="CP35" s="102"/>
      <c r="CQ35" s="1">
        <v>5</v>
      </c>
      <c r="CR35" s="104">
        <f t="shared" si="219"/>
        <v>0</v>
      </c>
      <c r="CS35" s="102"/>
      <c r="CT35" s="1">
        <v>5</v>
      </c>
      <c r="CU35" s="104">
        <f t="shared" si="220"/>
        <v>0</v>
      </c>
      <c r="CV35" s="102"/>
      <c r="CW35" s="1">
        <v>5</v>
      </c>
      <c r="CX35" s="104">
        <f t="shared" si="221"/>
        <v>0</v>
      </c>
      <c r="CY35" s="102"/>
      <c r="CZ35" s="1">
        <v>5</v>
      </c>
      <c r="DA35" s="104">
        <f t="shared" si="222"/>
        <v>0</v>
      </c>
      <c r="DB35" s="102"/>
      <c r="DC35" s="1">
        <v>5</v>
      </c>
      <c r="DD35" s="104">
        <f t="shared" si="223"/>
        <v>0</v>
      </c>
      <c r="DE35" s="102"/>
      <c r="DF35" s="1">
        <v>5</v>
      </c>
      <c r="DG35" s="104">
        <f t="shared" si="224"/>
        <v>0</v>
      </c>
      <c r="DH35" s="102"/>
      <c r="DI35" s="1">
        <v>5</v>
      </c>
      <c r="DJ35" s="104">
        <f t="shared" si="225"/>
        <v>0</v>
      </c>
      <c r="DK35" s="102"/>
      <c r="DL35" s="1">
        <v>5</v>
      </c>
      <c r="DM35" s="104">
        <f t="shared" si="226"/>
        <v>0</v>
      </c>
      <c r="DN35" s="102"/>
      <c r="DO35" s="1">
        <v>5</v>
      </c>
      <c r="DP35" s="104">
        <f t="shared" si="227"/>
        <v>0</v>
      </c>
      <c r="DQ35" s="102"/>
      <c r="DR35" s="1">
        <v>5</v>
      </c>
      <c r="DS35" s="104">
        <f t="shared" si="228"/>
        <v>0</v>
      </c>
      <c r="DT35" s="102"/>
      <c r="DU35" s="1">
        <v>5</v>
      </c>
      <c r="DV35" s="104">
        <f t="shared" si="229"/>
        <v>0</v>
      </c>
      <c r="DW35" s="102"/>
      <c r="DX35" s="1">
        <v>5</v>
      </c>
      <c r="DY35" s="104">
        <f t="shared" si="230"/>
        <v>0</v>
      </c>
      <c r="DZ35" s="102"/>
      <c r="EA35" s="1">
        <v>5</v>
      </c>
      <c r="EB35" s="104">
        <f t="shared" si="231"/>
        <v>0</v>
      </c>
      <c r="EC35" s="102"/>
      <c r="ED35" s="1">
        <v>5</v>
      </c>
      <c r="EE35" s="104">
        <f t="shared" si="232"/>
        <v>0</v>
      </c>
      <c r="EF35" s="102"/>
      <c r="EG35" s="1">
        <v>5</v>
      </c>
      <c r="EH35" s="104">
        <f t="shared" si="233"/>
        <v>0</v>
      </c>
      <c r="EI35" s="102"/>
      <c r="EJ35" s="1">
        <v>5</v>
      </c>
      <c r="EK35" s="104">
        <f t="shared" si="234"/>
        <v>0</v>
      </c>
      <c r="EL35" s="102"/>
      <c r="EM35" s="1">
        <v>5</v>
      </c>
      <c r="EN35" s="104">
        <f t="shared" si="235"/>
        <v>0</v>
      </c>
      <c r="EO35" s="90">
        <v>0</v>
      </c>
      <c r="EP35" s="96">
        <v>5</v>
      </c>
      <c r="EQ35" s="104">
        <f t="shared" si="236"/>
        <v>0</v>
      </c>
      <c r="ER35" s="85">
        <f t="array" ref="ER35">IFERROR(_xlfn.LET(
_xlpm.datos,CHOOSE({1;2;3;4;5;6;7;8;9;10;11;12;13;13;14;15;16;17;18;19;20;21;22;23;23;24;25;26;27;28;29;30;31;32;33;34;35;36;37;38;39;40;41;42;43;44;45;46;47;48},F35,I35,L35,O35,R35,U35,X35,AA35,AD35,AG35,AJ35,AM35,AP35,AS35,AV35,AY35,BB35,BE35,BH35,BK35,BN35,BQ35,BT35,BW35,BZ35,CC35,CF35,CI35,CL35,CO35,CR35,CU35,CX35,DA35,DD35,DG35,DJ35,DM35,DP35,DS35,DV35,DY35,EB35,EE35,EH35,EK35,EN35,EQ35),
AVERAGE(_xlfn._xlws.FILTER(_xlpm.datos,(_xlpm.datos&lt;&gt;0)*(_xlpm.datos&lt;&gt;"")))
),0)</f>
        <v>0</v>
      </c>
      <c r="ES35" s="162" t="str">
        <f t="array" ref="ES35">_xlfn.IFS(ER35&gt;=91.5%,"MENSUAL",ER35&gt;=75%,"QUINCENAL",ER35&lt;75%,"SEMANAL")</f>
        <v>SEMANAL</v>
      </c>
      <c r="ET35" s="239"/>
    </row>
    <row r="36" ht="24" customHeight="1" spans="2:150" x14ac:dyDescent="0.25">
      <c r="B36" s="241" t="s">
        <v>203</v>
      </c>
      <c r="C36" s="228"/>
      <c r="D36" s="102"/>
      <c r="E36" s="103">
        <v>5</v>
      </c>
      <c r="F36" s="104">
        <f t="shared" si="189"/>
        <v>0</v>
      </c>
      <c r="G36" s="102"/>
      <c r="H36" s="103">
        <v>5</v>
      </c>
      <c r="I36" s="104">
        <f t="shared" si="190"/>
        <v>0</v>
      </c>
      <c r="J36" s="105"/>
      <c r="K36" s="103">
        <v>5</v>
      </c>
      <c r="L36" s="104">
        <f t="shared" si="191"/>
        <v>0</v>
      </c>
      <c r="M36" s="105"/>
      <c r="N36" s="103">
        <v>5</v>
      </c>
      <c r="O36" s="104">
        <f t="shared" si="192"/>
        <v>0</v>
      </c>
      <c r="P36" s="106"/>
      <c r="Q36" s="107">
        <v>5</v>
      </c>
      <c r="R36" s="104">
        <f t="shared" si="193"/>
        <v>0</v>
      </c>
      <c r="S36" s="102"/>
      <c r="T36" s="107">
        <v>5</v>
      </c>
      <c r="U36" s="104">
        <f t="shared" si="194"/>
        <v>0</v>
      </c>
      <c r="V36" s="102"/>
      <c r="W36" s="107">
        <v>5</v>
      </c>
      <c r="X36" s="104">
        <f t="shared" si="195"/>
        <v>0</v>
      </c>
      <c r="Y36" s="102"/>
      <c r="Z36" s="107">
        <v>5</v>
      </c>
      <c r="AA36" s="104">
        <f t="shared" si="196"/>
        <v>0</v>
      </c>
      <c r="AB36" s="106"/>
      <c r="AC36" s="107">
        <v>5</v>
      </c>
      <c r="AD36" s="104">
        <f t="shared" si="197"/>
        <v>0</v>
      </c>
      <c r="AE36" s="106"/>
      <c r="AF36" s="107">
        <v>5</v>
      </c>
      <c r="AG36" s="104">
        <f t="shared" si="198"/>
        <v>0</v>
      </c>
      <c r="AH36" s="106"/>
      <c r="AI36" s="107">
        <v>5</v>
      </c>
      <c r="AJ36" s="104">
        <f t="shared" si="199"/>
        <v>0</v>
      </c>
      <c r="AK36" s="106"/>
      <c r="AL36" s="107">
        <v>5</v>
      </c>
      <c r="AM36" s="104">
        <f t="shared" si="200"/>
        <v>0</v>
      </c>
      <c r="AN36" s="102"/>
      <c r="AO36" s="1">
        <v>5</v>
      </c>
      <c r="AP36" s="104">
        <f t="shared" si="201"/>
        <v>0</v>
      </c>
      <c r="AQ36" s="102"/>
      <c r="AR36" s="1">
        <v>5</v>
      </c>
      <c r="AS36" s="104">
        <f t="shared" si="202"/>
        <v>0</v>
      </c>
      <c r="AT36" s="102"/>
      <c r="AU36" s="1">
        <v>5</v>
      </c>
      <c r="AV36" s="104">
        <f t="shared" si="203"/>
        <v>0</v>
      </c>
      <c r="AW36" s="102"/>
      <c r="AX36" s="1">
        <v>5</v>
      </c>
      <c r="AY36" s="104">
        <f t="shared" si="204"/>
        <v>0</v>
      </c>
      <c r="AZ36" s="102"/>
      <c r="BA36" s="1">
        <v>5</v>
      </c>
      <c r="BB36" s="104">
        <f t="shared" si="205"/>
        <v>0</v>
      </c>
      <c r="BC36" s="102"/>
      <c r="BD36" s="1">
        <v>5</v>
      </c>
      <c r="BE36" s="104">
        <f t="shared" si="206"/>
        <v>0</v>
      </c>
      <c r="BF36" s="102"/>
      <c r="BG36" s="1">
        <v>5</v>
      </c>
      <c r="BH36" s="104">
        <f t="shared" si="207"/>
        <v>0</v>
      </c>
      <c r="BI36" s="102"/>
      <c r="BJ36" s="1">
        <v>5</v>
      </c>
      <c r="BK36" s="104">
        <f t="shared" si="208"/>
        <v>0</v>
      </c>
      <c r="BL36" s="102"/>
      <c r="BM36" s="1">
        <v>5</v>
      </c>
      <c r="BN36" s="104">
        <f t="shared" si="209"/>
        <v>0</v>
      </c>
      <c r="BO36" s="102"/>
      <c r="BP36" s="1">
        <v>5</v>
      </c>
      <c r="BQ36" s="104">
        <f t="shared" si="210"/>
        <v>0</v>
      </c>
      <c r="BR36" s="102"/>
      <c r="BS36" s="1">
        <v>5</v>
      </c>
      <c r="BT36" s="104">
        <f t="shared" si="211"/>
        <v>0</v>
      </c>
      <c r="BU36" s="102"/>
      <c r="BV36" s="1">
        <v>5</v>
      </c>
      <c r="BW36" s="104">
        <f t="shared" si="212"/>
        <v>0</v>
      </c>
      <c r="BX36" s="102"/>
      <c r="BY36" s="1">
        <v>5</v>
      </c>
      <c r="BZ36" s="104">
        <f t="shared" si="213"/>
        <v>0</v>
      </c>
      <c r="CA36" s="102"/>
      <c r="CB36" s="1">
        <v>5</v>
      </c>
      <c r="CC36" s="104">
        <f t="shared" si="214"/>
        <v>0</v>
      </c>
      <c r="CD36" s="102"/>
      <c r="CE36" s="1">
        <v>5</v>
      </c>
      <c r="CF36" s="104">
        <f t="shared" si="215"/>
        <v>0</v>
      </c>
      <c r="CG36" s="102"/>
      <c r="CH36" s="1">
        <v>5</v>
      </c>
      <c r="CI36" s="104">
        <f t="shared" si="216"/>
        <v>0</v>
      </c>
      <c r="CJ36" s="102"/>
      <c r="CK36" s="1">
        <v>5</v>
      </c>
      <c r="CL36" s="104">
        <f t="shared" si="217"/>
        <v>0</v>
      </c>
      <c r="CM36" s="102"/>
      <c r="CN36" s="1">
        <v>5</v>
      </c>
      <c r="CO36" s="104">
        <f t="shared" si="218"/>
        <v>0</v>
      </c>
      <c r="CP36" s="102"/>
      <c r="CQ36" s="1">
        <v>5</v>
      </c>
      <c r="CR36" s="104">
        <f t="shared" si="219"/>
        <v>0</v>
      </c>
      <c r="CS36" s="102"/>
      <c r="CT36" s="1">
        <v>5</v>
      </c>
      <c r="CU36" s="104">
        <f t="shared" si="220"/>
        <v>0</v>
      </c>
      <c r="CV36" s="102"/>
      <c r="CW36" s="1">
        <v>5</v>
      </c>
      <c r="CX36" s="104">
        <f t="shared" si="221"/>
        <v>0</v>
      </c>
      <c r="CY36" s="102"/>
      <c r="CZ36" s="1">
        <v>5</v>
      </c>
      <c r="DA36" s="104">
        <f t="shared" si="222"/>
        <v>0</v>
      </c>
      <c r="DB36" s="102"/>
      <c r="DC36" s="1">
        <v>5</v>
      </c>
      <c r="DD36" s="104">
        <f t="shared" si="223"/>
        <v>0</v>
      </c>
      <c r="DE36" s="102"/>
      <c r="DF36" s="1">
        <v>5</v>
      </c>
      <c r="DG36" s="104">
        <f t="shared" si="224"/>
        <v>0</v>
      </c>
      <c r="DH36" s="102"/>
      <c r="DI36" s="1">
        <v>5</v>
      </c>
      <c r="DJ36" s="104">
        <f t="shared" si="225"/>
        <v>0</v>
      </c>
      <c r="DK36" s="102"/>
      <c r="DL36" s="1">
        <v>5</v>
      </c>
      <c r="DM36" s="104">
        <f t="shared" si="226"/>
        <v>0</v>
      </c>
      <c r="DN36" s="102"/>
      <c r="DO36" s="1">
        <v>5</v>
      </c>
      <c r="DP36" s="104">
        <f t="shared" si="227"/>
        <v>0</v>
      </c>
      <c r="DQ36" s="102"/>
      <c r="DR36" s="1">
        <v>5</v>
      </c>
      <c r="DS36" s="104">
        <f t="shared" si="228"/>
        <v>0</v>
      </c>
      <c r="DT36" s="102"/>
      <c r="DU36" s="1">
        <v>5</v>
      </c>
      <c r="DV36" s="104">
        <f t="shared" si="229"/>
        <v>0</v>
      </c>
      <c r="DW36" s="102"/>
      <c r="DX36" s="1">
        <v>5</v>
      </c>
      <c r="DY36" s="104">
        <f t="shared" si="230"/>
        <v>0</v>
      </c>
      <c r="DZ36" s="102"/>
      <c r="EA36" s="1">
        <v>5</v>
      </c>
      <c r="EB36" s="104">
        <f t="shared" si="231"/>
        <v>0</v>
      </c>
      <c r="EC36" s="102"/>
      <c r="ED36" s="1">
        <v>5</v>
      </c>
      <c r="EE36" s="104">
        <f t="shared" si="232"/>
        <v>0</v>
      </c>
      <c r="EF36" s="102"/>
      <c r="EG36" s="1">
        <v>5</v>
      </c>
      <c r="EH36" s="104">
        <f t="shared" si="233"/>
        <v>0</v>
      </c>
      <c r="EI36" s="102"/>
      <c r="EJ36" s="1">
        <v>5</v>
      </c>
      <c r="EK36" s="104">
        <f t="shared" si="234"/>
        <v>0</v>
      </c>
      <c r="EL36" s="102"/>
      <c r="EM36" s="1">
        <v>5</v>
      </c>
      <c r="EN36" s="104">
        <f t="shared" si="235"/>
        <v>0</v>
      </c>
      <c r="EO36" s="90">
        <v>0</v>
      </c>
      <c r="EP36" s="96">
        <v>5</v>
      </c>
      <c r="EQ36" s="104">
        <f t="shared" si="236"/>
        <v>0</v>
      </c>
      <c r="ER36" s="85">
        <f t="array" ref="ER36">IFERROR(_xlfn.LET(
_xlpm.datos,CHOOSE({1;2;3;4;5;6;7;8;9;10;11;12;13;13;14;15;16;17;18;19;20;21;22;23;23;24;25;26;27;28;29;30;31;32;33;34;35;36;37;38;39;40;41;42;43;44;45;46;47;48},F36,I36,L36,O36,R36,U36,X36,AA36,AD36,AG36,AJ36,AM36,AP36,AS36,AV36,AY36,BB36,BE36,BH36,BK36,BN36,BQ36,BT36,BW36,BZ36,CC36,CF36,CI36,CL36,CO36,CR36,CU36,CX36,DA36,DD36,DG36,DJ36,DM36,DP36,DS36,DV36,DY36,EB36,EE36,EH36,EK36,EN36,EQ36),
AVERAGE(_xlfn._xlws.FILTER(_xlpm.datos,(_xlpm.datos&lt;&gt;0)*(_xlpm.datos&lt;&gt;"")))
),0)</f>
        <v>0</v>
      </c>
      <c r="ES36" s="162" t="str">
        <f t="array" ref="ES36">_xlfn.IFS(ER36&gt;=91.5%,"MENSUAL",ER36&gt;=75%,"QUINCENAL",ER36&lt;75%,"SEMANAL")</f>
        <v>SEMANAL</v>
      </c>
      <c r="ET36" s="239"/>
    </row>
    <row r="37" ht="13.5" customHeight="1" spans="2:150" x14ac:dyDescent="0.25">
      <c r="B37" s="242" t="s">
        <v>111</v>
      </c>
      <c r="C37" s="243"/>
      <c r="D37" s="128"/>
      <c r="E37" s="127"/>
      <c r="F37" s="223">
        <f>AVERAGE(F38:F47)</f>
        <v>0</v>
      </c>
      <c r="G37" s="128"/>
      <c r="H37" s="127"/>
      <c r="I37" s="223">
        <f>AVERAGE(I38:I47)</f>
        <v>0</v>
      </c>
      <c r="J37" s="128"/>
      <c r="K37" s="127"/>
      <c r="L37" s="223">
        <f>AVERAGE(L38:L47)</f>
        <v>0</v>
      </c>
      <c r="M37" s="128"/>
      <c r="N37" s="127"/>
      <c r="O37" s="223">
        <f>AVERAGE(O38:O47)</f>
        <v>0</v>
      </c>
      <c r="P37" s="128"/>
      <c r="Q37" s="127"/>
      <c r="R37" s="223">
        <f>AVERAGE(R38:R47)</f>
        <v>0</v>
      </c>
      <c r="S37" s="128"/>
      <c r="T37" s="127"/>
      <c r="U37" s="223">
        <f>AVERAGE(U38:U47)</f>
        <v>0</v>
      </c>
      <c r="V37" s="128"/>
      <c r="W37" s="127"/>
      <c r="X37" s="223">
        <f>AVERAGE(X38:X47)</f>
        <v>0</v>
      </c>
      <c r="Y37" s="128"/>
      <c r="Z37" s="127"/>
      <c r="AA37" s="223">
        <f>AVERAGE(AA38:AA47)</f>
        <v>0</v>
      </c>
      <c r="AB37" s="128"/>
      <c r="AC37" s="127"/>
      <c r="AD37" s="223">
        <f>AVERAGE(AD38:AD47)</f>
        <v>0</v>
      </c>
      <c r="AE37" s="128"/>
      <c r="AF37" s="127"/>
      <c r="AG37" s="223">
        <f>AVERAGE(AG38:AG47)</f>
        <v>0</v>
      </c>
      <c r="AH37" s="128"/>
      <c r="AI37" s="127"/>
      <c r="AJ37" s="223">
        <f>AVERAGE(AJ38:AJ47)</f>
        <v>0</v>
      </c>
      <c r="AK37" s="128"/>
      <c r="AL37" s="127"/>
      <c r="AM37" s="223">
        <f>AVERAGE(AM38:AM47)</f>
        <v>0</v>
      </c>
      <c r="AN37" s="128"/>
      <c r="AO37" s="127"/>
      <c r="AP37" s="223">
        <f>AVERAGE(AP38:AP47)</f>
        <v>0</v>
      </c>
      <c r="AQ37" s="128"/>
      <c r="AR37" s="127"/>
      <c r="AS37" s="223">
        <f>AVERAGE(AS38:AS47)</f>
        <v>0</v>
      </c>
      <c r="AT37" s="128"/>
      <c r="AU37" s="127"/>
      <c r="AV37" s="223">
        <f>AVERAGE(AV38:AV47)</f>
        <v>0</v>
      </c>
      <c r="AW37" s="128"/>
      <c r="AX37" s="127"/>
      <c r="AY37" s="223">
        <f>AVERAGE(AY38:AY47)</f>
        <v>0</v>
      </c>
      <c r="AZ37" s="128"/>
      <c r="BA37" s="127"/>
      <c r="BB37" s="223">
        <f>AVERAGE(BB38:BB47)</f>
        <v>0</v>
      </c>
      <c r="BC37" s="128"/>
      <c r="BD37" s="127"/>
      <c r="BE37" s="223">
        <f>AVERAGE(BE38:BE47)</f>
        <v>0</v>
      </c>
      <c r="BF37" s="128"/>
      <c r="BG37" s="127"/>
      <c r="BH37" s="223">
        <f>AVERAGE(BH38:BH47)</f>
        <v>0</v>
      </c>
      <c r="BI37" s="128"/>
      <c r="BJ37" s="127"/>
      <c r="BK37" s="223">
        <f>AVERAGE(BK38:BK47)</f>
        <v>0</v>
      </c>
      <c r="BL37" s="128"/>
      <c r="BM37" s="127"/>
      <c r="BN37" s="223">
        <f>AVERAGE(BN38:BN47)</f>
        <v>0</v>
      </c>
      <c r="BO37" s="128"/>
      <c r="BP37" s="127"/>
      <c r="BQ37" s="223">
        <f>AVERAGE(BQ38:BQ47)</f>
        <v>0</v>
      </c>
      <c r="BR37" s="128"/>
      <c r="BS37" s="127"/>
      <c r="BT37" s="223">
        <f>AVERAGE(BT38:BT47)</f>
        <v>0</v>
      </c>
      <c r="BU37" s="128"/>
      <c r="BV37" s="127"/>
      <c r="BW37" s="223">
        <f>AVERAGE(BW38:BW47)</f>
        <v>0</v>
      </c>
      <c r="BX37" s="128"/>
      <c r="BY37" s="127"/>
      <c r="BZ37" s="223">
        <f>AVERAGE(BZ38:BZ47)</f>
        <v>0</v>
      </c>
      <c r="CA37" s="128"/>
      <c r="CB37" s="127"/>
      <c r="CC37" s="223">
        <f>AVERAGE(CC38:CC47)</f>
        <v>0</v>
      </c>
      <c r="CD37" s="128"/>
      <c r="CE37" s="127"/>
      <c r="CF37" s="223">
        <f>AVERAGE(CF38:CF47)</f>
        <v>0</v>
      </c>
      <c r="CG37" s="128"/>
      <c r="CH37" s="127"/>
      <c r="CI37" s="223">
        <f>AVERAGE(CI38:CI47)</f>
        <v>0</v>
      </c>
      <c r="CJ37" s="128"/>
      <c r="CK37" s="127"/>
      <c r="CL37" s="223">
        <f>AVERAGE(CL38:CL47)</f>
        <v>0</v>
      </c>
      <c r="CM37" s="128"/>
      <c r="CN37" s="127"/>
      <c r="CO37" s="223">
        <f>AVERAGE(CO38:CO47)</f>
        <v>0</v>
      </c>
      <c r="CP37" s="128"/>
      <c r="CQ37" s="127"/>
      <c r="CR37" s="223">
        <f>AVERAGE(CR38:CR47)</f>
        <v>0</v>
      </c>
      <c r="CS37" s="128"/>
      <c r="CT37" s="127"/>
      <c r="CU37" s="223">
        <f>AVERAGE(CU38:CU47)</f>
        <v>0</v>
      </c>
      <c r="CV37" s="128"/>
      <c r="CW37" s="127"/>
      <c r="CX37" s="223">
        <f>AVERAGE(CX38:CX47)</f>
        <v>0</v>
      </c>
      <c r="CY37" s="128"/>
      <c r="CZ37" s="127"/>
      <c r="DA37" s="223">
        <f>AVERAGE(DA38:DA47)</f>
        <v>0</v>
      </c>
      <c r="DB37" s="128"/>
      <c r="DC37" s="127"/>
      <c r="DD37" s="223">
        <f>AVERAGE(DD38:DD47)</f>
        <v>0</v>
      </c>
      <c r="DE37" s="128"/>
      <c r="DF37" s="127"/>
      <c r="DG37" s="224">
        <f>AVERAGE(DG38:DG47)</f>
        <v>0</v>
      </c>
      <c r="DH37" s="128"/>
      <c r="DI37" s="127"/>
      <c r="DJ37" s="223">
        <f>AVERAGE(DJ38:DJ47)</f>
        <v>0</v>
      </c>
      <c r="DK37" s="128"/>
      <c r="DL37" s="127"/>
      <c r="DM37" s="223">
        <f>AVERAGE(DM38:DM47)</f>
        <v>0</v>
      </c>
      <c r="DN37" s="128"/>
      <c r="DO37" s="127"/>
      <c r="DP37" s="223">
        <f>AVERAGE(DP38:DP47)</f>
        <v>0</v>
      </c>
      <c r="DQ37" s="128"/>
      <c r="DR37" s="127"/>
      <c r="DS37" s="223">
        <f>AVERAGE(DS38:DS47)</f>
        <v>0</v>
      </c>
      <c r="DT37" s="128"/>
      <c r="DU37" s="127"/>
      <c r="DV37" s="223">
        <f>AVERAGE(DV38:DV47)</f>
        <v>0</v>
      </c>
      <c r="DW37" s="128"/>
      <c r="DX37" s="127"/>
      <c r="DY37" s="223">
        <f>AVERAGE(DY38:DY47)</f>
        <v>0</v>
      </c>
      <c r="DZ37" s="128"/>
      <c r="EA37" s="127"/>
      <c r="EB37" s="223">
        <f>AVERAGE(EB38:EB47)</f>
        <v>0</v>
      </c>
      <c r="EC37" s="128"/>
      <c r="ED37" s="127"/>
      <c r="EE37" s="223">
        <f>AVERAGE(EE38:EE47)</f>
        <v>0</v>
      </c>
      <c r="EF37" s="128"/>
      <c r="EG37" s="127"/>
      <c r="EH37" s="223">
        <f>AVERAGE(EH38:EH47)</f>
        <v>0</v>
      </c>
      <c r="EI37" s="128"/>
      <c r="EJ37" s="127"/>
      <c r="EK37" s="223">
        <f>AVERAGE(EK38:EK47)</f>
        <v>0</v>
      </c>
      <c r="EL37" s="128"/>
      <c r="EM37" s="127"/>
      <c r="EN37" s="223">
        <f>AVERAGE(EN38:EN47)</f>
        <v>0</v>
      </c>
      <c r="EO37" s="128"/>
      <c r="EP37" s="127"/>
      <c r="EQ37" s="223">
        <f>AVERAGE(EQ38:EQ47)</f>
        <v>0</v>
      </c>
      <c r="ER37" s="85">
        <f t="array" ref="ER37">IFERROR(_xlfn.LET(
_xlpm.datos,CHOOSE({1;2;3;4;5;6;7;8;9;10;11;12;13;13;14;15;16;17;18;19;20;21;22;23;23;24;25;26;27;28;29;30;31;32;33;34;35;36;37;38;39;40;41;42;43;44;45;46;47;48},F37,I37,L37,O37,R37,U37,X37,AA37,AD37,AG37,AJ37,AM37,AP37,AS37,AV37,AY37,BB37,BE37,BH37,BK37,BN37,BQ37,BT37,BW37,BZ37,CC37,CF37,CI37,CL37,CO37,CR37,CU37,CX37,DA37,DD37,DG37,DJ37,DM37,DP37,DS37,DV37,DY37,EB37,EE37,EH37,EK37,EN37,EQ37),
AVERAGE(_xlfn._xlws.FILTER(_xlpm.datos,(_xlpm.datos&lt;&gt;0)*(_xlpm.datos&lt;&gt;"")))
),0)</f>
        <v>0</v>
      </c>
      <c r="ES37" s="162" t="str">
        <f t="array" ref="ES37">_xlfn.IFS(ER37&gt;=91.5%,"MENSUAL",ER37&gt;=75%,"QUINCENAL",ER37&lt;75%,"SEMANAL")</f>
        <v>SEMANAL</v>
      </c>
      <c r="ET37" s="239"/>
    </row>
    <row r="38" ht="63.75" customHeight="1" spans="2:150" x14ac:dyDescent="0.25">
      <c r="B38" s="227" t="s">
        <v>204</v>
      </c>
      <c r="C38" s="228"/>
      <c r="D38" s="102"/>
      <c r="E38" s="103">
        <v>5</v>
      </c>
      <c r="F38" s="104">
        <f t="shared" ref="F38:F47" si="237">D38/E38</f>
        <v>0</v>
      </c>
      <c r="G38" s="102"/>
      <c r="H38" s="103">
        <v>5</v>
      </c>
      <c r="I38" s="104">
        <f t="shared" ref="I38:I47" si="238">G38/H38</f>
        <v>0</v>
      </c>
      <c r="J38" s="105"/>
      <c r="K38" s="103">
        <v>5</v>
      </c>
      <c r="L38" s="104">
        <f t="shared" ref="L38:L47" si="239">J38/K38</f>
        <v>0</v>
      </c>
      <c r="M38" s="105"/>
      <c r="N38" s="103">
        <v>5</v>
      </c>
      <c r="O38" s="104">
        <f t="shared" ref="O38:O47" si="240">M38/N38</f>
        <v>0</v>
      </c>
      <c r="P38" s="106"/>
      <c r="Q38" s="107">
        <v>5</v>
      </c>
      <c r="R38" s="104">
        <f t="shared" ref="R38:R47" si="241">P38/Q38</f>
        <v>0</v>
      </c>
      <c r="S38" s="102"/>
      <c r="T38" s="107">
        <v>5</v>
      </c>
      <c r="U38" s="104">
        <f t="shared" ref="U38:U47" si="242">S38/T38</f>
        <v>0</v>
      </c>
      <c r="V38" s="102"/>
      <c r="W38" s="107">
        <v>5</v>
      </c>
      <c r="X38" s="104">
        <f t="shared" ref="X38:X47" si="243">V38/W38</f>
        <v>0</v>
      </c>
      <c r="Y38" s="102"/>
      <c r="Z38" s="107">
        <v>5</v>
      </c>
      <c r="AA38" s="104">
        <f t="shared" ref="AA38:AA47" si="244">Y38/Z38</f>
        <v>0</v>
      </c>
      <c r="AB38" s="106"/>
      <c r="AC38" s="107">
        <v>5</v>
      </c>
      <c r="AD38" s="104">
        <f t="shared" ref="AD38:AD47" si="245">AB38/AC38</f>
        <v>0</v>
      </c>
      <c r="AE38" s="106"/>
      <c r="AF38" s="107">
        <v>5</v>
      </c>
      <c r="AG38" s="104">
        <f t="shared" ref="AG38:AG47" si="246">AE38/AF38</f>
        <v>0</v>
      </c>
      <c r="AH38" s="106"/>
      <c r="AI38" s="107">
        <v>5</v>
      </c>
      <c r="AJ38" s="104">
        <f t="shared" ref="AJ38:AJ47" si="247">AH38/AI38</f>
        <v>0</v>
      </c>
      <c r="AK38" s="106"/>
      <c r="AL38" s="107">
        <v>5</v>
      </c>
      <c r="AM38" s="104">
        <f t="shared" ref="AM38:AM47" si="248">AK38/AL38</f>
        <v>0</v>
      </c>
      <c r="AN38" s="102"/>
      <c r="AO38" s="1">
        <v>5</v>
      </c>
      <c r="AP38" s="104">
        <f t="shared" ref="AP38:AP47" si="249">AN38/AO38</f>
        <v>0</v>
      </c>
      <c r="AQ38" s="102"/>
      <c r="AR38" s="1">
        <v>5</v>
      </c>
      <c r="AS38" s="104">
        <f t="shared" ref="AS38:AS47" si="250">AQ38/AR38</f>
        <v>0</v>
      </c>
      <c r="AT38" s="102"/>
      <c r="AU38" s="1">
        <v>5</v>
      </c>
      <c r="AV38" s="104">
        <f t="shared" ref="AV38:AV47" si="251">AT38/AU38</f>
        <v>0</v>
      </c>
      <c r="AW38" s="102"/>
      <c r="AX38" s="1">
        <v>5</v>
      </c>
      <c r="AY38" s="104">
        <f t="shared" ref="AY38:AY47" si="252">AW38/AX38</f>
        <v>0</v>
      </c>
      <c r="AZ38" s="102"/>
      <c r="BA38" s="1">
        <v>5</v>
      </c>
      <c r="BB38" s="104">
        <f t="shared" ref="BB38:BB47" si="253">AZ38/BA38</f>
        <v>0</v>
      </c>
      <c r="BC38" s="102"/>
      <c r="BD38" s="1">
        <v>5</v>
      </c>
      <c r="BE38" s="104">
        <f t="shared" ref="BE38:BE47" si="254">BC38/BD38</f>
        <v>0</v>
      </c>
      <c r="BF38" s="102"/>
      <c r="BG38" s="1">
        <v>5</v>
      </c>
      <c r="BH38" s="104">
        <f t="shared" ref="BH38:BH47" si="255">BF38/BG38</f>
        <v>0</v>
      </c>
      <c r="BI38" s="102"/>
      <c r="BJ38" s="1">
        <v>5</v>
      </c>
      <c r="BK38" s="104">
        <f t="shared" ref="BK38:BK47" si="256">BI38/BJ38</f>
        <v>0</v>
      </c>
      <c r="BL38" s="102"/>
      <c r="BM38" s="1">
        <v>5</v>
      </c>
      <c r="BN38" s="104">
        <f t="shared" ref="BN38:BN47" si="257">BL38/BM38</f>
        <v>0</v>
      </c>
      <c r="BO38" s="102"/>
      <c r="BP38" s="1">
        <v>5</v>
      </c>
      <c r="BQ38" s="104">
        <f t="shared" ref="BQ38:BQ47" si="258">BO38/BP38</f>
        <v>0</v>
      </c>
      <c r="BR38" s="102"/>
      <c r="BS38" s="1">
        <v>5</v>
      </c>
      <c r="BT38" s="104">
        <f t="shared" ref="BT38:BT47" si="259">BR38/BS38</f>
        <v>0</v>
      </c>
      <c r="BU38" s="102"/>
      <c r="BV38" s="1">
        <v>5</v>
      </c>
      <c r="BW38" s="104">
        <f t="shared" ref="BW38:BW47" si="260">BU38/BV38</f>
        <v>0</v>
      </c>
      <c r="BX38" s="102"/>
      <c r="BY38" s="1">
        <v>5</v>
      </c>
      <c r="BZ38" s="104">
        <f t="shared" ref="BZ38:BZ47" si="261">BX38/BY38</f>
        <v>0</v>
      </c>
      <c r="CA38" s="102"/>
      <c r="CB38" s="1">
        <v>5</v>
      </c>
      <c r="CC38" s="104">
        <f t="shared" ref="CC38:CC47" si="262">CA38/CB38</f>
        <v>0</v>
      </c>
      <c r="CD38" s="102"/>
      <c r="CE38" s="1">
        <v>5</v>
      </c>
      <c r="CF38" s="104">
        <f t="shared" ref="CF38:CF47" si="263">CD38/CE38</f>
        <v>0</v>
      </c>
      <c r="CG38" s="102"/>
      <c r="CH38" s="1">
        <v>5</v>
      </c>
      <c r="CI38" s="104">
        <f t="shared" ref="CI38:CI47" si="264">CG38/CH38</f>
        <v>0</v>
      </c>
      <c r="CJ38" s="102"/>
      <c r="CK38" s="1">
        <v>5</v>
      </c>
      <c r="CL38" s="104">
        <f t="shared" ref="CL38:CL47" si="265">CJ38/CK38</f>
        <v>0</v>
      </c>
      <c r="CM38" s="102"/>
      <c r="CN38" s="1">
        <v>5</v>
      </c>
      <c r="CO38" s="104">
        <f t="shared" ref="CO38:CO47" si="266">CM38/CN38</f>
        <v>0</v>
      </c>
      <c r="CP38" s="102"/>
      <c r="CQ38" s="1">
        <v>5</v>
      </c>
      <c r="CR38" s="104">
        <f t="shared" ref="CR38:CR47" si="267">CP38/CQ38</f>
        <v>0</v>
      </c>
      <c r="CS38" s="102"/>
      <c r="CT38" s="1">
        <v>5</v>
      </c>
      <c r="CU38" s="104">
        <f t="shared" ref="CU38:CU47" si="268">CS38/CT38</f>
        <v>0</v>
      </c>
      <c r="CV38" s="102"/>
      <c r="CW38" s="1">
        <v>5</v>
      </c>
      <c r="CX38" s="104">
        <f t="shared" ref="CX38:CX47" si="269">CV38/CW38</f>
        <v>0</v>
      </c>
      <c r="CY38" s="102"/>
      <c r="CZ38" s="1">
        <v>5</v>
      </c>
      <c r="DA38" s="104">
        <f t="shared" ref="DA38:DA47" si="270">CY38/CZ38</f>
        <v>0</v>
      </c>
      <c r="DB38" s="102"/>
      <c r="DC38" s="1">
        <v>5</v>
      </c>
      <c r="DD38" s="104">
        <f t="shared" ref="DD38:DD47" si="271">DB38/DC38</f>
        <v>0</v>
      </c>
      <c r="DE38" s="102"/>
      <c r="DF38" s="1">
        <v>5</v>
      </c>
      <c r="DG38" s="104">
        <f t="shared" ref="DG38:DG47" si="272">DE38/DF38</f>
        <v>0</v>
      </c>
      <c r="DH38" s="102"/>
      <c r="DI38" s="1">
        <v>5</v>
      </c>
      <c r="DJ38" s="104">
        <f t="shared" ref="DJ38:DJ47" si="273">DH38/DI38</f>
        <v>0</v>
      </c>
      <c r="DK38" s="102"/>
      <c r="DL38" s="1">
        <v>5</v>
      </c>
      <c r="DM38" s="104">
        <f t="shared" ref="DM38:DM47" si="274">DK38/DL38</f>
        <v>0</v>
      </c>
      <c r="DN38" s="102"/>
      <c r="DO38" s="1">
        <v>5</v>
      </c>
      <c r="DP38" s="104">
        <f t="shared" ref="DP38:DP47" si="275">DN38/DO38</f>
        <v>0</v>
      </c>
      <c r="DQ38" s="102"/>
      <c r="DR38" s="1">
        <v>5</v>
      </c>
      <c r="DS38" s="104">
        <f t="shared" ref="DS38:DS47" si="276">DQ38/DR38</f>
        <v>0</v>
      </c>
      <c r="DT38" s="102"/>
      <c r="DU38" s="1">
        <v>5</v>
      </c>
      <c r="DV38" s="104">
        <f t="shared" ref="DV38:DV47" si="277">DT38/DU38</f>
        <v>0</v>
      </c>
      <c r="DW38" s="102"/>
      <c r="DX38" s="1">
        <v>5</v>
      </c>
      <c r="DY38" s="104">
        <f t="shared" ref="DY38:DY47" si="278">DW38/DX38</f>
        <v>0</v>
      </c>
      <c r="DZ38" s="102"/>
      <c r="EA38" s="1">
        <v>5</v>
      </c>
      <c r="EB38" s="104">
        <f t="shared" ref="EB38:EB47" si="279">DZ38/EA38</f>
        <v>0</v>
      </c>
      <c r="EC38" s="102"/>
      <c r="ED38" s="1">
        <v>5</v>
      </c>
      <c r="EE38" s="104">
        <f t="shared" ref="EE38:EE47" si="280">EC38/ED38</f>
        <v>0</v>
      </c>
      <c r="EF38" s="102"/>
      <c r="EG38" s="1">
        <v>5</v>
      </c>
      <c r="EH38" s="104">
        <f t="shared" ref="EH38:EH47" si="281">EF38/EG38</f>
        <v>0</v>
      </c>
      <c r="EI38" s="102"/>
      <c r="EJ38" s="1">
        <v>5</v>
      </c>
      <c r="EK38" s="104">
        <f t="shared" ref="EK38:EK47" si="282">EI38/EJ38</f>
        <v>0</v>
      </c>
      <c r="EL38" s="102"/>
      <c r="EM38" s="1">
        <v>5</v>
      </c>
      <c r="EN38" s="104">
        <f t="shared" ref="EN38:EN47" si="283">EL38/EM38</f>
        <v>0</v>
      </c>
      <c r="EO38" s="90">
        <v>0</v>
      </c>
      <c r="EP38" s="96">
        <v>5</v>
      </c>
      <c r="EQ38" s="104">
        <f t="shared" ref="EQ38:EQ47" si="284">IFERROR(EO38/EP38,0)</f>
        <v>0</v>
      </c>
      <c r="ER38" s="85">
        <f t="array" ref="ER38">IFERROR(_xlfn.LET(
_xlpm.datos,CHOOSE({1;2;3;4;5;6;7;8;9;10;11;12;13;13;14;15;16;17;18;19;20;21;22;23;23;24;25;26;27;28;29;30;31;32;33;34;35;36;37;38;39;40;41;42;43;44;45;46;47;48},F38,I38,L38,O38,R38,U38,X38,AA38,AD38,AG38,AJ38,AM38,AP38,AS38,AV38,AY38,BB38,BE38,BH38,BK38,BN38,BQ38,BT38,BW38,BZ38,CC38,CF38,CI38,CL38,CO38,CR38,CU38,CX38,DA38,DD38,DG38,DJ38,DM38,DP38,DS38,DV38,DY38,EB38,EE38,EH38,EK38,EN38,EQ38),
AVERAGE(_xlfn._xlws.FILTER(_xlpm.datos,(_xlpm.datos&lt;&gt;0)*(_xlpm.datos&lt;&gt;"")))
),0)</f>
        <v>0</v>
      </c>
      <c r="ES38" s="162" t="str">
        <f t="array" ref="ES38">_xlfn.IFS(ER38&gt;=91.5%,"MENSUAL",ER38&gt;=75%,"QUINCENAL",ER38&lt;75%,"SEMANAL")</f>
        <v>SEMANAL</v>
      </c>
      <c r="ET38" s="239"/>
    </row>
    <row r="39" ht="36.75" customHeight="1" spans="2:150" x14ac:dyDescent="0.25">
      <c r="B39" s="171" t="s">
        <v>205</v>
      </c>
      <c r="C39" s="228"/>
      <c r="D39" s="102"/>
      <c r="E39" s="103">
        <v>5</v>
      </c>
      <c r="F39" s="104">
        <f t="shared" si="237"/>
        <v>0</v>
      </c>
      <c r="G39" s="102"/>
      <c r="H39" s="103">
        <v>5</v>
      </c>
      <c r="I39" s="104">
        <f t="shared" si="238"/>
        <v>0</v>
      </c>
      <c r="J39" s="105"/>
      <c r="K39" s="103">
        <v>5</v>
      </c>
      <c r="L39" s="104">
        <f t="shared" si="239"/>
        <v>0</v>
      </c>
      <c r="M39" s="105"/>
      <c r="N39" s="103">
        <v>5</v>
      </c>
      <c r="O39" s="104">
        <f t="shared" si="240"/>
        <v>0</v>
      </c>
      <c r="P39" s="106"/>
      <c r="Q39" s="107">
        <v>5</v>
      </c>
      <c r="R39" s="104">
        <f t="shared" si="241"/>
        <v>0</v>
      </c>
      <c r="S39" s="102"/>
      <c r="T39" s="107">
        <v>5</v>
      </c>
      <c r="U39" s="104">
        <f t="shared" si="242"/>
        <v>0</v>
      </c>
      <c r="V39" s="102"/>
      <c r="W39" s="107">
        <v>5</v>
      </c>
      <c r="X39" s="104">
        <f t="shared" si="243"/>
        <v>0</v>
      </c>
      <c r="Y39" s="102"/>
      <c r="Z39" s="107">
        <v>5</v>
      </c>
      <c r="AA39" s="104">
        <f t="shared" si="244"/>
        <v>0</v>
      </c>
      <c r="AB39" s="106"/>
      <c r="AC39" s="107">
        <v>5</v>
      </c>
      <c r="AD39" s="104">
        <f t="shared" si="245"/>
        <v>0</v>
      </c>
      <c r="AE39" s="106"/>
      <c r="AF39" s="107">
        <v>5</v>
      </c>
      <c r="AG39" s="104">
        <f t="shared" si="246"/>
        <v>0</v>
      </c>
      <c r="AH39" s="106"/>
      <c r="AI39" s="107">
        <v>5</v>
      </c>
      <c r="AJ39" s="104">
        <f t="shared" si="247"/>
        <v>0</v>
      </c>
      <c r="AK39" s="106"/>
      <c r="AL39" s="107">
        <v>5</v>
      </c>
      <c r="AM39" s="104">
        <f t="shared" si="248"/>
        <v>0</v>
      </c>
      <c r="AN39" s="102"/>
      <c r="AO39" s="1">
        <v>5</v>
      </c>
      <c r="AP39" s="104">
        <f t="shared" si="249"/>
        <v>0</v>
      </c>
      <c r="AQ39" s="102"/>
      <c r="AR39" s="1">
        <v>5</v>
      </c>
      <c r="AS39" s="104">
        <f t="shared" si="250"/>
        <v>0</v>
      </c>
      <c r="AT39" s="102"/>
      <c r="AU39" s="1">
        <v>5</v>
      </c>
      <c r="AV39" s="104">
        <f t="shared" si="251"/>
        <v>0</v>
      </c>
      <c r="AW39" s="102"/>
      <c r="AX39" s="1">
        <v>5</v>
      </c>
      <c r="AY39" s="104">
        <f t="shared" si="252"/>
        <v>0</v>
      </c>
      <c r="AZ39" s="102"/>
      <c r="BA39" s="1">
        <v>5</v>
      </c>
      <c r="BB39" s="104">
        <f t="shared" si="253"/>
        <v>0</v>
      </c>
      <c r="BC39" s="102"/>
      <c r="BD39" s="1">
        <v>5</v>
      </c>
      <c r="BE39" s="104">
        <f t="shared" si="254"/>
        <v>0</v>
      </c>
      <c r="BF39" s="102"/>
      <c r="BG39" s="1">
        <v>5</v>
      </c>
      <c r="BH39" s="104">
        <f t="shared" si="255"/>
        <v>0</v>
      </c>
      <c r="BI39" s="102"/>
      <c r="BJ39" s="1">
        <v>5</v>
      </c>
      <c r="BK39" s="104">
        <f t="shared" si="256"/>
        <v>0</v>
      </c>
      <c r="BL39" s="102"/>
      <c r="BM39" s="1">
        <v>5</v>
      </c>
      <c r="BN39" s="104">
        <f t="shared" si="257"/>
        <v>0</v>
      </c>
      <c r="BO39" s="102"/>
      <c r="BP39" s="1">
        <v>5</v>
      </c>
      <c r="BQ39" s="104">
        <f t="shared" si="258"/>
        <v>0</v>
      </c>
      <c r="BR39" s="102"/>
      <c r="BS39" s="1">
        <v>5</v>
      </c>
      <c r="BT39" s="104">
        <f t="shared" si="259"/>
        <v>0</v>
      </c>
      <c r="BU39" s="102"/>
      <c r="BV39" s="1">
        <v>5</v>
      </c>
      <c r="BW39" s="104">
        <f t="shared" si="260"/>
        <v>0</v>
      </c>
      <c r="BX39" s="102"/>
      <c r="BY39" s="1">
        <v>5</v>
      </c>
      <c r="BZ39" s="104">
        <f t="shared" si="261"/>
        <v>0</v>
      </c>
      <c r="CA39" s="102"/>
      <c r="CB39" s="1">
        <v>5</v>
      </c>
      <c r="CC39" s="104">
        <f t="shared" si="262"/>
        <v>0</v>
      </c>
      <c r="CD39" s="102"/>
      <c r="CE39" s="1">
        <v>5</v>
      </c>
      <c r="CF39" s="104">
        <f t="shared" si="263"/>
        <v>0</v>
      </c>
      <c r="CG39" s="102"/>
      <c r="CH39" s="1">
        <v>5</v>
      </c>
      <c r="CI39" s="104">
        <f t="shared" si="264"/>
        <v>0</v>
      </c>
      <c r="CJ39" s="102"/>
      <c r="CK39" s="1">
        <v>5</v>
      </c>
      <c r="CL39" s="104">
        <f t="shared" si="265"/>
        <v>0</v>
      </c>
      <c r="CM39" s="102"/>
      <c r="CN39" s="1">
        <v>5</v>
      </c>
      <c r="CO39" s="104">
        <f t="shared" si="266"/>
        <v>0</v>
      </c>
      <c r="CP39" s="102"/>
      <c r="CQ39" s="1">
        <v>5</v>
      </c>
      <c r="CR39" s="104">
        <f t="shared" si="267"/>
        <v>0</v>
      </c>
      <c r="CS39" s="102"/>
      <c r="CT39" s="1">
        <v>5</v>
      </c>
      <c r="CU39" s="104">
        <f t="shared" si="268"/>
        <v>0</v>
      </c>
      <c r="CV39" s="102"/>
      <c r="CW39" s="1">
        <v>5</v>
      </c>
      <c r="CX39" s="104">
        <f t="shared" si="269"/>
        <v>0</v>
      </c>
      <c r="CY39" s="102"/>
      <c r="CZ39" s="1">
        <v>5</v>
      </c>
      <c r="DA39" s="104">
        <f t="shared" si="270"/>
        <v>0</v>
      </c>
      <c r="DB39" s="102"/>
      <c r="DC39" s="1">
        <v>5</v>
      </c>
      <c r="DD39" s="104">
        <f t="shared" si="271"/>
        <v>0</v>
      </c>
      <c r="DE39" s="102"/>
      <c r="DF39" s="1">
        <v>5</v>
      </c>
      <c r="DG39" s="104">
        <f t="shared" si="272"/>
        <v>0</v>
      </c>
      <c r="DH39" s="102"/>
      <c r="DI39" s="1">
        <v>5</v>
      </c>
      <c r="DJ39" s="104">
        <f t="shared" si="273"/>
        <v>0</v>
      </c>
      <c r="DK39" s="102"/>
      <c r="DL39" s="1">
        <v>5</v>
      </c>
      <c r="DM39" s="104">
        <f t="shared" si="274"/>
        <v>0</v>
      </c>
      <c r="DN39" s="102"/>
      <c r="DO39" s="1">
        <v>5</v>
      </c>
      <c r="DP39" s="104">
        <f t="shared" si="275"/>
        <v>0</v>
      </c>
      <c r="DQ39" s="102"/>
      <c r="DR39" s="1">
        <v>5</v>
      </c>
      <c r="DS39" s="104">
        <f t="shared" si="276"/>
        <v>0</v>
      </c>
      <c r="DT39" s="102"/>
      <c r="DU39" s="1">
        <v>5</v>
      </c>
      <c r="DV39" s="104">
        <f t="shared" si="277"/>
        <v>0</v>
      </c>
      <c r="DW39" s="102"/>
      <c r="DX39" s="1">
        <v>5</v>
      </c>
      <c r="DY39" s="104">
        <f t="shared" si="278"/>
        <v>0</v>
      </c>
      <c r="DZ39" s="102"/>
      <c r="EA39" s="1">
        <v>5</v>
      </c>
      <c r="EB39" s="104">
        <f t="shared" si="279"/>
        <v>0</v>
      </c>
      <c r="EC39" s="102"/>
      <c r="ED39" s="1">
        <v>5</v>
      </c>
      <c r="EE39" s="104">
        <f t="shared" si="280"/>
        <v>0</v>
      </c>
      <c r="EF39" s="102"/>
      <c r="EG39" s="1">
        <v>5</v>
      </c>
      <c r="EH39" s="104">
        <f t="shared" si="281"/>
        <v>0</v>
      </c>
      <c r="EI39" s="102"/>
      <c r="EJ39" s="1">
        <v>5</v>
      </c>
      <c r="EK39" s="104">
        <f t="shared" si="282"/>
        <v>0</v>
      </c>
      <c r="EL39" s="102"/>
      <c r="EM39" s="1">
        <v>5</v>
      </c>
      <c r="EN39" s="104">
        <f t="shared" si="283"/>
        <v>0</v>
      </c>
      <c r="EO39" s="90">
        <v>0</v>
      </c>
      <c r="EP39" s="96">
        <v>5</v>
      </c>
      <c r="EQ39" s="104">
        <f t="shared" si="284"/>
        <v>0</v>
      </c>
      <c r="ER39" s="85">
        <f t="array" ref="ER39">IFERROR(_xlfn.LET(
_xlpm.datos,CHOOSE({1;2;3;4;5;6;7;8;9;10;11;12;13;13;14;15;16;17;18;19;20;21;22;23;23;24;25;26;27;28;29;30;31;32;33;34;35;36;37;38;39;40;41;42;43;44;45;46;47;48},F39,I39,L39,O39,R39,U39,X39,AA39,AD39,AG39,AJ39,AM39,AP39,AS39,AV39,AY39,BB39,BE39,BH39,BK39,BN39,BQ39,BT39,BW39,BZ39,CC39,CF39,CI39,CL39,CO39,CR39,CU39,CX39,DA39,DD39,DG39,DJ39,DM39,DP39,DS39,DV39,DY39,EB39,EE39,EH39,EK39,EN39,EQ39),
AVERAGE(_xlfn._xlws.FILTER(_xlpm.datos,(_xlpm.datos&lt;&gt;0)*(_xlpm.datos&lt;&gt;"")))
),0)</f>
        <v>0</v>
      </c>
      <c r="ES39" s="162" t="str">
        <f t="array" ref="ES39">_xlfn.IFS(ER39&gt;=91.5%,"MENSUAL",ER39&gt;=75%,"QUINCENAL",ER39&lt;75%,"SEMANAL")</f>
        <v>SEMANAL</v>
      </c>
      <c r="ET39" s="239"/>
    </row>
    <row r="40" ht="25.5" customHeight="1" spans="2:150" x14ac:dyDescent="0.25">
      <c r="B40" s="171" t="s">
        <v>206</v>
      </c>
      <c r="C40" s="228"/>
      <c r="D40" s="102"/>
      <c r="E40" s="103">
        <v>5</v>
      </c>
      <c r="F40" s="104">
        <f t="shared" si="237"/>
        <v>0</v>
      </c>
      <c r="G40" s="102"/>
      <c r="H40" s="103">
        <v>5</v>
      </c>
      <c r="I40" s="104">
        <f t="shared" si="238"/>
        <v>0</v>
      </c>
      <c r="J40" s="105"/>
      <c r="K40" s="103">
        <v>5</v>
      </c>
      <c r="L40" s="104">
        <f t="shared" si="239"/>
        <v>0</v>
      </c>
      <c r="M40" s="105"/>
      <c r="N40" s="103">
        <v>5</v>
      </c>
      <c r="O40" s="104">
        <f t="shared" si="240"/>
        <v>0</v>
      </c>
      <c r="P40" s="106"/>
      <c r="Q40" s="107">
        <v>5</v>
      </c>
      <c r="R40" s="104">
        <f t="shared" si="241"/>
        <v>0</v>
      </c>
      <c r="S40" s="102"/>
      <c r="T40" s="107">
        <v>5</v>
      </c>
      <c r="U40" s="104">
        <f t="shared" si="242"/>
        <v>0</v>
      </c>
      <c r="V40" s="102"/>
      <c r="W40" s="107">
        <v>5</v>
      </c>
      <c r="X40" s="104">
        <f t="shared" si="243"/>
        <v>0</v>
      </c>
      <c r="Y40" s="102"/>
      <c r="Z40" s="107">
        <v>5</v>
      </c>
      <c r="AA40" s="104">
        <f t="shared" si="244"/>
        <v>0</v>
      </c>
      <c r="AB40" s="106"/>
      <c r="AC40" s="107">
        <v>5</v>
      </c>
      <c r="AD40" s="104">
        <f t="shared" si="245"/>
        <v>0</v>
      </c>
      <c r="AE40" s="106"/>
      <c r="AF40" s="107">
        <v>5</v>
      </c>
      <c r="AG40" s="104">
        <f t="shared" si="246"/>
        <v>0</v>
      </c>
      <c r="AH40" s="106"/>
      <c r="AI40" s="107">
        <v>5</v>
      </c>
      <c r="AJ40" s="104">
        <f t="shared" si="247"/>
        <v>0</v>
      </c>
      <c r="AK40" s="106"/>
      <c r="AL40" s="107">
        <v>5</v>
      </c>
      <c r="AM40" s="104">
        <f t="shared" si="248"/>
        <v>0</v>
      </c>
      <c r="AN40" s="102"/>
      <c r="AO40" s="1">
        <v>5</v>
      </c>
      <c r="AP40" s="104">
        <f t="shared" si="249"/>
        <v>0</v>
      </c>
      <c r="AQ40" s="102"/>
      <c r="AR40" s="1">
        <v>5</v>
      </c>
      <c r="AS40" s="104">
        <f t="shared" si="250"/>
        <v>0</v>
      </c>
      <c r="AT40" s="102"/>
      <c r="AU40" s="1">
        <v>5</v>
      </c>
      <c r="AV40" s="104">
        <f t="shared" si="251"/>
        <v>0</v>
      </c>
      <c r="AW40" s="102"/>
      <c r="AX40" s="1">
        <v>5</v>
      </c>
      <c r="AY40" s="104">
        <f t="shared" si="252"/>
        <v>0</v>
      </c>
      <c r="AZ40" s="102"/>
      <c r="BA40" s="1">
        <v>5</v>
      </c>
      <c r="BB40" s="104">
        <f t="shared" si="253"/>
        <v>0</v>
      </c>
      <c r="BC40" s="102"/>
      <c r="BD40" s="1">
        <v>5</v>
      </c>
      <c r="BE40" s="104">
        <f t="shared" si="254"/>
        <v>0</v>
      </c>
      <c r="BF40" s="102"/>
      <c r="BG40" s="1">
        <v>5</v>
      </c>
      <c r="BH40" s="104">
        <f t="shared" si="255"/>
        <v>0</v>
      </c>
      <c r="BI40" s="102"/>
      <c r="BJ40" s="1">
        <v>5</v>
      </c>
      <c r="BK40" s="104">
        <f t="shared" si="256"/>
        <v>0</v>
      </c>
      <c r="BL40" s="102"/>
      <c r="BM40" s="1">
        <v>5</v>
      </c>
      <c r="BN40" s="104">
        <f t="shared" si="257"/>
        <v>0</v>
      </c>
      <c r="BO40" s="102"/>
      <c r="BP40" s="1">
        <v>5</v>
      </c>
      <c r="BQ40" s="104">
        <f t="shared" si="258"/>
        <v>0</v>
      </c>
      <c r="BR40" s="102"/>
      <c r="BS40" s="1">
        <v>5</v>
      </c>
      <c r="BT40" s="104">
        <f t="shared" si="259"/>
        <v>0</v>
      </c>
      <c r="BU40" s="102"/>
      <c r="BV40" s="1">
        <v>5</v>
      </c>
      <c r="BW40" s="104">
        <f t="shared" si="260"/>
        <v>0</v>
      </c>
      <c r="BX40" s="102"/>
      <c r="BY40" s="1">
        <v>5</v>
      </c>
      <c r="BZ40" s="104">
        <f t="shared" si="261"/>
        <v>0</v>
      </c>
      <c r="CA40" s="102"/>
      <c r="CB40" s="1">
        <v>5</v>
      </c>
      <c r="CC40" s="104">
        <f t="shared" si="262"/>
        <v>0</v>
      </c>
      <c r="CD40" s="102"/>
      <c r="CE40" s="1">
        <v>5</v>
      </c>
      <c r="CF40" s="104">
        <f t="shared" si="263"/>
        <v>0</v>
      </c>
      <c r="CG40" s="102"/>
      <c r="CH40" s="1">
        <v>5</v>
      </c>
      <c r="CI40" s="104">
        <f t="shared" si="264"/>
        <v>0</v>
      </c>
      <c r="CJ40" s="102"/>
      <c r="CK40" s="1">
        <v>5</v>
      </c>
      <c r="CL40" s="104">
        <f t="shared" si="265"/>
        <v>0</v>
      </c>
      <c r="CM40" s="102"/>
      <c r="CN40" s="1">
        <v>5</v>
      </c>
      <c r="CO40" s="104">
        <f t="shared" si="266"/>
        <v>0</v>
      </c>
      <c r="CP40" s="102"/>
      <c r="CQ40" s="1">
        <v>5</v>
      </c>
      <c r="CR40" s="104">
        <f t="shared" si="267"/>
        <v>0</v>
      </c>
      <c r="CS40" s="102"/>
      <c r="CT40" s="1">
        <v>5</v>
      </c>
      <c r="CU40" s="104">
        <f t="shared" si="268"/>
        <v>0</v>
      </c>
      <c r="CV40" s="102"/>
      <c r="CW40" s="1">
        <v>5</v>
      </c>
      <c r="CX40" s="104">
        <f t="shared" si="269"/>
        <v>0</v>
      </c>
      <c r="CY40" s="102"/>
      <c r="CZ40" s="1">
        <v>5</v>
      </c>
      <c r="DA40" s="104">
        <f t="shared" si="270"/>
        <v>0</v>
      </c>
      <c r="DB40" s="102"/>
      <c r="DC40" s="1">
        <v>5</v>
      </c>
      <c r="DD40" s="104">
        <f t="shared" si="271"/>
        <v>0</v>
      </c>
      <c r="DE40" s="102"/>
      <c r="DF40" s="1">
        <v>5</v>
      </c>
      <c r="DG40" s="104">
        <f t="shared" si="272"/>
        <v>0</v>
      </c>
      <c r="DH40" s="102"/>
      <c r="DI40" s="1">
        <v>5</v>
      </c>
      <c r="DJ40" s="104">
        <f t="shared" si="273"/>
        <v>0</v>
      </c>
      <c r="DK40" s="102"/>
      <c r="DL40" s="1">
        <v>5</v>
      </c>
      <c r="DM40" s="104">
        <f t="shared" si="274"/>
        <v>0</v>
      </c>
      <c r="DN40" s="102"/>
      <c r="DO40" s="1">
        <v>5</v>
      </c>
      <c r="DP40" s="104">
        <f t="shared" si="275"/>
        <v>0</v>
      </c>
      <c r="DQ40" s="102"/>
      <c r="DR40" s="1">
        <v>5</v>
      </c>
      <c r="DS40" s="104">
        <f t="shared" si="276"/>
        <v>0</v>
      </c>
      <c r="DT40" s="102"/>
      <c r="DU40" s="1">
        <v>5</v>
      </c>
      <c r="DV40" s="104">
        <f t="shared" si="277"/>
        <v>0</v>
      </c>
      <c r="DW40" s="102"/>
      <c r="DX40" s="1">
        <v>5</v>
      </c>
      <c r="DY40" s="104">
        <f t="shared" si="278"/>
        <v>0</v>
      </c>
      <c r="DZ40" s="102"/>
      <c r="EA40" s="1">
        <v>5</v>
      </c>
      <c r="EB40" s="104">
        <f t="shared" si="279"/>
        <v>0</v>
      </c>
      <c r="EC40" s="102"/>
      <c r="ED40" s="1">
        <v>5</v>
      </c>
      <c r="EE40" s="104">
        <f t="shared" si="280"/>
        <v>0</v>
      </c>
      <c r="EF40" s="102"/>
      <c r="EG40" s="1">
        <v>5</v>
      </c>
      <c r="EH40" s="104">
        <f t="shared" si="281"/>
        <v>0</v>
      </c>
      <c r="EI40" s="102"/>
      <c r="EJ40" s="1">
        <v>5</v>
      </c>
      <c r="EK40" s="104">
        <f t="shared" si="282"/>
        <v>0</v>
      </c>
      <c r="EL40" s="102"/>
      <c r="EM40" s="1">
        <v>5</v>
      </c>
      <c r="EN40" s="104">
        <f t="shared" si="283"/>
        <v>0</v>
      </c>
      <c r="EO40" s="90">
        <v>0</v>
      </c>
      <c r="EP40" s="96">
        <v>5</v>
      </c>
      <c r="EQ40" s="104">
        <f t="shared" si="284"/>
        <v>0</v>
      </c>
      <c r="ER40" s="85">
        <f t="array" ref="ER40">IFERROR(_xlfn.LET(
_xlpm.datos,CHOOSE({1;2;3;4;5;6;7;8;9;10;11;12;13;13;14;15;16;17;18;19;20;21;22;23;23;24;25;26;27;28;29;30;31;32;33;34;35;36;37;38;39;40;41;42;43;44;45;46;47;48},F40,I40,L40,O40,R40,U40,X40,AA40,AD40,AG40,AJ40,AM40,AP40,AS40,AV40,AY40,BB40,BE40,BH40,BK40,BN40,BQ40,BT40,BW40,BZ40,CC40,CF40,CI40,CL40,CO40,CR40,CU40,CX40,DA40,DD40,DG40,DJ40,DM40,DP40,DS40,DV40,DY40,EB40,EE40,EH40,EK40,EN40,EQ40),
AVERAGE(_xlfn._xlws.FILTER(_xlpm.datos,(_xlpm.datos&lt;&gt;0)*(_xlpm.datos&lt;&gt;"")))
),0)</f>
        <v>0</v>
      </c>
      <c r="ES40" s="162" t="str">
        <f t="array" ref="ES40">_xlfn.IFS(ER40&gt;=91.5%,"MENSUAL",ER40&gt;=75%,"QUINCENAL",ER40&lt;75%,"SEMANAL")</f>
        <v>SEMANAL</v>
      </c>
      <c r="ET40" s="239"/>
    </row>
    <row r="41" ht="24" customHeight="1" spans="2:150" x14ac:dyDescent="0.25">
      <c r="B41" s="171" t="s">
        <v>207</v>
      </c>
      <c r="C41" s="228"/>
      <c r="D41" s="102"/>
      <c r="E41" s="103">
        <v>5</v>
      </c>
      <c r="F41" s="104">
        <f t="shared" si="237"/>
        <v>0</v>
      </c>
      <c r="G41" s="102"/>
      <c r="H41" s="103">
        <v>5</v>
      </c>
      <c r="I41" s="104">
        <f t="shared" si="238"/>
        <v>0</v>
      </c>
      <c r="J41" s="105"/>
      <c r="K41" s="103">
        <v>5</v>
      </c>
      <c r="L41" s="104">
        <f t="shared" si="239"/>
        <v>0</v>
      </c>
      <c r="M41" s="105"/>
      <c r="N41" s="103">
        <v>5</v>
      </c>
      <c r="O41" s="104">
        <f t="shared" si="240"/>
        <v>0</v>
      </c>
      <c r="P41" s="106"/>
      <c r="Q41" s="107">
        <v>5</v>
      </c>
      <c r="R41" s="104">
        <f t="shared" si="241"/>
        <v>0</v>
      </c>
      <c r="S41" s="102"/>
      <c r="T41" s="107">
        <v>5</v>
      </c>
      <c r="U41" s="104">
        <f t="shared" si="242"/>
        <v>0</v>
      </c>
      <c r="V41" s="102"/>
      <c r="W41" s="107">
        <v>5</v>
      </c>
      <c r="X41" s="104">
        <f t="shared" si="243"/>
        <v>0</v>
      </c>
      <c r="Y41" s="102"/>
      <c r="Z41" s="107">
        <v>5</v>
      </c>
      <c r="AA41" s="104">
        <f t="shared" si="244"/>
        <v>0</v>
      </c>
      <c r="AB41" s="106"/>
      <c r="AC41" s="107">
        <v>5</v>
      </c>
      <c r="AD41" s="104">
        <f t="shared" si="245"/>
        <v>0</v>
      </c>
      <c r="AE41" s="106"/>
      <c r="AF41" s="107">
        <v>5</v>
      </c>
      <c r="AG41" s="104">
        <f t="shared" si="246"/>
        <v>0</v>
      </c>
      <c r="AH41" s="106"/>
      <c r="AI41" s="107">
        <v>5</v>
      </c>
      <c r="AJ41" s="104">
        <f t="shared" si="247"/>
        <v>0</v>
      </c>
      <c r="AK41" s="106"/>
      <c r="AL41" s="107">
        <v>5</v>
      </c>
      <c r="AM41" s="104">
        <f t="shared" si="248"/>
        <v>0</v>
      </c>
      <c r="AN41" s="102"/>
      <c r="AO41" s="1">
        <v>5</v>
      </c>
      <c r="AP41" s="104">
        <f t="shared" si="249"/>
        <v>0</v>
      </c>
      <c r="AQ41" s="102"/>
      <c r="AR41" s="1">
        <v>5</v>
      </c>
      <c r="AS41" s="104">
        <f t="shared" si="250"/>
        <v>0</v>
      </c>
      <c r="AT41" s="102"/>
      <c r="AU41" s="1">
        <v>5</v>
      </c>
      <c r="AV41" s="104">
        <f t="shared" si="251"/>
        <v>0</v>
      </c>
      <c r="AW41" s="102"/>
      <c r="AX41" s="1">
        <v>5</v>
      </c>
      <c r="AY41" s="104">
        <f t="shared" si="252"/>
        <v>0</v>
      </c>
      <c r="AZ41" s="102"/>
      <c r="BA41" s="1">
        <v>5</v>
      </c>
      <c r="BB41" s="104">
        <f t="shared" si="253"/>
        <v>0</v>
      </c>
      <c r="BC41" s="102"/>
      <c r="BD41" s="1">
        <v>5</v>
      </c>
      <c r="BE41" s="104">
        <f t="shared" si="254"/>
        <v>0</v>
      </c>
      <c r="BF41" s="102"/>
      <c r="BG41" s="1">
        <v>5</v>
      </c>
      <c r="BH41" s="104">
        <f t="shared" si="255"/>
        <v>0</v>
      </c>
      <c r="BI41" s="102"/>
      <c r="BJ41" s="1">
        <v>5</v>
      </c>
      <c r="BK41" s="104">
        <f t="shared" si="256"/>
        <v>0</v>
      </c>
      <c r="BL41" s="102"/>
      <c r="BM41" s="1">
        <v>5</v>
      </c>
      <c r="BN41" s="104">
        <f t="shared" si="257"/>
        <v>0</v>
      </c>
      <c r="BO41" s="102"/>
      <c r="BP41" s="1">
        <v>5</v>
      </c>
      <c r="BQ41" s="104">
        <f t="shared" si="258"/>
        <v>0</v>
      </c>
      <c r="BR41" s="102"/>
      <c r="BS41" s="1">
        <v>5</v>
      </c>
      <c r="BT41" s="104">
        <f t="shared" si="259"/>
        <v>0</v>
      </c>
      <c r="BU41" s="102"/>
      <c r="BV41" s="1">
        <v>5</v>
      </c>
      <c r="BW41" s="104">
        <f t="shared" si="260"/>
        <v>0</v>
      </c>
      <c r="BX41" s="102"/>
      <c r="BY41" s="1">
        <v>5</v>
      </c>
      <c r="BZ41" s="104">
        <f t="shared" si="261"/>
        <v>0</v>
      </c>
      <c r="CA41" s="102"/>
      <c r="CB41" s="1">
        <v>5</v>
      </c>
      <c r="CC41" s="104">
        <f t="shared" si="262"/>
        <v>0</v>
      </c>
      <c r="CD41" s="102"/>
      <c r="CE41" s="1">
        <v>5</v>
      </c>
      <c r="CF41" s="104">
        <f t="shared" si="263"/>
        <v>0</v>
      </c>
      <c r="CG41" s="102"/>
      <c r="CH41" s="1">
        <v>5</v>
      </c>
      <c r="CI41" s="104">
        <f t="shared" si="264"/>
        <v>0</v>
      </c>
      <c r="CJ41" s="102"/>
      <c r="CK41" s="1">
        <v>5</v>
      </c>
      <c r="CL41" s="104">
        <f t="shared" si="265"/>
        <v>0</v>
      </c>
      <c r="CM41" s="102"/>
      <c r="CN41" s="1">
        <v>5</v>
      </c>
      <c r="CO41" s="104">
        <f t="shared" si="266"/>
        <v>0</v>
      </c>
      <c r="CP41" s="102"/>
      <c r="CQ41" s="1">
        <v>5</v>
      </c>
      <c r="CR41" s="104">
        <f t="shared" si="267"/>
        <v>0</v>
      </c>
      <c r="CS41" s="102"/>
      <c r="CT41" s="1">
        <v>5</v>
      </c>
      <c r="CU41" s="104">
        <f t="shared" si="268"/>
        <v>0</v>
      </c>
      <c r="CV41" s="102"/>
      <c r="CW41" s="1">
        <v>5</v>
      </c>
      <c r="CX41" s="104">
        <f t="shared" si="269"/>
        <v>0</v>
      </c>
      <c r="CY41" s="102"/>
      <c r="CZ41" s="1">
        <v>5</v>
      </c>
      <c r="DA41" s="104">
        <f t="shared" si="270"/>
        <v>0</v>
      </c>
      <c r="DB41" s="102"/>
      <c r="DC41" s="1">
        <v>5</v>
      </c>
      <c r="DD41" s="104">
        <f t="shared" si="271"/>
        <v>0</v>
      </c>
      <c r="DE41" s="102"/>
      <c r="DF41" s="1">
        <v>5</v>
      </c>
      <c r="DG41" s="104">
        <f t="shared" si="272"/>
        <v>0</v>
      </c>
      <c r="DH41" s="102"/>
      <c r="DI41" s="1">
        <v>5</v>
      </c>
      <c r="DJ41" s="104">
        <f t="shared" si="273"/>
        <v>0</v>
      </c>
      <c r="DK41" s="102"/>
      <c r="DL41" s="1">
        <v>5</v>
      </c>
      <c r="DM41" s="104">
        <f t="shared" si="274"/>
        <v>0</v>
      </c>
      <c r="DN41" s="102"/>
      <c r="DO41" s="1">
        <v>5</v>
      </c>
      <c r="DP41" s="104">
        <f t="shared" si="275"/>
        <v>0</v>
      </c>
      <c r="DQ41" s="102"/>
      <c r="DR41" s="1">
        <v>5</v>
      </c>
      <c r="DS41" s="104">
        <f t="shared" si="276"/>
        <v>0</v>
      </c>
      <c r="DT41" s="102"/>
      <c r="DU41" s="1">
        <v>5</v>
      </c>
      <c r="DV41" s="104">
        <f t="shared" si="277"/>
        <v>0</v>
      </c>
      <c r="DW41" s="102"/>
      <c r="DX41" s="1">
        <v>5</v>
      </c>
      <c r="DY41" s="104">
        <f t="shared" si="278"/>
        <v>0</v>
      </c>
      <c r="DZ41" s="102"/>
      <c r="EA41" s="1">
        <v>5</v>
      </c>
      <c r="EB41" s="104">
        <f t="shared" si="279"/>
        <v>0</v>
      </c>
      <c r="EC41" s="102"/>
      <c r="ED41" s="1">
        <v>5</v>
      </c>
      <c r="EE41" s="104">
        <f t="shared" si="280"/>
        <v>0</v>
      </c>
      <c r="EF41" s="102"/>
      <c r="EG41" s="1">
        <v>5</v>
      </c>
      <c r="EH41" s="104">
        <f t="shared" si="281"/>
        <v>0</v>
      </c>
      <c r="EI41" s="102"/>
      <c r="EJ41" s="1">
        <v>5</v>
      </c>
      <c r="EK41" s="104">
        <f t="shared" si="282"/>
        <v>0</v>
      </c>
      <c r="EL41" s="102"/>
      <c r="EM41" s="1">
        <v>5</v>
      </c>
      <c r="EN41" s="104">
        <f t="shared" si="283"/>
        <v>0</v>
      </c>
      <c r="EO41" s="90">
        <v>0</v>
      </c>
      <c r="EP41" s="96">
        <v>5</v>
      </c>
      <c r="EQ41" s="104">
        <f t="shared" si="284"/>
        <v>0</v>
      </c>
      <c r="ER41" s="85">
        <f t="array" ref="ER41">IFERROR(_xlfn.LET(
_xlpm.datos,CHOOSE({1;2;3;4;5;6;7;8;9;10;11;12;13;13;14;15;16;17;18;19;20;21;22;23;23;24;25;26;27;28;29;30;31;32;33;34;35;36;37;38;39;40;41;42;43;44;45;46;47;48},F41,I41,L41,O41,R41,U41,X41,AA41,AD41,AG41,AJ41,AM41,AP41,AS41,AV41,AY41,BB41,BE41,BH41,BK41,BN41,BQ41,BT41,BW41,BZ41,CC41,CF41,CI41,CL41,CO41,CR41,CU41,CX41,DA41,DD41,DG41,DJ41,DM41,DP41,DS41,DV41,DY41,EB41,EE41,EH41,EK41,EN41,EQ41),
AVERAGE(_xlfn._xlws.FILTER(_xlpm.datos,(_xlpm.datos&lt;&gt;0)*(_xlpm.datos&lt;&gt;"")))
),0)</f>
        <v>0</v>
      </c>
      <c r="ES41" s="162" t="str">
        <f t="array" ref="ES41">_xlfn.IFS(ER41&gt;=91.5%,"MENSUAL",ER41&gt;=75%,"QUINCENAL",ER41&lt;75%,"SEMANAL")</f>
        <v>SEMANAL</v>
      </c>
      <c r="ET41" s="239"/>
    </row>
    <row r="42" ht="24" customHeight="1" spans="2:150" x14ac:dyDescent="0.25">
      <c r="B42" s="240" t="s">
        <v>208</v>
      </c>
      <c r="C42" s="228"/>
      <c r="D42" s="102"/>
      <c r="E42" s="103">
        <v>5</v>
      </c>
      <c r="F42" s="104">
        <f t="shared" si="237"/>
        <v>0</v>
      </c>
      <c r="G42" s="102"/>
      <c r="H42" s="103">
        <v>5</v>
      </c>
      <c r="I42" s="104">
        <f t="shared" si="238"/>
        <v>0</v>
      </c>
      <c r="J42" s="105"/>
      <c r="K42" s="103">
        <v>5</v>
      </c>
      <c r="L42" s="104">
        <f t="shared" si="239"/>
        <v>0</v>
      </c>
      <c r="M42" s="105"/>
      <c r="N42" s="103">
        <v>5</v>
      </c>
      <c r="O42" s="104">
        <f t="shared" si="240"/>
        <v>0</v>
      </c>
      <c r="P42" s="106"/>
      <c r="Q42" s="107">
        <v>5</v>
      </c>
      <c r="R42" s="104">
        <f t="shared" si="241"/>
        <v>0</v>
      </c>
      <c r="S42" s="102"/>
      <c r="T42" s="107">
        <v>5</v>
      </c>
      <c r="U42" s="104">
        <f t="shared" si="242"/>
        <v>0</v>
      </c>
      <c r="V42" s="102"/>
      <c r="W42" s="107">
        <v>5</v>
      </c>
      <c r="X42" s="104">
        <f t="shared" si="243"/>
        <v>0</v>
      </c>
      <c r="Y42" s="102"/>
      <c r="Z42" s="107">
        <v>5</v>
      </c>
      <c r="AA42" s="104">
        <f t="shared" si="244"/>
        <v>0</v>
      </c>
      <c r="AB42" s="106"/>
      <c r="AC42" s="107">
        <v>5</v>
      </c>
      <c r="AD42" s="104">
        <f t="shared" si="245"/>
        <v>0</v>
      </c>
      <c r="AE42" s="106"/>
      <c r="AF42" s="107">
        <v>5</v>
      </c>
      <c r="AG42" s="104">
        <f t="shared" si="246"/>
        <v>0</v>
      </c>
      <c r="AH42" s="106"/>
      <c r="AI42" s="107">
        <v>5</v>
      </c>
      <c r="AJ42" s="104">
        <f t="shared" si="247"/>
        <v>0</v>
      </c>
      <c r="AK42" s="106"/>
      <c r="AL42" s="107">
        <v>5</v>
      </c>
      <c r="AM42" s="104">
        <f t="shared" si="248"/>
        <v>0</v>
      </c>
      <c r="AN42" s="102"/>
      <c r="AO42" s="1">
        <v>5</v>
      </c>
      <c r="AP42" s="104">
        <f t="shared" si="249"/>
        <v>0</v>
      </c>
      <c r="AQ42" s="102"/>
      <c r="AR42" s="1">
        <v>5</v>
      </c>
      <c r="AS42" s="104">
        <f t="shared" si="250"/>
        <v>0</v>
      </c>
      <c r="AT42" s="102"/>
      <c r="AU42" s="1">
        <v>5</v>
      </c>
      <c r="AV42" s="104">
        <f t="shared" si="251"/>
        <v>0</v>
      </c>
      <c r="AW42" s="102"/>
      <c r="AX42" s="1">
        <v>5</v>
      </c>
      <c r="AY42" s="104">
        <f t="shared" si="252"/>
        <v>0</v>
      </c>
      <c r="AZ42" s="102"/>
      <c r="BA42" s="1">
        <v>5</v>
      </c>
      <c r="BB42" s="104">
        <f t="shared" si="253"/>
        <v>0</v>
      </c>
      <c r="BC42" s="102"/>
      <c r="BD42" s="1">
        <v>5</v>
      </c>
      <c r="BE42" s="104">
        <f t="shared" si="254"/>
        <v>0</v>
      </c>
      <c r="BF42" s="102"/>
      <c r="BG42" s="1">
        <v>5</v>
      </c>
      <c r="BH42" s="104">
        <f t="shared" si="255"/>
        <v>0</v>
      </c>
      <c r="BI42" s="102"/>
      <c r="BJ42" s="1">
        <v>5</v>
      </c>
      <c r="BK42" s="104">
        <f t="shared" si="256"/>
        <v>0</v>
      </c>
      <c r="BL42" s="102"/>
      <c r="BM42" s="1">
        <v>5</v>
      </c>
      <c r="BN42" s="104">
        <f t="shared" si="257"/>
        <v>0</v>
      </c>
      <c r="BO42" s="102"/>
      <c r="BP42" s="1">
        <v>5</v>
      </c>
      <c r="BQ42" s="104">
        <f t="shared" si="258"/>
        <v>0</v>
      </c>
      <c r="BR42" s="102"/>
      <c r="BS42" s="1">
        <v>5</v>
      </c>
      <c r="BT42" s="104">
        <f t="shared" si="259"/>
        <v>0</v>
      </c>
      <c r="BU42" s="102"/>
      <c r="BV42" s="1">
        <v>5</v>
      </c>
      <c r="BW42" s="104">
        <f t="shared" si="260"/>
        <v>0</v>
      </c>
      <c r="BX42" s="102"/>
      <c r="BY42" s="1">
        <v>5</v>
      </c>
      <c r="BZ42" s="104">
        <f t="shared" si="261"/>
        <v>0</v>
      </c>
      <c r="CA42" s="102"/>
      <c r="CB42" s="1">
        <v>5</v>
      </c>
      <c r="CC42" s="104">
        <f t="shared" si="262"/>
        <v>0</v>
      </c>
      <c r="CD42" s="102"/>
      <c r="CE42" s="1">
        <v>5</v>
      </c>
      <c r="CF42" s="104">
        <f t="shared" si="263"/>
        <v>0</v>
      </c>
      <c r="CG42" s="102"/>
      <c r="CH42" s="1">
        <v>5</v>
      </c>
      <c r="CI42" s="104">
        <f t="shared" si="264"/>
        <v>0</v>
      </c>
      <c r="CJ42" s="102"/>
      <c r="CK42" s="1">
        <v>5</v>
      </c>
      <c r="CL42" s="104">
        <f t="shared" si="265"/>
        <v>0</v>
      </c>
      <c r="CM42" s="102"/>
      <c r="CN42" s="1">
        <v>5</v>
      </c>
      <c r="CO42" s="104">
        <f t="shared" si="266"/>
        <v>0</v>
      </c>
      <c r="CP42" s="102"/>
      <c r="CQ42" s="1">
        <v>5</v>
      </c>
      <c r="CR42" s="104">
        <f t="shared" si="267"/>
        <v>0</v>
      </c>
      <c r="CS42" s="102"/>
      <c r="CT42" s="1">
        <v>5</v>
      </c>
      <c r="CU42" s="104">
        <f t="shared" si="268"/>
        <v>0</v>
      </c>
      <c r="CV42" s="102"/>
      <c r="CW42" s="1">
        <v>5</v>
      </c>
      <c r="CX42" s="104">
        <f t="shared" si="269"/>
        <v>0</v>
      </c>
      <c r="CY42" s="102"/>
      <c r="CZ42" s="1">
        <v>5</v>
      </c>
      <c r="DA42" s="104">
        <f t="shared" si="270"/>
        <v>0</v>
      </c>
      <c r="DB42" s="102"/>
      <c r="DC42" s="1">
        <v>5</v>
      </c>
      <c r="DD42" s="104">
        <f t="shared" si="271"/>
        <v>0</v>
      </c>
      <c r="DE42" s="102"/>
      <c r="DF42" s="1">
        <v>5</v>
      </c>
      <c r="DG42" s="104">
        <f t="shared" si="272"/>
        <v>0</v>
      </c>
      <c r="DH42" s="102"/>
      <c r="DI42" s="1">
        <v>5</v>
      </c>
      <c r="DJ42" s="104">
        <f t="shared" si="273"/>
        <v>0</v>
      </c>
      <c r="DK42" s="102"/>
      <c r="DL42" s="1">
        <v>5</v>
      </c>
      <c r="DM42" s="104">
        <f t="shared" si="274"/>
        <v>0</v>
      </c>
      <c r="DN42" s="102"/>
      <c r="DO42" s="1">
        <v>5</v>
      </c>
      <c r="DP42" s="104">
        <f t="shared" si="275"/>
        <v>0</v>
      </c>
      <c r="DQ42" s="102"/>
      <c r="DR42" s="1">
        <v>5</v>
      </c>
      <c r="DS42" s="104">
        <f t="shared" si="276"/>
        <v>0</v>
      </c>
      <c r="DT42" s="102"/>
      <c r="DU42" s="1">
        <v>5</v>
      </c>
      <c r="DV42" s="104">
        <f t="shared" si="277"/>
        <v>0</v>
      </c>
      <c r="DW42" s="102"/>
      <c r="DX42" s="1">
        <v>5</v>
      </c>
      <c r="DY42" s="104">
        <f t="shared" si="278"/>
        <v>0</v>
      </c>
      <c r="DZ42" s="102"/>
      <c r="EA42" s="1">
        <v>5</v>
      </c>
      <c r="EB42" s="104">
        <f t="shared" si="279"/>
        <v>0</v>
      </c>
      <c r="EC42" s="102"/>
      <c r="ED42" s="1">
        <v>5</v>
      </c>
      <c r="EE42" s="104">
        <f t="shared" si="280"/>
        <v>0</v>
      </c>
      <c r="EF42" s="102"/>
      <c r="EG42" s="1">
        <v>5</v>
      </c>
      <c r="EH42" s="104">
        <f t="shared" si="281"/>
        <v>0</v>
      </c>
      <c r="EI42" s="102"/>
      <c r="EJ42" s="1">
        <v>5</v>
      </c>
      <c r="EK42" s="104">
        <f t="shared" si="282"/>
        <v>0</v>
      </c>
      <c r="EL42" s="102"/>
      <c r="EM42" s="1">
        <v>5</v>
      </c>
      <c r="EN42" s="104">
        <f t="shared" si="283"/>
        <v>0</v>
      </c>
      <c r="EO42" s="90">
        <v>0</v>
      </c>
      <c r="EP42" s="96">
        <v>5</v>
      </c>
      <c r="EQ42" s="104">
        <f t="shared" si="284"/>
        <v>0</v>
      </c>
      <c r="ER42" s="85">
        <f t="array" ref="ER42">IFERROR(_xlfn.LET(
_xlpm.datos,CHOOSE({1;2;3;4;5;6;7;8;9;10;11;12;13;13;14;15;16;17;18;19;20;21;22;23;23;24;25;26;27;28;29;30;31;32;33;34;35;36;37;38;39;40;41;42;43;44;45;46;47;48},F42,I42,L42,O42,R42,U42,X42,AA42,AD42,AG42,AJ42,AM42,AP42,AS42,AV42,AY42,BB42,BE42,BH42,BK42,BN42,BQ42,BT42,BW42,BZ42,CC42,CF42,CI42,CL42,CO42,CR42,CU42,CX42,DA42,DD42,DG42,DJ42,DM42,DP42,DS42,DV42,DY42,EB42,EE42,EH42,EK42,EN42,EQ42),
AVERAGE(_xlfn._xlws.FILTER(_xlpm.datos,(_xlpm.datos&lt;&gt;0)*(_xlpm.datos&lt;&gt;"")))
),0)</f>
        <v>0</v>
      </c>
      <c r="ES42" s="162" t="str">
        <f t="array" ref="ES42">_xlfn.IFS(ER42&gt;=91.5%,"MENSUAL",ER42&gt;=75%,"QUINCENAL",ER42&lt;75%,"SEMANAL")</f>
        <v>SEMANAL</v>
      </c>
      <c r="ET42" s="239"/>
    </row>
    <row r="43" ht="22.5" customHeight="1" spans="2:150" x14ac:dyDescent="0.25">
      <c r="B43" s="171" t="s">
        <v>118</v>
      </c>
      <c r="C43" s="228"/>
      <c r="D43" s="102"/>
      <c r="E43" s="103">
        <v>5</v>
      </c>
      <c r="F43" s="104">
        <f t="shared" si="237"/>
        <v>0</v>
      </c>
      <c r="G43" s="102"/>
      <c r="H43" s="103">
        <v>5</v>
      </c>
      <c r="I43" s="104">
        <f t="shared" si="238"/>
        <v>0</v>
      </c>
      <c r="J43" s="105"/>
      <c r="K43" s="103">
        <v>5</v>
      </c>
      <c r="L43" s="104">
        <f t="shared" si="239"/>
        <v>0</v>
      </c>
      <c r="M43" s="105"/>
      <c r="N43" s="103">
        <v>5</v>
      </c>
      <c r="O43" s="104">
        <f t="shared" si="240"/>
        <v>0</v>
      </c>
      <c r="P43" s="106"/>
      <c r="Q43" s="107">
        <v>5</v>
      </c>
      <c r="R43" s="104">
        <f t="shared" si="241"/>
        <v>0</v>
      </c>
      <c r="S43" s="102"/>
      <c r="T43" s="107">
        <v>5</v>
      </c>
      <c r="U43" s="104">
        <f t="shared" si="242"/>
        <v>0</v>
      </c>
      <c r="V43" s="102"/>
      <c r="W43" s="107">
        <v>5</v>
      </c>
      <c r="X43" s="104">
        <f t="shared" si="243"/>
        <v>0</v>
      </c>
      <c r="Y43" s="102"/>
      <c r="Z43" s="107">
        <v>5</v>
      </c>
      <c r="AA43" s="104">
        <f t="shared" si="244"/>
        <v>0</v>
      </c>
      <c r="AB43" s="106"/>
      <c r="AC43" s="107">
        <v>5</v>
      </c>
      <c r="AD43" s="104">
        <f t="shared" si="245"/>
        <v>0</v>
      </c>
      <c r="AE43" s="106"/>
      <c r="AF43" s="107">
        <v>5</v>
      </c>
      <c r="AG43" s="104">
        <f t="shared" si="246"/>
        <v>0</v>
      </c>
      <c r="AH43" s="106"/>
      <c r="AI43" s="107">
        <v>5</v>
      </c>
      <c r="AJ43" s="104">
        <f t="shared" si="247"/>
        <v>0</v>
      </c>
      <c r="AK43" s="106"/>
      <c r="AL43" s="107">
        <v>5</v>
      </c>
      <c r="AM43" s="104">
        <f t="shared" si="248"/>
        <v>0</v>
      </c>
      <c r="AN43" s="102"/>
      <c r="AO43" s="1">
        <v>5</v>
      </c>
      <c r="AP43" s="104">
        <f t="shared" si="249"/>
        <v>0</v>
      </c>
      <c r="AQ43" s="102"/>
      <c r="AR43" s="1">
        <v>5</v>
      </c>
      <c r="AS43" s="104">
        <f t="shared" si="250"/>
        <v>0</v>
      </c>
      <c r="AT43" s="102"/>
      <c r="AU43" s="1">
        <v>5</v>
      </c>
      <c r="AV43" s="104">
        <f t="shared" si="251"/>
        <v>0</v>
      </c>
      <c r="AW43" s="102"/>
      <c r="AX43" s="1">
        <v>5</v>
      </c>
      <c r="AY43" s="104">
        <f t="shared" si="252"/>
        <v>0</v>
      </c>
      <c r="AZ43" s="102"/>
      <c r="BA43" s="1">
        <v>5</v>
      </c>
      <c r="BB43" s="104">
        <f t="shared" si="253"/>
        <v>0</v>
      </c>
      <c r="BC43" s="102"/>
      <c r="BD43" s="1">
        <v>5</v>
      </c>
      <c r="BE43" s="104">
        <f t="shared" si="254"/>
        <v>0</v>
      </c>
      <c r="BF43" s="102"/>
      <c r="BG43" s="1">
        <v>5</v>
      </c>
      <c r="BH43" s="104">
        <f t="shared" si="255"/>
        <v>0</v>
      </c>
      <c r="BI43" s="102"/>
      <c r="BJ43" s="1">
        <v>5</v>
      </c>
      <c r="BK43" s="104">
        <f t="shared" si="256"/>
        <v>0</v>
      </c>
      <c r="BL43" s="102"/>
      <c r="BM43" s="1">
        <v>5</v>
      </c>
      <c r="BN43" s="104">
        <f t="shared" si="257"/>
        <v>0</v>
      </c>
      <c r="BO43" s="102"/>
      <c r="BP43" s="1">
        <v>5</v>
      </c>
      <c r="BQ43" s="104">
        <f t="shared" si="258"/>
        <v>0</v>
      </c>
      <c r="BR43" s="102"/>
      <c r="BS43" s="1">
        <v>5</v>
      </c>
      <c r="BT43" s="104">
        <f t="shared" si="259"/>
        <v>0</v>
      </c>
      <c r="BU43" s="102"/>
      <c r="BV43" s="1">
        <v>5</v>
      </c>
      <c r="BW43" s="104">
        <f t="shared" si="260"/>
        <v>0</v>
      </c>
      <c r="BX43" s="102"/>
      <c r="BY43" s="1">
        <v>5</v>
      </c>
      <c r="BZ43" s="104">
        <f t="shared" si="261"/>
        <v>0</v>
      </c>
      <c r="CA43" s="102"/>
      <c r="CB43" s="1">
        <v>5</v>
      </c>
      <c r="CC43" s="104">
        <f t="shared" si="262"/>
        <v>0</v>
      </c>
      <c r="CD43" s="102"/>
      <c r="CE43" s="1">
        <v>5</v>
      </c>
      <c r="CF43" s="104">
        <f t="shared" si="263"/>
        <v>0</v>
      </c>
      <c r="CG43" s="102"/>
      <c r="CH43" s="1">
        <v>5</v>
      </c>
      <c r="CI43" s="104">
        <f t="shared" si="264"/>
        <v>0</v>
      </c>
      <c r="CJ43" s="102"/>
      <c r="CK43" s="1">
        <v>5</v>
      </c>
      <c r="CL43" s="104">
        <f t="shared" si="265"/>
        <v>0</v>
      </c>
      <c r="CM43" s="102"/>
      <c r="CN43" s="1">
        <v>5</v>
      </c>
      <c r="CO43" s="104">
        <f t="shared" si="266"/>
        <v>0</v>
      </c>
      <c r="CP43" s="102"/>
      <c r="CQ43" s="1">
        <v>5</v>
      </c>
      <c r="CR43" s="104">
        <f t="shared" si="267"/>
        <v>0</v>
      </c>
      <c r="CS43" s="102"/>
      <c r="CT43" s="1">
        <v>5</v>
      </c>
      <c r="CU43" s="104">
        <f t="shared" si="268"/>
        <v>0</v>
      </c>
      <c r="CV43" s="102"/>
      <c r="CW43" s="1">
        <v>5</v>
      </c>
      <c r="CX43" s="104">
        <f t="shared" si="269"/>
        <v>0</v>
      </c>
      <c r="CY43" s="102"/>
      <c r="CZ43" s="1">
        <v>5</v>
      </c>
      <c r="DA43" s="104">
        <f t="shared" si="270"/>
        <v>0</v>
      </c>
      <c r="DB43" s="102"/>
      <c r="DC43" s="1">
        <v>5</v>
      </c>
      <c r="DD43" s="104">
        <f t="shared" si="271"/>
        <v>0</v>
      </c>
      <c r="DE43" s="102"/>
      <c r="DF43" s="1">
        <v>5</v>
      </c>
      <c r="DG43" s="104">
        <f t="shared" si="272"/>
        <v>0</v>
      </c>
      <c r="DH43" s="102"/>
      <c r="DI43" s="1">
        <v>5</v>
      </c>
      <c r="DJ43" s="104">
        <f t="shared" si="273"/>
        <v>0</v>
      </c>
      <c r="DK43" s="102"/>
      <c r="DL43" s="1">
        <v>5</v>
      </c>
      <c r="DM43" s="104">
        <f t="shared" si="274"/>
        <v>0</v>
      </c>
      <c r="DN43" s="102"/>
      <c r="DO43" s="1">
        <v>5</v>
      </c>
      <c r="DP43" s="104">
        <f t="shared" si="275"/>
        <v>0</v>
      </c>
      <c r="DQ43" s="102"/>
      <c r="DR43" s="1">
        <v>5</v>
      </c>
      <c r="DS43" s="104">
        <f t="shared" si="276"/>
        <v>0</v>
      </c>
      <c r="DT43" s="102"/>
      <c r="DU43" s="1">
        <v>5</v>
      </c>
      <c r="DV43" s="104">
        <f t="shared" si="277"/>
        <v>0</v>
      </c>
      <c r="DW43" s="102"/>
      <c r="DX43" s="1">
        <v>5</v>
      </c>
      <c r="DY43" s="104">
        <f t="shared" si="278"/>
        <v>0</v>
      </c>
      <c r="DZ43" s="102"/>
      <c r="EA43" s="1">
        <v>5</v>
      </c>
      <c r="EB43" s="104">
        <f t="shared" si="279"/>
        <v>0</v>
      </c>
      <c r="EC43" s="102"/>
      <c r="ED43" s="1">
        <v>5</v>
      </c>
      <c r="EE43" s="104">
        <f t="shared" si="280"/>
        <v>0</v>
      </c>
      <c r="EF43" s="102"/>
      <c r="EG43" s="1">
        <v>5</v>
      </c>
      <c r="EH43" s="104">
        <f t="shared" si="281"/>
        <v>0</v>
      </c>
      <c r="EI43" s="102"/>
      <c r="EJ43" s="1">
        <v>5</v>
      </c>
      <c r="EK43" s="104">
        <f t="shared" si="282"/>
        <v>0</v>
      </c>
      <c r="EL43" s="102"/>
      <c r="EM43" s="1">
        <v>5</v>
      </c>
      <c r="EN43" s="104">
        <f t="shared" si="283"/>
        <v>0</v>
      </c>
      <c r="EO43" s="90">
        <v>0</v>
      </c>
      <c r="EP43" s="96">
        <v>5</v>
      </c>
      <c r="EQ43" s="104">
        <f t="shared" si="284"/>
        <v>0</v>
      </c>
      <c r="ER43" s="85">
        <f t="array" ref="ER43">IFERROR(_xlfn.LET(
_xlpm.datos,CHOOSE({1;2;3;4;5;6;7;8;9;10;11;12;13;13;14;15;16;17;18;19;20;21;22;23;23;24;25;26;27;28;29;30;31;32;33;34;35;36;37;38;39;40;41;42;43;44;45;46;47;48},F43,I43,L43,O43,R43,U43,X43,AA43,AD43,AG43,AJ43,AM43,AP43,AS43,AV43,AY43,BB43,BE43,BH43,BK43,BN43,BQ43,BT43,BW43,BZ43,CC43,CF43,CI43,CL43,CO43,CR43,CU43,CX43,DA43,DD43,DG43,DJ43,DM43,DP43,DS43,DV43,DY43,EB43,EE43,EH43,EK43,EN43,EQ43),
AVERAGE(_xlfn._xlws.FILTER(_xlpm.datos,(_xlpm.datos&lt;&gt;0)*(_xlpm.datos&lt;&gt;"")))
),0)</f>
        <v>0</v>
      </c>
      <c r="ES43" s="162" t="str">
        <f t="array" ref="ES43">_xlfn.IFS(ER43&gt;=91.5%,"MENSUAL",ER43&gt;=75%,"QUINCENAL",ER43&lt;75%,"SEMANAL")</f>
        <v>SEMANAL</v>
      </c>
      <c r="ET43" s="239"/>
    </row>
    <row r="44" ht="31.5" customHeight="1" spans="2:150" x14ac:dyDescent="0.25">
      <c r="B44" s="171" t="s">
        <v>209</v>
      </c>
      <c r="C44" s="228"/>
      <c r="D44" s="102"/>
      <c r="E44" s="103">
        <v>5</v>
      </c>
      <c r="F44" s="104">
        <f t="shared" si="237"/>
        <v>0</v>
      </c>
      <c r="G44" s="102"/>
      <c r="H44" s="103">
        <v>5</v>
      </c>
      <c r="I44" s="104">
        <f t="shared" si="238"/>
        <v>0</v>
      </c>
      <c r="J44" s="105"/>
      <c r="K44" s="103">
        <v>5</v>
      </c>
      <c r="L44" s="104">
        <f t="shared" si="239"/>
        <v>0</v>
      </c>
      <c r="M44" s="105"/>
      <c r="N44" s="103">
        <v>5</v>
      </c>
      <c r="O44" s="104">
        <f t="shared" si="240"/>
        <v>0</v>
      </c>
      <c r="P44" s="106"/>
      <c r="Q44" s="107">
        <v>5</v>
      </c>
      <c r="R44" s="104">
        <f t="shared" si="241"/>
        <v>0</v>
      </c>
      <c r="S44" s="102"/>
      <c r="T44" s="107">
        <v>5</v>
      </c>
      <c r="U44" s="104">
        <f t="shared" si="242"/>
        <v>0</v>
      </c>
      <c r="V44" s="102"/>
      <c r="W44" s="107">
        <v>5</v>
      </c>
      <c r="X44" s="104">
        <f t="shared" si="243"/>
        <v>0</v>
      </c>
      <c r="Y44" s="102"/>
      <c r="Z44" s="107">
        <v>5</v>
      </c>
      <c r="AA44" s="104">
        <f t="shared" si="244"/>
        <v>0</v>
      </c>
      <c r="AB44" s="106"/>
      <c r="AC44" s="107">
        <v>5</v>
      </c>
      <c r="AD44" s="104">
        <f t="shared" si="245"/>
        <v>0</v>
      </c>
      <c r="AE44" s="106"/>
      <c r="AF44" s="107">
        <v>5</v>
      </c>
      <c r="AG44" s="104">
        <f t="shared" si="246"/>
        <v>0</v>
      </c>
      <c r="AH44" s="106"/>
      <c r="AI44" s="107">
        <v>5</v>
      </c>
      <c r="AJ44" s="104">
        <f t="shared" si="247"/>
        <v>0</v>
      </c>
      <c r="AK44" s="106"/>
      <c r="AL44" s="107">
        <v>5</v>
      </c>
      <c r="AM44" s="104">
        <f t="shared" si="248"/>
        <v>0</v>
      </c>
      <c r="AN44" s="102"/>
      <c r="AO44" s="1">
        <v>5</v>
      </c>
      <c r="AP44" s="104">
        <f t="shared" si="249"/>
        <v>0</v>
      </c>
      <c r="AQ44" s="102"/>
      <c r="AR44" s="1">
        <v>5</v>
      </c>
      <c r="AS44" s="104">
        <f t="shared" si="250"/>
        <v>0</v>
      </c>
      <c r="AT44" s="102"/>
      <c r="AU44" s="1">
        <v>5</v>
      </c>
      <c r="AV44" s="104">
        <f t="shared" si="251"/>
        <v>0</v>
      </c>
      <c r="AW44" s="102"/>
      <c r="AX44" s="1">
        <v>5</v>
      </c>
      <c r="AY44" s="104">
        <f t="shared" si="252"/>
        <v>0</v>
      </c>
      <c r="AZ44" s="102"/>
      <c r="BA44" s="1">
        <v>5</v>
      </c>
      <c r="BB44" s="104">
        <f t="shared" si="253"/>
        <v>0</v>
      </c>
      <c r="BC44" s="102"/>
      <c r="BD44" s="1">
        <v>5</v>
      </c>
      <c r="BE44" s="104">
        <f t="shared" si="254"/>
        <v>0</v>
      </c>
      <c r="BF44" s="102"/>
      <c r="BG44" s="1">
        <v>5</v>
      </c>
      <c r="BH44" s="104">
        <f t="shared" si="255"/>
        <v>0</v>
      </c>
      <c r="BI44" s="102"/>
      <c r="BJ44" s="1">
        <v>5</v>
      </c>
      <c r="BK44" s="104">
        <f t="shared" si="256"/>
        <v>0</v>
      </c>
      <c r="BL44" s="102"/>
      <c r="BM44" s="1">
        <v>5</v>
      </c>
      <c r="BN44" s="104">
        <f t="shared" si="257"/>
        <v>0</v>
      </c>
      <c r="BO44" s="102"/>
      <c r="BP44" s="1">
        <v>5</v>
      </c>
      <c r="BQ44" s="104">
        <f t="shared" si="258"/>
        <v>0</v>
      </c>
      <c r="BR44" s="102"/>
      <c r="BS44" s="1">
        <v>5</v>
      </c>
      <c r="BT44" s="104">
        <f t="shared" si="259"/>
        <v>0</v>
      </c>
      <c r="BU44" s="102"/>
      <c r="BV44" s="1">
        <v>5</v>
      </c>
      <c r="BW44" s="104">
        <f t="shared" si="260"/>
        <v>0</v>
      </c>
      <c r="BX44" s="102"/>
      <c r="BY44" s="1">
        <v>5</v>
      </c>
      <c r="BZ44" s="104">
        <f t="shared" si="261"/>
        <v>0</v>
      </c>
      <c r="CA44" s="102"/>
      <c r="CB44" s="1">
        <v>5</v>
      </c>
      <c r="CC44" s="104">
        <f t="shared" si="262"/>
        <v>0</v>
      </c>
      <c r="CD44" s="102"/>
      <c r="CE44" s="1">
        <v>5</v>
      </c>
      <c r="CF44" s="104">
        <f t="shared" si="263"/>
        <v>0</v>
      </c>
      <c r="CG44" s="102"/>
      <c r="CH44" s="1">
        <v>5</v>
      </c>
      <c r="CI44" s="104">
        <f t="shared" si="264"/>
        <v>0</v>
      </c>
      <c r="CJ44" s="102"/>
      <c r="CK44" s="1">
        <v>5</v>
      </c>
      <c r="CL44" s="104">
        <f t="shared" si="265"/>
        <v>0</v>
      </c>
      <c r="CM44" s="102"/>
      <c r="CN44" s="1">
        <v>5</v>
      </c>
      <c r="CO44" s="104">
        <f t="shared" si="266"/>
        <v>0</v>
      </c>
      <c r="CP44" s="102"/>
      <c r="CQ44" s="1">
        <v>5</v>
      </c>
      <c r="CR44" s="104">
        <f t="shared" si="267"/>
        <v>0</v>
      </c>
      <c r="CS44" s="102"/>
      <c r="CT44" s="1">
        <v>5</v>
      </c>
      <c r="CU44" s="104">
        <f t="shared" si="268"/>
        <v>0</v>
      </c>
      <c r="CV44" s="102"/>
      <c r="CW44" s="1">
        <v>5</v>
      </c>
      <c r="CX44" s="104">
        <f t="shared" si="269"/>
        <v>0</v>
      </c>
      <c r="CY44" s="102"/>
      <c r="CZ44" s="1">
        <v>5</v>
      </c>
      <c r="DA44" s="104">
        <f t="shared" si="270"/>
        <v>0</v>
      </c>
      <c r="DB44" s="102"/>
      <c r="DC44" s="1">
        <v>5</v>
      </c>
      <c r="DD44" s="104">
        <f t="shared" si="271"/>
        <v>0</v>
      </c>
      <c r="DE44" s="102"/>
      <c r="DF44" s="1">
        <v>5</v>
      </c>
      <c r="DG44" s="104">
        <f t="shared" si="272"/>
        <v>0</v>
      </c>
      <c r="DH44" s="102"/>
      <c r="DI44" s="1">
        <v>5</v>
      </c>
      <c r="DJ44" s="104">
        <f t="shared" si="273"/>
        <v>0</v>
      </c>
      <c r="DK44" s="102"/>
      <c r="DL44" s="1">
        <v>5</v>
      </c>
      <c r="DM44" s="104">
        <f t="shared" si="274"/>
        <v>0</v>
      </c>
      <c r="DN44" s="102"/>
      <c r="DO44" s="1">
        <v>5</v>
      </c>
      <c r="DP44" s="104">
        <f t="shared" si="275"/>
        <v>0</v>
      </c>
      <c r="DQ44" s="102"/>
      <c r="DR44" s="1">
        <v>5</v>
      </c>
      <c r="DS44" s="104">
        <f t="shared" si="276"/>
        <v>0</v>
      </c>
      <c r="DT44" s="102"/>
      <c r="DU44" s="1">
        <v>5</v>
      </c>
      <c r="DV44" s="104">
        <f t="shared" si="277"/>
        <v>0</v>
      </c>
      <c r="DW44" s="102"/>
      <c r="DX44" s="1">
        <v>5</v>
      </c>
      <c r="DY44" s="104">
        <f t="shared" si="278"/>
        <v>0</v>
      </c>
      <c r="DZ44" s="102"/>
      <c r="EA44" s="1">
        <v>5</v>
      </c>
      <c r="EB44" s="104">
        <f t="shared" si="279"/>
        <v>0</v>
      </c>
      <c r="EC44" s="102"/>
      <c r="ED44" s="1">
        <v>5</v>
      </c>
      <c r="EE44" s="104">
        <f t="shared" si="280"/>
        <v>0</v>
      </c>
      <c r="EF44" s="102"/>
      <c r="EG44" s="1">
        <v>5</v>
      </c>
      <c r="EH44" s="104">
        <f t="shared" si="281"/>
        <v>0</v>
      </c>
      <c r="EI44" s="102"/>
      <c r="EJ44" s="1">
        <v>5</v>
      </c>
      <c r="EK44" s="104">
        <f t="shared" si="282"/>
        <v>0</v>
      </c>
      <c r="EL44" s="102"/>
      <c r="EM44" s="1">
        <v>5</v>
      </c>
      <c r="EN44" s="104">
        <f t="shared" si="283"/>
        <v>0</v>
      </c>
      <c r="EO44" s="90">
        <v>0</v>
      </c>
      <c r="EP44" s="96">
        <v>5</v>
      </c>
      <c r="EQ44" s="104">
        <f t="shared" si="284"/>
        <v>0</v>
      </c>
      <c r="ER44" s="85">
        <f t="array" ref="ER44">IFERROR(_xlfn.LET(
_xlpm.datos,CHOOSE({1;2;3;4;5;6;7;8;9;10;11;12;13;13;14;15;16;17;18;19;20;21;22;23;23;24;25;26;27;28;29;30;31;32;33;34;35;36;37;38;39;40;41;42;43;44;45;46;47;48},F44,I44,L44,O44,R44,U44,X44,AA44,AD44,AG44,AJ44,AM44,AP44,AS44,AV44,AY44,BB44,BE44,BH44,BK44,BN44,BQ44,BT44,BW44,BZ44,CC44,CF44,CI44,CL44,CO44,CR44,CU44,CX44,DA44,DD44,DG44,DJ44,DM44,DP44,DS44,DV44,DY44,EB44,EE44,EH44,EK44,EN44,EQ44),
AVERAGE(_xlfn._xlws.FILTER(_xlpm.datos,(_xlpm.datos&lt;&gt;0)*(_xlpm.datos&lt;&gt;"")))
),0)</f>
        <v>0</v>
      </c>
      <c r="ES44" s="162" t="str">
        <f t="array" ref="ES44">_xlfn.IFS(ER44&gt;=91.5%,"MENSUAL",ER44&gt;=75%,"QUINCENAL",ER44&lt;75%,"SEMANAL")</f>
        <v>SEMANAL</v>
      </c>
      <c r="ET44" s="239"/>
    </row>
    <row r="45" ht="22.5" customHeight="1" spans="2:150" x14ac:dyDescent="0.25">
      <c r="B45" s="171" t="s">
        <v>153</v>
      </c>
      <c r="C45" s="228"/>
      <c r="D45" s="102"/>
      <c r="E45" s="103">
        <v>5</v>
      </c>
      <c r="F45" s="104">
        <f t="shared" si="237"/>
        <v>0</v>
      </c>
      <c r="G45" s="102"/>
      <c r="H45" s="103">
        <v>5</v>
      </c>
      <c r="I45" s="104">
        <f t="shared" si="238"/>
        <v>0</v>
      </c>
      <c r="J45" s="105"/>
      <c r="K45" s="103">
        <v>5</v>
      </c>
      <c r="L45" s="104">
        <f t="shared" si="239"/>
        <v>0</v>
      </c>
      <c r="M45" s="105"/>
      <c r="N45" s="103">
        <v>5</v>
      </c>
      <c r="O45" s="104">
        <f t="shared" si="240"/>
        <v>0</v>
      </c>
      <c r="P45" s="106"/>
      <c r="Q45" s="107">
        <v>5</v>
      </c>
      <c r="R45" s="104">
        <f t="shared" si="241"/>
        <v>0</v>
      </c>
      <c r="S45" s="102"/>
      <c r="T45" s="107">
        <v>5</v>
      </c>
      <c r="U45" s="104">
        <f t="shared" si="242"/>
        <v>0</v>
      </c>
      <c r="V45" s="102"/>
      <c r="W45" s="107">
        <v>5</v>
      </c>
      <c r="X45" s="104">
        <f t="shared" si="243"/>
        <v>0</v>
      </c>
      <c r="Y45" s="102"/>
      <c r="Z45" s="107">
        <v>5</v>
      </c>
      <c r="AA45" s="104">
        <f t="shared" si="244"/>
        <v>0</v>
      </c>
      <c r="AB45" s="106"/>
      <c r="AC45" s="107">
        <v>5</v>
      </c>
      <c r="AD45" s="104">
        <f t="shared" si="245"/>
        <v>0</v>
      </c>
      <c r="AE45" s="106"/>
      <c r="AF45" s="107">
        <v>5</v>
      </c>
      <c r="AG45" s="104">
        <f t="shared" si="246"/>
        <v>0</v>
      </c>
      <c r="AH45" s="106"/>
      <c r="AI45" s="107">
        <v>5</v>
      </c>
      <c r="AJ45" s="104">
        <f t="shared" si="247"/>
        <v>0</v>
      </c>
      <c r="AK45" s="106"/>
      <c r="AL45" s="107">
        <v>5</v>
      </c>
      <c r="AM45" s="104">
        <f t="shared" si="248"/>
        <v>0</v>
      </c>
      <c r="AN45" s="102"/>
      <c r="AO45" s="1">
        <v>5</v>
      </c>
      <c r="AP45" s="104">
        <f t="shared" si="249"/>
        <v>0</v>
      </c>
      <c r="AQ45" s="102"/>
      <c r="AR45" s="1">
        <v>5</v>
      </c>
      <c r="AS45" s="104">
        <f t="shared" si="250"/>
        <v>0</v>
      </c>
      <c r="AT45" s="102"/>
      <c r="AU45" s="1">
        <v>5</v>
      </c>
      <c r="AV45" s="104">
        <f t="shared" si="251"/>
        <v>0</v>
      </c>
      <c r="AW45" s="102"/>
      <c r="AX45" s="1">
        <v>5</v>
      </c>
      <c r="AY45" s="104">
        <f t="shared" si="252"/>
        <v>0</v>
      </c>
      <c r="AZ45" s="102"/>
      <c r="BA45" s="1">
        <v>5</v>
      </c>
      <c r="BB45" s="104">
        <f t="shared" si="253"/>
        <v>0</v>
      </c>
      <c r="BC45" s="102"/>
      <c r="BD45" s="1">
        <v>5</v>
      </c>
      <c r="BE45" s="104">
        <f t="shared" si="254"/>
        <v>0</v>
      </c>
      <c r="BF45" s="102"/>
      <c r="BG45" s="1">
        <v>5</v>
      </c>
      <c r="BH45" s="104">
        <f t="shared" si="255"/>
        <v>0</v>
      </c>
      <c r="BI45" s="102"/>
      <c r="BJ45" s="1">
        <v>5</v>
      </c>
      <c r="BK45" s="104">
        <f t="shared" si="256"/>
        <v>0</v>
      </c>
      <c r="BL45" s="102"/>
      <c r="BM45" s="1">
        <v>5</v>
      </c>
      <c r="BN45" s="104">
        <f t="shared" si="257"/>
        <v>0</v>
      </c>
      <c r="BO45" s="102"/>
      <c r="BP45" s="1">
        <v>5</v>
      </c>
      <c r="BQ45" s="104">
        <f t="shared" si="258"/>
        <v>0</v>
      </c>
      <c r="BR45" s="102"/>
      <c r="BS45" s="1">
        <v>5</v>
      </c>
      <c r="BT45" s="104">
        <f t="shared" si="259"/>
        <v>0</v>
      </c>
      <c r="BU45" s="102"/>
      <c r="BV45" s="1">
        <v>5</v>
      </c>
      <c r="BW45" s="104">
        <f t="shared" si="260"/>
        <v>0</v>
      </c>
      <c r="BX45" s="102"/>
      <c r="BY45" s="1">
        <v>5</v>
      </c>
      <c r="BZ45" s="104">
        <f t="shared" si="261"/>
        <v>0</v>
      </c>
      <c r="CA45" s="102"/>
      <c r="CB45" s="1">
        <v>5</v>
      </c>
      <c r="CC45" s="104">
        <f t="shared" si="262"/>
        <v>0</v>
      </c>
      <c r="CD45" s="102"/>
      <c r="CE45" s="1">
        <v>5</v>
      </c>
      <c r="CF45" s="104">
        <f t="shared" si="263"/>
        <v>0</v>
      </c>
      <c r="CG45" s="102"/>
      <c r="CH45" s="1">
        <v>5</v>
      </c>
      <c r="CI45" s="104">
        <f t="shared" si="264"/>
        <v>0</v>
      </c>
      <c r="CJ45" s="102"/>
      <c r="CK45" s="1">
        <v>5</v>
      </c>
      <c r="CL45" s="104">
        <f t="shared" si="265"/>
        <v>0</v>
      </c>
      <c r="CM45" s="102"/>
      <c r="CN45" s="1">
        <v>5</v>
      </c>
      <c r="CO45" s="104">
        <f t="shared" si="266"/>
        <v>0</v>
      </c>
      <c r="CP45" s="102"/>
      <c r="CQ45" s="1">
        <v>5</v>
      </c>
      <c r="CR45" s="104">
        <f t="shared" si="267"/>
        <v>0</v>
      </c>
      <c r="CS45" s="102"/>
      <c r="CT45" s="1">
        <v>5</v>
      </c>
      <c r="CU45" s="104">
        <f t="shared" si="268"/>
        <v>0</v>
      </c>
      <c r="CV45" s="102"/>
      <c r="CW45" s="1">
        <v>5</v>
      </c>
      <c r="CX45" s="104">
        <f t="shared" si="269"/>
        <v>0</v>
      </c>
      <c r="CY45" s="102"/>
      <c r="CZ45" s="1">
        <v>5</v>
      </c>
      <c r="DA45" s="104">
        <f t="shared" si="270"/>
        <v>0</v>
      </c>
      <c r="DB45" s="102"/>
      <c r="DC45" s="1">
        <v>5</v>
      </c>
      <c r="DD45" s="104">
        <f t="shared" si="271"/>
        <v>0</v>
      </c>
      <c r="DE45" s="102"/>
      <c r="DF45" s="1">
        <v>5</v>
      </c>
      <c r="DG45" s="104">
        <f t="shared" si="272"/>
        <v>0</v>
      </c>
      <c r="DH45" s="102"/>
      <c r="DI45" s="1">
        <v>5</v>
      </c>
      <c r="DJ45" s="104">
        <f t="shared" si="273"/>
        <v>0</v>
      </c>
      <c r="DK45" s="102"/>
      <c r="DL45" s="1">
        <v>5</v>
      </c>
      <c r="DM45" s="104">
        <f t="shared" si="274"/>
        <v>0</v>
      </c>
      <c r="DN45" s="102"/>
      <c r="DO45" s="1">
        <v>5</v>
      </c>
      <c r="DP45" s="104">
        <f t="shared" si="275"/>
        <v>0</v>
      </c>
      <c r="DQ45" s="102"/>
      <c r="DR45" s="1">
        <v>5</v>
      </c>
      <c r="DS45" s="104">
        <f t="shared" si="276"/>
        <v>0</v>
      </c>
      <c r="DT45" s="102"/>
      <c r="DU45" s="1">
        <v>5</v>
      </c>
      <c r="DV45" s="104">
        <f t="shared" si="277"/>
        <v>0</v>
      </c>
      <c r="DW45" s="102"/>
      <c r="DX45" s="1">
        <v>5</v>
      </c>
      <c r="DY45" s="104">
        <f t="shared" si="278"/>
        <v>0</v>
      </c>
      <c r="DZ45" s="102"/>
      <c r="EA45" s="1">
        <v>5</v>
      </c>
      <c r="EB45" s="104">
        <f t="shared" si="279"/>
        <v>0</v>
      </c>
      <c r="EC45" s="102"/>
      <c r="ED45" s="1">
        <v>5</v>
      </c>
      <c r="EE45" s="104">
        <f t="shared" si="280"/>
        <v>0</v>
      </c>
      <c r="EF45" s="102"/>
      <c r="EG45" s="1">
        <v>5</v>
      </c>
      <c r="EH45" s="104">
        <f t="shared" si="281"/>
        <v>0</v>
      </c>
      <c r="EI45" s="102"/>
      <c r="EJ45" s="1">
        <v>5</v>
      </c>
      <c r="EK45" s="104">
        <f t="shared" si="282"/>
        <v>0</v>
      </c>
      <c r="EL45" s="102"/>
      <c r="EM45" s="1">
        <v>5</v>
      </c>
      <c r="EN45" s="104">
        <f t="shared" si="283"/>
        <v>0</v>
      </c>
      <c r="EO45" s="90">
        <v>0</v>
      </c>
      <c r="EP45" s="96">
        <v>5</v>
      </c>
      <c r="EQ45" s="104">
        <f t="shared" si="284"/>
        <v>0</v>
      </c>
      <c r="ER45" s="85">
        <f t="array" ref="ER45">IFERROR(_xlfn.LET(
_xlpm.datos,CHOOSE({1;2;3;4;5;6;7;8;9;10;11;12;13;13;14;15;16;17;18;19;20;21;22;23;23;24;25;26;27;28;29;30;31;32;33;34;35;36;37;38;39;40;41;42;43;44;45;46;47;48},F45,I45,L45,O45,R45,U45,X45,AA45,AD45,AG45,AJ45,AM45,AP45,AS45,AV45,AY45,BB45,BE45,BH45,BK45,BN45,BQ45,BT45,BW45,BZ45,CC45,CF45,CI45,CL45,CO45,CR45,CU45,CX45,DA45,DD45,DG45,DJ45,DM45,DP45,DS45,DV45,DY45,EB45,EE45,EH45,EK45,EN45,EQ45),
AVERAGE(_xlfn._xlws.FILTER(_xlpm.datos,(_xlpm.datos&lt;&gt;0)*(_xlpm.datos&lt;&gt;"")))
),0)</f>
        <v>0</v>
      </c>
      <c r="ES45" s="162" t="str">
        <f t="array" ref="ES45">_xlfn.IFS(ER45&gt;=91.5%,"MENSUAL",ER45&gt;=75%,"QUINCENAL",ER45&lt;75%,"SEMANAL")</f>
        <v>SEMANAL</v>
      </c>
      <c r="ET45" s="239"/>
    </row>
    <row r="46" ht="22" customHeight="1" spans="2:150" x14ac:dyDescent="0.25">
      <c r="B46" s="240" t="s">
        <v>119</v>
      </c>
      <c r="C46" s="228"/>
      <c r="D46" s="102"/>
      <c r="E46" s="103">
        <v>5</v>
      </c>
      <c r="F46" s="104">
        <f t="shared" si="237"/>
        <v>0</v>
      </c>
      <c r="G46" s="102"/>
      <c r="H46" s="103">
        <v>5</v>
      </c>
      <c r="I46" s="104">
        <f t="shared" si="238"/>
        <v>0</v>
      </c>
      <c r="J46" s="105"/>
      <c r="K46" s="103">
        <v>5</v>
      </c>
      <c r="L46" s="104">
        <f t="shared" si="239"/>
        <v>0</v>
      </c>
      <c r="M46" s="105"/>
      <c r="N46" s="103">
        <v>5</v>
      </c>
      <c r="O46" s="104">
        <f t="shared" si="240"/>
        <v>0</v>
      </c>
      <c r="P46" s="106"/>
      <c r="Q46" s="107">
        <v>5</v>
      </c>
      <c r="R46" s="104">
        <f t="shared" si="241"/>
        <v>0</v>
      </c>
      <c r="S46" s="102"/>
      <c r="T46" s="107">
        <v>5</v>
      </c>
      <c r="U46" s="104">
        <f t="shared" si="242"/>
        <v>0</v>
      </c>
      <c r="V46" s="102"/>
      <c r="W46" s="107">
        <v>5</v>
      </c>
      <c r="X46" s="104">
        <f t="shared" si="243"/>
        <v>0</v>
      </c>
      <c r="Y46" s="102"/>
      <c r="Z46" s="107">
        <v>5</v>
      </c>
      <c r="AA46" s="104">
        <f t="shared" si="244"/>
        <v>0</v>
      </c>
      <c r="AB46" s="106"/>
      <c r="AC46" s="107">
        <v>5</v>
      </c>
      <c r="AD46" s="104">
        <f t="shared" si="245"/>
        <v>0</v>
      </c>
      <c r="AE46" s="106"/>
      <c r="AF46" s="107">
        <v>5</v>
      </c>
      <c r="AG46" s="104">
        <f t="shared" si="246"/>
        <v>0</v>
      </c>
      <c r="AH46" s="106"/>
      <c r="AI46" s="107">
        <v>5</v>
      </c>
      <c r="AJ46" s="104">
        <f t="shared" si="247"/>
        <v>0</v>
      </c>
      <c r="AK46" s="106"/>
      <c r="AL46" s="107">
        <v>5</v>
      </c>
      <c r="AM46" s="104">
        <f t="shared" si="248"/>
        <v>0</v>
      </c>
      <c r="AN46" s="102"/>
      <c r="AO46" s="1">
        <v>5</v>
      </c>
      <c r="AP46" s="104">
        <f t="shared" si="249"/>
        <v>0</v>
      </c>
      <c r="AQ46" s="102"/>
      <c r="AR46" s="1">
        <v>5</v>
      </c>
      <c r="AS46" s="104">
        <f t="shared" si="250"/>
        <v>0</v>
      </c>
      <c r="AT46" s="102"/>
      <c r="AU46" s="1">
        <v>5</v>
      </c>
      <c r="AV46" s="104">
        <f t="shared" si="251"/>
        <v>0</v>
      </c>
      <c r="AW46" s="102"/>
      <c r="AX46" s="1">
        <v>5</v>
      </c>
      <c r="AY46" s="104">
        <f t="shared" si="252"/>
        <v>0</v>
      </c>
      <c r="AZ46" s="102"/>
      <c r="BA46" s="1">
        <v>5</v>
      </c>
      <c r="BB46" s="104">
        <f t="shared" si="253"/>
        <v>0</v>
      </c>
      <c r="BC46" s="102"/>
      <c r="BD46" s="1">
        <v>5</v>
      </c>
      <c r="BE46" s="104">
        <f t="shared" si="254"/>
        <v>0</v>
      </c>
      <c r="BF46" s="102"/>
      <c r="BG46" s="1">
        <v>5</v>
      </c>
      <c r="BH46" s="104">
        <f t="shared" si="255"/>
        <v>0</v>
      </c>
      <c r="BI46" s="102"/>
      <c r="BJ46" s="1">
        <v>5</v>
      </c>
      <c r="BK46" s="104">
        <f t="shared" si="256"/>
        <v>0</v>
      </c>
      <c r="BL46" s="102"/>
      <c r="BM46" s="1">
        <v>5</v>
      </c>
      <c r="BN46" s="104">
        <f t="shared" si="257"/>
        <v>0</v>
      </c>
      <c r="BO46" s="102"/>
      <c r="BP46" s="1">
        <v>5</v>
      </c>
      <c r="BQ46" s="104">
        <f t="shared" si="258"/>
        <v>0</v>
      </c>
      <c r="BR46" s="102"/>
      <c r="BS46" s="1">
        <v>5</v>
      </c>
      <c r="BT46" s="104">
        <f t="shared" si="259"/>
        <v>0</v>
      </c>
      <c r="BU46" s="102"/>
      <c r="BV46" s="1">
        <v>5</v>
      </c>
      <c r="BW46" s="104">
        <f t="shared" si="260"/>
        <v>0</v>
      </c>
      <c r="BX46" s="102"/>
      <c r="BY46" s="1">
        <v>5</v>
      </c>
      <c r="BZ46" s="104">
        <f t="shared" si="261"/>
        <v>0</v>
      </c>
      <c r="CA46" s="102"/>
      <c r="CB46" s="1">
        <v>5</v>
      </c>
      <c r="CC46" s="104">
        <f t="shared" si="262"/>
        <v>0</v>
      </c>
      <c r="CD46" s="102"/>
      <c r="CE46" s="1">
        <v>5</v>
      </c>
      <c r="CF46" s="104">
        <f t="shared" si="263"/>
        <v>0</v>
      </c>
      <c r="CG46" s="102"/>
      <c r="CH46" s="1">
        <v>5</v>
      </c>
      <c r="CI46" s="104">
        <f t="shared" si="264"/>
        <v>0</v>
      </c>
      <c r="CJ46" s="102"/>
      <c r="CK46" s="1">
        <v>5</v>
      </c>
      <c r="CL46" s="104">
        <f t="shared" si="265"/>
        <v>0</v>
      </c>
      <c r="CM46" s="102"/>
      <c r="CN46" s="1">
        <v>5</v>
      </c>
      <c r="CO46" s="104">
        <f t="shared" si="266"/>
        <v>0</v>
      </c>
      <c r="CP46" s="102"/>
      <c r="CQ46" s="1">
        <v>5</v>
      </c>
      <c r="CR46" s="104">
        <f t="shared" si="267"/>
        <v>0</v>
      </c>
      <c r="CS46" s="102"/>
      <c r="CT46" s="1">
        <v>5</v>
      </c>
      <c r="CU46" s="104">
        <f t="shared" si="268"/>
        <v>0</v>
      </c>
      <c r="CV46" s="102"/>
      <c r="CW46" s="1">
        <v>5</v>
      </c>
      <c r="CX46" s="104">
        <f t="shared" si="269"/>
        <v>0</v>
      </c>
      <c r="CY46" s="102"/>
      <c r="CZ46" s="1">
        <v>5</v>
      </c>
      <c r="DA46" s="104">
        <f t="shared" si="270"/>
        <v>0</v>
      </c>
      <c r="DB46" s="102"/>
      <c r="DC46" s="1">
        <v>5</v>
      </c>
      <c r="DD46" s="104">
        <f t="shared" si="271"/>
        <v>0</v>
      </c>
      <c r="DE46" s="102"/>
      <c r="DF46" s="1">
        <v>5</v>
      </c>
      <c r="DG46" s="104">
        <f t="shared" si="272"/>
        <v>0</v>
      </c>
      <c r="DH46" s="102"/>
      <c r="DI46" s="1">
        <v>5</v>
      </c>
      <c r="DJ46" s="104">
        <f t="shared" si="273"/>
        <v>0</v>
      </c>
      <c r="DK46" s="102"/>
      <c r="DL46" s="1">
        <v>5</v>
      </c>
      <c r="DM46" s="104">
        <f t="shared" si="274"/>
        <v>0</v>
      </c>
      <c r="DN46" s="102"/>
      <c r="DO46" s="1">
        <v>5</v>
      </c>
      <c r="DP46" s="104">
        <f t="shared" si="275"/>
        <v>0</v>
      </c>
      <c r="DQ46" s="102"/>
      <c r="DR46" s="1">
        <v>5</v>
      </c>
      <c r="DS46" s="104">
        <f t="shared" si="276"/>
        <v>0</v>
      </c>
      <c r="DT46" s="102"/>
      <c r="DU46" s="1">
        <v>5</v>
      </c>
      <c r="DV46" s="104">
        <f t="shared" si="277"/>
        <v>0</v>
      </c>
      <c r="DW46" s="102"/>
      <c r="DX46" s="1">
        <v>5</v>
      </c>
      <c r="DY46" s="104">
        <f t="shared" si="278"/>
        <v>0</v>
      </c>
      <c r="DZ46" s="102"/>
      <c r="EA46" s="1">
        <v>5</v>
      </c>
      <c r="EB46" s="104">
        <f t="shared" si="279"/>
        <v>0</v>
      </c>
      <c r="EC46" s="102"/>
      <c r="ED46" s="1">
        <v>5</v>
      </c>
      <c r="EE46" s="104">
        <f t="shared" si="280"/>
        <v>0</v>
      </c>
      <c r="EF46" s="102"/>
      <c r="EG46" s="1">
        <v>5</v>
      </c>
      <c r="EH46" s="104">
        <f t="shared" si="281"/>
        <v>0</v>
      </c>
      <c r="EI46" s="102"/>
      <c r="EJ46" s="1">
        <v>5</v>
      </c>
      <c r="EK46" s="104">
        <f t="shared" si="282"/>
        <v>0</v>
      </c>
      <c r="EL46" s="102"/>
      <c r="EM46" s="1">
        <v>5</v>
      </c>
      <c r="EN46" s="104">
        <f t="shared" si="283"/>
        <v>0</v>
      </c>
      <c r="EO46" s="90">
        <v>0</v>
      </c>
      <c r="EP46" s="96">
        <v>5</v>
      </c>
      <c r="EQ46" s="104">
        <f t="shared" si="284"/>
        <v>0</v>
      </c>
      <c r="ER46" s="85">
        <f t="array" ref="ER46">IFERROR(_xlfn.LET(
_xlpm.datos,CHOOSE({1;2;3;4;5;6;7;8;9;10;11;12;13;13;14;15;16;17;18;19;20;21;22;23;23;24;25;26;27;28;29;30;31;32;33;34;35;36;37;38;39;40;41;42;43;44;45;46;47;48},F46,I46,L46,O46,R46,U46,X46,AA46,AD46,AG46,AJ46,AM46,AP46,AS46,AV46,AY46,BB46,BE46,BH46,BK46,BN46,BQ46,BT46,BW46,BZ46,CC46,CF46,CI46,CL46,CO46,CR46,CU46,CX46,DA46,DD46,DG46,DJ46,DM46,DP46,DS46,DV46,DY46,EB46,EE46,EH46,EK46,EN46,EQ46),
AVERAGE(_xlfn._xlws.FILTER(_xlpm.datos,(_xlpm.datos&lt;&gt;0)*(_xlpm.datos&lt;&gt;"")))
),0)</f>
        <v>0</v>
      </c>
      <c r="ES46" s="162" t="str">
        <f t="array" ref="ES46">_xlfn.IFS(ER46&gt;=91.5%,"MENSUAL",ER46&gt;=75%,"QUINCENAL",ER46&lt;75%,"SEMANAL")</f>
        <v>SEMANAL</v>
      </c>
      <c r="ET46" s="239"/>
    </row>
    <row r="47" ht="22" customHeight="1" spans="2:150" x14ac:dyDescent="0.25">
      <c r="B47" s="244" t="s">
        <v>210</v>
      </c>
      <c r="C47" s="228"/>
      <c r="D47" s="102"/>
      <c r="E47" s="103">
        <v>5</v>
      </c>
      <c r="F47" s="104">
        <f t="shared" si="237"/>
        <v>0</v>
      </c>
      <c r="G47" s="102"/>
      <c r="H47" s="103">
        <v>5</v>
      </c>
      <c r="I47" s="104">
        <f t="shared" si="238"/>
        <v>0</v>
      </c>
      <c r="J47" s="105"/>
      <c r="K47" s="103">
        <v>5</v>
      </c>
      <c r="L47" s="104">
        <f t="shared" si="239"/>
        <v>0</v>
      </c>
      <c r="M47" s="105"/>
      <c r="N47" s="103">
        <v>5</v>
      </c>
      <c r="O47" s="104">
        <f t="shared" si="240"/>
        <v>0</v>
      </c>
      <c r="P47" s="106"/>
      <c r="Q47" s="107">
        <v>5</v>
      </c>
      <c r="R47" s="104">
        <f t="shared" si="241"/>
        <v>0</v>
      </c>
      <c r="S47" s="102"/>
      <c r="T47" s="107">
        <v>5</v>
      </c>
      <c r="U47" s="104">
        <f t="shared" si="242"/>
        <v>0</v>
      </c>
      <c r="V47" s="102"/>
      <c r="W47" s="107">
        <v>5</v>
      </c>
      <c r="X47" s="104">
        <f t="shared" si="243"/>
        <v>0</v>
      </c>
      <c r="Y47" s="102"/>
      <c r="Z47" s="107">
        <v>5</v>
      </c>
      <c r="AA47" s="104">
        <f t="shared" si="244"/>
        <v>0</v>
      </c>
      <c r="AB47" s="106"/>
      <c r="AC47" s="107">
        <v>5</v>
      </c>
      <c r="AD47" s="104">
        <f t="shared" si="245"/>
        <v>0</v>
      </c>
      <c r="AE47" s="106"/>
      <c r="AF47" s="107">
        <v>5</v>
      </c>
      <c r="AG47" s="104">
        <f t="shared" si="246"/>
        <v>0</v>
      </c>
      <c r="AH47" s="106"/>
      <c r="AI47" s="107">
        <v>5</v>
      </c>
      <c r="AJ47" s="104">
        <f t="shared" si="247"/>
        <v>0</v>
      </c>
      <c r="AK47" s="106"/>
      <c r="AL47" s="107">
        <v>5</v>
      </c>
      <c r="AM47" s="104">
        <f t="shared" si="248"/>
        <v>0</v>
      </c>
      <c r="AN47" s="102"/>
      <c r="AO47" s="1">
        <v>5</v>
      </c>
      <c r="AP47" s="104">
        <f t="shared" si="249"/>
        <v>0</v>
      </c>
      <c r="AQ47" s="102"/>
      <c r="AR47" s="1">
        <v>5</v>
      </c>
      <c r="AS47" s="104">
        <f t="shared" si="250"/>
        <v>0</v>
      </c>
      <c r="AT47" s="102"/>
      <c r="AU47" s="1">
        <v>5</v>
      </c>
      <c r="AV47" s="104">
        <f t="shared" si="251"/>
        <v>0</v>
      </c>
      <c r="AW47" s="102"/>
      <c r="AX47" s="1">
        <v>5</v>
      </c>
      <c r="AY47" s="104">
        <f t="shared" si="252"/>
        <v>0</v>
      </c>
      <c r="AZ47" s="102"/>
      <c r="BA47" s="1">
        <v>5</v>
      </c>
      <c r="BB47" s="104">
        <f t="shared" si="253"/>
        <v>0</v>
      </c>
      <c r="BC47" s="102"/>
      <c r="BD47" s="1">
        <v>5</v>
      </c>
      <c r="BE47" s="104">
        <f t="shared" si="254"/>
        <v>0</v>
      </c>
      <c r="BF47" s="102"/>
      <c r="BG47" s="1">
        <v>5</v>
      </c>
      <c r="BH47" s="104">
        <f t="shared" si="255"/>
        <v>0</v>
      </c>
      <c r="BI47" s="102"/>
      <c r="BJ47" s="1">
        <v>5</v>
      </c>
      <c r="BK47" s="104">
        <f t="shared" si="256"/>
        <v>0</v>
      </c>
      <c r="BL47" s="102"/>
      <c r="BM47" s="1">
        <v>5</v>
      </c>
      <c r="BN47" s="104">
        <f t="shared" si="257"/>
        <v>0</v>
      </c>
      <c r="BO47" s="102"/>
      <c r="BP47" s="1">
        <v>5</v>
      </c>
      <c r="BQ47" s="104">
        <f t="shared" si="258"/>
        <v>0</v>
      </c>
      <c r="BR47" s="102"/>
      <c r="BS47" s="1">
        <v>5</v>
      </c>
      <c r="BT47" s="104">
        <f t="shared" si="259"/>
        <v>0</v>
      </c>
      <c r="BU47" s="102"/>
      <c r="BV47" s="1">
        <v>5</v>
      </c>
      <c r="BW47" s="104">
        <f t="shared" si="260"/>
        <v>0</v>
      </c>
      <c r="BX47" s="102"/>
      <c r="BY47" s="1">
        <v>5</v>
      </c>
      <c r="BZ47" s="104">
        <f t="shared" si="261"/>
        <v>0</v>
      </c>
      <c r="CA47" s="102"/>
      <c r="CB47" s="1">
        <v>5</v>
      </c>
      <c r="CC47" s="104">
        <f t="shared" si="262"/>
        <v>0</v>
      </c>
      <c r="CD47" s="102"/>
      <c r="CE47" s="1">
        <v>5</v>
      </c>
      <c r="CF47" s="104">
        <f t="shared" si="263"/>
        <v>0</v>
      </c>
      <c r="CG47" s="102"/>
      <c r="CH47" s="1">
        <v>5</v>
      </c>
      <c r="CI47" s="104">
        <f t="shared" si="264"/>
        <v>0</v>
      </c>
      <c r="CJ47" s="102"/>
      <c r="CK47" s="1">
        <v>5</v>
      </c>
      <c r="CL47" s="104">
        <f t="shared" si="265"/>
        <v>0</v>
      </c>
      <c r="CM47" s="102"/>
      <c r="CN47" s="1">
        <v>5</v>
      </c>
      <c r="CO47" s="104">
        <f t="shared" si="266"/>
        <v>0</v>
      </c>
      <c r="CP47" s="102"/>
      <c r="CQ47" s="1">
        <v>5</v>
      </c>
      <c r="CR47" s="104">
        <f t="shared" si="267"/>
        <v>0</v>
      </c>
      <c r="CS47" s="102"/>
      <c r="CT47" s="1">
        <v>5</v>
      </c>
      <c r="CU47" s="104">
        <f t="shared" si="268"/>
        <v>0</v>
      </c>
      <c r="CV47" s="102"/>
      <c r="CW47" s="1">
        <v>5</v>
      </c>
      <c r="CX47" s="104">
        <f t="shared" si="269"/>
        <v>0</v>
      </c>
      <c r="CY47" s="102"/>
      <c r="CZ47" s="1">
        <v>5</v>
      </c>
      <c r="DA47" s="104">
        <f t="shared" si="270"/>
        <v>0</v>
      </c>
      <c r="DB47" s="102"/>
      <c r="DC47" s="1">
        <v>5</v>
      </c>
      <c r="DD47" s="104">
        <f t="shared" si="271"/>
        <v>0</v>
      </c>
      <c r="DE47" s="102"/>
      <c r="DF47" s="1">
        <v>5</v>
      </c>
      <c r="DG47" s="104">
        <f t="shared" si="272"/>
        <v>0</v>
      </c>
      <c r="DH47" s="102"/>
      <c r="DI47" s="1">
        <v>5</v>
      </c>
      <c r="DJ47" s="104">
        <f t="shared" si="273"/>
        <v>0</v>
      </c>
      <c r="DK47" s="102"/>
      <c r="DL47" s="1">
        <v>5</v>
      </c>
      <c r="DM47" s="104">
        <f t="shared" si="274"/>
        <v>0</v>
      </c>
      <c r="DN47" s="102"/>
      <c r="DO47" s="1">
        <v>5</v>
      </c>
      <c r="DP47" s="104">
        <f t="shared" si="275"/>
        <v>0</v>
      </c>
      <c r="DQ47" s="102"/>
      <c r="DR47" s="1">
        <v>5</v>
      </c>
      <c r="DS47" s="104">
        <f t="shared" si="276"/>
        <v>0</v>
      </c>
      <c r="DT47" s="102"/>
      <c r="DU47" s="1">
        <v>5</v>
      </c>
      <c r="DV47" s="104">
        <f t="shared" si="277"/>
        <v>0</v>
      </c>
      <c r="DW47" s="102"/>
      <c r="DX47" s="1">
        <v>5</v>
      </c>
      <c r="DY47" s="104">
        <f t="shared" si="278"/>
        <v>0</v>
      </c>
      <c r="DZ47" s="102"/>
      <c r="EA47" s="1">
        <v>5</v>
      </c>
      <c r="EB47" s="104">
        <f t="shared" si="279"/>
        <v>0</v>
      </c>
      <c r="EC47" s="102"/>
      <c r="ED47" s="1">
        <v>5</v>
      </c>
      <c r="EE47" s="104">
        <f t="shared" si="280"/>
        <v>0</v>
      </c>
      <c r="EF47" s="102"/>
      <c r="EG47" s="1">
        <v>5</v>
      </c>
      <c r="EH47" s="104">
        <f t="shared" si="281"/>
        <v>0</v>
      </c>
      <c r="EI47" s="102"/>
      <c r="EJ47" s="1">
        <v>5</v>
      </c>
      <c r="EK47" s="104">
        <f t="shared" si="282"/>
        <v>0</v>
      </c>
      <c r="EL47" s="102"/>
      <c r="EM47" s="1">
        <v>5</v>
      </c>
      <c r="EN47" s="104">
        <f t="shared" si="283"/>
        <v>0</v>
      </c>
      <c r="EO47" s="90">
        <v>0</v>
      </c>
      <c r="EP47" s="96">
        <v>5</v>
      </c>
      <c r="EQ47" s="104">
        <f t="shared" si="284"/>
        <v>0</v>
      </c>
      <c r="ER47" s="85">
        <f t="array" ref="ER47">IFERROR(_xlfn.LET(
_xlpm.datos,CHOOSE({1;2;3;4;5;6;7;8;9;10;11;12;13;13;14;15;16;17;18;19;20;21;22;23;23;24;25;26;27;28;29;30;31;32;33;34;35;36;37;38;39;40;41;42;43;44;45;46;47;48},F47,I47,L47,O47,R47,U47,X47,AA47,AD47,AG47,AJ47,AM47,AP47,AS47,AV47,AY47,BB47,BE47,BH47,BK47,BN47,BQ47,BT47,BW47,BZ47,CC47,CF47,CI47,CL47,CO47,CR47,CU47,CX47,DA47,DD47,DG47,DJ47,DM47,DP47,DS47,DV47,DY47,EB47,EE47,EH47,EK47,EN47,EQ47),
AVERAGE(_xlfn._xlws.FILTER(_xlpm.datos,(_xlpm.datos&lt;&gt;0)*(_xlpm.datos&lt;&gt;"")))
),0)</f>
        <v>0</v>
      </c>
      <c r="ES47" s="162" t="str">
        <f t="array" ref="ES47">_xlfn.IFS(ER47&gt;=91.5%,"MENSUAL",ER47&gt;=75%,"QUINCENAL",ER47&lt;75%,"SEMANAL")</f>
        <v>SEMANAL</v>
      </c>
      <c r="ET47" s="239"/>
    </row>
    <row r="48" ht="26.25" customHeight="1" spans="1:961" s="214" customFormat="1" x14ac:dyDescent="0.25">
      <c r="A48" s="215"/>
      <c r="B48" s="245" t="s">
        <v>122</v>
      </c>
      <c r="C48" s="237"/>
      <c r="D48" s="128"/>
      <c r="E48" s="127"/>
      <c r="F48" s="223">
        <f>AVERAGE(F49:F52)</f>
        <v>0</v>
      </c>
      <c r="G48" s="128"/>
      <c r="H48" s="127"/>
      <c r="I48" s="223">
        <f>AVERAGE(I49:I52)</f>
        <v>0</v>
      </c>
      <c r="J48" s="128"/>
      <c r="K48" s="127"/>
      <c r="L48" s="223">
        <f>AVERAGE(L49:L52)</f>
        <v>0</v>
      </c>
      <c r="M48" s="128"/>
      <c r="N48" s="127"/>
      <c r="O48" s="223">
        <f>AVERAGE(O49:O52)</f>
        <v>0</v>
      </c>
      <c r="P48" s="128"/>
      <c r="Q48" s="127"/>
      <c r="R48" s="223">
        <f>AVERAGE(R49:R52)</f>
        <v>0</v>
      </c>
      <c r="S48" s="128"/>
      <c r="T48" s="127"/>
      <c r="U48" s="223">
        <f>AVERAGE(U49:U52)</f>
        <v>0</v>
      </c>
      <c r="V48" s="128"/>
      <c r="W48" s="127"/>
      <c r="X48" s="223">
        <f>AVERAGE(X49:X52)</f>
        <v>0</v>
      </c>
      <c r="Y48" s="128"/>
      <c r="Z48" s="127"/>
      <c r="AA48" s="223">
        <f>AVERAGE(AA49:AA52)</f>
        <v>0</v>
      </c>
      <c r="AB48" s="128"/>
      <c r="AC48" s="127"/>
      <c r="AD48" s="223">
        <f>AVERAGE(AD49:AD52)</f>
        <v>0</v>
      </c>
      <c r="AE48" s="128"/>
      <c r="AF48" s="127"/>
      <c r="AG48" s="223">
        <f>AVERAGE(AG49:AG52)</f>
        <v>0</v>
      </c>
      <c r="AH48" s="128"/>
      <c r="AI48" s="127"/>
      <c r="AJ48" s="223">
        <f>AVERAGE(AJ49:AJ52)</f>
        <v>0</v>
      </c>
      <c r="AK48" s="128"/>
      <c r="AL48" s="127"/>
      <c r="AM48" s="223">
        <f>AVERAGE(AM49:AM52)</f>
        <v>0</v>
      </c>
      <c r="AN48" s="128"/>
      <c r="AO48" s="127"/>
      <c r="AP48" s="223">
        <f>AVERAGE(AP49:AP52)</f>
        <v>0</v>
      </c>
      <c r="AQ48" s="128"/>
      <c r="AR48" s="127"/>
      <c r="AS48" s="223">
        <f>AVERAGE(AS49:AS52)</f>
        <v>0</v>
      </c>
      <c r="AT48" s="128"/>
      <c r="AU48" s="127"/>
      <c r="AV48" s="223">
        <f>AVERAGE(AV49:AV52)</f>
        <v>0</v>
      </c>
      <c r="AW48" s="128"/>
      <c r="AX48" s="127"/>
      <c r="AY48" s="223">
        <f>AVERAGE(AY49:AY52)</f>
        <v>0</v>
      </c>
      <c r="AZ48" s="128"/>
      <c r="BA48" s="127"/>
      <c r="BB48" s="223">
        <f>AVERAGE(BB49:BB52)</f>
        <v>0</v>
      </c>
      <c r="BC48" s="128"/>
      <c r="BD48" s="127"/>
      <c r="BE48" s="223">
        <f>AVERAGE(BE49:BE52)</f>
        <v>0</v>
      </c>
      <c r="BF48" s="128"/>
      <c r="BG48" s="127"/>
      <c r="BH48" s="223">
        <f>AVERAGE(BH49:BH52)</f>
        <v>0</v>
      </c>
      <c r="BI48" s="128"/>
      <c r="BJ48" s="127"/>
      <c r="BK48" s="223">
        <f>AVERAGE(BK49:BK52)</f>
        <v>0</v>
      </c>
      <c r="BL48" s="128"/>
      <c r="BM48" s="127"/>
      <c r="BN48" s="223">
        <f>AVERAGE(BN49:BN52)</f>
        <v>0</v>
      </c>
      <c r="BO48" s="128"/>
      <c r="BP48" s="127"/>
      <c r="BQ48" s="223">
        <f>AVERAGE(BQ49:BQ52)</f>
        <v>0</v>
      </c>
      <c r="BR48" s="128"/>
      <c r="BS48" s="127"/>
      <c r="BT48" s="223">
        <f>AVERAGE(BT49:BT52)</f>
        <v>0</v>
      </c>
      <c r="BU48" s="128"/>
      <c r="BV48" s="127"/>
      <c r="BW48" s="223">
        <f>AVERAGE(BW49:BW52)</f>
        <v>0</v>
      </c>
      <c r="BX48" s="128"/>
      <c r="BY48" s="127"/>
      <c r="BZ48" s="223">
        <f>AVERAGE(BZ49:BZ52)</f>
        <v>0</v>
      </c>
      <c r="CA48" s="128"/>
      <c r="CB48" s="127"/>
      <c r="CC48" s="223">
        <f>AVERAGE(CC49:CC52)</f>
        <v>0</v>
      </c>
      <c r="CD48" s="128"/>
      <c r="CE48" s="127"/>
      <c r="CF48" s="223">
        <f>AVERAGE(CF49:CF52)</f>
        <v>0</v>
      </c>
      <c r="CG48" s="128"/>
      <c r="CH48" s="127"/>
      <c r="CI48" s="223">
        <f>AVERAGE(CI49:CI52)</f>
        <v>0</v>
      </c>
      <c r="CJ48" s="128"/>
      <c r="CK48" s="127"/>
      <c r="CL48" s="223">
        <f>AVERAGE(CL49:CL52)</f>
        <v>0</v>
      </c>
      <c r="CM48" s="128"/>
      <c r="CN48" s="127"/>
      <c r="CO48" s="223">
        <f>AVERAGE(CO49:CO52)</f>
        <v>0</v>
      </c>
      <c r="CP48" s="128"/>
      <c r="CQ48" s="127"/>
      <c r="CR48" s="223">
        <f>AVERAGE(CR49:CR52)</f>
        <v>0</v>
      </c>
      <c r="CS48" s="128"/>
      <c r="CT48" s="127"/>
      <c r="CU48" s="223">
        <f>AVERAGE(CU49:CU52)</f>
        <v>0</v>
      </c>
      <c r="CV48" s="128"/>
      <c r="CW48" s="127"/>
      <c r="CX48" s="223">
        <f>AVERAGE(CX49:CX52)</f>
        <v>0</v>
      </c>
      <c r="CY48" s="128"/>
      <c r="CZ48" s="127"/>
      <c r="DA48" s="223">
        <f>AVERAGE(DA49:DA52)</f>
        <v>0</v>
      </c>
      <c r="DB48" s="128"/>
      <c r="DC48" s="127"/>
      <c r="DD48" s="223">
        <f>AVERAGE(DD49:DD52)</f>
        <v>0</v>
      </c>
      <c r="DE48" s="128"/>
      <c r="DF48" s="127"/>
      <c r="DG48" s="224">
        <f>AVERAGE(DG49:DG52)</f>
        <v>0</v>
      </c>
      <c r="DH48" s="128"/>
      <c r="DI48" s="127"/>
      <c r="DJ48" s="223">
        <f>AVERAGE(DJ49:DJ52)</f>
        <v>0</v>
      </c>
      <c r="DK48" s="128"/>
      <c r="DL48" s="127"/>
      <c r="DM48" s="223">
        <f>AVERAGE(DM49:DM52)</f>
        <v>0</v>
      </c>
      <c r="DN48" s="128"/>
      <c r="DO48" s="127"/>
      <c r="DP48" s="223">
        <f>AVERAGE(DP49:DP52)</f>
        <v>0</v>
      </c>
      <c r="DQ48" s="128"/>
      <c r="DR48" s="127"/>
      <c r="DS48" s="223">
        <f>AVERAGE(DS49:DS52)</f>
        <v>0</v>
      </c>
      <c r="DT48" s="128"/>
      <c r="DU48" s="127"/>
      <c r="DV48" s="223">
        <f>AVERAGE(DV49:DV52)</f>
        <v>0</v>
      </c>
      <c r="DW48" s="128"/>
      <c r="DX48" s="127"/>
      <c r="DY48" s="223">
        <f>AVERAGE(DY49:DY52)</f>
        <v>0</v>
      </c>
      <c r="DZ48" s="128"/>
      <c r="EA48" s="127"/>
      <c r="EB48" s="223">
        <f>AVERAGE(EB49:EB52)</f>
        <v>0</v>
      </c>
      <c r="EC48" s="128"/>
      <c r="ED48" s="127"/>
      <c r="EE48" s="223">
        <f>AVERAGE(EE49:EE52)</f>
        <v>0</v>
      </c>
      <c r="EF48" s="128"/>
      <c r="EG48" s="127"/>
      <c r="EH48" s="223">
        <f>AVERAGE(EH49:EH52)</f>
        <v>0</v>
      </c>
      <c r="EI48" s="128"/>
      <c r="EJ48" s="127"/>
      <c r="EK48" s="223">
        <f>AVERAGE(EK49:EK52)</f>
        <v>0</v>
      </c>
      <c r="EL48" s="128"/>
      <c r="EM48" s="127"/>
      <c r="EN48" s="223">
        <f>AVERAGE(EN49:EN52)</f>
        <v>0</v>
      </c>
      <c r="EO48" s="128"/>
      <c r="EP48" s="127"/>
      <c r="EQ48" s="223">
        <f>AVERAGE(EQ49:EQ52)</f>
        <v>0</v>
      </c>
      <c r="ER48" s="85">
        <f t="array" ref="ER48">IFERROR(_xlfn.LET(
_xlpm.datos,CHOOSE({1;2;3;4;5;6;7;8;9;10;11;12;13;13;14;15;16;17;18;19;20;21;22;23;23;24;25;26;27;28;29;30;31;32;33;34;35;36;37;38;39;40;41;42;43;44;45;46;47;48},F48,I48,L48,O48,R48,U48,X48,AA48,AD48,AG48,AJ48,AM48,AP48,AS48,AV48,AY48,BB48,BE48,BH48,BK48,BN48,BQ48,BT48,BW48,BZ48,CC48,CF48,CI48,CL48,CO48,CR48,CU48,CX48,DA48,DD48,DG48,DJ48,DM48,DP48,DS48,DV48,DY48,EB48,EE48,EH48,EK48,EN48,EQ48),
AVERAGE(_xlfn._xlws.FILTER(_xlpm.datos,(_xlpm.datos&lt;&gt;0)*(_xlpm.datos&lt;&gt;"")))
),0)</f>
        <v>0</v>
      </c>
      <c r="ES48" s="162" t="str">
        <f t="array" ref="ES48">_xlfn.IFS(ER48&gt;=91.5%,"MENSUAL",ER48&gt;=75%,"QUINCENAL",ER48&lt;75%,"SEMANAL")</f>
        <v>SEMANAL</v>
      </c>
      <c r="ET48" s="239"/>
      <c r="EU48" s="201"/>
      <c r="EV48" s="201"/>
      <c r="EW48" s="201"/>
      <c r="EX48" s="201"/>
      <c r="EY48" s="201"/>
      <c r="EZ48" s="201"/>
      <c r="FA48" s="201"/>
      <c r="FB48" s="201"/>
      <c r="FC48" s="201"/>
      <c r="FD48" s="201"/>
      <c r="FE48" s="201"/>
      <c r="FF48" s="201"/>
      <c r="FG48" s="201"/>
      <c r="FH48" s="201"/>
      <c r="FI48" s="201"/>
      <c r="FJ48" s="201"/>
      <c r="FK48" s="201"/>
      <c r="FL48" s="201"/>
      <c r="FM48" s="201"/>
      <c r="FN48" s="201"/>
      <c r="FO48" s="201"/>
      <c r="FP48" s="201"/>
      <c r="FQ48" s="201"/>
      <c r="FR48" s="201"/>
      <c r="FS48" s="201"/>
      <c r="FT48" s="201"/>
      <c r="FU48" s="201"/>
      <c r="FV48" s="201"/>
      <c r="FW48" s="201"/>
      <c r="FX48" s="201"/>
      <c r="FY48" s="201"/>
      <c r="FZ48" s="201"/>
      <c r="GA48" s="201"/>
      <c r="GB48" s="201"/>
      <c r="GC48" s="201"/>
      <c r="GD48" s="201"/>
      <c r="GE48" s="201"/>
      <c r="GF48" s="201"/>
      <c r="GG48" s="201"/>
      <c r="GH48" s="201"/>
      <c r="GI48" s="201"/>
      <c r="GJ48" s="201"/>
      <c r="GK48" s="201"/>
      <c r="GL48" s="201"/>
      <c r="GM48" s="201"/>
      <c r="GN48" s="201"/>
      <c r="GO48" s="201"/>
      <c r="GP48" s="201"/>
      <c r="GQ48" s="201"/>
      <c r="GR48" s="201"/>
      <c r="GS48" s="201"/>
      <c r="GT48" s="201"/>
      <c r="GU48" s="201"/>
      <c r="GV48" s="201"/>
      <c r="GW48" s="201"/>
      <c r="GX48" s="201"/>
      <c r="GY48" s="201"/>
      <c r="GZ48" s="201"/>
      <c r="HA48" s="201"/>
      <c r="HB48" s="201"/>
      <c r="HC48" s="201"/>
      <c r="HD48" s="201"/>
      <c r="HE48" s="201"/>
      <c r="HF48" s="201"/>
      <c r="HG48" s="201"/>
      <c r="HH48" s="201"/>
      <c r="HI48" s="201"/>
      <c r="HJ48" s="201"/>
      <c r="HK48" s="201"/>
      <c r="HL48" s="201"/>
      <c r="HM48" s="201"/>
      <c r="HN48" s="201"/>
      <c r="HO48" s="201"/>
      <c r="HP48" s="201"/>
      <c r="HQ48" s="201"/>
      <c r="HR48" s="201"/>
      <c r="HS48" s="201"/>
      <c r="HT48" s="201"/>
      <c r="HU48" s="201"/>
      <c r="HV48" s="201"/>
      <c r="HW48" s="201"/>
      <c r="HX48" s="201"/>
      <c r="HY48" s="201"/>
      <c r="HZ48" s="201"/>
      <c r="IA48" s="201"/>
      <c r="IB48" s="201"/>
      <c r="IC48" s="201"/>
      <c r="ID48" s="201"/>
      <c r="IE48" s="201"/>
      <c r="IF48" s="201"/>
      <c r="IG48" s="201"/>
      <c r="IH48" s="201"/>
      <c r="II48" s="201"/>
      <c r="IJ48" s="201"/>
      <c r="IK48" s="201"/>
      <c r="IL48" s="201"/>
      <c r="IM48" s="201"/>
      <c r="IN48" s="201"/>
      <c r="IO48" s="201"/>
      <c r="IP48" s="201"/>
      <c r="IQ48" s="201"/>
      <c r="IR48" s="201"/>
      <c r="IS48" s="201"/>
      <c r="IT48" s="201"/>
      <c r="IU48" s="201"/>
      <c r="IV48" s="201"/>
      <c r="IW48" s="201"/>
      <c r="IX48" s="201"/>
      <c r="IY48" s="201"/>
      <c r="IZ48" s="201"/>
      <c r="JA48" s="201"/>
      <c r="JB48" s="201"/>
      <c r="JC48" s="201"/>
      <c r="JD48" s="201"/>
      <c r="JE48" s="201"/>
      <c r="JF48" s="201"/>
      <c r="JG48" s="201"/>
      <c r="JH48" s="201"/>
      <c r="JI48" s="201"/>
      <c r="JJ48" s="201"/>
      <c r="JK48" s="201"/>
      <c r="JL48" s="201"/>
      <c r="JM48" s="201"/>
      <c r="JN48" s="201"/>
      <c r="JO48" s="201"/>
      <c r="JP48" s="201"/>
      <c r="JQ48" s="201"/>
      <c r="JR48" s="201"/>
      <c r="JS48" s="201"/>
      <c r="JT48" s="201"/>
      <c r="JU48" s="201"/>
      <c r="JV48" s="201"/>
      <c r="JW48" s="201"/>
      <c r="JX48" s="201"/>
      <c r="JY48" s="201"/>
      <c r="JZ48" s="201"/>
      <c r="KA48" s="201"/>
      <c r="KB48" s="201"/>
      <c r="KC48" s="201"/>
      <c r="KD48" s="201"/>
      <c r="KE48" s="201"/>
      <c r="KF48" s="201"/>
      <c r="KG48" s="201"/>
      <c r="KH48" s="201"/>
      <c r="KI48" s="201"/>
      <c r="KJ48" s="201"/>
      <c r="KK48" s="201"/>
      <c r="KL48" s="201"/>
      <c r="KM48" s="201"/>
      <c r="KN48" s="201"/>
      <c r="KO48" s="201"/>
      <c r="KP48" s="201"/>
      <c r="KQ48" s="201"/>
      <c r="KR48" s="201"/>
      <c r="KS48" s="201"/>
      <c r="KT48" s="201"/>
      <c r="KU48" s="201"/>
      <c r="KV48" s="201"/>
      <c r="KW48" s="201"/>
      <c r="KX48" s="201"/>
      <c r="KY48" s="201"/>
      <c r="KZ48" s="201"/>
      <c r="LA48" s="201"/>
      <c r="LB48" s="201"/>
      <c r="LC48" s="201"/>
      <c r="LD48" s="201"/>
      <c r="LE48" s="201"/>
      <c r="LF48" s="201"/>
      <c r="LG48" s="201"/>
      <c r="LH48" s="201"/>
      <c r="LI48" s="201"/>
      <c r="LJ48" s="201"/>
      <c r="LK48" s="201"/>
      <c r="LL48" s="201"/>
      <c r="LM48" s="201"/>
      <c r="LN48" s="201"/>
      <c r="LO48" s="201"/>
      <c r="LP48" s="201"/>
      <c r="LQ48" s="201"/>
      <c r="LR48" s="201"/>
      <c r="LS48" s="201"/>
      <c r="LT48" s="201"/>
      <c r="LU48" s="201"/>
      <c r="LV48" s="201"/>
      <c r="LW48" s="201"/>
      <c r="LX48" s="201"/>
      <c r="LY48" s="201"/>
      <c r="LZ48" s="201"/>
      <c r="MA48" s="201"/>
      <c r="MB48" s="201"/>
      <c r="MC48" s="201"/>
      <c r="MD48" s="201"/>
      <c r="ME48" s="201"/>
      <c r="MF48" s="201"/>
      <c r="MG48" s="201"/>
      <c r="MH48" s="201"/>
      <c r="MI48" s="201"/>
      <c r="MJ48" s="201"/>
      <c r="MK48" s="201"/>
      <c r="ML48" s="201"/>
      <c r="MM48" s="201"/>
      <c r="MN48" s="201"/>
      <c r="MO48" s="201"/>
      <c r="MP48" s="201"/>
      <c r="MQ48" s="201"/>
      <c r="MR48" s="201"/>
      <c r="MS48" s="201"/>
      <c r="MT48" s="201"/>
      <c r="MU48" s="201"/>
      <c r="MV48" s="201"/>
      <c r="MW48" s="201"/>
      <c r="MX48" s="201"/>
      <c r="MY48" s="201"/>
      <c r="MZ48" s="201"/>
      <c r="NA48" s="201"/>
      <c r="NB48" s="201"/>
      <c r="NC48" s="201"/>
      <c r="ND48" s="201"/>
      <c r="NE48" s="201"/>
      <c r="NF48" s="201"/>
      <c r="NG48" s="201"/>
      <c r="NH48" s="201"/>
      <c r="NI48" s="201"/>
      <c r="NJ48" s="201"/>
      <c r="NK48" s="201"/>
      <c r="NL48" s="201"/>
      <c r="NM48" s="201"/>
      <c r="NN48" s="201"/>
      <c r="NO48" s="201"/>
      <c r="NP48" s="201"/>
      <c r="NQ48" s="201"/>
      <c r="NR48" s="201"/>
      <c r="NS48" s="201"/>
      <c r="NT48" s="201"/>
      <c r="NU48" s="201"/>
      <c r="NV48" s="201"/>
      <c r="NW48" s="201"/>
      <c r="NX48" s="201"/>
      <c r="NY48" s="201"/>
      <c r="NZ48" s="201"/>
      <c r="OA48" s="201"/>
      <c r="OB48" s="201"/>
      <c r="OC48" s="201"/>
      <c r="OD48" s="201"/>
      <c r="OE48" s="201"/>
      <c r="OF48" s="201"/>
      <c r="OG48" s="201"/>
      <c r="OH48" s="201"/>
      <c r="OI48" s="201"/>
      <c r="OJ48" s="201"/>
      <c r="OK48" s="201"/>
      <c r="OL48" s="201"/>
      <c r="OM48" s="201"/>
      <c r="ON48" s="201"/>
      <c r="OO48" s="201"/>
      <c r="OP48" s="201"/>
      <c r="OQ48" s="201"/>
      <c r="OR48" s="201"/>
      <c r="OS48" s="201"/>
      <c r="OT48" s="201"/>
      <c r="OU48" s="201"/>
      <c r="OV48" s="201"/>
      <c r="OW48" s="201"/>
      <c r="OX48" s="201"/>
      <c r="OY48" s="201"/>
      <c r="OZ48" s="201"/>
      <c r="PA48" s="201"/>
      <c r="PB48" s="201"/>
      <c r="PC48" s="201"/>
      <c r="PD48" s="201"/>
      <c r="PE48" s="201"/>
      <c r="PF48" s="201"/>
      <c r="PG48" s="201"/>
      <c r="PH48" s="201"/>
      <c r="PI48" s="201"/>
      <c r="PJ48" s="201"/>
      <c r="PK48" s="201"/>
      <c r="PL48" s="201"/>
      <c r="PM48" s="201"/>
      <c r="PN48" s="201"/>
      <c r="PO48" s="201"/>
      <c r="PP48" s="201"/>
      <c r="PQ48" s="201"/>
      <c r="PR48" s="201"/>
      <c r="PS48" s="201"/>
      <c r="PT48" s="201"/>
      <c r="PU48" s="201"/>
      <c r="PV48" s="201"/>
      <c r="PW48" s="201"/>
      <c r="PX48" s="201"/>
      <c r="PY48" s="201"/>
      <c r="PZ48" s="201"/>
      <c r="QA48" s="201"/>
      <c r="QB48" s="201"/>
      <c r="QC48" s="201"/>
      <c r="QD48" s="201"/>
      <c r="QE48" s="201"/>
      <c r="QF48" s="201"/>
      <c r="QG48" s="201"/>
      <c r="QH48" s="201"/>
      <c r="QI48" s="201"/>
      <c r="QJ48" s="201"/>
      <c r="QK48" s="201"/>
      <c r="QL48" s="201"/>
      <c r="QM48" s="201"/>
      <c r="QN48" s="201"/>
      <c r="QO48" s="201"/>
      <c r="QP48" s="201"/>
      <c r="QQ48" s="201"/>
      <c r="QR48" s="201"/>
      <c r="QS48" s="201"/>
      <c r="QT48" s="201"/>
      <c r="QU48" s="201"/>
      <c r="QV48" s="201"/>
      <c r="QW48" s="201"/>
      <c r="QX48" s="201"/>
      <c r="QY48" s="201"/>
      <c r="QZ48" s="201"/>
      <c r="RA48" s="201"/>
      <c r="RB48" s="201"/>
      <c r="RC48" s="201"/>
      <c r="RD48" s="201"/>
      <c r="RE48" s="201"/>
      <c r="RF48" s="201"/>
      <c r="RG48" s="201"/>
      <c r="RH48" s="201"/>
      <c r="RI48" s="201"/>
      <c r="RJ48" s="201"/>
      <c r="RK48" s="201"/>
      <c r="RL48" s="201"/>
      <c r="RM48" s="201"/>
      <c r="RN48" s="201"/>
      <c r="RO48" s="201"/>
      <c r="RP48" s="201"/>
      <c r="RQ48" s="201"/>
      <c r="RR48" s="201"/>
      <c r="RS48" s="201"/>
      <c r="RT48" s="201"/>
      <c r="RU48" s="201"/>
      <c r="RV48" s="201"/>
      <c r="RW48" s="201"/>
      <c r="RX48" s="201"/>
      <c r="RY48" s="201"/>
      <c r="RZ48" s="201"/>
      <c r="SA48" s="201"/>
      <c r="SB48" s="201"/>
      <c r="SC48" s="201"/>
      <c r="SD48" s="201"/>
      <c r="SE48" s="201"/>
      <c r="SF48" s="201"/>
      <c r="SG48" s="201"/>
      <c r="SH48" s="201"/>
      <c r="SI48" s="201"/>
      <c r="SJ48" s="201"/>
      <c r="SK48" s="201"/>
      <c r="SL48" s="201"/>
      <c r="SM48" s="201"/>
      <c r="SN48" s="201"/>
      <c r="SO48" s="201"/>
      <c r="SP48" s="201"/>
      <c r="SQ48" s="201"/>
      <c r="SR48" s="201"/>
      <c r="SS48" s="201"/>
      <c r="ST48" s="201"/>
      <c r="SU48" s="201"/>
      <c r="SV48" s="201"/>
      <c r="SW48" s="201"/>
      <c r="SX48" s="201"/>
      <c r="SY48" s="201"/>
      <c r="SZ48" s="201"/>
      <c r="TA48" s="201"/>
      <c r="TB48" s="201"/>
      <c r="TC48" s="201"/>
      <c r="TD48" s="201"/>
      <c r="TE48" s="201"/>
      <c r="TF48" s="201"/>
      <c r="TG48" s="201"/>
      <c r="TH48" s="201"/>
      <c r="TI48" s="201"/>
      <c r="TJ48" s="201"/>
      <c r="TK48" s="201"/>
      <c r="TL48" s="201"/>
      <c r="TM48" s="201"/>
      <c r="TN48" s="201"/>
      <c r="TO48" s="201"/>
      <c r="TP48" s="201"/>
      <c r="TQ48" s="201"/>
      <c r="TR48" s="201"/>
      <c r="TS48" s="201"/>
      <c r="TT48" s="201"/>
      <c r="TU48" s="201"/>
      <c r="TV48" s="201"/>
      <c r="TW48" s="201"/>
      <c r="TX48" s="201"/>
      <c r="TY48" s="201"/>
      <c r="TZ48" s="201"/>
      <c r="UA48" s="201"/>
      <c r="UB48" s="201"/>
      <c r="UC48" s="201"/>
      <c r="UD48" s="201"/>
      <c r="UE48" s="201"/>
      <c r="UF48" s="201"/>
      <c r="UG48" s="201"/>
      <c r="UH48" s="201"/>
      <c r="UI48" s="201"/>
      <c r="UJ48" s="201"/>
      <c r="UK48" s="201"/>
      <c r="UL48" s="201"/>
      <c r="UM48" s="201"/>
      <c r="UN48" s="201"/>
      <c r="UO48" s="201"/>
      <c r="UP48" s="201"/>
      <c r="UQ48" s="201"/>
      <c r="UR48" s="201"/>
      <c r="US48" s="201"/>
      <c r="UT48" s="201"/>
      <c r="UU48" s="201"/>
      <c r="UV48" s="201"/>
      <c r="UW48" s="201"/>
      <c r="UX48" s="201"/>
      <c r="UY48" s="201"/>
      <c r="UZ48" s="201"/>
      <c r="VA48" s="201"/>
      <c r="VB48" s="201"/>
      <c r="VC48" s="201"/>
      <c r="VD48" s="201"/>
      <c r="VE48" s="201"/>
      <c r="VF48" s="201"/>
      <c r="VG48" s="201"/>
      <c r="VH48" s="201"/>
      <c r="VI48" s="201"/>
      <c r="VJ48" s="201"/>
      <c r="VK48" s="201"/>
      <c r="VL48" s="201"/>
      <c r="VM48" s="201"/>
      <c r="VN48" s="201"/>
      <c r="VO48" s="201"/>
      <c r="VP48" s="201"/>
      <c r="VQ48" s="201"/>
      <c r="VR48" s="201"/>
      <c r="VS48" s="201"/>
      <c r="VT48" s="201"/>
      <c r="VU48" s="201"/>
      <c r="VV48" s="201"/>
      <c r="VW48" s="201"/>
      <c r="VX48" s="201"/>
      <c r="VY48" s="201"/>
      <c r="VZ48" s="201"/>
      <c r="WA48" s="201"/>
      <c r="WB48" s="201"/>
      <c r="WC48" s="201"/>
      <c r="WD48" s="201"/>
      <c r="WE48" s="201"/>
      <c r="WF48" s="201"/>
      <c r="WG48" s="201"/>
      <c r="WH48" s="201"/>
      <c r="WI48" s="201"/>
      <c r="WJ48" s="201"/>
      <c r="WK48" s="201"/>
      <c r="WL48" s="201"/>
      <c r="WM48" s="201"/>
      <c r="WN48" s="201"/>
      <c r="WO48" s="201"/>
      <c r="WP48" s="201"/>
      <c r="WQ48" s="201"/>
      <c r="WR48" s="201"/>
      <c r="WS48" s="201"/>
      <c r="WT48" s="201"/>
      <c r="WU48" s="201"/>
      <c r="WV48" s="201"/>
      <c r="WW48" s="201"/>
      <c r="WX48" s="201"/>
      <c r="WY48" s="201"/>
      <c r="WZ48" s="201"/>
      <c r="XA48" s="201"/>
      <c r="XB48" s="201"/>
      <c r="XC48" s="201"/>
      <c r="XD48" s="201"/>
      <c r="XE48" s="201"/>
      <c r="XF48" s="201"/>
      <c r="XG48" s="201"/>
      <c r="XH48" s="201"/>
      <c r="XI48" s="201"/>
      <c r="XJ48" s="201"/>
      <c r="XK48" s="201"/>
      <c r="XL48" s="201"/>
      <c r="XM48" s="201"/>
      <c r="XN48" s="201"/>
      <c r="XO48" s="201"/>
      <c r="XP48" s="201"/>
      <c r="XQ48" s="201"/>
      <c r="XR48" s="201"/>
      <c r="XS48" s="201"/>
      <c r="XT48" s="201"/>
      <c r="XU48" s="201"/>
      <c r="XV48" s="201"/>
      <c r="XW48" s="201"/>
      <c r="XX48" s="201"/>
      <c r="XY48" s="201"/>
      <c r="XZ48" s="201"/>
      <c r="YA48" s="201"/>
      <c r="YB48" s="201"/>
      <c r="YC48" s="201"/>
      <c r="YD48" s="201"/>
      <c r="YE48" s="201"/>
      <c r="YF48" s="201"/>
      <c r="YG48" s="201"/>
      <c r="YH48" s="201"/>
      <c r="YI48" s="201"/>
      <c r="YJ48" s="201"/>
      <c r="YK48" s="201"/>
      <c r="YL48" s="201"/>
      <c r="YM48" s="201"/>
      <c r="YN48" s="201"/>
      <c r="YO48" s="201"/>
      <c r="YP48" s="201"/>
      <c r="YQ48" s="201"/>
      <c r="YR48" s="201"/>
      <c r="YS48" s="201"/>
      <c r="YT48" s="201"/>
      <c r="YU48" s="201"/>
      <c r="YV48" s="201"/>
      <c r="YW48" s="201"/>
      <c r="YX48" s="201"/>
      <c r="YY48" s="201"/>
      <c r="YZ48" s="201"/>
      <c r="ZA48" s="201"/>
      <c r="ZB48" s="201"/>
      <c r="ZC48" s="201"/>
      <c r="ZD48" s="201"/>
      <c r="ZE48" s="201"/>
      <c r="ZF48" s="201"/>
      <c r="ZG48" s="201"/>
      <c r="ZH48" s="201"/>
      <c r="ZI48" s="201"/>
      <c r="ZJ48" s="201"/>
      <c r="ZK48" s="201"/>
      <c r="ZL48" s="201"/>
      <c r="ZM48" s="201"/>
      <c r="ZN48" s="201"/>
      <c r="ZO48" s="201"/>
      <c r="ZP48" s="201"/>
      <c r="ZQ48" s="201"/>
      <c r="ZR48" s="201"/>
      <c r="ZS48" s="201"/>
      <c r="ZT48" s="201"/>
      <c r="ZU48" s="201"/>
      <c r="ZV48" s="201"/>
      <c r="ZW48" s="201"/>
      <c r="ZX48" s="201"/>
      <c r="ZY48" s="201"/>
      <c r="ZZ48" s="201"/>
      <c r="AAA48" s="201"/>
      <c r="AAB48" s="201"/>
      <c r="AAC48" s="201"/>
      <c r="AAD48" s="201"/>
      <c r="AAE48" s="201"/>
      <c r="AAF48" s="201"/>
      <c r="AAG48" s="201"/>
      <c r="AAH48" s="201"/>
      <c r="AAI48" s="201"/>
      <c r="AAJ48" s="201"/>
      <c r="AAK48" s="201"/>
      <c r="AAL48" s="201"/>
      <c r="AAM48" s="201"/>
      <c r="AAN48" s="201"/>
      <c r="AAO48" s="201"/>
      <c r="AAP48" s="201"/>
      <c r="AAQ48" s="201"/>
      <c r="AAR48" s="201"/>
      <c r="AAS48" s="201"/>
      <c r="AAT48" s="201"/>
      <c r="AAU48" s="201"/>
      <c r="AAV48" s="201"/>
      <c r="AAW48" s="201"/>
      <c r="AAX48" s="201"/>
      <c r="AAY48" s="201"/>
      <c r="AAZ48" s="201"/>
      <c r="ABA48" s="201"/>
      <c r="ABB48" s="201"/>
      <c r="ABC48" s="201"/>
      <c r="ABD48" s="201"/>
      <c r="ABE48" s="201"/>
      <c r="ABF48" s="201"/>
      <c r="ABG48" s="201"/>
      <c r="ABH48" s="201"/>
      <c r="ABI48" s="201"/>
      <c r="ABJ48" s="201"/>
      <c r="ABK48" s="201"/>
      <c r="ABL48" s="201"/>
      <c r="ABM48" s="201"/>
      <c r="ABN48" s="201"/>
      <c r="ABO48" s="201"/>
      <c r="ABP48" s="201"/>
      <c r="ABQ48" s="201"/>
      <c r="ABR48" s="201"/>
      <c r="ABS48" s="201"/>
      <c r="ABT48" s="201"/>
      <c r="ABU48" s="201"/>
      <c r="ABV48" s="201"/>
      <c r="ABW48" s="201"/>
      <c r="ABX48" s="201"/>
      <c r="ABY48" s="201"/>
      <c r="ABZ48" s="201"/>
      <c r="ACA48" s="201"/>
      <c r="ACB48" s="201"/>
      <c r="ACC48" s="201"/>
      <c r="ACD48" s="201"/>
      <c r="ACE48" s="201"/>
      <c r="ACF48" s="201"/>
      <c r="ACG48" s="201"/>
      <c r="ACH48" s="201"/>
      <c r="ACI48" s="201"/>
      <c r="ACJ48" s="201"/>
      <c r="ACK48" s="201"/>
      <c r="ACL48" s="201"/>
      <c r="ACM48" s="201"/>
      <c r="ACN48" s="201"/>
      <c r="ACO48" s="201"/>
      <c r="ACP48" s="201"/>
      <c r="ACQ48" s="201"/>
      <c r="ACR48" s="201"/>
      <c r="ACS48" s="201"/>
      <c r="ACT48" s="201"/>
      <c r="ACU48" s="201"/>
      <c r="ACV48" s="201"/>
      <c r="ACW48" s="201"/>
      <c r="ACX48" s="201"/>
      <c r="ACY48" s="201"/>
      <c r="ACZ48" s="201"/>
      <c r="ADA48" s="201"/>
      <c r="ADB48" s="201"/>
      <c r="ADC48" s="201"/>
      <c r="ADD48" s="201"/>
      <c r="ADE48" s="201"/>
      <c r="ADF48" s="201"/>
      <c r="ADG48" s="201"/>
      <c r="ADH48" s="201"/>
      <c r="ADI48" s="201"/>
      <c r="ADJ48" s="201"/>
      <c r="ADK48" s="201"/>
      <c r="ADL48" s="201"/>
      <c r="ADM48" s="201"/>
      <c r="ADN48" s="201"/>
      <c r="ADO48" s="201"/>
      <c r="ADP48" s="201"/>
      <c r="ADQ48" s="201"/>
      <c r="ADR48" s="201"/>
      <c r="ADS48" s="201"/>
      <c r="ADT48" s="201"/>
      <c r="ADU48" s="201"/>
      <c r="ADV48" s="201"/>
      <c r="ADW48" s="201"/>
      <c r="ADX48" s="201"/>
      <c r="ADY48" s="201"/>
      <c r="ADZ48" s="201"/>
      <c r="AEA48" s="201"/>
      <c r="AEB48" s="201"/>
      <c r="AEC48" s="201"/>
      <c r="AED48" s="201"/>
      <c r="AEE48" s="201"/>
      <c r="AEF48" s="201"/>
      <c r="AEG48" s="201"/>
      <c r="AEH48" s="201"/>
      <c r="AEI48" s="201"/>
      <c r="AEJ48" s="201"/>
      <c r="AEK48" s="201"/>
      <c r="AEL48" s="201"/>
      <c r="AEM48" s="201"/>
      <c r="AEN48" s="201"/>
      <c r="AEO48" s="201"/>
      <c r="AEP48" s="201"/>
      <c r="AEQ48" s="201"/>
      <c r="AER48" s="201"/>
      <c r="AES48" s="201"/>
      <c r="AET48" s="201"/>
      <c r="AEU48" s="201"/>
      <c r="AEV48" s="201"/>
      <c r="AEW48" s="201"/>
      <c r="AEX48" s="201"/>
      <c r="AEY48" s="201"/>
      <c r="AEZ48" s="201"/>
      <c r="AFA48" s="201"/>
      <c r="AFB48" s="201"/>
      <c r="AFC48" s="201"/>
      <c r="AFD48" s="201"/>
      <c r="AFE48" s="201"/>
      <c r="AFF48" s="201"/>
      <c r="AFG48" s="201"/>
      <c r="AFH48" s="201"/>
      <c r="AFI48" s="201"/>
      <c r="AFJ48" s="201"/>
      <c r="AFK48" s="201"/>
      <c r="AFL48" s="201"/>
      <c r="AFM48" s="201"/>
      <c r="AFN48" s="201"/>
      <c r="AFO48" s="201"/>
      <c r="AFP48" s="201"/>
      <c r="AFQ48" s="201"/>
      <c r="AFR48" s="201"/>
      <c r="AFS48" s="201"/>
      <c r="AFT48" s="201"/>
      <c r="AFU48" s="201"/>
      <c r="AFV48" s="201"/>
      <c r="AFW48" s="201"/>
      <c r="AFX48" s="201"/>
      <c r="AFY48" s="201"/>
      <c r="AFZ48" s="201"/>
      <c r="AGA48" s="201"/>
      <c r="AGB48" s="201"/>
      <c r="AGC48" s="201"/>
      <c r="AGD48" s="201"/>
      <c r="AGE48" s="201"/>
      <c r="AGF48" s="201"/>
      <c r="AGG48" s="201"/>
      <c r="AGH48" s="201"/>
      <c r="AGI48" s="201"/>
      <c r="AGJ48" s="201"/>
      <c r="AGK48" s="201"/>
      <c r="AGL48" s="201"/>
      <c r="AGM48" s="201"/>
      <c r="AGN48" s="201"/>
      <c r="AGO48" s="201"/>
      <c r="AGP48" s="201"/>
      <c r="AGQ48" s="201"/>
      <c r="AGR48" s="201"/>
      <c r="AGS48" s="201"/>
      <c r="AGT48" s="201"/>
      <c r="AGU48" s="201"/>
      <c r="AGV48" s="201"/>
      <c r="AGW48" s="201"/>
      <c r="AGX48" s="201"/>
      <c r="AGY48" s="201"/>
      <c r="AGZ48" s="201"/>
      <c r="AHA48" s="201"/>
      <c r="AHB48" s="201"/>
      <c r="AHC48" s="201"/>
      <c r="AHD48" s="201"/>
      <c r="AHE48" s="201"/>
      <c r="AHF48" s="201"/>
      <c r="AHG48" s="201"/>
      <c r="AHH48" s="201"/>
      <c r="AHI48" s="201"/>
      <c r="AHJ48" s="201"/>
      <c r="AHK48" s="201"/>
      <c r="AHL48" s="201"/>
      <c r="AHM48" s="201"/>
      <c r="AHN48" s="201"/>
      <c r="AHO48" s="201"/>
      <c r="AHP48" s="201"/>
      <c r="AHQ48" s="201"/>
      <c r="AHR48" s="201"/>
      <c r="AHS48" s="201"/>
      <c r="AHT48" s="201"/>
      <c r="AHU48" s="201"/>
      <c r="AHV48" s="201"/>
      <c r="AHW48" s="201"/>
      <c r="AHX48" s="201"/>
      <c r="AHY48" s="201"/>
      <c r="AHZ48" s="201"/>
      <c r="AIA48" s="201"/>
      <c r="AIB48" s="201"/>
      <c r="AIC48" s="201"/>
      <c r="AID48" s="201"/>
      <c r="AIE48" s="201"/>
      <c r="AIF48" s="201"/>
      <c r="AIG48" s="201"/>
      <c r="AIH48" s="201"/>
      <c r="AII48" s="201"/>
      <c r="AIJ48" s="201"/>
      <c r="AIK48" s="201"/>
      <c r="AIL48" s="201"/>
      <c r="AIM48" s="201"/>
      <c r="AIN48" s="201"/>
      <c r="AIO48" s="201"/>
      <c r="AIP48" s="201"/>
      <c r="AIQ48" s="201"/>
      <c r="AIR48" s="201"/>
      <c r="AIS48" s="201"/>
      <c r="AIT48" s="201"/>
      <c r="AIU48" s="201"/>
      <c r="AIV48" s="201"/>
      <c r="AIW48" s="201"/>
      <c r="AIX48" s="201"/>
      <c r="AIY48" s="201"/>
      <c r="AIZ48" s="201"/>
      <c r="AJA48" s="201"/>
      <c r="AJB48" s="201"/>
      <c r="AJC48" s="201"/>
      <c r="AJD48" s="201"/>
      <c r="AJE48" s="201"/>
      <c r="AJF48" s="201"/>
      <c r="AJG48" s="201"/>
      <c r="AJH48" s="201"/>
      <c r="AJI48" s="201"/>
      <c r="AJJ48" s="201"/>
      <c r="AJK48" s="201"/>
      <c r="AJL48" s="201"/>
      <c r="AJM48" s="201"/>
      <c r="AJN48" s="201"/>
      <c r="AJO48" s="201"/>
      <c r="AJP48" s="201"/>
      <c r="AJQ48" s="201"/>
      <c r="AJR48" s="201"/>
      <c r="AJS48" s="201"/>
      <c r="AJT48" s="201"/>
      <c r="AJU48" s="201"/>
      <c r="AJV48" s="201"/>
      <c r="AJW48" s="201"/>
      <c r="AJX48" s="201"/>
      <c r="AJY48" s="201"/>
    </row>
    <row r="49" ht="22" customHeight="1" spans="2:961" s="246" customFormat="1" x14ac:dyDescent="0.25">
      <c r="B49" s="232" t="s">
        <v>211</v>
      </c>
      <c r="C49" s="228"/>
      <c r="D49" s="102"/>
      <c r="E49" s="103">
        <v>5</v>
      </c>
      <c r="F49" s="104">
        <f t="shared" ref="F49:F52" si="285">D49/E49</f>
        <v>0</v>
      </c>
      <c r="G49" s="102"/>
      <c r="H49" s="103">
        <v>5</v>
      </c>
      <c r="I49" s="104">
        <f t="shared" ref="I49:I52" si="286">G49/H49</f>
        <v>0</v>
      </c>
      <c r="J49" s="105"/>
      <c r="K49" s="103">
        <v>5</v>
      </c>
      <c r="L49" s="104">
        <f t="shared" ref="L49:L52" si="287">J49/K49</f>
        <v>0</v>
      </c>
      <c r="M49" s="105"/>
      <c r="N49" s="103">
        <v>5</v>
      </c>
      <c r="O49" s="104">
        <f t="shared" ref="O49:O52" si="288">M49/N49</f>
        <v>0</v>
      </c>
      <c r="P49" s="106"/>
      <c r="Q49" s="107">
        <v>5</v>
      </c>
      <c r="R49" s="104">
        <f t="shared" ref="R49:R52" si="289">P49/Q49</f>
        <v>0</v>
      </c>
      <c r="S49" s="102"/>
      <c r="T49" s="107">
        <v>5</v>
      </c>
      <c r="U49" s="104">
        <f t="shared" ref="U49:U52" si="290">S49/T49</f>
        <v>0</v>
      </c>
      <c r="V49" s="102"/>
      <c r="W49" s="107">
        <v>5</v>
      </c>
      <c r="X49" s="104">
        <f t="shared" ref="X49:X52" si="291">V49/W49</f>
        <v>0</v>
      </c>
      <c r="Y49" s="102"/>
      <c r="Z49" s="107">
        <v>5</v>
      </c>
      <c r="AA49" s="104">
        <f t="shared" ref="AA49:AA52" si="292">Y49/Z49</f>
        <v>0</v>
      </c>
      <c r="AB49" s="106"/>
      <c r="AC49" s="107">
        <v>5</v>
      </c>
      <c r="AD49" s="104">
        <f t="shared" ref="AD49:AD52" si="293">AB49/AC49</f>
        <v>0</v>
      </c>
      <c r="AE49" s="106"/>
      <c r="AF49" s="107">
        <v>5</v>
      </c>
      <c r="AG49" s="104">
        <f t="shared" ref="AG49:AG52" si="294">AE49/AF49</f>
        <v>0</v>
      </c>
      <c r="AH49" s="106"/>
      <c r="AI49" s="107">
        <v>5</v>
      </c>
      <c r="AJ49" s="104">
        <f t="shared" ref="AJ49:AJ52" si="295">AH49/AI49</f>
        <v>0</v>
      </c>
      <c r="AK49" s="106"/>
      <c r="AL49" s="107">
        <v>5</v>
      </c>
      <c r="AM49" s="104">
        <f t="shared" ref="AM49:AM52" si="296">AK49/AL49</f>
        <v>0</v>
      </c>
      <c r="AN49" s="102"/>
      <c r="AO49" s="1">
        <v>5</v>
      </c>
      <c r="AP49" s="104">
        <f t="shared" ref="AP49:AP52" si="297">AN49/AO49</f>
        <v>0</v>
      </c>
      <c r="AQ49" s="102"/>
      <c r="AR49" s="1">
        <v>5</v>
      </c>
      <c r="AS49" s="104">
        <f t="shared" ref="AS49:AS52" si="298">AQ49/AR49</f>
        <v>0</v>
      </c>
      <c r="AT49" s="102"/>
      <c r="AU49" s="1">
        <v>5</v>
      </c>
      <c r="AV49" s="104">
        <f t="shared" ref="AV49:AV52" si="299">AT49/AU49</f>
        <v>0</v>
      </c>
      <c r="AW49" s="102"/>
      <c r="AX49" s="1">
        <v>5</v>
      </c>
      <c r="AY49" s="104">
        <f t="shared" ref="AY49:AY52" si="300">AW49/AX49</f>
        <v>0</v>
      </c>
      <c r="AZ49" s="102"/>
      <c r="BA49" s="1">
        <v>5</v>
      </c>
      <c r="BB49" s="104">
        <f t="shared" ref="BB49:BB52" si="301">AZ49/BA49</f>
        <v>0</v>
      </c>
      <c r="BC49" s="102"/>
      <c r="BD49" s="1">
        <v>5</v>
      </c>
      <c r="BE49" s="104">
        <f t="shared" ref="BE49:BE52" si="302">BC49/BD49</f>
        <v>0</v>
      </c>
      <c r="BF49" s="102"/>
      <c r="BG49" s="1">
        <v>5</v>
      </c>
      <c r="BH49" s="104">
        <f t="shared" ref="BH49:BH52" si="303">BF49/BG49</f>
        <v>0</v>
      </c>
      <c r="BI49" s="102"/>
      <c r="BJ49" s="1">
        <v>5</v>
      </c>
      <c r="BK49" s="104">
        <f t="shared" ref="BK49:BK52" si="304">BI49/BJ49</f>
        <v>0</v>
      </c>
      <c r="BL49" s="102"/>
      <c r="BM49" s="1">
        <v>5</v>
      </c>
      <c r="BN49" s="104">
        <f t="shared" ref="BN49:BN52" si="305">BL49/BM49</f>
        <v>0</v>
      </c>
      <c r="BO49" s="102"/>
      <c r="BP49" s="1">
        <v>5</v>
      </c>
      <c r="BQ49" s="104">
        <f t="shared" ref="BQ49:BQ52" si="306">BO49/BP49</f>
        <v>0</v>
      </c>
      <c r="BR49" s="102"/>
      <c r="BS49" s="1">
        <v>5</v>
      </c>
      <c r="BT49" s="104">
        <f t="shared" ref="BT49:BT52" si="307">BR49/BS49</f>
        <v>0</v>
      </c>
      <c r="BU49" s="102"/>
      <c r="BV49" s="1">
        <v>5</v>
      </c>
      <c r="BW49" s="104">
        <f t="shared" ref="BW49:BW52" si="308">BU49/BV49</f>
        <v>0</v>
      </c>
      <c r="BX49" s="102"/>
      <c r="BY49" s="1">
        <v>5</v>
      </c>
      <c r="BZ49" s="104">
        <f t="shared" ref="BZ49:BZ52" si="309">BX49/BY49</f>
        <v>0</v>
      </c>
      <c r="CA49" s="102"/>
      <c r="CB49" s="1">
        <v>5</v>
      </c>
      <c r="CC49" s="104">
        <f t="shared" ref="CC49:CC52" si="310">CA49/CB49</f>
        <v>0</v>
      </c>
      <c r="CD49" s="102"/>
      <c r="CE49" s="1">
        <v>5</v>
      </c>
      <c r="CF49" s="104">
        <f t="shared" ref="CF49:CF52" si="311">CD49/CE49</f>
        <v>0</v>
      </c>
      <c r="CG49" s="102"/>
      <c r="CH49" s="1">
        <v>5</v>
      </c>
      <c r="CI49" s="104">
        <f t="shared" ref="CI49:CI52" si="312">CG49/CH49</f>
        <v>0</v>
      </c>
      <c r="CJ49" s="102"/>
      <c r="CK49" s="1">
        <v>5</v>
      </c>
      <c r="CL49" s="104">
        <f t="shared" ref="CL49:CL52" si="313">CJ49/CK49</f>
        <v>0</v>
      </c>
      <c r="CM49" s="102"/>
      <c r="CN49" s="1">
        <v>5</v>
      </c>
      <c r="CO49" s="104">
        <f t="shared" ref="CO49:CO52" si="314">CM49/CN49</f>
        <v>0</v>
      </c>
      <c r="CP49" s="102"/>
      <c r="CQ49" s="1">
        <v>5</v>
      </c>
      <c r="CR49" s="104">
        <f t="shared" ref="CR49:CR52" si="315">CP49/CQ49</f>
        <v>0</v>
      </c>
      <c r="CS49" s="102"/>
      <c r="CT49" s="1">
        <v>5</v>
      </c>
      <c r="CU49" s="104">
        <f t="shared" ref="CU49:CU52" si="316">CS49/CT49</f>
        <v>0</v>
      </c>
      <c r="CV49" s="102"/>
      <c r="CW49" s="1">
        <v>5</v>
      </c>
      <c r="CX49" s="104">
        <f t="shared" ref="CX49:CX52" si="317">CV49/CW49</f>
        <v>0</v>
      </c>
      <c r="CY49" s="102"/>
      <c r="CZ49" s="1">
        <v>5</v>
      </c>
      <c r="DA49" s="104">
        <f t="shared" ref="DA49:DA52" si="318">CY49/CZ49</f>
        <v>0</v>
      </c>
      <c r="DB49" s="102"/>
      <c r="DC49" s="1">
        <v>5</v>
      </c>
      <c r="DD49" s="104">
        <f t="shared" ref="DD49:DD52" si="319">DB49/DC49</f>
        <v>0</v>
      </c>
      <c r="DE49" s="102"/>
      <c r="DF49" s="1">
        <v>5</v>
      </c>
      <c r="DG49" s="104">
        <f t="shared" ref="DG49:DG52" si="320">DE49/DF49</f>
        <v>0</v>
      </c>
      <c r="DH49" s="102"/>
      <c r="DI49" s="1">
        <v>5</v>
      </c>
      <c r="DJ49" s="104">
        <f t="shared" ref="DJ49:DJ52" si="321">DH49/DI49</f>
        <v>0</v>
      </c>
      <c r="DK49" s="102"/>
      <c r="DL49" s="1">
        <v>5</v>
      </c>
      <c r="DM49" s="104">
        <f t="shared" ref="DM49:DM52" si="322">DK49/DL49</f>
        <v>0</v>
      </c>
      <c r="DN49" s="102"/>
      <c r="DO49" s="1">
        <v>5</v>
      </c>
      <c r="DP49" s="104">
        <f t="shared" ref="DP49:DP52" si="323">DN49/DO49</f>
        <v>0</v>
      </c>
      <c r="DQ49" s="102"/>
      <c r="DR49" s="1">
        <v>5</v>
      </c>
      <c r="DS49" s="104">
        <f t="shared" ref="DS49:DS52" si="324">DQ49/DR49</f>
        <v>0</v>
      </c>
      <c r="DT49" s="102"/>
      <c r="DU49" s="1">
        <v>5</v>
      </c>
      <c r="DV49" s="104">
        <f t="shared" ref="DV49:DV52" si="325">DT49/DU49</f>
        <v>0</v>
      </c>
      <c r="DW49" s="102"/>
      <c r="DX49" s="1">
        <v>5</v>
      </c>
      <c r="DY49" s="104">
        <f t="shared" ref="DY49:DY52" si="326">DW49/DX49</f>
        <v>0</v>
      </c>
      <c r="DZ49" s="102"/>
      <c r="EA49" s="1">
        <v>5</v>
      </c>
      <c r="EB49" s="104">
        <f t="shared" ref="EB49:EB52" si="327">DZ49/EA49</f>
        <v>0</v>
      </c>
      <c r="EC49" s="102"/>
      <c r="ED49" s="1">
        <v>5</v>
      </c>
      <c r="EE49" s="104">
        <f t="shared" ref="EE49:EE52" si="328">EC49/ED49</f>
        <v>0</v>
      </c>
      <c r="EF49" s="102"/>
      <c r="EG49" s="1">
        <v>5</v>
      </c>
      <c r="EH49" s="104">
        <f t="shared" ref="EH49:EH52" si="329">EF49/EG49</f>
        <v>0</v>
      </c>
      <c r="EI49" s="102"/>
      <c r="EJ49" s="1">
        <v>5</v>
      </c>
      <c r="EK49" s="104">
        <f t="shared" ref="EK49:EK52" si="330">EI49/EJ49</f>
        <v>0</v>
      </c>
      <c r="EL49" s="102"/>
      <c r="EM49" s="1">
        <v>5</v>
      </c>
      <c r="EN49" s="104">
        <f t="shared" ref="EN49:EN52" si="331">EL49/EM49</f>
        <v>0</v>
      </c>
      <c r="EO49" s="90">
        <v>0</v>
      </c>
      <c r="EP49" s="96">
        <v>5</v>
      </c>
      <c r="EQ49" s="104">
        <f>IFERROR(EO49/EP49,0)</f>
        <v>0</v>
      </c>
      <c r="ER49" s="85">
        <f t="array" ref="ER49">IFERROR(_xlfn.LET(
_xlpm.datos,CHOOSE({1;2;3;4;5;6;7;8;9;10;11;12;13;13;14;15;16;17;18;19;20;21;22;23;23;24;25;26;27;28;29;30;31;32;33;34;35;36;37;38;39;40;41;42;43;44;45;46;47;48},F49,I49,L49,O49,R49,U49,X49,AA49,AD49,AG49,AJ49,AM49,AP49,AS49,AV49,AY49,BB49,BE49,BH49,BK49,BN49,BQ49,BT49,BW49,BZ49,CC49,CF49,CI49,CL49,CO49,CR49,CU49,CX49,DA49,DD49,DG49,DJ49,DM49,DP49,DS49,DV49,DY49,EB49,EE49,EH49,EK49,EN49,EQ49),
AVERAGE(_xlfn._xlws.FILTER(_xlpm.datos,(_xlpm.datos&lt;&gt;0)*(_xlpm.datos&lt;&gt;"")))
),0)</f>
        <v>0</v>
      </c>
      <c r="ES49" s="162" t="str">
        <f t="array" ref="ES49">_xlfn.IFS(ER49&gt;=91.5%,"MENSUAL",ER49&gt;=75%,"QUINCENAL",ER49&lt;75%,"SEMANAL")</f>
        <v>SEMANAL</v>
      </c>
      <c r="ET49" s="239"/>
      <c r="EU49" s="201"/>
      <c r="EV49" s="201"/>
      <c r="EW49" s="201"/>
      <c r="EX49" s="201"/>
      <c r="EY49" s="201"/>
      <c r="EZ49" s="201"/>
      <c r="FA49" s="201"/>
      <c r="FB49" s="201"/>
      <c r="FC49" s="201"/>
      <c r="FD49" s="201"/>
      <c r="FE49" s="201"/>
      <c r="FF49" s="201"/>
      <c r="FG49" s="201"/>
      <c r="FH49" s="201"/>
      <c r="FI49" s="201"/>
      <c r="FJ49" s="201"/>
      <c r="FK49" s="201"/>
      <c r="FL49" s="201"/>
      <c r="FM49" s="201"/>
      <c r="FN49" s="201"/>
      <c r="FO49" s="201"/>
      <c r="FP49" s="201"/>
      <c r="FQ49" s="201"/>
      <c r="FR49" s="201"/>
      <c r="FS49" s="201"/>
      <c r="FT49" s="201"/>
      <c r="FU49" s="201"/>
      <c r="FV49" s="201"/>
      <c r="FW49" s="201"/>
      <c r="FX49" s="201"/>
      <c r="FY49" s="201"/>
      <c r="FZ49" s="201"/>
      <c r="GA49" s="201"/>
      <c r="GB49" s="201"/>
      <c r="GC49" s="201"/>
      <c r="GD49" s="201"/>
      <c r="GE49" s="201"/>
      <c r="GF49" s="201"/>
      <c r="GG49" s="201"/>
      <c r="GH49" s="201"/>
      <c r="GI49" s="201"/>
      <c r="GJ49" s="201"/>
      <c r="GK49" s="201"/>
      <c r="GL49" s="201"/>
      <c r="GM49" s="201"/>
      <c r="GN49" s="201"/>
      <c r="GO49" s="201"/>
      <c r="GP49" s="201"/>
      <c r="GQ49" s="201"/>
      <c r="GR49" s="201"/>
      <c r="GS49" s="201"/>
      <c r="GT49" s="201"/>
      <c r="GU49" s="201"/>
      <c r="GV49" s="201"/>
      <c r="GW49" s="201"/>
      <c r="GX49" s="201"/>
      <c r="GY49" s="201"/>
      <c r="GZ49" s="201"/>
      <c r="HA49" s="201"/>
      <c r="HB49" s="201"/>
      <c r="HC49" s="201"/>
      <c r="HD49" s="201"/>
      <c r="HE49" s="201"/>
      <c r="HF49" s="201"/>
      <c r="HG49" s="201"/>
      <c r="HH49" s="201"/>
      <c r="HI49" s="201"/>
      <c r="HJ49" s="201"/>
      <c r="HK49" s="201"/>
      <c r="HL49" s="201"/>
      <c r="HM49" s="201"/>
      <c r="HN49" s="201"/>
      <c r="HO49" s="201"/>
      <c r="HP49" s="201"/>
      <c r="HQ49" s="201"/>
      <c r="HR49" s="201"/>
      <c r="HS49" s="201"/>
      <c r="HT49" s="201"/>
      <c r="HU49" s="201"/>
      <c r="HV49" s="201"/>
      <c r="HW49" s="201"/>
      <c r="HX49" s="201"/>
      <c r="HY49" s="201"/>
      <c r="HZ49" s="201"/>
      <c r="IA49" s="201"/>
      <c r="IB49" s="201"/>
      <c r="IC49" s="201"/>
      <c r="ID49" s="201"/>
      <c r="IE49" s="201"/>
      <c r="IF49" s="201"/>
      <c r="IG49" s="201"/>
      <c r="IH49" s="201"/>
      <c r="II49" s="201"/>
      <c r="IJ49" s="201"/>
      <c r="IK49" s="201"/>
      <c r="IL49" s="201"/>
      <c r="IM49" s="201"/>
      <c r="IN49" s="201"/>
      <c r="IO49" s="201"/>
      <c r="IP49" s="201"/>
      <c r="IQ49" s="201"/>
      <c r="IR49" s="201"/>
      <c r="IS49" s="201"/>
      <c r="IT49" s="201"/>
      <c r="IU49" s="201"/>
      <c r="IV49" s="201"/>
      <c r="IW49" s="201"/>
      <c r="IX49" s="201"/>
      <c r="IY49" s="201"/>
      <c r="IZ49" s="201"/>
      <c r="JA49" s="201"/>
      <c r="JB49" s="201"/>
      <c r="JC49" s="201"/>
      <c r="JD49" s="201"/>
      <c r="JE49" s="201"/>
      <c r="JF49" s="201"/>
      <c r="JG49" s="201"/>
      <c r="JH49" s="201"/>
      <c r="JI49" s="201"/>
      <c r="JJ49" s="201"/>
      <c r="JK49" s="201"/>
      <c r="JL49" s="201"/>
      <c r="JM49" s="201"/>
      <c r="JN49" s="201"/>
      <c r="JO49" s="201"/>
      <c r="JP49" s="201"/>
      <c r="JQ49" s="201"/>
      <c r="JR49" s="201"/>
      <c r="JS49" s="201"/>
      <c r="JT49" s="201"/>
      <c r="JU49" s="201"/>
      <c r="JV49" s="201"/>
      <c r="JW49" s="201"/>
      <c r="JX49" s="201"/>
      <c r="JY49" s="201"/>
      <c r="JZ49" s="201"/>
      <c r="KA49" s="201"/>
      <c r="KB49" s="201"/>
      <c r="KC49" s="201"/>
      <c r="KD49" s="201"/>
      <c r="KE49" s="201"/>
      <c r="KF49" s="201"/>
      <c r="KG49" s="201"/>
      <c r="KH49" s="201"/>
      <c r="KI49" s="201"/>
      <c r="KJ49" s="201"/>
      <c r="KK49" s="201"/>
      <c r="KL49" s="201"/>
      <c r="KM49" s="201"/>
      <c r="KN49" s="201"/>
      <c r="KO49" s="201"/>
      <c r="KP49" s="201"/>
      <c r="KQ49" s="201"/>
      <c r="KR49" s="201"/>
      <c r="KS49" s="201"/>
      <c r="KT49" s="201"/>
      <c r="KU49" s="201"/>
      <c r="KV49" s="201"/>
      <c r="KW49" s="201"/>
      <c r="KX49" s="201"/>
      <c r="KY49" s="201"/>
      <c r="KZ49" s="201"/>
      <c r="LA49" s="201"/>
      <c r="LB49" s="201"/>
      <c r="LC49" s="201"/>
      <c r="LD49" s="201"/>
      <c r="LE49" s="201"/>
      <c r="LF49" s="201"/>
      <c r="LG49" s="201"/>
      <c r="LH49" s="201"/>
      <c r="LI49" s="201"/>
      <c r="LJ49" s="201"/>
      <c r="LK49" s="201"/>
      <c r="LL49" s="201"/>
      <c r="LM49" s="201"/>
      <c r="LN49" s="201"/>
      <c r="LO49" s="201"/>
      <c r="LP49" s="201"/>
      <c r="LQ49" s="201"/>
      <c r="LR49" s="201"/>
      <c r="LS49" s="201"/>
      <c r="LT49" s="201"/>
      <c r="LU49" s="201"/>
      <c r="LV49" s="201"/>
      <c r="LW49" s="201"/>
      <c r="LX49" s="201"/>
      <c r="LY49" s="201"/>
      <c r="LZ49" s="201"/>
      <c r="MA49" s="201"/>
      <c r="MB49" s="201"/>
      <c r="MC49" s="201"/>
      <c r="MD49" s="201"/>
      <c r="ME49" s="201"/>
      <c r="MF49" s="201"/>
      <c r="MG49" s="201"/>
      <c r="MH49" s="201"/>
      <c r="MI49" s="201"/>
      <c r="MJ49" s="201"/>
      <c r="MK49" s="201"/>
      <c r="ML49" s="201"/>
      <c r="MM49" s="201"/>
      <c r="MN49" s="201"/>
      <c r="MO49" s="201"/>
      <c r="MP49" s="201"/>
      <c r="MQ49" s="201"/>
      <c r="MR49" s="201"/>
      <c r="MS49" s="201"/>
      <c r="MT49" s="201"/>
      <c r="MU49" s="201"/>
      <c r="MV49" s="201"/>
      <c r="MW49" s="201"/>
      <c r="MX49" s="201"/>
      <c r="MY49" s="201"/>
      <c r="MZ49" s="201"/>
      <c r="NA49" s="201"/>
      <c r="NB49" s="201"/>
      <c r="NC49" s="201"/>
      <c r="ND49" s="201"/>
      <c r="NE49" s="201"/>
      <c r="NF49" s="201"/>
      <c r="NG49" s="201"/>
      <c r="NH49" s="201"/>
      <c r="NI49" s="201"/>
      <c r="NJ49" s="201"/>
      <c r="NK49" s="201"/>
      <c r="NL49" s="201"/>
      <c r="NM49" s="201"/>
      <c r="NN49" s="201"/>
      <c r="NO49" s="201"/>
      <c r="NP49" s="201"/>
      <c r="NQ49" s="201"/>
      <c r="NR49" s="201"/>
      <c r="NS49" s="201"/>
      <c r="NT49" s="201"/>
      <c r="NU49" s="201"/>
      <c r="NV49" s="201"/>
      <c r="NW49" s="201"/>
      <c r="NX49" s="201"/>
      <c r="NY49" s="201"/>
      <c r="NZ49" s="201"/>
      <c r="OA49" s="201"/>
      <c r="OB49" s="201"/>
      <c r="OC49" s="201"/>
      <c r="OD49" s="201"/>
      <c r="OE49" s="201"/>
      <c r="OF49" s="201"/>
      <c r="OG49" s="201"/>
      <c r="OH49" s="201"/>
      <c r="OI49" s="201"/>
      <c r="OJ49" s="201"/>
      <c r="OK49" s="201"/>
      <c r="OL49" s="201"/>
      <c r="OM49" s="201"/>
      <c r="ON49" s="201"/>
      <c r="OO49" s="201"/>
      <c r="OP49" s="201"/>
      <c r="OQ49" s="201"/>
      <c r="OR49" s="201"/>
      <c r="OS49" s="201"/>
      <c r="OT49" s="201"/>
      <c r="OU49" s="201"/>
      <c r="OV49" s="201"/>
      <c r="OW49" s="201"/>
      <c r="OX49" s="201"/>
      <c r="OY49" s="201"/>
      <c r="OZ49" s="201"/>
      <c r="PA49" s="201"/>
      <c r="PB49" s="201"/>
      <c r="PC49" s="201"/>
      <c r="PD49" s="201"/>
      <c r="PE49" s="201"/>
      <c r="PF49" s="201"/>
      <c r="PG49" s="201"/>
      <c r="PH49" s="201"/>
      <c r="PI49" s="201"/>
      <c r="PJ49" s="201"/>
      <c r="PK49" s="201"/>
      <c r="PL49" s="201"/>
      <c r="PM49" s="201"/>
      <c r="PN49" s="201"/>
      <c r="PO49" s="201"/>
      <c r="PP49" s="201"/>
      <c r="PQ49" s="201"/>
      <c r="PR49" s="201"/>
      <c r="PS49" s="201"/>
      <c r="PT49" s="201"/>
      <c r="PU49" s="201"/>
      <c r="PV49" s="201"/>
      <c r="PW49" s="201"/>
      <c r="PX49" s="201"/>
      <c r="PY49" s="201"/>
      <c r="PZ49" s="201"/>
      <c r="QA49" s="201"/>
      <c r="QB49" s="201"/>
      <c r="QC49" s="201"/>
      <c r="QD49" s="201"/>
      <c r="QE49" s="201"/>
      <c r="QF49" s="201"/>
      <c r="QG49" s="201"/>
      <c r="QH49" s="201"/>
      <c r="QI49" s="201"/>
      <c r="QJ49" s="201"/>
      <c r="QK49" s="201"/>
      <c r="QL49" s="201"/>
      <c r="QM49" s="201"/>
      <c r="QN49" s="201"/>
      <c r="QO49" s="201"/>
      <c r="QP49" s="201"/>
      <c r="QQ49" s="201"/>
      <c r="QR49" s="201"/>
      <c r="QS49" s="201"/>
      <c r="QT49" s="201"/>
      <c r="QU49" s="201"/>
      <c r="QV49" s="201"/>
      <c r="QW49" s="201"/>
      <c r="QX49" s="201"/>
      <c r="QY49" s="201"/>
      <c r="QZ49" s="201"/>
      <c r="RA49" s="201"/>
      <c r="RB49" s="201"/>
      <c r="RC49" s="201"/>
      <c r="RD49" s="201"/>
      <c r="RE49" s="201"/>
      <c r="RF49" s="201"/>
      <c r="RG49" s="201"/>
      <c r="RH49" s="201"/>
      <c r="RI49" s="201"/>
      <c r="RJ49" s="201"/>
      <c r="RK49" s="201"/>
      <c r="RL49" s="201"/>
      <c r="RM49" s="201"/>
      <c r="RN49" s="201"/>
      <c r="RO49" s="201"/>
      <c r="RP49" s="201"/>
      <c r="RQ49" s="201"/>
      <c r="RR49" s="201"/>
      <c r="RS49" s="201"/>
      <c r="RT49" s="201"/>
      <c r="RU49" s="201"/>
      <c r="RV49" s="201"/>
      <c r="RW49" s="201"/>
      <c r="RX49" s="201"/>
      <c r="RY49" s="201"/>
      <c r="RZ49" s="201"/>
      <c r="SA49" s="201"/>
      <c r="SB49" s="201"/>
      <c r="SC49" s="201"/>
      <c r="SD49" s="201"/>
      <c r="SE49" s="201"/>
      <c r="SF49" s="201"/>
      <c r="SG49" s="201"/>
      <c r="SH49" s="201"/>
      <c r="SI49" s="201"/>
      <c r="SJ49" s="201"/>
      <c r="SK49" s="201"/>
      <c r="SL49" s="201"/>
      <c r="SM49" s="201"/>
      <c r="SN49" s="201"/>
      <c r="SO49" s="201"/>
      <c r="SP49" s="201"/>
      <c r="SQ49" s="201"/>
      <c r="SR49" s="201"/>
      <c r="SS49" s="201"/>
      <c r="ST49" s="201"/>
      <c r="SU49" s="201"/>
      <c r="SV49" s="201"/>
      <c r="SW49" s="201"/>
      <c r="SX49" s="201"/>
      <c r="SY49" s="201"/>
      <c r="SZ49" s="201"/>
      <c r="TA49" s="201"/>
      <c r="TB49" s="201"/>
      <c r="TC49" s="201"/>
      <c r="TD49" s="201"/>
      <c r="TE49" s="201"/>
      <c r="TF49" s="201"/>
      <c r="TG49" s="201"/>
      <c r="TH49" s="201"/>
      <c r="TI49" s="201"/>
      <c r="TJ49" s="201"/>
      <c r="TK49" s="201"/>
      <c r="TL49" s="201"/>
      <c r="TM49" s="201"/>
      <c r="TN49" s="201"/>
      <c r="TO49" s="201"/>
      <c r="TP49" s="201"/>
      <c r="TQ49" s="201"/>
      <c r="TR49" s="201"/>
      <c r="TS49" s="201"/>
      <c r="TT49" s="201"/>
      <c r="TU49" s="201"/>
      <c r="TV49" s="201"/>
      <c r="TW49" s="201"/>
      <c r="TX49" s="201"/>
      <c r="TY49" s="201"/>
      <c r="TZ49" s="201"/>
      <c r="UA49" s="201"/>
      <c r="UB49" s="201"/>
      <c r="UC49" s="201"/>
      <c r="UD49" s="201"/>
      <c r="UE49" s="201"/>
      <c r="UF49" s="201"/>
      <c r="UG49" s="201"/>
      <c r="UH49" s="201"/>
      <c r="UI49" s="201"/>
      <c r="UJ49" s="201"/>
      <c r="UK49" s="201"/>
      <c r="UL49" s="201"/>
      <c r="UM49" s="201"/>
      <c r="UN49" s="201"/>
      <c r="UO49" s="201"/>
      <c r="UP49" s="201"/>
      <c r="UQ49" s="201"/>
      <c r="UR49" s="201"/>
      <c r="US49" s="201"/>
      <c r="UT49" s="201"/>
      <c r="UU49" s="201"/>
      <c r="UV49" s="201"/>
      <c r="UW49" s="201"/>
      <c r="UX49" s="201"/>
      <c r="UY49" s="201"/>
      <c r="UZ49" s="201"/>
      <c r="VA49" s="201"/>
      <c r="VB49" s="201"/>
      <c r="VC49" s="201"/>
      <c r="VD49" s="201"/>
      <c r="VE49" s="201"/>
      <c r="VF49" s="201"/>
      <c r="VG49" s="201"/>
      <c r="VH49" s="201"/>
      <c r="VI49" s="201"/>
      <c r="VJ49" s="201"/>
      <c r="VK49" s="201"/>
      <c r="VL49" s="201"/>
      <c r="VM49" s="201"/>
      <c r="VN49" s="201"/>
      <c r="VO49" s="201"/>
      <c r="VP49" s="201"/>
      <c r="VQ49" s="201"/>
      <c r="VR49" s="201"/>
      <c r="VS49" s="201"/>
      <c r="VT49" s="201"/>
      <c r="VU49" s="201"/>
      <c r="VV49" s="201"/>
      <c r="VW49" s="201"/>
      <c r="VX49" s="201"/>
      <c r="VY49" s="201"/>
      <c r="VZ49" s="201"/>
      <c r="WA49" s="201"/>
      <c r="WB49" s="201"/>
      <c r="WC49" s="201"/>
      <c r="WD49" s="201"/>
      <c r="WE49" s="201"/>
      <c r="WF49" s="201"/>
      <c r="WG49" s="201"/>
      <c r="WH49" s="201"/>
      <c r="WI49" s="201"/>
      <c r="WJ49" s="201"/>
      <c r="WK49" s="201"/>
      <c r="WL49" s="201"/>
      <c r="WM49" s="201"/>
      <c r="WN49" s="201"/>
      <c r="WO49" s="201"/>
      <c r="WP49" s="201"/>
      <c r="WQ49" s="201"/>
      <c r="WR49" s="201"/>
      <c r="WS49" s="201"/>
      <c r="WT49" s="201"/>
      <c r="WU49" s="201"/>
      <c r="WV49" s="201"/>
      <c r="WW49" s="201"/>
      <c r="WX49" s="201"/>
      <c r="WY49" s="201"/>
      <c r="WZ49" s="201"/>
      <c r="XA49" s="201"/>
      <c r="XB49" s="201"/>
      <c r="XC49" s="201"/>
      <c r="XD49" s="201"/>
      <c r="XE49" s="201"/>
      <c r="XF49" s="201"/>
      <c r="XG49" s="201"/>
      <c r="XH49" s="201"/>
      <c r="XI49" s="201"/>
      <c r="XJ49" s="201"/>
      <c r="XK49" s="201"/>
      <c r="XL49" s="201"/>
      <c r="XM49" s="201"/>
      <c r="XN49" s="201"/>
      <c r="XO49" s="201"/>
      <c r="XP49" s="201"/>
      <c r="XQ49" s="201"/>
      <c r="XR49" s="201"/>
      <c r="XS49" s="201"/>
      <c r="XT49" s="201"/>
      <c r="XU49" s="201"/>
      <c r="XV49" s="201"/>
      <c r="XW49" s="201"/>
      <c r="XX49" s="201"/>
      <c r="XY49" s="201"/>
      <c r="XZ49" s="201"/>
      <c r="YA49" s="201"/>
      <c r="YB49" s="201"/>
      <c r="YC49" s="201"/>
      <c r="YD49" s="201"/>
      <c r="YE49" s="201"/>
      <c r="YF49" s="201"/>
      <c r="YG49" s="201"/>
      <c r="YH49" s="201"/>
      <c r="YI49" s="201"/>
      <c r="YJ49" s="201"/>
      <c r="YK49" s="201"/>
      <c r="YL49" s="201"/>
      <c r="YM49" s="201"/>
      <c r="YN49" s="201"/>
      <c r="YO49" s="201"/>
      <c r="YP49" s="201"/>
      <c r="YQ49" s="201"/>
      <c r="YR49" s="201"/>
      <c r="YS49" s="201"/>
      <c r="YT49" s="201"/>
      <c r="YU49" s="201"/>
      <c r="YV49" s="201"/>
      <c r="YW49" s="201"/>
      <c r="YX49" s="201"/>
      <c r="YY49" s="201"/>
      <c r="YZ49" s="201"/>
      <c r="ZA49" s="201"/>
      <c r="ZB49" s="201"/>
      <c r="ZC49" s="201"/>
      <c r="ZD49" s="201"/>
      <c r="ZE49" s="201"/>
      <c r="ZF49" s="201"/>
      <c r="ZG49" s="201"/>
      <c r="ZH49" s="201"/>
      <c r="ZI49" s="201"/>
      <c r="ZJ49" s="201"/>
      <c r="ZK49" s="201"/>
      <c r="ZL49" s="201"/>
      <c r="ZM49" s="201"/>
      <c r="ZN49" s="201"/>
      <c r="ZO49" s="201"/>
      <c r="ZP49" s="201"/>
      <c r="ZQ49" s="201"/>
      <c r="ZR49" s="201"/>
      <c r="ZS49" s="201"/>
      <c r="ZT49" s="201"/>
      <c r="ZU49" s="201"/>
      <c r="ZV49" s="201"/>
      <c r="ZW49" s="201"/>
      <c r="ZX49" s="201"/>
      <c r="ZY49" s="201"/>
      <c r="ZZ49" s="201"/>
      <c r="AAA49" s="201"/>
      <c r="AAB49" s="201"/>
      <c r="AAC49" s="201"/>
      <c r="AAD49" s="201"/>
      <c r="AAE49" s="201"/>
      <c r="AAF49" s="201"/>
      <c r="AAG49" s="201"/>
      <c r="AAH49" s="201"/>
      <c r="AAI49" s="201"/>
      <c r="AAJ49" s="201"/>
      <c r="AAK49" s="201"/>
      <c r="AAL49" s="201"/>
      <c r="AAM49" s="201"/>
      <c r="AAN49" s="201"/>
      <c r="AAO49" s="201"/>
      <c r="AAP49" s="201"/>
      <c r="AAQ49" s="201"/>
      <c r="AAR49" s="201"/>
      <c r="AAS49" s="201"/>
      <c r="AAT49" s="201"/>
      <c r="AAU49" s="201"/>
      <c r="AAV49" s="201"/>
      <c r="AAW49" s="201"/>
      <c r="AAX49" s="201"/>
      <c r="AAY49" s="201"/>
      <c r="AAZ49" s="201"/>
      <c r="ABA49" s="201"/>
      <c r="ABB49" s="201"/>
      <c r="ABC49" s="201"/>
      <c r="ABD49" s="201"/>
      <c r="ABE49" s="201"/>
      <c r="ABF49" s="201"/>
      <c r="ABG49" s="201"/>
      <c r="ABH49" s="201"/>
      <c r="ABI49" s="201"/>
      <c r="ABJ49" s="201"/>
      <c r="ABK49" s="201"/>
      <c r="ABL49" s="201"/>
      <c r="ABM49" s="201"/>
      <c r="ABN49" s="201"/>
      <c r="ABO49" s="201"/>
      <c r="ABP49" s="201"/>
      <c r="ABQ49" s="201"/>
      <c r="ABR49" s="201"/>
      <c r="ABS49" s="201"/>
      <c r="ABT49" s="201"/>
      <c r="ABU49" s="201"/>
      <c r="ABV49" s="201"/>
      <c r="ABW49" s="201"/>
      <c r="ABX49" s="201"/>
      <c r="ABY49" s="201"/>
      <c r="ABZ49" s="201"/>
      <c r="ACA49" s="201"/>
      <c r="ACB49" s="201"/>
      <c r="ACC49" s="201"/>
      <c r="ACD49" s="201"/>
      <c r="ACE49" s="201"/>
      <c r="ACF49" s="201"/>
      <c r="ACG49" s="201"/>
      <c r="ACH49" s="201"/>
      <c r="ACI49" s="201"/>
      <c r="ACJ49" s="201"/>
      <c r="ACK49" s="201"/>
      <c r="ACL49" s="201"/>
      <c r="ACM49" s="201"/>
      <c r="ACN49" s="201"/>
      <c r="ACO49" s="201"/>
      <c r="ACP49" s="201"/>
      <c r="ACQ49" s="201"/>
      <c r="ACR49" s="201"/>
      <c r="ACS49" s="201"/>
      <c r="ACT49" s="201"/>
      <c r="ACU49" s="201"/>
      <c r="ACV49" s="201"/>
      <c r="ACW49" s="201"/>
      <c r="ACX49" s="201"/>
      <c r="ACY49" s="201"/>
      <c r="ACZ49" s="201"/>
      <c r="ADA49" s="201"/>
      <c r="ADB49" s="201"/>
      <c r="ADC49" s="201"/>
      <c r="ADD49" s="201"/>
      <c r="ADE49" s="201"/>
      <c r="ADF49" s="201"/>
      <c r="ADG49" s="201"/>
      <c r="ADH49" s="201"/>
      <c r="ADI49" s="201"/>
      <c r="ADJ49" s="201"/>
      <c r="ADK49" s="201"/>
      <c r="ADL49" s="201"/>
      <c r="ADM49" s="201"/>
      <c r="ADN49" s="201"/>
      <c r="ADO49" s="201"/>
      <c r="ADP49" s="201"/>
      <c r="ADQ49" s="201"/>
      <c r="ADR49" s="201"/>
      <c r="ADS49" s="201"/>
      <c r="ADT49" s="201"/>
      <c r="ADU49" s="201"/>
      <c r="ADV49" s="201"/>
      <c r="ADW49" s="201"/>
      <c r="ADX49" s="201"/>
      <c r="ADY49" s="201"/>
      <c r="ADZ49" s="201"/>
      <c r="AEA49" s="201"/>
      <c r="AEB49" s="201"/>
      <c r="AEC49" s="201"/>
      <c r="AED49" s="201"/>
      <c r="AEE49" s="201"/>
      <c r="AEF49" s="201"/>
      <c r="AEG49" s="201"/>
      <c r="AEH49" s="201"/>
      <c r="AEI49" s="201"/>
      <c r="AEJ49" s="201"/>
      <c r="AEK49" s="201"/>
      <c r="AEL49" s="201"/>
      <c r="AEM49" s="201"/>
      <c r="AEN49" s="201"/>
      <c r="AEO49" s="201"/>
      <c r="AEP49" s="201"/>
      <c r="AEQ49" s="201"/>
      <c r="AER49" s="201"/>
      <c r="AES49" s="201"/>
      <c r="AET49" s="201"/>
      <c r="AEU49" s="201"/>
      <c r="AEV49" s="201"/>
      <c r="AEW49" s="201"/>
      <c r="AEX49" s="201"/>
      <c r="AEY49" s="201"/>
      <c r="AEZ49" s="201"/>
      <c r="AFA49" s="201"/>
      <c r="AFB49" s="201"/>
      <c r="AFC49" s="201"/>
      <c r="AFD49" s="201"/>
      <c r="AFE49" s="201"/>
      <c r="AFF49" s="201"/>
      <c r="AFG49" s="201"/>
      <c r="AFH49" s="201"/>
      <c r="AFI49" s="201"/>
      <c r="AFJ49" s="201"/>
      <c r="AFK49" s="201"/>
      <c r="AFL49" s="201"/>
      <c r="AFM49" s="201"/>
      <c r="AFN49" s="201"/>
      <c r="AFO49" s="201"/>
      <c r="AFP49" s="201"/>
      <c r="AFQ49" s="201"/>
      <c r="AFR49" s="201"/>
      <c r="AFS49" s="201"/>
      <c r="AFT49" s="201"/>
      <c r="AFU49" s="201"/>
      <c r="AFV49" s="201"/>
      <c r="AFW49" s="201"/>
      <c r="AFX49" s="201"/>
      <c r="AFY49" s="201"/>
      <c r="AFZ49" s="201"/>
      <c r="AGA49" s="201"/>
      <c r="AGB49" s="201"/>
      <c r="AGC49" s="201"/>
      <c r="AGD49" s="201"/>
      <c r="AGE49" s="201"/>
      <c r="AGF49" s="201"/>
      <c r="AGG49" s="201"/>
      <c r="AGH49" s="201"/>
      <c r="AGI49" s="201"/>
      <c r="AGJ49" s="201"/>
      <c r="AGK49" s="201"/>
      <c r="AGL49" s="201"/>
      <c r="AGM49" s="201"/>
      <c r="AGN49" s="201"/>
      <c r="AGO49" s="201"/>
      <c r="AGP49" s="201"/>
      <c r="AGQ49" s="201"/>
      <c r="AGR49" s="201"/>
      <c r="AGS49" s="201"/>
      <c r="AGT49" s="201"/>
      <c r="AGU49" s="201"/>
      <c r="AGV49" s="201"/>
      <c r="AGW49" s="201"/>
      <c r="AGX49" s="201"/>
      <c r="AGY49" s="201"/>
      <c r="AGZ49" s="201"/>
      <c r="AHA49" s="201"/>
      <c r="AHB49" s="201"/>
      <c r="AHC49" s="201"/>
      <c r="AHD49" s="201"/>
      <c r="AHE49" s="201"/>
      <c r="AHF49" s="201"/>
      <c r="AHG49" s="201"/>
      <c r="AHH49" s="201"/>
      <c r="AHI49" s="201"/>
      <c r="AHJ49" s="201"/>
      <c r="AHK49" s="201"/>
      <c r="AHL49" s="201"/>
      <c r="AHM49" s="201"/>
      <c r="AHN49" s="201"/>
      <c r="AHO49" s="201"/>
      <c r="AHP49" s="201"/>
      <c r="AHQ49" s="201"/>
      <c r="AHR49" s="201"/>
      <c r="AHS49" s="201"/>
      <c r="AHT49" s="201"/>
      <c r="AHU49" s="201"/>
      <c r="AHV49" s="201"/>
      <c r="AHW49" s="201"/>
      <c r="AHX49" s="201"/>
      <c r="AHY49" s="201"/>
      <c r="AHZ49" s="201"/>
      <c r="AIA49" s="201"/>
      <c r="AIB49" s="201"/>
      <c r="AIC49" s="201"/>
      <c r="AID49" s="201"/>
      <c r="AIE49" s="201"/>
      <c r="AIF49" s="201"/>
      <c r="AIG49" s="201"/>
      <c r="AIH49" s="201"/>
      <c r="AII49" s="201"/>
      <c r="AIJ49" s="201"/>
      <c r="AIK49" s="201"/>
      <c r="AIL49" s="201"/>
      <c r="AIM49" s="201"/>
      <c r="AIN49" s="201"/>
      <c r="AIO49" s="201"/>
      <c r="AIP49" s="201"/>
      <c r="AIQ49" s="201"/>
      <c r="AIR49" s="201"/>
      <c r="AIS49" s="201"/>
      <c r="AIT49" s="201"/>
      <c r="AIU49" s="201"/>
      <c r="AIV49" s="201"/>
      <c r="AIW49" s="201"/>
      <c r="AIX49" s="201"/>
      <c r="AIY49" s="201"/>
      <c r="AIZ49" s="201"/>
      <c r="AJA49" s="201"/>
      <c r="AJB49" s="201"/>
      <c r="AJC49" s="201"/>
      <c r="AJD49" s="201"/>
      <c r="AJE49" s="201"/>
      <c r="AJF49" s="201"/>
      <c r="AJG49" s="201"/>
      <c r="AJH49" s="201"/>
      <c r="AJI49" s="201"/>
      <c r="AJJ49" s="201"/>
      <c r="AJK49" s="201"/>
      <c r="AJL49" s="201"/>
      <c r="AJM49" s="201"/>
      <c r="AJN49" s="201"/>
      <c r="AJO49" s="201"/>
      <c r="AJP49" s="201"/>
      <c r="AJQ49" s="201"/>
      <c r="AJR49" s="201"/>
      <c r="AJS49" s="201"/>
      <c r="AJT49" s="201"/>
      <c r="AJU49" s="201"/>
      <c r="AJV49" s="201"/>
      <c r="AJW49" s="201"/>
      <c r="AJX49" s="201"/>
      <c r="AJY49" s="201"/>
    </row>
    <row r="50" ht="27" customHeight="1" spans="2:150" x14ac:dyDescent="0.25">
      <c r="B50" s="171" t="s">
        <v>124</v>
      </c>
      <c r="C50" s="228"/>
      <c r="D50" s="102"/>
      <c r="E50" s="103">
        <v>5</v>
      </c>
      <c r="F50" s="104">
        <f t="shared" si="285"/>
        <v>0</v>
      </c>
      <c r="G50" s="102"/>
      <c r="H50" s="103">
        <v>5</v>
      </c>
      <c r="I50" s="104">
        <f t="shared" si="286"/>
        <v>0</v>
      </c>
      <c r="J50" s="105"/>
      <c r="K50" s="103">
        <v>5</v>
      </c>
      <c r="L50" s="104">
        <f t="shared" si="287"/>
        <v>0</v>
      </c>
      <c r="M50" s="105"/>
      <c r="N50" s="103">
        <v>5</v>
      </c>
      <c r="O50" s="104">
        <f t="shared" si="288"/>
        <v>0</v>
      </c>
      <c r="P50" s="106"/>
      <c r="Q50" s="107">
        <v>5</v>
      </c>
      <c r="R50" s="104">
        <f t="shared" si="289"/>
        <v>0</v>
      </c>
      <c r="S50" s="102"/>
      <c r="T50" s="107">
        <v>5</v>
      </c>
      <c r="U50" s="104">
        <f t="shared" si="290"/>
        <v>0</v>
      </c>
      <c r="V50" s="102"/>
      <c r="W50" s="107">
        <v>5</v>
      </c>
      <c r="X50" s="104">
        <f t="shared" si="291"/>
        <v>0</v>
      </c>
      <c r="Y50" s="102"/>
      <c r="Z50" s="107">
        <v>5</v>
      </c>
      <c r="AA50" s="104">
        <f t="shared" si="292"/>
        <v>0</v>
      </c>
      <c r="AB50" s="106"/>
      <c r="AC50" s="107">
        <v>5</v>
      </c>
      <c r="AD50" s="104">
        <f t="shared" si="293"/>
        <v>0</v>
      </c>
      <c r="AE50" s="106"/>
      <c r="AF50" s="107">
        <v>5</v>
      </c>
      <c r="AG50" s="104">
        <f t="shared" si="294"/>
        <v>0</v>
      </c>
      <c r="AH50" s="106"/>
      <c r="AI50" s="107">
        <v>5</v>
      </c>
      <c r="AJ50" s="104">
        <f t="shared" si="295"/>
        <v>0</v>
      </c>
      <c r="AK50" s="106"/>
      <c r="AL50" s="107">
        <v>5</v>
      </c>
      <c r="AM50" s="104">
        <f t="shared" si="296"/>
        <v>0</v>
      </c>
      <c r="AN50" s="102"/>
      <c r="AO50" s="1">
        <v>5</v>
      </c>
      <c r="AP50" s="104">
        <f t="shared" si="297"/>
        <v>0</v>
      </c>
      <c r="AQ50" s="102"/>
      <c r="AR50" s="1">
        <v>5</v>
      </c>
      <c r="AS50" s="104">
        <f t="shared" si="298"/>
        <v>0</v>
      </c>
      <c r="AT50" s="102"/>
      <c r="AU50" s="1">
        <v>5</v>
      </c>
      <c r="AV50" s="104">
        <f t="shared" si="299"/>
        <v>0</v>
      </c>
      <c r="AW50" s="102"/>
      <c r="AX50" s="1">
        <v>5</v>
      </c>
      <c r="AY50" s="104">
        <f t="shared" si="300"/>
        <v>0</v>
      </c>
      <c r="AZ50" s="102"/>
      <c r="BA50" s="1">
        <v>5</v>
      </c>
      <c r="BB50" s="104">
        <f t="shared" si="301"/>
        <v>0</v>
      </c>
      <c r="BC50" s="102"/>
      <c r="BD50" s="1">
        <v>5</v>
      </c>
      <c r="BE50" s="104">
        <f t="shared" si="302"/>
        <v>0</v>
      </c>
      <c r="BF50" s="102"/>
      <c r="BG50" s="1">
        <v>5</v>
      </c>
      <c r="BH50" s="104">
        <f t="shared" si="303"/>
        <v>0</v>
      </c>
      <c r="BI50" s="102"/>
      <c r="BJ50" s="1">
        <v>5</v>
      </c>
      <c r="BK50" s="104">
        <f t="shared" si="304"/>
        <v>0</v>
      </c>
      <c r="BL50" s="102"/>
      <c r="BM50" s="1">
        <v>5</v>
      </c>
      <c r="BN50" s="104">
        <f t="shared" si="305"/>
        <v>0</v>
      </c>
      <c r="BO50" s="102"/>
      <c r="BP50" s="1">
        <v>5</v>
      </c>
      <c r="BQ50" s="104">
        <f t="shared" si="306"/>
        <v>0</v>
      </c>
      <c r="BR50" s="102"/>
      <c r="BS50" s="1">
        <v>5</v>
      </c>
      <c r="BT50" s="104">
        <f t="shared" si="307"/>
        <v>0</v>
      </c>
      <c r="BU50" s="102"/>
      <c r="BV50" s="1">
        <v>5</v>
      </c>
      <c r="BW50" s="104">
        <f t="shared" si="308"/>
        <v>0</v>
      </c>
      <c r="BX50" s="102"/>
      <c r="BY50" s="1">
        <v>5</v>
      </c>
      <c r="BZ50" s="104">
        <f t="shared" si="309"/>
        <v>0</v>
      </c>
      <c r="CA50" s="102"/>
      <c r="CB50" s="1">
        <v>5</v>
      </c>
      <c r="CC50" s="104">
        <f t="shared" si="310"/>
        <v>0</v>
      </c>
      <c r="CD50" s="102"/>
      <c r="CE50" s="1">
        <v>5</v>
      </c>
      <c r="CF50" s="104">
        <f t="shared" si="311"/>
        <v>0</v>
      </c>
      <c r="CG50" s="102"/>
      <c r="CH50" s="1">
        <v>5</v>
      </c>
      <c r="CI50" s="104">
        <f t="shared" si="312"/>
        <v>0</v>
      </c>
      <c r="CJ50" s="102"/>
      <c r="CK50" s="1">
        <v>5</v>
      </c>
      <c r="CL50" s="104">
        <f t="shared" si="313"/>
        <v>0</v>
      </c>
      <c r="CM50" s="102"/>
      <c r="CN50" s="1">
        <v>5</v>
      </c>
      <c r="CO50" s="104">
        <f t="shared" si="314"/>
        <v>0</v>
      </c>
      <c r="CP50" s="102"/>
      <c r="CQ50" s="1">
        <v>5</v>
      </c>
      <c r="CR50" s="104">
        <f t="shared" si="315"/>
        <v>0</v>
      </c>
      <c r="CS50" s="102"/>
      <c r="CT50" s="1">
        <v>5</v>
      </c>
      <c r="CU50" s="104">
        <f t="shared" si="316"/>
        <v>0</v>
      </c>
      <c r="CV50" s="102"/>
      <c r="CW50" s="1">
        <v>5</v>
      </c>
      <c r="CX50" s="104">
        <f t="shared" si="317"/>
        <v>0</v>
      </c>
      <c r="CY50" s="102"/>
      <c r="CZ50" s="1">
        <v>5</v>
      </c>
      <c r="DA50" s="104">
        <f t="shared" si="318"/>
        <v>0</v>
      </c>
      <c r="DB50" s="102"/>
      <c r="DC50" s="1">
        <v>5</v>
      </c>
      <c r="DD50" s="104">
        <f t="shared" si="319"/>
        <v>0</v>
      </c>
      <c r="DE50" s="102"/>
      <c r="DF50" s="1">
        <v>5</v>
      </c>
      <c r="DG50" s="104">
        <f t="shared" si="320"/>
        <v>0</v>
      </c>
      <c r="DH50" s="102"/>
      <c r="DI50" s="1">
        <v>5</v>
      </c>
      <c r="DJ50" s="104">
        <f t="shared" si="321"/>
        <v>0</v>
      </c>
      <c r="DK50" s="102"/>
      <c r="DL50" s="1">
        <v>5</v>
      </c>
      <c r="DM50" s="104">
        <f t="shared" si="322"/>
        <v>0</v>
      </c>
      <c r="DN50" s="102"/>
      <c r="DO50" s="1">
        <v>5</v>
      </c>
      <c r="DP50" s="104">
        <f t="shared" si="323"/>
        <v>0</v>
      </c>
      <c r="DQ50" s="102"/>
      <c r="DR50" s="1">
        <v>5</v>
      </c>
      <c r="DS50" s="104">
        <f t="shared" si="324"/>
        <v>0</v>
      </c>
      <c r="DT50" s="102"/>
      <c r="DU50" s="1">
        <v>5</v>
      </c>
      <c r="DV50" s="104">
        <f t="shared" si="325"/>
        <v>0</v>
      </c>
      <c r="DW50" s="102"/>
      <c r="DX50" s="1">
        <v>5</v>
      </c>
      <c r="DY50" s="104">
        <f t="shared" si="326"/>
        <v>0</v>
      </c>
      <c r="DZ50" s="102"/>
      <c r="EA50" s="1">
        <v>5</v>
      </c>
      <c r="EB50" s="104">
        <f t="shared" si="327"/>
        <v>0</v>
      </c>
      <c r="EC50" s="102"/>
      <c r="ED50" s="1">
        <v>5</v>
      </c>
      <c r="EE50" s="104">
        <f t="shared" si="328"/>
        <v>0</v>
      </c>
      <c r="EF50" s="102"/>
      <c r="EG50" s="1">
        <v>5</v>
      </c>
      <c r="EH50" s="104">
        <f t="shared" si="329"/>
        <v>0</v>
      </c>
      <c r="EI50" s="102"/>
      <c r="EJ50" s="1">
        <v>5</v>
      </c>
      <c r="EK50" s="104">
        <f t="shared" si="330"/>
        <v>0</v>
      </c>
      <c r="EL50" s="102"/>
      <c r="EM50" s="1">
        <v>5</v>
      </c>
      <c r="EN50" s="104">
        <f t="shared" si="331"/>
        <v>0</v>
      </c>
      <c r="EO50" s="90">
        <v>0</v>
      </c>
      <c r="EP50" s="96">
        <v>5</v>
      </c>
      <c r="EQ50" s="104">
        <f>IFERROR(EO50/EP50,0)</f>
        <v>0</v>
      </c>
      <c r="ER50" s="85">
        <f t="array" ref="ER50">IFERROR(_xlfn.LET(
_xlpm.datos,CHOOSE({1;2;3;4;5;6;7;8;9;10;11;12;13;13;14;15;16;17;18;19;20;21;22;23;23;24;25;26;27;28;29;30;31;32;33;34;35;36;37;38;39;40;41;42;43;44;45;46;47;48},F50,I50,L50,O50,R50,U50,X50,AA50,AD50,AG50,AJ50,AM50,AP50,AS50,AV50,AY50,BB50,BE50,BH50,BK50,BN50,BQ50,BT50,BW50,BZ50,CC50,CF50,CI50,CL50,CO50,CR50,CU50,CX50,DA50,DD50,DG50,DJ50,DM50,DP50,DS50,DV50,DY50,EB50,EE50,EH50,EK50,EN50,EQ50),
AVERAGE(_xlfn._xlws.FILTER(_xlpm.datos,(_xlpm.datos&lt;&gt;0)*(_xlpm.datos&lt;&gt;"")))
),0)</f>
        <v>0</v>
      </c>
      <c r="ES50" s="162" t="str">
        <f t="array" ref="ES50">_xlfn.IFS(ER50&gt;=91.5%,"MENSUAL",ER50&gt;=75%,"QUINCENAL",ER50&lt;75%,"SEMANAL")</f>
        <v>SEMANAL</v>
      </c>
      <c r="ET50" s="239"/>
    </row>
    <row r="51" ht="36.75" customHeight="1" spans="2:150" x14ac:dyDescent="0.25">
      <c r="B51" s="171" t="s">
        <v>212</v>
      </c>
      <c r="C51" s="228"/>
      <c r="D51" s="102"/>
      <c r="E51" s="103">
        <v>5</v>
      </c>
      <c r="F51" s="104">
        <f t="shared" si="285"/>
        <v>0</v>
      </c>
      <c r="G51" s="102"/>
      <c r="H51" s="103">
        <v>5</v>
      </c>
      <c r="I51" s="104">
        <f t="shared" si="286"/>
        <v>0</v>
      </c>
      <c r="J51" s="105"/>
      <c r="K51" s="103">
        <v>5</v>
      </c>
      <c r="L51" s="104">
        <f t="shared" si="287"/>
        <v>0</v>
      </c>
      <c r="M51" s="105"/>
      <c r="N51" s="103">
        <v>5</v>
      </c>
      <c r="O51" s="104">
        <f t="shared" si="288"/>
        <v>0</v>
      </c>
      <c r="P51" s="106"/>
      <c r="Q51" s="107">
        <v>5</v>
      </c>
      <c r="R51" s="104">
        <f t="shared" si="289"/>
        <v>0</v>
      </c>
      <c r="S51" s="102"/>
      <c r="T51" s="107">
        <v>5</v>
      </c>
      <c r="U51" s="104">
        <f t="shared" si="290"/>
        <v>0</v>
      </c>
      <c r="V51" s="102"/>
      <c r="W51" s="107">
        <v>5</v>
      </c>
      <c r="X51" s="104">
        <f t="shared" si="291"/>
        <v>0</v>
      </c>
      <c r="Y51" s="102"/>
      <c r="Z51" s="107">
        <v>5</v>
      </c>
      <c r="AA51" s="104">
        <f t="shared" si="292"/>
        <v>0</v>
      </c>
      <c r="AB51" s="106"/>
      <c r="AC51" s="107">
        <v>5</v>
      </c>
      <c r="AD51" s="104">
        <f t="shared" si="293"/>
        <v>0</v>
      </c>
      <c r="AE51" s="106"/>
      <c r="AF51" s="107">
        <v>5</v>
      </c>
      <c r="AG51" s="104">
        <f t="shared" si="294"/>
        <v>0</v>
      </c>
      <c r="AH51" s="106"/>
      <c r="AI51" s="107">
        <v>5</v>
      </c>
      <c r="AJ51" s="104">
        <f t="shared" si="295"/>
        <v>0</v>
      </c>
      <c r="AK51" s="106"/>
      <c r="AL51" s="107">
        <v>5</v>
      </c>
      <c r="AM51" s="104">
        <f t="shared" si="296"/>
        <v>0</v>
      </c>
      <c r="AN51" s="102"/>
      <c r="AO51" s="1">
        <v>5</v>
      </c>
      <c r="AP51" s="104">
        <f t="shared" si="297"/>
        <v>0</v>
      </c>
      <c r="AQ51" s="102"/>
      <c r="AR51" s="1">
        <v>5</v>
      </c>
      <c r="AS51" s="104">
        <f t="shared" si="298"/>
        <v>0</v>
      </c>
      <c r="AT51" s="102"/>
      <c r="AU51" s="1">
        <v>5</v>
      </c>
      <c r="AV51" s="104">
        <f t="shared" si="299"/>
        <v>0</v>
      </c>
      <c r="AW51" s="102"/>
      <c r="AX51" s="1">
        <v>5</v>
      </c>
      <c r="AY51" s="104">
        <f t="shared" si="300"/>
        <v>0</v>
      </c>
      <c r="AZ51" s="102"/>
      <c r="BA51" s="1">
        <v>5</v>
      </c>
      <c r="BB51" s="104">
        <f t="shared" si="301"/>
        <v>0</v>
      </c>
      <c r="BC51" s="102"/>
      <c r="BD51" s="1">
        <v>5</v>
      </c>
      <c r="BE51" s="104">
        <f t="shared" si="302"/>
        <v>0</v>
      </c>
      <c r="BF51" s="102"/>
      <c r="BG51" s="1">
        <v>5</v>
      </c>
      <c r="BH51" s="104">
        <f t="shared" si="303"/>
        <v>0</v>
      </c>
      <c r="BI51" s="102"/>
      <c r="BJ51" s="1">
        <v>5</v>
      </c>
      <c r="BK51" s="104">
        <f t="shared" si="304"/>
        <v>0</v>
      </c>
      <c r="BL51" s="102"/>
      <c r="BM51" s="1">
        <v>5</v>
      </c>
      <c r="BN51" s="104">
        <f t="shared" si="305"/>
        <v>0</v>
      </c>
      <c r="BO51" s="102"/>
      <c r="BP51" s="1">
        <v>5</v>
      </c>
      <c r="BQ51" s="104">
        <f t="shared" si="306"/>
        <v>0</v>
      </c>
      <c r="BR51" s="102"/>
      <c r="BS51" s="1">
        <v>5</v>
      </c>
      <c r="BT51" s="104">
        <f t="shared" si="307"/>
        <v>0</v>
      </c>
      <c r="BU51" s="102"/>
      <c r="BV51" s="1">
        <v>5</v>
      </c>
      <c r="BW51" s="104">
        <f t="shared" si="308"/>
        <v>0</v>
      </c>
      <c r="BX51" s="102"/>
      <c r="BY51" s="1">
        <v>5</v>
      </c>
      <c r="BZ51" s="104">
        <f t="shared" si="309"/>
        <v>0</v>
      </c>
      <c r="CA51" s="102"/>
      <c r="CB51" s="1">
        <v>5</v>
      </c>
      <c r="CC51" s="104">
        <f t="shared" si="310"/>
        <v>0</v>
      </c>
      <c r="CD51" s="102"/>
      <c r="CE51" s="1">
        <v>5</v>
      </c>
      <c r="CF51" s="104">
        <f t="shared" si="311"/>
        <v>0</v>
      </c>
      <c r="CG51" s="102"/>
      <c r="CH51" s="1">
        <v>5</v>
      </c>
      <c r="CI51" s="104">
        <f t="shared" si="312"/>
        <v>0</v>
      </c>
      <c r="CJ51" s="102"/>
      <c r="CK51" s="1">
        <v>5</v>
      </c>
      <c r="CL51" s="104">
        <f t="shared" si="313"/>
        <v>0</v>
      </c>
      <c r="CM51" s="102"/>
      <c r="CN51" s="1">
        <v>5</v>
      </c>
      <c r="CO51" s="104">
        <f t="shared" si="314"/>
        <v>0</v>
      </c>
      <c r="CP51" s="102"/>
      <c r="CQ51" s="1">
        <v>5</v>
      </c>
      <c r="CR51" s="104">
        <f t="shared" si="315"/>
        <v>0</v>
      </c>
      <c r="CS51" s="102"/>
      <c r="CT51" s="1">
        <v>5</v>
      </c>
      <c r="CU51" s="104">
        <f t="shared" si="316"/>
        <v>0</v>
      </c>
      <c r="CV51" s="102"/>
      <c r="CW51" s="1">
        <v>5</v>
      </c>
      <c r="CX51" s="104">
        <f t="shared" si="317"/>
        <v>0</v>
      </c>
      <c r="CY51" s="102"/>
      <c r="CZ51" s="1">
        <v>5</v>
      </c>
      <c r="DA51" s="104">
        <f t="shared" si="318"/>
        <v>0</v>
      </c>
      <c r="DB51" s="102"/>
      <c r="DC51" s="1">
        <v>5</v>
      </c>
      <c r="DD51" s="104">
        <f t="shared" si="319"/>
        <v>0</v>
      </c>
      <c r="DE51" s="102"/>
      <c r="DF51" s="1">
        <v>5</v>
      </c>
      <c r="DG51" s="104">
        <f t="shared" si="320"/>
        <v>0</v>
      </c>
      <c r="DH51" s="102"/>
      <c r="DI51" s="1">
        <v>5</v>
      </c>
      <c r="DJ51" s="104">
        <f t="shared" si="321"/>
        <v>0</v>
      </c>
      <c r="DK51" s="102"/>
      <c r="DL51" s="1">
        <v>5</v>
      </c>
      <c r="DM51" s="104">
        <f t="shared" si="322"/>
        <v>0</v>
      </c>
      <c r="DN51" s="102"/>
      <c r="DO51" s="1">
        <v>5</v>
      </c>
      <c r="DP51" s="104">
        <f t="shared" si="323"/>
        <v>0</v>
      </c>
      <c r="DQ51" s="102"/>
      <c r="DR51" s="1">
        <v>5</v>
      </c>
      <c r="DS51" s="104">
        <f t="shared" si="324"/>
        <v>0</v>
      </c>
      <c r="DT51" s="102"/>
      <c r="DU51" s="1">
        <v>5</v>
      </c>
      <c r="DV51" s="104">
        <f t="shared" si="325"/>
        <v>0</v>
      </c>
      <c r="DW51" s="102"/>
      <c r="DX51" s="1">
        <v>5</v>
      </c>
      <c r="DY51" s="104">
        <f t="shared" si="326"/>
        <v>0</v>
      </c>
      <c r="DZ51" s="102"/>
      <c r="EA51" s="1">
        <v>5</v>
      </c>
      <c r="EB51" s="104">
        <f t="shared" si="327"/>
        <v>0</v>
      </c>
      <c r="EC51" s="102"/>
      <c r="ED51" s="1">
        <v>5</v>
      </c>
      <c r="EE51" s="104">
        <f t="shared" si="328"/>
        <v>0</v>
      </c>
      <c r="EF51" s="102"/>
      <c r="EG51" s="1">
        <v>5</v>
      </c>
      <c r="EH51" s="104">
        <f t="shared" si="329"/>
        <v>0</v>
      </c>
      <c r="EI51" s="102"/>
      <c r="EJ51" s="1">
        <v>5</v>
      </c>
      <c r="EK51" s="104">
        <f t="shared" si="330"/>
        <v>0</v>
      </c>
      <c r="EL51" s="102"/>
      <c r="EM51" s="1">
        <v>5</v>
      </c>
      <c r="EN51" s="104">
        <f t="shared" si="331"/>
        <v>0</v>
      </c>
      <c r="EO51" s="90">
        <v>0</v>
      </c>
      <c r="EP51" s="96">
        <v>5</v>
      </c>
      <c r="EQ51" s="104">
        <f>IFERROR(EO51/EP51,0)</f>
        <v>0</v>
      </c>
      <c r="ER51" s="85">
        <f t="array" ref="ER51">IFERROR(_xlfn.LET(
_xlpm.datos,CHOOSE({1;2;3;4;5;6;7;8;9;10;11;12;13;13;14;15;16;17;18;19;20;21;22;23;23;24;25;26;27;28;29;30;31;32;33;34;35;36;37;38;39;40;41;42;43;44;45;46;47;48},F51,I51,L51,O51,R51,U51,X51,AA51,AD51,AG51,AJ51,AM51,AP51,AS51,AV51,AY51,BB51,BE51,BH51,BK51,BN51,BQ51,BT51,BW51,BZ51,CC51,CF51,CI51,CL51,CO51,CR51,CU51,CX51,DA51,DD51,DG51,DJ51,DM51,DP51,DS51,DV51,DY51,EB51,EE51,EH51,EK51,EN51,EQ51),
AVERAGE(_xlfn._xlws.FILTER(_xlpm.datos,(_xlpm.datos&lt;&gt;0)*(_xlpm.datos&lt;&gt;"")))
),0)</f>
        <v>0</v>
      </c>
      <c r="ES51" s="162" t="str">
        <f t="array" ref="ES51">_xlfn.IFS(ER51&gt;=91.5%,"MENSUAL",ER51&gt;=75%,"QUINCENAL",ER51&lt;75%,"SEMANAL")</f>
        <v>SEMANAL</v>
      </c>
      <c r="ET51" s="239"/>
    </row>
    <row r="52" ht="37.5" customHeight="1" spans="2:150" x14ac:dyDescent="0.25">
      <c r="B52" s="238" t="s">
        <v>213</v>
      </c>
      <c r="C52" s="228"/>
      <c r="D52" s="102"/>
      <c r="E52" s="103">
        <v>5</v>
      </c>
      <c r="F52" s="104">
        <f t="shared" si="285"/>
        <v>0</v>
      </c>
      <c r="G52" s="102"/>
      <c r="H52" s="103">
        <v>5</v>
      </c>
      <c r="I52" s="104">
        <f t="shared" si="286"/>
        <v>0</v>
      </c>
      <c r="J52" s="105"/>
      <c r="K52" s="103">
        <v>5</v>
      </c>
      <c r="L52" s="104">
        <f t="shared" si="287"/>
        <v>0</v>
      </c>
      <c r="M52" s="105"/>
      <c r="N52" s="103">
        <v>5</v>
      </c>
      <c r="O52" s="104">
        <f t="shared" si="288"/>
        <v>0</v>
      </c>
      <c r="P52" s="106"/>
      <c r="Q52" s="107">
        <v>5</v>
      </c>
      <c r="R52" s="104">
        <f t="shared" si="289"/>
        <v>0</v>
      </c>
      <c r="S52" s="102"/>
      <c r="T52" s="107">
        <v>5</v>
      </c>
      <c r="U52" s="104">
        <f t="shared" si="290"/>
        <v>0</v>
      </c>
      <c r="V52" s="102"/>
      <c r="W52" s="107">
        <v>5</v>
      </c>
      <c r="X52" s="104">
        <f t="shared" si="291"/>
        <v>0</v>
      </c>
      <c r="Y52" s="102"/>
      <c r="Z52" s="107">
        <v>5</v>
      </c>
      <c r="AA52" s="104">
        <f t="shared" si="292"/>
        <v>0</v>
      </c>
      <c r="AB52" s="106"/>
      <c r="AC52" s="107">
        <v>5</v>
      </c>
      <c r="AD52" s="104">
        <f t="shared" si="293"/>
        <v>0</v>
      </c>
      <c r="AE52" s="106"/>
      <c r="AF52" s="107">
        <v>5</v>
      </c>
      <c r="AG52" s="104">
        <f t="shared" si="294"/>
        <v>0</v>
      </c>
      <c r="AH52" s="106"/>
      <c r="AI52" s="107">
        <v>5</v>
      </c>
      <c r="AJ52" s="104">
        <f t="shared" si="295"/>
        <v>0</v>
      </c>
      <c r="AK52" s="106"/>
      <c r="AL52" s="107">
        <v>5</v>
      </c>
      <c r="AM52" s="104">
        <f t="shared" si="296"/>
        <v>0</v>
      </c>
      <c r="AN52" s="102"/>
      <c r="AO52" s="1">
        <v>5</v>
      </c>
      <c r="AP52" s="104">
        <f t="shared" si="297"/>
        <v>0</v>
      </c>
      <c r="AQ52" s="102"/>
      <c r="AR52" s="1">
        <v>5</v>
      </c>
      <c r="AS52" s="104">
        <f t="shared" si="298"/>
        <v>0</v>
      </c>
      <c r="AT52" s="102"/>
      <c r="AU52" s="1">
        <v>5</v>
      </c>
      <c r="AV52" s="104">
        <f t="shared" si="299"/>
        <v>0</v>
      </c>
      <c r="AW52" s="102"/>
      <c r="AX52" s="1">
        <v>5</v>
      </c>
      <c r="AY52" s="104">
        <f t="shared" si="300"/>
        <v>0</v>
      </c>
      <c r="AZ52" s="102"/>
      <c r="BA52" s="1">
        <v>5</v>
      </c>
      <c r="BB52" s="104">
        <f t="shared" si="301"/>
        <v>0</v>
      </c>
      <c r="BC52" s="102"/>
      <c r="BD52" s="1">
        <v>5</v>
      </c>
      <c r="BE52" s="104">
        <f t="shared" si="302"/>
        <v>0</v>
      </c>
      <c r="BF52" s="102"/>
      <c r="BG52" s="1">
        <v>5</v>
      </c>
      <c r="BH52" s="104">
        <f t="shared" si="303"/>
        <v>0</v>
      </c>
      <c r="BI52" s="102"/>
      <c r="BJ52" s="1">
        <v>5</v>
      </c>
      <c r="BK52" s="104">
        <f t="shared" si="304"/>
        <v>0</v>
      </c>
      <c r="BL52" s="102"/>
      <c r="BM52" s="1">
        <v>5</v>
      </c>
      <c r="BN52" s="104">
        <f t="shared" si="305"/>
        <v>0</v>
      </c>
      <c r="BO52" s="102"/>
      <c r="BP52" s="1">
        <v>5</v>
      </c>
      <c r="BQ52" s="104">
        <f t="shared" si="306"/>
        <v>0</v>
      </c>
      <c r="BR52" s="102"/>
      <c r="BS52" s="1">
        <v>5</v>
      </c>
      <c r="BT52" s="104">
        <f t="shared" si="307"/>
        <v>0</v>
      </c>
      <c r="BU52" s="102"/>
      <c r="BV52" s="1">
        <v>5</v>
      </c>
      <c r="BW52" s="104">
        <f t="shared" si="308"/>
        <v>0</v>
      </c>
      <c r="BX52" s="102"/>
      <c r="BY52" s="1">
        <v>5</v>
      </c>
      <c r="BZ52" s="104">
        <f t="shared" si="309"/>
        <v>0</v>
      </c>
      <c r="CA52" s="102"/>
      <c r="CB52" s="1">
        <v>5</v>
      </c>
      <c r="CC52" s="104">
        <f t="shared" si="310"/>
        <v>0</v>
      </c>
      <c r="CD52" s="102"/>
      <c r="CE52" s="1">
        <v>5</v>
      </c>
      <c r="CF52" s="104">
        <f t="shared" si="311"/>
        <v>0</v>
      </c>
      <c r="CG52" s="102"/>
      <c r="CH52" s="1">
        <v>5</v>
      </c>
      <c r="CI52" s="104">
        <f t="shared" si="312"/>
        <v>0</v>
      </c>
      <c r="CJ52" s="102"/>
      <c r="CK52" s="1">
        <v>5</v>
      </c>
      <c r="CL52" s="104">
        <f t="shared" si="313"/>
        <v>0</v>
      </c>
      <c r="CM52" s="102"/>
      <c r="CN52" s="1">
        <v>5</v>
      </c>
      <c r="CO52" s="104">
        <f t="shared" si="314"/>
        <v>0</v>
      </c>
      <c r="CP52" s="102"/>
      <c r="CQ52" s="1">
        <v>5</v>
      </c>
      <c r="CR52" s="104">
        <f t="shared" si="315"/>
        <v>0</v>
      </c>
      <c r="CS52" s="102"/>
      <c r="CT52" s="1">
        <v>5</v>
      </c>
      <c r="CU52" s="104">
        <f t="shared" si="316"/>
        <v>0</v>
      </c>
      <c r="CV52" s="102"/>
      <c r="CW52" s="1">
        <v>5</v>
      </c>
      <c r="CX52" s="104">
        <f t="shared" si="317"/>
        <v>0</v>
      </c>
      <c r="CY52" s="102"/>
      <c r="CZ52" s="1">
        <v>5</v>
      </c>
      <c r="DA52" s="104">
        <f t="shared" si="318"/>
        <v>0</v>
      </c>
      <c r="DB52" s="102"/>
      <c r="DC52" s="1">
        <v>5</v>
      </c>
      <c r="DD52" s="104">
        <f t="shared" si="319"/>
        <v>0</v>
      </c>
      <c r="DE52" s="102"/>
      <c r="DF52" s="1">
        <v>5</v>
      </c>
      <c r="DG52" s="104">
        <f t="shared" si="320"/>
        <v>0</v>
      </c>
      <c r="DH52" s="102"/>
      <c r="DI52" s="1">
        <v>5</v>
      </c>
      <c r="DJ52" s="104">
        <f t="shared" si="321"/>
        <v>0</v>
      </c>
      <c r="DK52" s="102"/>
      <c r="DL52" s="1">
        <v>5</v>
      </c>
      <c r="DM52" s="104">
        <f t="shared" si="322"/>
        <v>0</v>
      </c>
      <c r="DN52" s="102"/>
      <c r="DO52" s="1">
        <v>5</v>
      </c>
      <c r="DP52" s="104">
        <f t="shared" si="323"/>
        <v>0</v>
      </c>
      <c r="DQ52" s="102"/>
      <c r="DR52" s="1">
        <v>5</v>
      </c>
      <c r="DS52" s="104">
        <f t="shared" si="324"/>
        <v>0</v>
      </c>
      <c r="DT52" s="102"/>
      <c r="DU52" s="1">
        <v>5</v>
      </c>
      <c r="DV52" s="104">
        <f t="shared" si="325"/>
        <v>0</v>
      </c>
      <c r="DW52" s="102"/>
      <c r="DX52" s="1">
        <v>5</v>
      </c>
      <c r="DY52" s="104">
        <f t="shared" si="326"/>
        <v>0</v>
      </c>
      <c r="DZ52" s="102"/>
      <c r="EA52" s="1">
        <v>5</v>
      </c>
      <c r="EB52" s="104">
        <f t="shared" si="327"/>
        <v>0</v>
      </c>
      <c r="EC52" s="102"/>
      <c r="ED52" s="1">
        <v>5</v>
      </c>
      <c r="EE52" s="104">
        <f t="shared" si="328"/>
        <v>0</v>
      </c>
      <c r="EF52" s="102"/>
      <c r="EG52" s="1">
        <v>5</v>
      </c>
      <c r="EH52" s="104">
        <f t="shared" si="329"/>
        <v>0</v>
      </c>
      <c r="EI52" s="102"/>
      <c r="EJ52" s="1">
        <v>5</v>
      </c>
      <c r="EK52" s="104">
        <f t="shared" si="330"/>
        <v>0</v>
      </c>
      <c r="EL52" s="102"/>
      <c r="EM52" s="1">
        <v>5</v>
      </c>
      <c r="EN52" s="104">
        <f t="shared" si="331"/>
        <v>0</v>
      </c>
      <c r="EO52" s="90">
        <v>0</v>
      </c>
      <c r="EP52" s="96">
        <v>5</v>
      </c>
      <c r="EQ52" s="104">
        <f>IFERROR(EO52/EP52,0)</f>
        <v>0</v>
      </c>
      <c r="ER52" s="85">
        <f t="array" ref="ER52">IFERROR(_xlfn.LET(
_xlpm.datos,CHOOSE({1;2;3;4;5;6;7;8;9;10;11;12;13;13;14;15;16;17;18;19;20;21;22;23;23;24;25;26;27;28;29;30;31;32;33;34;35;36;37;38;39;40;41;42;43;44;45;46;47;48},F52,I52,L52,O52,R52,U52,X52,AA52,AD52,AG52,AJ52,AM52,AP52,AS52,AV52,AY52,BB52,BE52,BH52,BK52,BN52,BQ52,BT52,BW52,BZ52,CC52,CF52,CI52,CL52,CO52,CR52,CU52,CX52,DA52,DD52,DG52,DJ52,DM52,DP52,DS52,DV52,DY52,EB52,EE52,EH52,EK52,EN52,EQ52),
AVERAGE(_xlfn._xlws.FILTER(_xlpm.datos,(_xlpm.datos&lt;&gt;0)*(_xlpm.datos&lt;&gt;"")))
),0)</f>
        <v>0</v>
      </c>
      <c r="ES52" s="162" t="str">
        <f t="array" ref="ES52">_xlfn.IFS(ER52&gt;=91.5%,"MENSUAL",ER52&gt;=75%,"QUINCENAL",ER52&lt;75%,"SEMANAL")</f>
        <v>SEMANAL</v>
      </c>
      <c r="ET52" s="239"/>
    </row>
    <row r="53" ht="13.5" customHeight="1" spans="1:961" s="214" customFormat="1" x14ac:dyDescent="0.25">
      <c r="A53" s="215"/>
      <c r="B53" s="247" t="s">
        <v>214</v>
      </c>
      <c r="C53" s="248"/>
      <c r="D53" s="249"/>
      <c r="E53" s="250"/>
      <c r="F53" s="223">
        <f>AVERAGE(F54:F54)</f>
        <v>0</v>
      </c>
      <c r="G53" s="249"/>
      <c r="H53" s="250"/>
      <c r="I53" s="223">
        <f>AVERAGE(I54:I54)</f>
        <v>0</v>
      </c>
      <c r="J53" s="249"/>
      <c r="K53" s="250"/>
      <c r="L53" s="223">
        <f>AVERAGE(L54:L54)</f>
        <v>0</v>
      </c>
      <c r="M53" s="249"/>
      <c r="N53" s="250"/>
      <c r="O53" s="223">
        <f>AVERAGE(O54:O54)</f>
        <v>0</v>
      </c>
      <c r="P53" s="249"/>
      <c r="Q53" s="250"/>
      <c r="R53" s="223">
        <f>AVERAGE(R54:R54)</f>
        <v>0</v>
      </c>
      <c r="S53" s="249"/>
      <c r="T53" s="250"/>
      <c r="U53" s="223">
        <f>AVERAGE(U54:U54)</f>
        <v>0</v>
      </c>
      <c r="V53" s="249"/>
      <c r="W53" s="250"/>
      <c r="X53" s="223">
        <f>AVERAGE(X54:X54)</f>
        <v>0</v>
      </c>
      <c r="Y53" s="249"/>
      <c r="Z53" s="250"/>
      <c r="AA53" s="223">
        <f>AVERAGE(AA54:AA54)</f>
        <v>0</v>
      </c>
      <c r="AB53" s="249"/>
      <c r="AC53" s="250"/>
      <c r="AD53" s="223">
        <f>AVERAGE(AD54:AD54)</f>
        <v>0</v>
      </c>
      <c r="AE53" s="249"/>
      <c r="AF53" s="250"/>
      <c r="AG53" s="223">
        <f>AVERAGE(AG54:AG54)</f>
        <v>0</v>
      </c>
      <c r="AH53" s="249"/>
      <c r="AI53" s="250"/>
      <c r="AJ53" s="223">
        <f>AVERAGE(AJ54:AJ54)</f>
        <v>0</v>
      </c>
      <c r="AK53" s="249"/>
      <c r="AL53" s="250"/>
      <c r="AM53" s="223">
        <f>AVERAGE(AM54:AM54)</f>
        <v>0</v>
      </c>
      <c r="AN53" s="249"/>
      <c r="AO53" s="250"/>
      <c r="AP53" s="223">
        <f>AVERAGE(AP54:AP54)</f>
        <v>0</v>
      </c>
      <c r="AQ53" s="249"/>
      <c r="AR53" s="250"/>
      <c r="AS53" s="223">
        <f>AVERAGE(AS54:AS54)</f>
        <v>0</v>
      </c>
      <c r="AT53" s="249"/>
      <c r="AU53" s="250"/>
      <c r="AV53" s="223">
        <f>AVERAGE(AV54:AV54)</f>
        <v>0</v>
      </c>
      <c r="AW53" s="249"/>
      <c r="AX53" s="250"/>
      <c r="AY53" s="223">
        <f>AVERAGE(AY54:AY54)</f>
        <v>0</v>
      </c>
      <c r="AZ53" s="249"/>
      <c r="BA53" s="250"/>
      <c r="BB53" s="223">
        <f>AVERAGE(BB54:BB54)</f>
        <v>0</v>
      </c>
      <c r="BC53" s="249"/>
      <c r="BD53" s="250"/>
      <c r="BE53" s="223">
        <f>AVERAGE(BE54:BE54)</f>
        <v>0</v>
      </c>
      <c r="BF53" s="249"/>
      <c r="BG53" s="250"/>
      <c r="BH53" s="223">
        <f>AVERAGE(BH54:BH54)</f>
        <v>0</v>
      </c>
      <c r="BI53" s="249"/>
      <c r="BJ53" s="250"/>
      <c r="BK53" s="223">
        <f>AVERAGE(BK54:BK54)</f>
        <v>0</v>
      </c>
      <c r="BL53" s="249"/>
      <c r="BM53" s="250"/>
      <c r="BN53" s="223">
        <f>AVERAGE(BN54:BN54)</f>
        <v>0</v>
      </c>
      <c r="BO53" s="249"/>
      <c r="BP53" s="250"/>
      <c r="BQ53" s="223">
        <f>AVERAGE(BQ54:BQ54)</f>
        <v>0</v>
      </c>
      <c r="BR53" s="249"/>
      <c r="BS53" s="250"/>
      <c r="BT53" s="223">
        <f>AVERAGE(BT54:BT54)</f>
        <v>0</v>
      </c>
      <c r="BU53" s="249"/>
      <c r="BV53" s="250"/>
      <c r="BW53" s="223">
        <f>AVERAGE(BW54:BW54)</f>
        <v>0</v>
      </c>
      <c r="BX53" s="249"/>
      <c r="BY53" s="250"/>
      <c r="BZ53" s="223">
        <f>AVERAGE(BZ54:BZ54)</f>
        <v>0</v>
      </c>
      <c r="CA53" s="249"/>
      <c r="CB53" s="250"/>
      <c r="CC53" s="223">
        <f>AVERAGE(CC54:CC54)</f>
        <v>0</v>
      </c>
      <c r="CD53" s="249"/>
      <c r="CE53" s="250"/>
      <c r="CF53" s="223">
        <f>AVERAGE(CF54:CF54)</f>
        <v>0</v>
      </c>
      <c r="CG53" s="249"/>
      <c r="CH53" s="250"/>
      <c r="CI53" s="223">
        <f>AVERAGE(CI54:CI54)</f>
        <v>0</v>
      </c>
      <c r="CJ53" s="249"/>
      <c r="CK53" s="250"/>
      <c r="CL53" s="223">
        <f>AVERAGE(CL54:CL54)</f>
        <v>0</v>
      </c>
      <c r="CM53" s="249"/>
      <c r="CN53" s="250"/>
      <c r="CO53" s="223">
        <f>AVERAGE(CO54:CO54)</f>
        <v>0</v>
      </c>
      <c r="CP53" s="249"/>
      <c r="CQ53" s="250"/>
      <c r="CR53" s="223">
        <f>AVERAGE(CR54:CR54)</f>
        <v>0</v>
      </c>
      <c r="CS53" s="249"/>
      <c r="CT53" s="250"/>
      <c r="CU53" s="223">
        <f>AVERAGE(CU54:CU54)</f>
        <v>0</v>
      </c>
      <c r="CV53" s="249"/>
      <c r="CW53" s="250"/>
      <c r="CX53" s="223">
        <f>AVERAGE(CX54:CX54)</f>
        <v>0</v>
      </c>
      <c r="CY53" s="249"/>
      <c r="CZ53" s="250"/>
      <c r="DA53" s="223">
        <f>AVERAGE(DA54:DA54)</f>
        <v>0</v>
      </c>
      <c r="DB53" s="249"/>
      <c r="DC53" s="250"/>
      <c r="DD53" s="223">
        <f>AVERAGE(DD54:DD54)</f>
        <v>0</v>
      </c>
      <c r="DE53" s="249"/>
      <c r="DF53" s="250"/>
      <c r="DG53" s="224">
        <f>AVERAGE(DG54:DG54)</f>
        <v>0</v>
      </c>
      <c r="DH53" s="249"/>
      <c r="DI53" s="250"/>
      <c r="DJ53" s="223">
        <f>AVERAGE(DJ54:DJ54)</f>
        <v>0</v>
      </c>
      <c r="DK53" s="249"/>
      <c r="DL53" s="250"/>
      <c r="DM53" s="223">
        <f>AVERAGE(DM54:DM54)</f>
        <v>0</v>
      </c>
      <c r="DN53" s="249"/>
      <c r="DO53" s="250"/>
      <c r="DP53" s="223">
        <f>AVERAGE(DP54:DP54)</f>
        <v>0</v>
      </c>
      <c r="DQ53" s="249"/>
      <c r="DR53" s="250"/>
      <c r="DS53" s="223">
        <f>AVERAGE(DS54:DS54)</f>
        <v>0</v>
      </c>
      <c r="DT53" s="249"/>
      <c r="DU53" s="250"/>
      <c r="DV53" s="223">
        <f>AVERAGE(DV54:DV54)</f>
        <v>0</v>
      </c>
      <c r="DW53" s="249"/>
      <c r="DX53" s="250"/>
      <c r="DY53" s="223">
        <f>AVERAGE(DY54:DY54)</f>
        <v>0</v>
      </c>
      <c r="DZ53" s="249"/>
      <c r="EA53" s="250"/>
      <c r="EB53" s="223">
        <f>AVERAGE(EB54:EB54)</f>
        <v>0</v>
      </c>
      <c r="EC53" s="249"/>
      <c r="ED53" s="250"/>
      <c r="EE53" s="223">
        <f>AVERAGE(EE54:EE54)</f>
        <v>0</v>
      </c>
      <c r="EF53" s="249"/>
      <c r="EG53" s="250"/>
      <c r="EH53" s="223">
        <f>AVERAGE(EH54:EH54)</f>
        <v>0</v>
      </c>
      <c r="EI53" s="249"/>
      <c r="EJ53" s="250"/>
      <c r="EK53" s="223">
        <f>AVERAGE(EK54:EK54)</f>
        <v>0</v>
      </c>
      <c r="EL53" s="249"/>
      <c r="EM53" s="250"/>
      <c r="EN53" s="223">
        <f>AVERAGE(EN54:EN54)</f>
        <v>0</v>
      </c>
      <c r="EO53" s="249"/>
      <c r="EP53" s="250"/>
      <c r="EQ53" s="223">
        <f>AVERAGE(EQ54:EQ54)</f>
        <v>0</v>
      </c>
      <c r="ER53" s="85">
        <f t="array" ref="ER53">IFERROR(_xlfn.LET(
_xlpm.datos,CHOOSE({1;2;3;4;5;6;7;8;9;10;11;12;13;13;14;15;16;17;18;19;20;21;22;23;23;24;25;26;27;28;29;30;31;32;33;34;35;36;37;38;39;40;41;42;43;44;45;46;47;48},F53,I53,L53,O53,R53,U53,X53,AA53,AD53,AG53,AJ53,AM53,AP53,AS53,AV53,AY53,BB53,BE53,BH53,BK53,BN53,BQ53,BT53,BW53,BZ53,CC53,CF53,CI53,CL53,CO53,CR53,CU53,CX53,DA53,DD53,DG53,DJ53,DM53,DP53,DS53,DV53,DY53,EB53,EE53,EH53,EK53,EN53,EQ53),
AVERAGE(_xlfn._xlws.FILTER(_xlpm.datos,(_xlpm.datos&lt;&gt;0)*(_xlpm.datos&lt;&gt;"")))
),0)</f>
        <v>0</v>
      </c>
      <c r="ES53" s="162" t="str">
        <f t="array" ref="ES53">_xlfn.IFS(ER53&gt;=91.5%,"MENSUAL",ER53&gt;=75%,"QUINCENAL",ER53&lt;75%,"SEMANAL")</f>
        <v>SEMANAL</v>
      </c>
      <c r="ET53" s="239"/>
      <c r="EU53" s="201"/>
      <c r="EV53" s="201"/>
      <c r="EW53" s="201"/>
      <c r="EX53" s="201"/>
      <c r="EY53" s="201"/>
      <c r="EZ53" s="201"/>
      <c r="FA53" s="201"/>
      <c r="FB53" s="201"/>
      <c r="FC53" s="201"/>
      <c r="FD53" s="201"/>
      <c r="FE53" s="201"/>
      <c r="FF53" s="201"/>
      <c r="FG53" s="201"/>
      <c r="FH53" s="201"/>
      <c r="FI53" s="201"/>
      <c r="FJ53" s="201"/>
      <c r="FK53" s="201"/>
      <c r="FL53" s="201"/>
      <c r="FM53" s="201"/>
      <c r="FN53" s="201"/>
      <c r="FO53" s="201"/>
      <c r="FP53" s="201"/>
      <c r="FQ53" s="201"/>
      <c r="FR53" s="201"/>
      <c r="FS53" s="201"/>
      <c r="FT53" s="201"/>
      <c r="FU53" s="201"/>
      <c r="FV53" s="201"/>
      <c r="FW53" s="201"/>
      <c r="FX53" s="201"/>
      <c r="FY53" s="201"/>
      <c r="FZ53" s="201"/>
      <c r="GA53" s="201"/>
      <c r="GB53" s="201"/>
      <c r="GC53" s="201"/>
      <c r="GD53" s="201"/>
      <c r="GE53" s="201"/>
      <c r="GF53" s="201"/>
      <c r="GG53" s="201"/>
      <c r="GH53" s="201"/>
      <c r="GI53" s="201"/>
      <c r="GJ53" s="201"/>
      <c r="GK53" s="201"/>
      <c r="GL53" s="201"/>
      <c r="GM53" s="201"/>
      <c r="GN53" s="201"/>
      <c r="GO53" s="201"/>
      <c r="GP53" s="201"/>
      <c r="GQ53" s="201"/>
      <c r="GR53" s="201"/>
      <c r="GS53" s="201"/>
      <c r="GT53" s="201"/>
      <c r="GU53" s="201"/>
      <c r="GV53" s="201"/>
      <c r="GW53" s="201"/>
      <c r="GX53" s="201"/>
      <c r="GY53" s="201"/>
      <c r="GZ53" s="201"/>
      <c r="HA53" s="201"/>
      <c r="HB53" s="201"/>
      <c r="HC53" s="201"/>
      <c r="HD53" s="201"/>
      <c r="HE53" s="201"/>
      <c r="HF53" s="201"/>
      <c r="HG53" s="201"/>
      <c r="HH53" s="201"/>
      <c r="HI53" s="201"/>
      <c r="HJ53" s="201"/>
      <c r="HK53" s="201"/>
      <c r="HL53" s="201"/>
      <c r="HM53" s="201"/>
      <c r="HN53" s="201"/>
      <c r="HO53" s="201"/>
      <c r="HP53" s="201"/>
      <c r="HQ53" s="201"/>
      <c r="HR53" s="201"/>
      <c r="HS53" s="201"/>
      <c r="HT53" s="201"/>
      <c r="HU53" s="201"/>
      <c r="HV53" s="201"/>
      <c r="HW53" s="201"/>
      <c r="HX53" s="201"/>
      <c r="HY53" s="201"/>
      <c r="HZ53" s="201"/>
      <c r="IA53" s="201"/>
      <c r="IB53" s="201"/>
      <c r="IC53" s="201"/>
      <c r="ID53" s="201"/>
      <c r="IE53" s="201"/>
      <c r="IF53" s="201"/>
      <c r="IG53" s="201"/>
      <c r="IH53" s="201"/>
      <c r="II53" s="201"/>
      <c r="IJ53" s="201"/>
      <c r="IK53" s="201"/>
      <c r="IL53" s="201"/>
      <c r="IM53" s="201"/>
      <c r="IN53" s="201"/>
      <c r="IO53" s="201"/>
      <c r="IP53" s="201"/>
      <c r="IQ53" s="201"/>
      <c r="IR53" s="201"/>
      <c r="IS53" s="201"/>
      <c r="IT53" s="201"/>
      <c r="IU53" s="201"/>
      <c r="IV53" s="201"/>
      <c r="IW53" s="201"/>
      <c r="IX53" s="201"/>
      <c r="IY53" s="201"/>
      <c r="IZ53" s="201"/>
      <c r="JA53" s="201"/>
      <c r="JB53" s="201"/>
      <c r="JC53" s="201"/>
      <c r="JD53" s="201"/>
      <c r="JE53" s="201"/>
      <c r="JF53" s="201"/>
      <c r="JG53" s="201"/>
      <c r="JH53" s="201"/>
      <c r="JI53" s="201"/>
      <c r="JJ53" s="201"/>
      <c r="JK53" s="201"/>
      <c r="JL53" s="201"/>
      <c r="JM53" s="201"/>
      <c r="JN53" s="201"/>
      <c r="JO53" s="201"/>
      <c r="JP53" s="201"/>
      <c r="JQ53" s="201"/>
      <c r="JR53" s="201"/>
      <c r="JS53" s="201"/>
      <c r="JT53" s="201"/>
      <c r="JU53" s="201"/>
      <c r="JV53" s="201"/>
      <c r="JW53" s="201"/>
      <c r="JX53" s="201"/>
      <c r="JY53" s="201"/>
      <c r="JZ53" s="201"/>
      <c r="KA53" s="201"/>
      <c r="KB53" s="201"/>
      <c r="KC53" s="201"/>
      <c r="KD53" s="201"/>
      <c r="KE53" s="201"/>
      <c r="KF53" s="201"/>
      <c r="KG53" s="201"/>
      <c r="KH53" s="201"/>
      <c r="KI53" s="201"/>
      <c r="KJ53" s="201"/>
      <c r="KK53" s="201"/>
      <c r="KL53" s="201"/>
      <c r="KM53" s="201"/>
      <c r="KN53" s="201"/>
      <c r="KO53" s="201"/>
      <c r="KP53" s="201"/>
      <c r="KQ53" s="201"/>
      <c r="KR53" s="201"/>
      <c r="KS53" s="201"/>
      <c r="KT53" s="201"/>
      <c r="KU53" s="201"/>
      <c r="KV53" s="201"/>
      <c r="KW53" s="201"/>
      <c r="KX53" s="201"/>
      <c r="KY53" s="201"/>
      <c r="KZ53" s="201"/>
      <c r="LA53" s="201"/>
      <c r="LB53" s="201"/>
      <c r="LC53" s="201"/>
      <c r="LD53" s="201"/>
      <c r="LE53" s="201"/>
      <c r="LF53" s="201"/>
      <c r="LG53" s="201"/>
      <c r="LH53" s="201"/>
      <c r="LI53" s="201"/>
      <c r="LJ53" s="201"/>
      <c r="LK53" s="201"/>
      <c r="LL53" s="201"/>
      <c r="LM53" s="201"/>
      <c r="LN53" s="201"/>
      <c r="LO53" s="201"/>
      <c r="LP53" s="201"/>
      <c r="LQ53" s="201"/>
      <c r="LR53" s="201"/>
      <c r="LS53" s="201"/>
      <c r="LT53" s="201"/>
      <c r="LU53" s="201"/>
      <c r="LV53" s="201"/>
      <c r="LW53" s="201"/>
      <c r="LX53" s="201"/>
      <c r="LY53" s="201"/>
      <c r="LZ53" s="201"/>
      <c r="MA53" s="201"/>
      <c r="MB53" s="201"/>
      <c r="MC53" s="201"/>
      <c r="MD53" s="201"/>
      <c r="ME53" s="201"/>
      <c r="MF53" s="201"/>
      <c r="MG53" s="201"/>
      <c r="MH53" s="201"/>
      <c r="MI53" s="201"/>
      <c r="MJ53" s="201"/>
      <c r="MK53" s="201"/>
      <c r="ML53" s="201"/>
      <c r="MM53" s="201"/>
      <c r="MN53" s="201"/>
      <c r="MO53" s="201"/>
      <c r="MP53" s="201"/>
      <c r="MQ53" s="201"/>
      <c r="MR53" s="201"/>
      <c r="MS53" s="201"/>
      <c r="MT53" s="201"/>
      <c r="MU53" s="201"/>
      <c r="MV53" s="201"/>
      <c r="MW53" s="201"/>
      <c r="MX53" s="201"/>
      <c r="MY53" s="201"/>
      <c r="MZ53" s="201"/>
      <c r="NA53" s="201"/>
      <c r="NB53" s="201"/>
      <c r="NC53" s="201"/>
      <c r="ND53" s="201"/>
      <c r="NE53" s="201"/>
      <c r="NF53" s="201"/>
      <c r="NG53" s="201"/>
      <c r="NH53" s="201"/>
      <c r="NI53" s="201"/>
      <c r="NJ53" s="201"/>
      <c r="NK53" s="201"/>
      <c r="NL53" s="201"/>
      <c r="NM53" s="201"/>
      <c r="NN53" s="201"/>
      <c r="NO53" s="201"/>
      <c r="NP53" s="201"/>
      <c r="NQ53" s="201"/>
      <c r="NR53" s="201"/>
      <c r="NS53" s="201"/>
      <c r="NT53" s="201"/>
      <c r="NU53" s="201"/>
      <c r="NV53" s="201"/>
      <c r="NW53" s="201"/>
      <c r="NX53" s="201"/>
      <c r="NY53" s="201"/>
      <c r="NZ53" s="201"/>
      <c r="OA53" s="201"/>
      <c r="OB53" s="201"/>
      <c r="OC53" s="201"/>
      <c r="OD53" s="201"/>
      <c r="OE53" s="201"/>
      <c r="OF53" s="201"/>
      <c r="OG53" s="201"/>
      <c r="OH53" s="201"/>
      <c r="OI53" s="201"/>
      <c r="OJ53" s="201"/>
      <c r="OK53" s="201"/>
      <c r="OL53" s="201"/>
      <c r="OM53" s="201"/>
      <c r="ON53" s="201"/>
      <c r="OO53" s="201"/>
      <c r="OP53" s="201"/>
      <c r="OQ53" s="201"/>
      <c r="OR53" s="201"/>
      <c r="OS53" s="201"/>
      <c r="OT53" s="201"/>
      <c r="OU53" s="201"/>
      <c r="OV53" s="201"/>
      <c r="OW53" s="201"/>
      <c r="OX53" s="201"/>
      <c r="OY53" s="201"/>
      <c r="OZ53" s="201"/>
      <c r="PA53" s="201"/>
      <c r="PB53" s="201"/>
      <c r="PC53" s="201"/>
      <c r="PD53" s="201"/>
      <c r="PE53" s="201"/>
      <c r="PF53" s="201"/>
      <c r="PG53" s="201"/>
      <c r="PH53" s="201"/>
      <c r="PI53" s="201"/>
      <c r="PJ53" s="201"/>
      <c r="PK53" s="201"/>
      <c r="PL53" s="201"/>
      <c r="PM53" s="201"/>
      <c r="PN53" s="201"/>
      <c r="PO53" s="201"/>
      <c r="PP53" s="201"/>
      <c r="PQ53" s="201"/>
      <c r="PR53" s="201"/>
      <c r="PS53" s="201"/>
      <c r="PT53" s="201"/>
      <c r="PU53" s="201"/>
      <c r="PV53" s="201"/>
      <c r="PW53" s="201"/>
      <c r="PX53" s="201"/>
      <c r="PY53" s="201"/>
      <c r="PZ53" s="201"/>
      <c r="QA53" s="201"/>
      <c r="QB53" s="201"/>
      <c r="QC53" s="201"/>
      <c r="QD53" s="201"/>
      <c r="QE53" s="201"/>
      <c r="QF53" s="201"/>
      <c r="QG53" s="201"/>
      <c r="QH53" s="201"/>
      <c r="QI53" s="201"/>
      <c r="QJ53" s="201"/>
      <c r="QK53" s="201"/>
      <c r="QL53" s="201"/>
      <c r="QM53" s="201"/>
      <c r="QN53" s="201"/>
      <c r="QO53" s="201"/>
      <c r="QP53" s="201"/>
      <c r="QQ53" s="201"/>
      <c r="QR53" s="201"/>
      <c r="QS53" s="201"/>
      <c r="QT53" s="201"/>
      <c r="QU53" s="201"/>
      <c r="QV53" s="201"/>
      <c r="QW53" s="201"/>
      <c r="QX53" s="201"/>
      <c r="QY53" s="201"/>
      <c r="QZ53" s="201"/>
      <c r="RA53" s="201"/>
      <c r="RB53" s="201"/>
      <c r="RC53" s="201"/>
      <c r="RD53" s="201"/>
      <c r="RE53" s="201"/>
      <c r="RF53" s="201"/>
      <c r="RG53" s="201"/>
      <c r="RH53" s="201"/>
      <c r="RI53" s="201"/>
      <c r="RJ53" s="201"/>
      <c r="RK53" s="201"/>
      <c r="RL53" s="201"/>
      <c r="RM53" s="201"/>
      <c r="RN53" s="201"/>
      <c r="RO53" s="201"/>
      <c r="RP53" s="201"/>
      <c r="RQ53" s="201"/>
      <c r="RR53" s="201"/>
      <c r="RS53" s="201"/>
      <c r="RT53" s="201"/>
      <c r="RU53" s="201"/>
      <c r="RV53" s="201"/>
      <c r="RW53" s="201"/>
      <c r="RX53" s="201"/>
      <c r="RY53" s="201"/>
      <c r="RZ53" s="201"/>
      <c r="SA53" s="201"/>
      <c r="SB53" s="201"/>
      <c r="SC53" s="201"/>
      <c r="SD53" s="201"/>
      <c r="SE53" s="201"/>
      <c r="SF53" s="201"/>
      <c r="SG53" s="201"/>
      <c r="SH53" s="201"/>
      <c r="SI53" s="201"/>
      <c r="SJ53" s="201"/>
      <c r="SK53" s="201"/>
      <c r="SL53" s="201"/>
      <c r="SM53" s="201"/>
      <c r="SN53" s="201"/>
      <c r="SO53" s="201"/>
      <c r="SP53" s="201"/>
      <c r="SQ53" s="201"/>
      <c r="SR53" s="201"/>
      <c r="SS53" s="201"/>
      <c r="ST53" s="201"/>
      <c r="SU53" s="201"/>
      <c r="SV53" s="201"/>
      <c r="SW53" s="201"/>
      <c r="SX53" s="201"/>
      <c r="SY53" s="201"/>
      <c r="SZ53" s="201"/>
      <c r="TA53" s="201"/>
      <c r="TB53" s="201"/>
      <c r="TC53" s="201"/>
      <c r="TD53" s="201"/>
      <c r="TE53" s="201"/>
      <c r="TF53" s="201"/>
      <c r="TG53" s="201"/>
      <c r="TH53" s="201"/>
      <c r="TI53" s="201"/>
      <c r="TJ53" s="201"/>
      <c r="TK53" s="201"/>
      <c r="TL53" s="201"/>
      <c r="TM53" s="201"/>
      <c r="TN53" s="201"/>
      <c r="TO53" s="201"/>
      <c r="TP53" s="201"/>
      <c r="TQ53" s="201"/>
      <c r="TR53" s="201"/>
      <c r="TS53" s="201"/>
      <c r="TT53" s="201"/>
      <c r="TU53" s="201"/>
      <c r="TV53" s="201"/>
      <c r="TW53" s="201"/>
      <c r="TX53" s="201"/>
      <c r="TY53" s="201"/>
      <c r="TZ53" s="201"/>
      <c r="UA53" s="201"/>
      <c r="UB53" s="201"/>
      <c r="UC53" s="201"/>
      <c r="UD53" s="201"/>
      <c r="UE53" s="201"/>
      <c r="UF53" s="201"/>
      <c r="UG53" s="201"/>
      <c r="UH53" s="201"/>
      <c r="UI53" s="201"/>
      <c r="UJ53" s="201"/>
      <c r="UK53" s="201"/>
      <c r="UL53" s="201"/>
      <c r="UM53" s="201"/>
      <c r="UN53" s="201"/>
      <c r="UO53" s="201"/>
      <c r="UP53" s="201"/>
      <c r="UQ53" s="201"/>
      <c r="UR53" s="201"/>
      <c r="US53" s="201"/>
      <c r="UT53" s="201"/>
      <c r="UU53" s="201"/>
      <c r="UV53" s="201"/>
      <c r="UW53" s="201"/>
      <c r="UX53" s="201"/>
      <c r="UY53" s="201"/>
      <c r="UZ53" s="201"/>
      <c r="VA53" s="201"/>
      <c r="VB53" s="201"/>
      <c r="VC53" s="201"/>
      <c r="VD53" s="201"/>
      <c r="VE53" s="201"/>
      <c r="VF53" s="201"/>
      <c r="VG53" s="201"/>
      <c r="VH53" s="201"/>
      <c r="VI53" s="201"/>
      <c r="VJ53" s="201"/>
      <c r="VK53" s="201"/>
      <c r="VL53" s="201"/>
      <c r="VM53" s="201"/>
      <c r="VN53" s="201"/>
      <c r="VO53" s="201"/>
      <c r="VP53" s="201"/>
      <c r="VQ53" s="201"/>
      <c r="VR53" s="201"/>
      <c r="VS53" s="201"/>
      <c r="VT53" s="201"/>
      <c r="VU53" s="201"/>
      <c r="VV53" s="201"/>
      <c r="VW53" s="201"/>
      <c r="VX53" s="201"/>
      <c r="VY53" s="201"/>
      <c r="VZ53" s="201"/>
      <c r="WA53" s="201"/>
      <c r="WB53" s="201"/>
      <c r="WC53" s="201"/>
      <c r="WD53" s="201"/>
      <c r="WE53" s="201"/>
      <c r="WF53" s="201"/>
      <c r="WG53" s="201"/>
      <c r="WH53" s="201"/>
      <c r="WI53" s="201"/>
      <c r="WJ53" s="201"/>
      <c r="WK53" s="201"/>
      <c r="WL53" s="201"/>
      <c r="WM53" s="201"/>
      <c r="WN53" s="201"/>
      <c r="WO53" s="201"/>
      <c r="WP53" s="201"/>
      <c r="WQ53" s="201"/>
      <c r="WR53" s="201"/>
      <c r="WS53" s="201"/>
      <c r="WT53" s="201"/>
      <c r="WU53" s="201"/>
      <c r="WV53" s="201"/>
      <c r="WW53" s="201"/>
      <c r="WX53" s="201"/>
      <c r="WY53" s="201"/>
      <c r="WZ53" s="201"/>
      <c r="XA53" s="201"/>
      <c r="XB53" s="201"/>
      <c r="XC53" s="201"/>
      <c r="XD53" s="201"/>
      <c r="XE53" s="201"/>
      <c r="XF53" s="201"/>
      <c r="XG53" s="201"/>
      <c r="XH53" s="201"/>
      <c r="XI53" s="201"/>
      <c r="XJ53" s="201"/>
      <c r="XK53" s="201"/>
      <c r="XL53" s="201"/>
      <c r="XM53" s="201"/>
      <c r="XN53" s="201"/>
      <c r="XO53" s="201"/>
      <c r="XP53" s="201"/>
      <c r="XQ53" s="201"/>
      <c r="XR53" s="201"/>
      <c r="XS53" s="201"/>
      <c r="XT53" s="201"/>
      <c r="XU53" s="201"/>
      <c r="XV53" s="201"/>
      <c r="XW53" s="201"/>
      <c r="XX53" s="201"/>
      <c r="XY53" s="201"/>
      <c r="XZ53" s="201"/>
      <c r="YA53" s="201"/>
      <c r="YB53" s="201"/>
      <c r="YC53" s="201"/>
      <c r="YD53" s="201"/>
      <c r="YE53" s="201"/>
      <c r="YF53" s="201"/>
      <c r="YG53" s="201"/>
      <c r="YH53" s="201"/>
      <c r="YI53" s="201"/>
      <c r="YJ53" s="201"/>
      <c r="YK53" s="201"/>
      <c r="YL53" s="201"/>
      <c r="YM53" s="201"/>
      <c r="YN53" s="201"/>
      <c r="YO53" s="201"/>
      <c r="YP53" s="201"/>
      <c r="YQ53" s="201"/>
      <c r="YR53" s="201"/>
      <c r="YS53" s="201"/>
      <c r="YT53" s="201"/>
      <c r="YU53" s="201"/>
      <c r="YV53" s="201"/>
      <c r="YW53" s="201"/>
      <c r="YX53" s="201"/>
      <c r="YY53" s="201"/>
      <c r="YZ53" s="201"/>
      <c r="ZA53" s="201"/>
      <c r="ZB53" s="201"/>
      <c r="ZC53" s="201"/>
      <c r="ZD53" s="201"/>
      <c r="ZE53" s="201"/>
      <c r="ZF53" s="201"/>
      <c r="ZG53" s="201"/>
      <c r="ZH53" s="201"/>
      <c r="ZI53" s="201"/>
      <c r="ZJ53" s="201"/>
      <c r="ZK53" s="201"/>
      <c r="ZL53" s="201"/>
      <c r="ZM53" s="201"/>
      <c r="ZN53" s="201"/>
      <c r="ZO53" s="201"/>
      <c r="ZP53" s="201"/>
      <c r="ZQ53" s="201"/>
      <c r="ZR53" s="201"/>
      <c r="ZS53" s="201"/>
      <c r="ZT53" s="201"/>
      <c r="ZU53" s="201"/>
      <c r="ZV53" s="201"/>
      <c r="ZW53" s="201"/>
      <c r="ZX53" s="201"/>
      <c r="ZY53" s="201"/>
      <c r="ZZ53" s="201"/>
      <c r="AAA53" s="201"/>
      <c r="AAB53" s="201"/>
      <c r="AAC53" s="201"/>
      <c r="AAD53" s="201"/>
      <c r="AAE53" s="201"/>
      <c r="AAF53" s="201"/>
      <c r="AAG53" s="201"/>
      <c r="AAH53" s="201"/>
      <c r="AAI53" s="201"/>
      <c r="AAJ53" s="201"/>
      <c r="AAK53" s="201"/>
      <c r="AAL53" s="201"/>
      <c r="AAM53" s="201"/>
      <c r="AAN53" s="201"/>
      <c r="AAO53" s="201"/>
      <c r="AAP53" s="201"/>
      <c r="AAQ53" s="201"/>
      <c r="AAR53" s="201"/>
      <c r="AAS53" s="201"/>
      <c r="AAT53" s="201"/>
      <c r="AAU53" s="201"/>
      <c r="AAV53" s="201"/>
      <c r="AAW53" s="201"/>
      <c r="AAX53" s="201"/>
      <c r="AAY53" s="201"/>
      <c r="AAZ53" s="201"/>
      <c r="ABA53" s="201"/>
      <c r="ABB53" s="201"/>
      <c r="ABC53" s="201"/>
      <c r="ABD53" s="201"/>
      <c r="ABE53" s="201"/>
      <c r="ABF53" s="201"/>
      <c r="ABG53" s="201"/>
      <c r="ABH53" s="201"/>
      <c r="ABI53" s="201"/>
      <c r="ABJ53" s="201"/>
      <c r="ABK53" s="201"/>
      <c r="ABL53" s="201"/>
      <c r="ABM53" s="201"/>
      <c r="ABN53" s="201"/>
      <c r="ABO53" s="201"/>
      <c r="ABP53" s="201"/>
      <c r="ABQ53" s="201"/>
      <c r="ABR53" s="201"/>
      <c r="ABS53" s="201"/>
      <c r="ABT53" s="201"/>
      <c r="ABU53" s="201"/>
      <c r="ABV53" s="201"/>
      <c r="ABW53" s="201"/>
      <c r="ABX53" s="201"/>
      <c r="ABY53" s="201"/>
      <c r="ABZ53" s="201"/>
      <c r="ACA53" s="201"/>
      <c r="ACB53" s="201"/>
      <c r="ACC53" s="201"/>
      <c r="ACD53" s="201"/>
      <c r="ACE53" s="201"/>
      <c r="ACF53" s="201"/>
      <c r="ACG53" s="201"/>
      <c r="ACH53" s="201"/>
      <c r="ACI53" s="201"/>
      <c r="ACJ53" s="201"/>
      <c r="ACK53" s="201"/>
      <c r="ACL53" s="201"/>
      <c r="ACM53" s="201"/>
      <c r="ACN53" s="201"/>
      <c r="ACO53" s="201"/>
      <c r="ACP53" s="201"/>
      <c r="ACQ53" s="201"/>
      <c r="ACR53" s="201"/>
      <c r="ACS53" s="201"/>
      <c r="ACT53" s="201"/>
      <c r="ACU53" s="201"/>
      <c r="ACV53" s="201"/>
      <c r="ACW53" s="201"/>
      <c r="ACX53" s="201"/>
      <c r="ACY53" s="201"/>
      <c r="ACZ53" s="201"/>
      <c r="ADA53" s="201"/>
      <c r="ADB53" s="201"/>
      <c r="ADC53" s="201"/>
      <c r="ADD53" s="201"/>
      <c r="ADE53" s="201"/>
      <c r="ADF53" s="201"/>
      <c r="ADG53" s="201"/>
      <c r="ADH53" s="201"/>
      <c r="ADI53" s="201"/>
      <c r="ADJ53" s="201"/>
      <c r="ADK53" s="201"/>
      <c r="ADL53" s="201"/>
      <c r="ADM53" s="201"/>
      <c r="ADN53" s="201"/>
      <c r="ADO53" s="201"/>
      <c r="ADP53" s="201"/>
      <c r="ADQ53" s="201"/>
      <c r="ADR53" s="201"/>
      <c r="ADS53" s="201"/>
      <c r="ADT53" s="201"/>
      <c r="ADU53" s="201"/>
      <c r="ADV53" s="201"/>
      <c r="ADW53" s="201"/>
      <c r="ADX53" s="201"/>
      <c r="ADY53" s="201"/>
      <c r="ADZ53" s="201"/>
      <c r="AEA53" s="201"/>
      <c r="AEB53" s="201"/>
      <c r="AEC53" s="201"/>
      <c r="AED53" s="201"/>
      <c r="AEE53" s="201"/>
      <c r="AEF53" s="201"/>
      <c r="AEG53" s="201"/>
      <c r="AEH53" s="201"/>
      <c r="AEI53" s="201"/>
      <c r="AEJ53" s="201"/>
      <c r="AEK53" s="201"/>
      <c r="AEL53" s="201"/>
      <c r="AEM53" s="201"/>
      <c r="AEN53" s="201"/>
      <c r="AEO53" s="201"/>
      <c r="AEP53" s="201"/>
      <c r="AEQ53" s="201"/>
      <c r="AER53" s="201"/>
      <c r="AES53" s="201"/>
      <c r="AET53" s="201"/>
      <c r="AEU53" s="201"/>
      <c r="AEV53" s="201"/>
      <c r="AEW53" s="201"/>
      <c r="AEX53" s="201"/>
      <c r="AEY53" s="201"/>
      <c r="AEZ53" s="201"/>
      <c r="AFA53" s="201"/>
      <c r="AFB53" s="201"/>
      <c r="AFC53" s="201"/>
      <c r="AFD53" s="201"/>
      <c r="AFE53" s="201"/>
      <c r="AFF53" s="201"/>
      <c r="AFG53" s="201"/>
      <c r="AFH53" s="201"/>
      <c r="AFI53" s="201"/>
      <c r="AFJ53" s="201"/>
      <c r="AFK53" s="201"/>
      <c r="AFL53" s="201"/>
      <c r="AFM53" s="201"/>
      <c r="AFN53" s="201"/>
      <c r="AFO53" s="201"/>
      <c r="AFP53" s="201"/>
      <c r="AFQ53" s="201"/>
      <c r="AFR53" s="201"/>
      <c r="AFS53" s="201"/>
      <c r="AFT53" s="201"/>
      <c r="AFU53" s="201"/>
      <c r="AFV53" s="201"/>
      <c r="AFW53" s="201"/>
      <c r="AFX53" s="201"/>
      <c r="AFY53" s="201"/>
      <c r="AFZ53" s="201"/>
      <c r="AGA53" s="201"/>
      <c r="AGB53" s="201"/>
      <c r="AGC53" s="201"/>
      <c r="AGD53" s="201"/>
      <c r="AGE53" s="201"/>
      <c r="AGF53" s="201"/>
      <c r="AGG53" s="201"/>
      <c r="AGH53" s="201"/>
      <c r="AGI53" s="201"/>
      <c r="AGJ53" s="201"/>
      <c r="AGK53" s="201"/>
      <c r="AGL53" s="201"/>
      <c r="AGM53" s="201"/>
      <c r="AGN53" s="201"/>
      <c r="AGO53" s="201"/>
      <c r="AGP53" s="201"/>
      <c r="AGQ53" s="201"/>
      <c r="AGR53" s="201"/>
      <c r="AGS53" s="201"/>
      <c r="AGT53" s="201"/>
      <c r="AGU53" s="201"/>
      <c r="AGV53" s="201"/>
      <c r="AGW53" s="201"/>
      <c r="AGX53" s="201"/>
      <c r="AGY53" s="201"/>
      <c r="AGZ53" s="201"/>
      <c r="AHA53" s="201"/>
      <c r="AHB53" s="201"/>
      <c r="AHC53" s="201"/>
      <c r="AHD53" s="201"/>
      <c r="AHE53" s="201"/>
      <c r="AHF53" s="201"/>
      <c r="AHG53" s="201"/>
      <c r="AHH53" s="201"/>
      <c r="AHI53" s="201"/>
      <c r="AHJ53" s="201"/>
      <c r="AHK53" s="201"/>
      <c r="AHL53" s="201"/>
      <c r="AHM53" s="201"/>
      <c r="AHN53" s="201"/>
      <c r="AHO53" s="201"/>
      <c r="AHP53" s="201"/>
      <c r="AHQ53" s="201"/>
      <c r="AHR53" s="201"/>
      <c r="AHS53" s="201"/>
      <c r="AHT53" s="201"/>
      <c r="AHU53" s="201"/>
      <c r="AHV53" s="201"/>
      <c r="AHW53" s="201"/>
      <c r="AHX53" s="201"/>
      <c r="AHY53" s="201"/>
      <c r="AHZ53" s="201"/>
      <c r="AIA53" s="201"/>
      <c r="AIB53" s="201"/>
      <c r="AIC53" s="201"/>
      <c r="AID53" s="201"/>
      <c r="AIE53" s="201"/>
      <c r="AIF53" s="201"/>
      <c r="AIG53" s="201"/>
      <c r="AIH53" s="201"/>
      <c r="AII53" s="201"/>
      <c r="AIJ53" s="201"/>
      <c r="AIK53" s="201"/>
      <c r="AIL53" s="201"/>
      <c r="AIM53" s="201"/>
      <c r="AIN53" s="201"/>
      <c r="AIO53" s="201"/>
      <c r="AIP53" s="201"/>
      <c r="AIQ53" s="201"/>
      <c r="AIR53" s="201"/>
      <c r="AIS53" s="201"/>
      <c r="AIT53" s="201"/>
      <c r="AIU53" s="201"/>
      <c r="AIV53" s="201"/>
      <c r="AIW53" s="201"/>
      <c r="AIX53" s="201"/>
      <c r="AIY53" s="201"/>
      <c r="AIZ53" s="201"/>
      <c r="AJA53" s="201"/>
      <c r="AJB53" s="201"/>
      <c r="AJC53" s="201"/>
      <c r="AJD53" s="201"/>
      <c r="AJE53" s="201"/>
      <c r="AJF53" s="201"/>
      <c r="AJG53" s="201"/>
      <c r="AJH53" s="201"/>
      <c r="AJI53" s="201"/>
      <c r="AJJ53" s="201"/>
      <c r="AJK53" s="201"/>
      <c r="AJL53" s="201"/>
      <c r="AJM53" s="201"/>
      <c r="AJN53" s="201"/>
      <c r="AJO53" s="201"/>
      <c r="AJP53" s="201"/>
      <c r="AJQ53" s="201"/>
      <c r="AJR53" s="201"/>
      <c r="AJS53" s="201"/>
      <c r="AJT53" s="201"/>
      <c r="AJU53" s="201"/>
      <c r="AJV53" s="201"/>
      <c r="AJW53" s="201"/>
      <c r="AJX53" s="201"/>
      <c r="AJY53" s="201"/>
    </row>
    <row r="54" ht="33" customHeight="1" spans="2:150" x14ac:dyDescent="0.25">
      <c r="B54" s="251" t="s">
        <v>215</v>
      </c>
      <c r="C54" s="228"/>
      <c r="D54" s="102"/>
      <c r="E54" s="103">
        <v>5</v>
      </c>
      <c r="F54" s="104">
        <f t="shared" ref="F54" si="332">D54/E54</f>
        <v>0</v>
      </c>
      <c r="G54" s="102"/>
      <c r="H54" s="103">
        <v>5</v>
      </c>
      <c r="I54" s="104">
        <f t="shared" ref="I54" si="333">G54/H54</f>
        <v>0</v>
      </c>
      <c r="J54" s="105"/>
      <c r="K54" s="103">
        <v>5</v>
      </c>
      <c r="L54" s="104">
        <f t="shared" ref="L54" si="334">J54/K54</f>
        <v>0</v>
      </c>
      <c r="M54" s="105"/>
      <c r="N54" s="103">
        <v>5</v>
      </c>
      <c r="O54" s="104">
        <f t="shared" ref="O54" si="335">M54/N54</f>
        <v>0</v>
      </c>
      <c r="P54" s="106"/>
      <c r="Q54" s="107">
        <v>5</v>
      </c>
      <c r="R54" s="104">
        <f t="shared" ref="R54" si="336">P54/Q54</f>
        <v>0</v>
      </c>
      <c r="S54" s="102"/>
      <c r="T54" s="107">
        <v>5</v>
      </c>
      <c r="U54" s="104">
        <f t="shared" ref="U54" si="337">S54/T54</f>
        <v>0</v>
      </c>
      <c r="V54" s="102"/>
      <c r="W54" s="107">
        <v>5</v>
      </c>
      <c r="X54" s="104">
        <f t="shared" ref="X54" si="338">V54/W54</f>
        <v>0</v>
      </c>
      <c r="Y54" s="102"/>
      <c r="Z54" s="107">
        <v>5</v>
      </c>
      <c r="AA54" s="104">
        <f t="shared" ref="AA54" si="339">Y54/Z54</f>
        <v>0</v>
      </c>
      <c r="AB54" s="106"/>
      <c r="AC54" s="107">
        <v>5</v>
      </c>
      <c r="AD54" s="104">
        <f t="shared" ref="AD54" si="340">AB54/AC54</f>
        <v>0</v>
      </c>
      <c r="AE54" s="106"/>
      <c r="AF54" s="107">
        <v>5</v>
      </c>
      <c r="AG54" s="104">
        <f t="shared" ref="AG54" si="341">AE54/AF54</f>
        <v>0</v>
      </c>
      <c r="AH54" s="106"/>
      <c r="AI54" s="107">
        <v>5</v>
      </c>
      <c r="AJ54" s="104">
        <f t="shared" ref="AJ54" si="342">AH54/AI54</f>
        <v>0</v>
      </c>
      <c r="AK54" s="106"/>
      <c r="AL54" s="107">
        <v>5</v>
      </c>
      <c r="AM54" s="104">
        <f t="shared" ref="AM54" si="343">AK54/AL54</f>
        <v>0</v>
      </c>
      <c r="AN54" s="102"/>
      <c r="AO54" s="1">
        <v>5</v>
      </c>
      <c r="AP54" s="104">
        <f t="shared" ref="AP54" si="344">AN54/AO54</f>
        <v>0</v>
      </c>
      <c r="AQ54" s="102"/>
      <c r="AR54" s="1">
        <v>5</v>
      </c>
      <c r="AS54" s="104">
        <f t="shared" ref="AS54" si="345">AQ54/AR54</f>
        <v>0</v>
      </c>
      <c r="AT54" s="102"/>
      <c r="AU54" s="1">
        <v>5</v>
      </c>
      <c r="AV54" s="104">
        <f t="shared" ref="AV54" si="346">AT54/AU54</f>
        <v>0</v>
      </c>
      <c r="AW54" s="102"/>
      <c r="AX54" s="1">
        <v>5</v>
      </c>
      <c r="AY54" s="104">
        <f t="shared" ref="AY54" si="347">AW54/AX54</f>
        <v>0</v>
      </c>
      <c r="AZ54" s="102"/>
      <c r="BA54" s="1">
        <v>5</v>
      </c>
      <c r="BB54" s="104">
        <f t="shared" ref="BB54" si="348">AZ54/BA54</f>
        <v>0</v>
      </c>
      <c r="BC54" s="102"/>
      <c r="BD54" s="1">
        <v>5</v>
      </c>
      <c r="BE54" s="104">
        <f t="shared" ref="BE54" si="349">BC54/BD54</f>
        <v>0</v>
      </c>
      <c r="BF54" s="102"/>
      <c r="BG54" s="1">
        <v>5</v>
      </c>
      <c r="BH54" s="104">
        <f t="shared" ref="BH54" si="350">BF54/BG54</f>
        <v>0</v>
      </c>
      <c r="BI54" s="102"/>
      <c r="BJ54" s="1">
        <v>5</v>
      </c>
      <c r="BK54" s="104">
        <f t="shared" ref="BK54" si="351">BI54/BJ54</f>
        <v>0</v>
      </c>
      <c r="BL54" s="102"/>
      <c r="BM54" s="1">
        <v>5</v>
      </c>
      <c r="BN54" s="104">
        <f t="shared" ref="BN54" si="352">BL54/BM54</f>
        <v>0</v>
      </c>
      <c r="BO54" s="102"/>
      <c r="BP54" s="1">
        <v>5</v>
      </c>
      <c r="BQ54" s="104">
        <f t="shared" ref="BQ54" si="353">BO54/BP54</f>
        <v>0</v>
      </c>
      <c r="BR54" s="102"/>
      <c r="BS54" s="1">
        <v>5</v>
      </c>
      <c r="BT54" s="104">
        <f t="shared" ref="BT54" si="354">BR54/BS54</f>
        <v>0</v>
      </c>
      <c r="BU54" s="102"/>
      <c r="BV54" s="1">
        <v>5</v>
      </c>
      <c r="BW54" s="104">
        <f t="shared" ref="BW54" si="355">BU54/BV54</f>
        <v>0</v>
      </c>
      <c r="BX54" s="102"/>
      <c r="BY54" s="1">
        <v>5</v>
      </c>
      <c r="BZ54" s="104">
        <f t="shared" ref="BZ54" si="356">BX54/BY54</f>
        <v>0</v>
      </c>
      <c r="CA54" s="102"/>
      <c r="CB54" s="1">
        <v>5</v>
      </c>
      <c r="CC54" s="104">
        <f t="shared" ref="CC54" si="357">CA54/CB54</f>
        <v>0</v>
      </c>
      <c r="CD54" s="102"/>
      <c r="CE54" s="1">
        <v>5</v>
      </c>
      <c r="CF54" s="104">
        <f t="shared" ref="CF54" si="358">CD54/CE54</f>
        <v>0</v>
      </c>
      <c r="CG54" s="102"/>
      <c r="CH54" s="1">
        <v>5</v>
      </c>
      <c r="CI54" s="104">
        <f t="shared" ref="CI54" si="359">CG54/CH54</f>
        <v>0</v>
      </c>
      <c r="CJ54" s="102"/>
      <c r="CK54" s="1">
        <v>5</v>
      </c>
      <c r="CL54" s="104">
        <f t="shared" ref="CL54" si="360">CJ54/CK54</f>
        <v>0</v>
      </c>
      <c r="CM54" s="102"/>
      <c r="CN54" s="1">
        <v>5</v>
      </c>
      <c r="CO54" s="104">
        <f t="shared" ref="CO54" si="361">CM54/CN54</f>
        <v>0</v>
      </c>
      <c r="CP54" s="102"/>
      <c r="CQ54" s="1">
        <v>5</v>
      </c>
      <c r="CR54" s="104">
        <f t="shared" ref="CR54" si="362">CP54/CQ54</f>
        <v>0</v>
      </c>
      <c r="CS54" s="102"/>
      <c r="CT54" s="1">
        <v>5</v>
      </c>
      <c r="CU54" s="104">
        <f t="shared" ref="CU54" si="363">CS54/CT54</f>
        <v>0</v>
      </c>
      <c r="CV54" s="102"/>
      <c r="CW54" s="1">
        <v>5</v>
      </c>
      <c r="CX54" s="104">
        <f t="shared" ref="CX54" si="364">CV54/CW54</f>
        <v>0</v>
      </c>
      <c r="CY54" s="102"/>
      <c r="CZ54" s="1">
        <v>5</v>
      </c>
      <c r="DA54" s="104">
        <f t="shared" ref="DA54" si="365">CY54/CZ54</f>
        <v>0</v>
      </c>
      <c r="DB54" s="102"/>
      <c r="DC54" s="1">
        <v>5</v>
      </c>
      <c r="DD54" s="104">
        <f t="shared" ref="DD54" si="366">DB54/DC54</f>
        <v>0</v>
      </c>
      <c r="DE54" s="102"/>
      <c r="DF54" s="1">
        <v>5</v>
      </c>
      <c r="DG54" s="104">
        <f t="shared" ref="DG54" si="367">DE54/DF54</f>
        <v>0</v>
      </c>
      <c r="DH54" s="102"/>
      <c r="DI54" s="1">
        <v>5</v>
      </c>
      <c r="DJ54" s="104">
        <f t="shared" ref="DJ54" si="368">DH54/DI54</f>
        <v>0</v>
      </c>
      <c r="DK54" s="102"/>
      <c r="DL54" s="1">
        <v>5</v>
      </c>
      <c r="DM54" s="104">
        <f t="shared" ref="DM54" si="369">DK54/DL54</f>
        <v>0</v>
      </c>
      <c r="DN54" s="102"/>
      <c r="DO54" s="1">
        <v>5</v>
      </c>
      <c r="DP54" s="104">
        <f t="shared" ref="DP54" si="370">DN54/DO54</f>
        <v>0</v>
      </c>
      <c r="DQ54" s="102"/>
      <c r="DR54" s="1">
        <v>5</v>
      </c>
      <c r="DS54" s="104">
        <f t="shared" ref="DS54" si="371">DQ54/DR54</f>
        <v>0</v>
      </c>
      <c r="DT54" s="102"/>
      <c r="DU54" s="1">
        <v>5</v>
      </c>
      <c r="DV54" s="104">
        <f t="shared" ref="DV54" si="372">DT54/DU54</f>
        <v>0</v>
      </c>
      <c r="DW54" s="102"/>
      <c r="DX54" s="1">
        <v>5</v>
      </c>
      <c r="DY54" s="104">
        <f t="shared" ref="DY54" si="373">DW54/DX54</f>
        <v>0</v>
      </c>
      <c r="DZ54" s="102"/>
      <c r="EA54" s="1">
        <v>5</v>
      </c>
      <c r="EB54" s="104">
        <f t="shared" ref="EB54" si="374">DZ54/EA54</f>
        <v>0</v>
      </c>
      <c r="EC54" s="102"/>
      <c r="ED54" s="1">
        <v>5</v>
      </c>
      <c r="EE54" s="104">
        <f t="shared" ref="EE54" si="375">EC54/ED54</f>
        <v>0</v>
      </c>
      <c r="EF54" s="102"/>
      <c r="EG54" s="1">
        <v>5</v>
      </c>
      <c r="EH54" s="104">
        <f t="shared" ref="EH54" si="376">EF54/EG54</f>
        <v>0</v>
      </c>
      <c r="EI54" s="102"/>
      <c r="EJ54" s="1">
        <v>5</v>
      </c>
      <c r="EK54" s="104">
        <f t="shared" ref="EK54" si="377">EI54/EJ54</f>
        <v>0</v>
      </c>
      <c r="EL54" s="102"/>
      <c r="EM54" s="1">
        <v>5</v>
      </c>
      <c r="EN54" s="104">
        <f t="shared" ref="EN54" si="378">EL54/EM54</f>
        <v>0</v>
      </c>
      <c r="EO54" s="90">
        <v>0</v>
      </c>
      <c r="EP54" s="96">
        <v>5</v>
      </c>
      <c r="EQ54" s="104">
        <f>IFERROR(EO54/EP54,0)</f>
        <v>0</v>
      </c>
      <c r="ER54" s="85">
        <f t="array" ref="ER54">IFERROR(_xlfn.LET(
_xlpm.datos,CHOOSE({1;2;3;4;5;6;7;8;9;10;11;12;13;13;14;15;16;17;18;19;20;21;22;23;23;24;25;26;27;28;29;30;31;32;33;34;35;36;37;38;39;40;41;42;43;44;45;46;47;48},F54,I54,L54,O54,R54,U54,X54,AA54,AD54,AG54,AJ54,AM54,AP54,AS54,AV54,AY54,BB54,BE54,BH54,BK54,BN54,BQ54,BT54,BW54,BZ54,CC54,CF54,CI54,CL54,CO54,CR54,CU54,CX54,DA54,DD54,DG54,DJ54,DM54,DP54,DS54,DV54,DY54,EB54,EE54,EH54,EK54,EN54,EQ54),
AVERAGE(_xlfn._xlws.FILTER(_xlpm.datos,(_xlpm.datos&lt;&gt;0)*(_xlpm.datos&lt;&gt;"")))
),0)</f>
        <v>0</v>
      </c>
      <c r="ES54" s="162" t="str">
        <f t="array" ref="ES54">_xlfn.IFS(ER54&gt;=91.5%,"MENSUAL",ER54&gt;=75%,"QUINCENAL",ER54&lt;75%,"SEMANAL")</f>
        <v>SEMANAL</v>
      </c>
      <c r="ET54" s="239"/>
    </row>
    <row r="55" ht="17.25" customHeight="1" spans="1:961" s="214" customFormat="1" x14ac:dyDescent="0.25">
      <c r="A55" s="215"/>
      <c r="B55" s="124" t="s">
        <v>158</v>
      </c>
      <c r="C55" s="248"/>
      <c r="D55" s="249"/>
      <c r="E55" s="250"/>
      <c r="F55" s="223">
        <f>AVERAGE(F56:F57)</f>
        <v>0</v>
      </c>
      <c r="G55" s="249"/>
      <c r="H55" s="250"/>
      <c r="I55" s="223">
        <f>AVERAGE(I56:I57)</f>
        <v>0</v>
      </c>
      <c r="J55" s="249"/>
      <c r="K55" s="250"/>
      <c r="L55" s="223">
        <f>AVERAGE(L56:L57)</f>
        <v>0</v>
      </c>
      <c r="M55" s="249"/>
      <c r="N55" s="250"/>
      <c r="O55" s="223">
        <f>AVERAGE(O56:O57)</f>
        <v>0</v>
      </c>
      <c r="P55" s="249"/>
      <c r="Q55" s="250"/>
      <c r="R55" s="223">
        <f>AVERAGE(R56:R57)</f>
        <v>0</v>
      </c>
      <c r="S55" s="249"/>
      <c r="T55" s="250"/>
      <c r="U55" s="223">
        <f>AVERAGE(U56:U57)</f>
        <v>0</v>
      </c>
      <c r="V55" s="249"/>
      <c r="W55" s="250"/>
      <c r="X55" s="223">
        <f>AVERAGE(X56:X57)</f>
        <v>0</v>
      </c>
      <c r="Y55" s="249"/>
      <c r="Z55" s="250"/>
      <c r="AA55" s="223">
        <f>AVERAGE(AA56:AA57)</f>
        <v>0</v>
      </c>
      <c r="AB55" s="249"/>
      <c r="AC55" s="250"/>
      <c r="AD55" s="223">
        <f>AVERAGE(AD56:AD57)</f>
        <v>0</v>
      </c>
      <c r="AE55" s="249"/>
      <c r="AF55" s="250"/>
      <c r="AG55" s="223">
        <f>AVERAGE(AG56:AG57)</f>
        <v>0</v>
      </c>
      <c r="AH55" s="249"/>
      <c r="AI55" s="250"/>
      <c r="AJ55" s="223">
        <f>AVERAGE(AJ56:AJ57)</f>
        <v>0</v>
      </c>
      <c r="AK55" s="249"/>
      <c r="AL55" s="250"/>
      <c r="AM55" s="223">
        <f>AVERAGE(AM56:AM57)</f>
        <v>0</v>
      </c>
      <c r="AN55" s="249"/>
      <c r="AO55" s="250"/>
      <c r="AP55" s="223">
        <f>AVERAGE(AP56:AP57)</f>
        <v>0</v>
      </c>
      <c r="AQ55" s="249"/>
      <c r="AR55" s="250"/>
      <c r="AS55" s="223">
        <f>AVERAGE(AS56:AS57)</f>
        <v>0</v>
      </c>
      <c r="AT55" s="249"/>
      <c r="AU55" s="250"/>
      <c r="AV55" s="223">
        <f>AVERAGE(AV56:AV57)</f>
        <v>0</v>
      </c>
      <c r="AW55" s="249"/>
      <c r="AX55" s="250"/>
      <c r="AY55" s="223">
        <f>AVERAGE(AY56:AY57)</f>
        <v>0</v>
      </c>
      <c r="AZ55" s="249"/>
      <c r="BA55" s="250"/>
      <c r="BB55" s="223">
        <f>AVERAGE(BB56:BB57)</f>
        <v>0</v>
      </c>
      <c r="BC55" s="249"/>
      <c r="BD55" s="250"/>
      <c r="BE55" s="223">
        <f>AVERAGE(BE56:BE57)</f>
        <v>0</v>
      </c>
      <c r="BF55" s="249"/>
      <c r="BG55" s="250"/>
      <c r="BH55" s="223">
        <f>AVERAGE(BH56:BH57)</f>
        <v>0</v>
      </c>
      <c r="BI55" s="249"/>
      <c r="BJ55" s="250"/>
      <c r="BK55" s="223">
        <f>AVERAGE(BK56:BK57)</f>
        <v>0</v>
      </c>
      <c r="BL55" s="249"/>
      <c r="BM55" s="250"/>
      <c r="BN55" s="223">
        <f>AVERAGE(BN56:BN57)</f>
        <v>0</v>
      </c>
      <c r="BO55" s="249"/>
      <c r="BP55" s="250"/>
      <c r="BQ55" s="223">
        <f>AVERAGE(BQ56:BQ57)</f>
        <v>0</v>
      </c>
      <c r="BR55" s="249"/>
      <c r="BS55" s="250"/>
      <c r="BT55" s="223">
        <f>AVERAGE(BT56:BT57)</f>
        <v>0</v>
      </c>
      <c r="BU55" s="249"/>
      <c r="BV55" s="250"/>
      <c r="BW55" s="223">
        <f>AVERAGE(BW56:BW57)</f>
        <v>0</v>
      </c>
      <c r="BX55" s="249"/>
      <c r="BY55" s="250"/>
      <c r="BZ55" s="223">
        <f>AVERAGE(BZ56:BZ57)</f>
        <v>0</v>
      </c>
      <c r="CA55" s="249"/>
      <c r="CB55" s="250"/>
      <c r="CC55" s="223">
        <f>AVERAGE(CC56:CC57)</f>
        <v>0</v>
      </c>
      <c r="CD55" s="249"/>
      <c r="CE55" s="250"/>
      <c r="CF55" s="223">
        <f>AVERAGE(CF56:CF57)</f>
        <v>0</v>
      </c>
      <c r="CG55" s="249"/>
      <c r="CH55" s="250"/>
      <c r="CI55" s="223">
        <f>AVERAGE(CI56:CI57)</f>
        <v>0</v>
      </c>
      <c r="CJ55" s="249"/>
      <c r="CK55" s="250"/>
      <c r="CL55" s="223">
        <f>AVERAGE(CL56:CL57)</f>
        <v>0</v>
      </c>
      <c r="CM55" s="249"/>
      <c r="CN55" s="250"/>
      <c r="CO55" s="223">
        <f>AVERAGE(CO56:CO57)</f>
        <v>0</v>
      </c>
      <c r="CP55" s="249"/>
      <c r="CQ55" s="250"/>
      <c r="CR55" s="223">
        <f>AVERAGE(CR56:CR57)</f>
        <v>0</v>
      </c>
      <c r="CS55" s="249"/>
      <c r="CT55" s="250"/>
      <c r="CU55" s="223">
        <f>AVERAGE(CU56:CU57)</f>
        <v>0</v>
      </c>
      <c r="CV55" s="249"/>
      <c r="CW55" s="250"/>
      <c r="CX55" s="223">
        <f>AVERAGE(CX56:CX57)</f>
        <v>0</v>
      </c>
      <c r="CY55" s="249"/>
      <c r="CZ55" s="250"/>
      <c r="DA55" s="223">
        <f>AVERAGE(DA56:DA57)</f>
        <v>0</v>
      </c>
      <c r="DB55" s="249"/>
      <c r="DC55" s="250"/>
      <c r="DD55" s="223">
        <f>AVERAGE(DD56:DD57)</f>
        <v>0</v>
      </c>
      <c r="DE55" s="249"/>
      <c r="DF55" s="250"/>
      <c r="DG55" s="224">
        <f>AVERAGE(DG56:DG57)</f>
        <v>0</v>
      </c>
      <c r="DH55" s="249"/>
      <c r="DI55" s="250"/>
      <c r="DJ55" s="223">
        <f>AVERAGE(DJ56:DJ57)</f>
        <v>0</v>
      </c>
      <c r="DK55" s="249"/>
      <c r="DL55" s="250"/>
      <c r="DM55" s="223">
        <f>AVERAGE(DM56:DM57)</f>
        <v>0</v>
      </c>
      <c r="DN55" s="249"/>
      <c r="DO55" s="250"/>
      <c r="DP55" s="223">
        <f>AVERAGE(DP56:DP57)</f>
        <v>0</v>
      </c>
      <c r="DQ55" s="249"/>
      <c r="DR55" s="250"/>
      <c r="DS55" s="223">
        <f>AVERAGE(DS56:DS57)</f>
        <v>0</v>
      </c>
      <c r="DT55" s="249"/>
      <c r="DU55" s="250"/>
      <c r="DV55" s="223">
        <f>AVERAGE(DV56:DV57)</f>
        <v>0</v>
      </c>
      <c r="DW55" s="249"/>
      <c r="DX55" s="250"/>
      <c r="DY55" s="223">
        <f>AVERAGE(DY56:DY57)</f>
        <v>0</v>
      </c>
      <c r="DZ55" s="249"/>
      <c r="EA55" s="250"/>
      <c r="EB55" s="223">
        <f>AVERAGE(EB56:EB57)</f>
        <v>0</v>
      </c>
      <c r="EC55" s="249"/>
      <c r="ED55" s="250"/>
      <c r="EE55" s="223">
        <f>AVERAGE(EE56:EE57)</f>
        <v>0</v>
      </c>
      <c r="EF55" s="249"/>
      <c r="EG55" s="250"/>
      <c r="EH55" s="223">
        <f>AVERAGE(EH56:EH57)</f>
        <v>0</v>
      </c>
      <c r="EI55" s="249"/>
      <c r="EJ55" s="250"/>
      <c r="EK55" s="223">
        <f>AVERAGE(EK56:EK57)</f>
        <v>0</v>
      </c>
      <c r="EL55" s="249"/>
      <c r="EM55" s="250"/>
      <c r="EN55" s="223">
        <f>AVERAGE(EN56:EN57)</f>
        <v>0</v>
      </c>
      <c r="EO55" s="249"/>
      <c r="EP55" s="250"/>
      <c r="EQ55" s="223">
        <f>AVERAGE(EQ56:EQ57)</f>
        <v>0</v>
      </c>
      <c r="ER55" s="85">
        <f t="array" ref="ER55">IFERROR(_xlfn.LET(
_xlpm.datos,CHOOSE({1;2;3;4;5;6;7;8;9;10;11;12;13;13;14;15;16;17;18;19;20;21;22;23;23;24;25;26;27;28;29;30;31;32;33;34;35;36;37;38;39;40;41;42;43;44;45;46;47;48},F55,I55,L55,O55,R55,U55,X55,AA55,AD55,AG55,AJ55,AM55,AP55,AS55,AV55,AY55,BB55,BE55,BH55,BK55,BN55,BQ55,BT55,BW55,BZ55,CC55,CF55,CI55,CL55,CO55,CR55,CU55,CX55,DA55,DD55,DG55,DJ55,DM55,DP55,DS55,DV55,DY55,EB55,EE55,EH55,EK55,EN55,EQ55),
AVERAGE(_xlfn._xlws.FILTER(_xlpm.datos,(_xlpm.datos&lt;&gt;0)*(_xlpm.datos&lt;&gt;"")))
),0)</f>
        <v>0</v>
      </c>
      <c r="ES55" s="162" t="str">
        <f t="array" ref="ES55">_xlfn.IFS(ER55&gt;=91.5%,"MENSUAL",ER55&gt;=75%,"QUINCENAL",ER55&lt;75%,"SEMANAL")</f>
        <v>SEMANAL</v>
      </c>
      <c r="ET55" s="239"/>
      <c r="EU55" s="201"/>
      <c r="EV55" s="201"/>
      <c r="EW55" s="201"/>
      <c r="EX55" s="201"/>
      <c r="EY55" s="201"/>
      <c r="EZ55" s="201"/>
      <c r="FA55" s="201"/>
      <c r="FB55" s="201"/>
      <c r="FC55" s="201"/>
      <c r="FD55" s="201"/>
      <c r="FE55" s="201"/>
      <c r="FF55" s="201"/>
      <c r="FG55" s="201"/>
      <c r="FH55" s="201"/>
      <c r="FI55" s="201"/>
      <c r="FJ55" s="201"/>
      <c r="FK55" s="201"/>
      <c r="FL55" s="201"/>
      <c r="FM55" s="201"/>
      <c r="FN55" s="201"/>
      <c r="FO55" s="201"/>
      <c r="FP55" s="201"/>
      <c r="FQ55" s="201"/>
      <c r="FR55" s="201"/>
      <c r="FS55" s="201"/>
      <c r="FT55" s="201"/>
      <c r="FU55" s="201"/>
      <c r="FV55" s="201"/>
      <c r="FW55" s="201"/>
      <c r="FX55" s="201"/>
      <c r="FY55" s="201"/>
      <c r="FZ55" s="201"/>
      <c r="GA55" s="201"/>
      <c r="GB55" s="201"/>
      <c r="GC55" s="201"/>
      <c r="GD55" s="201"/>
      <c r="GE55" s="201"/>
      <c r="GF55" s="201"/>
      <c r="GG55" s="201"/>
      <c r="GH55" s="201"/>
      <c r="GI55" s="201"/>
      <c r="GJ55" s="201"/>
      <c r="GK55" s="201"/>
      <c r="GL55" s="201"/>
      <c r="GM55" s="201"/>
      <c r="GN55" s="201"/>
      <c r="GO55" s="201"/>
      <c r="GP55" s="201"/>
      <c r="GQ55" s="201"/>
      <c r="GR55" s="201"/>
      <c r="GS55" s="201"/>
      <c r="GT55" s="201"/>
      <c r="GU55" s="201"/>
      <c r="GV55" s="201"/>
      <c r="GW55" s="201"/>
      <c r="GX55" s="201"/>
      <c r="GY55" s="201"/>
      <c r="GZ55" s="201"/>
      <c r="HA55" s="201"/>
      <c r="HB55" s="201"/>
      <c r="HC55" s="201"/>
      <c r="HD55" s="201"/>
      <c r="HE55" s="201"/>
      <c r="HF55" s="201"/>
      <c r="HG55" s="201"/>
      <c r="HH55" s="201"/>
      <c r="HI55" s="201"/>
      <c r="HJ55" s="201"/>
      <c r="HK55" s="201"/>
      <c r="HL55" s="201"/>
      <c r="HM55" s="201"/>
      <c r="HN55" s="201"/>
      <c r="HO55" s="201"/>
      <c r="HP55" s="201"/>
      <c r="HQ55" s="201"/>
      <c r="HR55" s="201"/>
      <c r="HS55" s="201"/>
      <c r="HT55" s="201"/>
      <c r="HU55" s="201"/>
      <c r="HV55" s="201"/>
      <c r="HW55" s="201"/>
      <c r="HX55" s="201"/>
      <c r="HY55" s="201"/>
      <c r="HZ55" s="201"/>
      <c r="IA55" s="201"/>
      <c r="IB55" s="201"/>
      <c r="IC55" s="201"/>
      <c r="ID55" s="201"/>
      <c r="IE55" s="201"/>
      <c r="IF55" s="201"/>
      <c r="IG55" s="201"/>
      <c r="IH55" s="201"/>
      <c r="II55" s="201"/>
      <c r="IJ55" s="201"/>
      <c r="IK55" s="201"/>
      <c r="IL55" s="201"/>
      <c r="IM55" s="201"/>
      <c r="IN55" s="201"/>
      <c r="IO55" s="201"/>
      <c r="IP55" s="201"/>
      <c r="IQ55" s="201"/>
      <c r="IR55" s="201"/>
      <c r="IS55" s="201"/>
      <c r="IT55" s="201"/>
      <c r="IU55" s="201"/>
      <c r="IV55" s="201"/>
      <c r="IW55" s="201"/>
      <c r="IX55" s="201"/>
      <c r="IY55" s="201"/>
      <c r="IZ55" s="201"/>
      <c r="JA55" s="201"/>
      <c r="JB55" s="201"/>
      <c r="JC55" s="201"/>
      <c r="JD55" s="201"/>
      <c r="JE55" s="201"/>
      <c r="JF55" s="201"/>
      <c r="JG55" s="201"/>
      <c r="JH55" s="201"/>
      <c r="JI55" s="201"/>
      <c r="JJ55" s="201"/>
      <c r="JK55" s="201"/>
      <c r="JL55" s="201"/>
      <c r="JM55" s="201"/>
      <c r="JN55" s="201"/>
      <c r="JO55" s="201"/>
      <c r="JP55" s="201"/>
      <c r="JQ55" s="201"/>
      <c r="JR55" s="201"/>
      <c r="JS55" s="201"/>
      <c r="JT55" s="201"/>
      <c r="JU55" s="201"/>
      <c r="JV55" s="201"/>
      <c r="JW55" s="201"/>
      <c r="JX55" s="201"/>
      <c r="JY55" s="201"/>
      <c r="JZ55" s="201"/>
      <c r="KA55" s="201"/>
      <c r="KB55" s="201"/>
      <c r="KC55" s="201"/>
      <c r="KD55" s="201"/>
      <c r="KE55" s="201"/>
      <c r="KF55" s="201"/>
      <c r="KG55" s="201"/>
      <c r="KH55" s="201"/>
      <c r="KI55" s="201"/>
      <c r="KJ55" s="201"/>
      <c r="KK55" s="201"/>
      <c r="KL55" s="201"/>
      <c r="KM55" s="201"/>
      <c r="KN55" s="201"/>
      <c r="KO55" s="201"/>
      <c r="KP55" s="201"/>
      <c r="KQ55" s="201"/>
      <c r="KR55" s="201"/>
      <c r="KS55" s="201"/>
      <c r="KT55" s="201"/>
      <c r="KU55" s="201"/>
      <c r="KV55" s="201"/>
      <c r="KW55" s="201"/>
      <c r="KX55" s="201"/>
      <c r="KY55" s="201"/>
      <c r="KZ55" s="201"/>
      <c r="LA55" s="201"/>
      <c r="LB55" s="201"/>
      <c r="LC55" s="201"/>
      <c r="LD55" s="201"/>
      <c r="LE55" s="201"/>
      <c r="LF55" s="201"/>
      <c r="LG55" s="201"/>
      <c r="LH55" s="201"/>
      <c r="LI55" s="201"/>
      <c r="LJ55" s="201"/>
      <c r="LK55" s="201"/>
      <c r="LL55" s="201"/>
      <c r="LM55" s="201"/>
      <c r="LN55" s="201"/>
      <c r="LO55" s="201"/>
      <c r="LP55" s="201"/>
      <c r="LQ55" s="201"/>
      <c r="LR55" s="201"/>
      <c r="LS55" s="201"/>
      <c r="LT55" s="201"/>
      <c r="LU55" s="201"/>
      <c r="LV55" s="201"/>
      <c r="LW55" s="201"/>
      <c r="LX55" s="201"/>
      <c r="LY55" s="201"/>
      <c r="LZ55" s="201"/>
      <c r="MA55" s="201"/>
      <c r="MB55" s="201"/>
      <c r="MC55" s="201"/>
      <c r="MD55" s="201"/>
      <c r="ME55" s="201"/>
      <c r="MF55" s="201"/>
      <c r="MG55" s="201"/>
      <c r="MH55" s="201"/>
      <c r="MI55" s="201"/>
      <c r="MJ55" s="201"/>
      <c r="MK55" s="201"/>
      <c r="ML55" s="201"/>
      <c r="MM55" s="201"/>
      <c r="MN55" s="201"/>
      <c r="MO55" s="201"/>
      <c r="MP55" s="201"/>
      <c r="MQ55" s="201"/>
      <c r="MR55" s="201"/>
      <c r="MS55" s="201"/>
      <c r="MT55" s="201"/>
      <c r="MU55" s="201"/>
      <c r="MV55" s="201"/>
      <c r="MW55" s="201"/>
      <c r="MX55" s="201"/>
      <c r="MY55" s="201"/>
      <c r="MZ55" s="201"/>
      <c r="NA55" s="201"/>
      <c r="NB55" s="201"/>
      <c r="NC55" s="201"/>
      <c r="ND55" s="201"/>
      <c r="NE55" s="201"/>
      <c r="NF55" s="201"/>
      <c r="NG55" s="201"/>
      <c r="NH55" s="201"/>
      <c r="NI55" s="201"/>
      <c r="NJ55" s="201"/>
      <c r="NK55" s="201"/>
      <c r="NL55" s="201"/>
      <c r="NM55" s="201"/>
      <c r="NN55" s="201"/>
      <c r="NO55" s="201"/>
      <c r="NP55" s="201"/>
      <c r="NQ55" s="201"/>
      <c r="NR55" s="201"/>
      <c r="NS55" s="201"/>
      <c r="NT55" s="201"/>
      <c r="NU55" s="201"/>
      <c r="NV55" s="201"/>
      <c r="NW55" s="201"/>
      <c r="NX55" s="201"/>
      <c r="NY55" s="201"/>
      <c r="NZ55" s="201"/>
      <c r="OA55" s="201"/>
      <c r="OB55" s="201"/>
      <c r="OC55" s="201"/>
      <c r="OD55" s="201"/>
      <c r="OE55" s="201"/>
      <c r="OF55" s="201"/>
      <c r="OG55" s="201"/>
      <c r="OH55" s="201"/>
      <c r="OI55" s="201"/>
      <c r="OJ55" s="201"/>
      <c r="OK55" s="201"/>
      <c r="OL55" s="201"/>
      <c r="OM55" s="201"/>
      <c r="ON55" s="201"/>
      <c r="OO55" s="201"/>
      <c r="OP55" s="201"/>
      <c r="OQ55" s="201"/>
      <c r="OR55" s="201"/>
      <c r="OS55" s="201"/>
      <c r="OT55" s="201"/>
      <c r="OU55" s="201"/>
      <c r="OV55" s="201"/>
      <c r="OW55" s="201"/>
      <c r="OX55" s="201"/>
      <c r="OY55" s="201"/>
      <c r="OZ55" s="201"/>
      <c r="PA55" s="201"/>
      <c r="PB55" s="201"/>
      <c r="PC55" s="201"/>
      <c r="PD55" s="201"/>
      <c r="PE55" s="201"/>
      <c r="PF55" s="201"/>
      <c r="PG55" s="201"/>
      <c r="PH55" s="201"/>
      <c r="PI55" s="201"/>
      <c r="PJ55" s="201"/>
      <c r="PK55" s="201"/>
      <c r="PL55" s="201"/>
      <c r="PM55" s="201"/>
      <c r="PN55" s="201"/>
      <c r="PO55" s="201"/>
      <c r="PP55" s="201"/>
      <c r="PQ55" s="201"/>
      <c r="PR55" s="201"/>
      <c r="PS55" s="201"/>
      <c r="PT55" s="201"/>
      <c r="PU55" s="201"/>
      <c r="PV55" s="201"/>
      <c r="PW55" s="201"/>
      <c r="PX55" s="201"/>
      <c r="PY55" s="201"/>
      <c r="PZ55" s="201"/>
      <c r="QA55" s="201"/>
      <c r="QB55" s="201"/>
      <c r="QC55" s="201"/>
      <c r="QD55" s="201"/>
      <c r="QE55" s="201"/>
      <c r="QF55" s="201"/>
      <c r="QG55" s="201"/>
      <c r="QH55" s="201"/>
      <c r="QI55" s="201"/>
      <c r="QJ55" s="201"/>
      <c r="QK55" s="201"/>
      <c r="QL55" s="201"/>
      <c r="QM55" s="201"/>
      <c r="QN55" s="201"/>
      <c r="QO55" s="201"/>
      <c r="QP55" s="201"/>
      <c r="QQ55" s="201"/>
      <c r="QR55" s="201"/>
      <c r="QS55" s="201"/>
      <c r="QT55" s="201"/>
      <c r="QU55" s="201"/>
      <c r="QV55" s="201"/>
      <c r="QW55" s="201"/>
      <c r="QX55" s="201"/>
      <c r="QY55" s="201"/>
      <c r="QZ55" s="201"/>
      <c r="RA55" s="201"/>
      <c r="RB55" s="201"/>
      <c r="RC55" s="201"/>
      <c r="RD55" s="201"/>
      <c r="RE55" s="201"/>
      <c r="RF55" s="201"/>
      <c r="RG55" s="201"/>
      <c r="RH55" s="201"/>
      <c r="RI55" s="201"/>
      <c r="RJ55" s="201"/>
      <c r="RK55" s="201"/>
      <c r="RL55" s="201"/>
      <c r="RM55" s="201"/>
      <c r="RN55" s="201"/>
      <c r="RO55" s="201"/>
      <c r="RP55" s="201"/>
      <c r="RQ55" s="201"/>
      <c r="RR55" s="201"/>
      <c r="RS55" s="201"/>
      <c r="RT55" s="201"/>
      <c r="RU55" s="201"/>
      <c r="RV55" s="201"/>
      <c r="RW55" s="201"/>
      <c r="RX55" s="201"/>
      <c r="RY55" s="201"/>
      <c r="RZ55" s="201"/>
      <c r="SA55" s="201"/>
      <c r="SB55" s="201"/>
      <c r="SC55" s="201"/>
      <c r="SD55" s="201"/>
      <c r="SE55" s="201"/>
      <c r="SF55" s="201"/>
      <c r="SG55" s="201"/>
      <c r="SH55" s="201"/>
      <c r="SI55" s="201"/>
      <c r="SJ55" s="201"/>
      <c r="SK55" s="201"/>
      <c r="SL55" s="201"/>
      <c r="SM55" s="201"/>
      <c r="SN55" s="201"/>
      <c r="SO55" s="201"/>
      <c r="SP55" s="201"/>
      <c r="SQ55" s="201"/>
      <c r="SR55" s="201"/>
      <c r="SS55" s="201"/>
      <c r="ST55" s="201"/>
      <c r="SU55" s="201"/>
      <c r="SV55" s="201"/>
      <c r="SW55" s="201"/>
      <c r="SX55" s="201"/>
      <c r="SY55" s="201"/>
      <c r="SZ55" s="201"/>
      <c r="TA55" s="201"/>
      <c r="TB55" s="201"/>
      <c r="TC55" s="201"/>
      <c r="TD55" s="201"/>
      <c r="TE55" s="201"/>
      <c r="TF55" s="201"/>
      <c r="TG55" s="201"/>
      <c r="TH55" s="201"/>
      <c r="TI55" s="201"/>
      <c r="TJ55" s="201"/>
      <c r="TK55" s="201"/>
      <c r="TL55" s="201"/>
      <c r="TM55" s="201"/>
      <c r="TN55" s="201"/>
      <c r="TO55" s="201"/>
      <c r="TP55" s="201"/>
      <c r="TQ55" s="201"/>
      <c r="TR55" s="201"/>
      <c r="TS55" s="201"/>
      <c r="TT55" s="201"/>
      <c r="TU55" s="201"/>
      <c r="TV55" s="201"/>
      <c r="TW55" s="201"/>
      <c r="TX55" s="201"/>
      <c r="TY55" s="201"/>
      <c r="TZ55" s="201"/>
      <c r="UA55" s="201"/>
      <c r="UB55" s="201"/>
      <c r="UC55" s="201"/>
      <c r="UD55" s="201"/>
      <c r="UE55" s="201"/>
      <c r="UF55" s="201"/>
      <c r="UG55" s="201"/>
      <c r="UH55" s="201"/>
      <c r="UI55" s="201"/>
      <c r="UJ55" s="201"/>
      <c r="UK55" s="201"/>
      <c r="UL55" s="201"/>
      <c r="UM55" s="201"/>
      <c r="UN55" s="201"/>
      <c r="UO55" s="201"/>
      <c r="UP55" s="201"/>
      <c r="UQ55" s="201"/>
      <c r="UR55" s="201"/>
      <c r="US55" s="201"/>
      <c r="UT55" s="201"/>
      <c r="UU55" s="201"/>
      <c r="UV55" s="201"/>
      <c r="UW55" s="201"/>
      <c r="UX55" s="201"/>
      <c r="UY55" s="201"/>
      <c r="UZ55" s="201"/>
      <c r="VA55" s="201"/>
      <c r="VB55" s="201"/>
      <c r="VC55" s="201"/>
      <c r="VD55" s="201"/>
      <c r="VE55" s="201"/>
      <c r="VF55" s="201"/>
      <c r="VG55" s="201"/>
      <c r="VH55" s="201"/>
      <c r="VI55" s="201"/>
      <c r="VJ55" s="201"/>
      <c r="VK55" s="201"/>
      <c r="VL55" s="201"/>
      <c r="VM55" s="201"/>
      <c r="VN55" s="201"/>
      <c r="VO55" s="201"/>
      <c r="VP55" s="201"/>
      <c r="VQ55" s="201"/>
      <c r="VR55" s="201"/>
      <c r="VS55" s="201"/>
      <c r="VT55" s="201"/>
      <c r="VU55" s="201"/>
      <c r="VV55" s="201"/>
      <c r="VW55" s="201"/>
      <c r="VX55" s="201"/>
      <c r="VY55" s="201"/>
      <c r="VZ55" s="201"/>
      <c r="WA55" s="201"/>
      <c r="WB55" s="201"/>
      <c r="WC55" s="201"/>
      <c r="WD55" s="201"/>
      <c r="WE55" s="201"/>
      <c r="WF55" s="201"/>
      <c r="WG55" s="201"/>
      <c r="WH55" s="201"/>
      <c r="WI55" s="201"/>
      <c r="WJ55" s="201"/>
      <c r="WK55" s="201"/>
      <c r="WL55" s="201"/>
      <c r="WM55" s="201"/>
      <c r="WN55" s="201"/>
      <c r="WO55" s="201"/>
      <c r="WP55" s="201"/>
      <c r="WQ55" s="201"/>
      <c r="WR55" s="201"/>
      <c r="WS55" s="201"/>
      <c r="WT55" s="201"/>
      <c r="WU55" s="201"/>
      <c r="WV55" s="201"/>
      <c r="WW55" s="201"/>
      <c r="WX55" s="201"/>
      <c r="WY55" s="201"/>
      <c r="WZ55" s="201"/>
      <c r="XA55" s="201"/>
      <c r="XB55" s="201"/>
      <c r="XC55" s="201"/>
      <c r="XD55" s="201"/>
      <c r="XE55" s="201"/>
      <c r="XF55" s="201"/>
      <c r="XG55" s="201"/>
      <c r="XH55" s="201"/>
      <c r="XI55" s="201"/>
      <c r="XJ55" s="201"/>
      <c r="XK55" s="201"/>
      <c r="XL55" s="201"/>
      <c r="XM55" s="201"/>
      <c r="XN55" s="201"/>
      <c r="XO55" s="201"/>
      <c r="XP55" s="201"/>
      <c r="XQ55" s="201"/>
      <c r="XR55" s="201"/>
      <c r="XS55" s="201"/>
      <c r="XT55" s="201"/>
      <c r="XU55" s="201"/>
      <c r="XV55" s="201"/>
      <c r="XW55" s="201"/>
      <c r="XX55" s="201"/>
      <c r="XY55" s="201"/>
      <c r="XZ55" s="201"/>
      <c r="YA55" s="201"/>
      <c r="YB55" s="201"/>
      <c r="YC55" s="201"/>
      <c r="YD55" s="201"/>
      <c r="YE55" s="201"/>
      <c r="YF55" s="201"/>
      <c r="YG55" s="201"/>
      <c r="YH55" s="201"/>
      <c r="YI55" s="201"/>
      <c r="YJ55" s="201"/>
      <c r="YK55" s="201"/>
      <c r="YL55" s="201"/>
      <c r="YM55" s="201"/>
      <c r="YN55" s="201"/>
      <c r="YO55" s="201"/>
      <c r="YP55" s="201"/>
      <c r="YQ55" s="201"/>
      <c r="YR55" s="201"/>
      <c r="YS55" s="201"/>
      <c r="YT55" s="201"/>
      <c r="YU55" s="201"/>
      <c r="YV55" s="201"/>
      <c r="YW55" s="201"/>
      <c r="YX55" s="201"/>
      <c r="YY55" s="201"/>
      <c r="YZ55" s="201"/>
      <c r="ZA55" s="201"/>
      <c r="ZB55" s="201"/>
      <c r="ZC55" s="201"/>
      <c r="ZD55" s="201"/>
      <c r="ZE55" s="201"/>
      <c r="ZF55" s="201"/>
      <c r="ZG55" s="201"/>
      <c r="ZH55" s="201"/>
      <c r="ZI55" s="201"/>
      <c r="ZJ55" s="201"/>
      <c r="ZK55" s="201"/>
      <c r="ZL55" s="201"/>
      <c r="ZM55" s="201"/>
      <c r="ZN55" s="201"/>
      <c r="ZO55" s="201"/>
      <c r="ZP55" s="201"/>
      <c r="ZQ55" s="201"/>
      <c r="ZR55" s="201"/>
      <c r="ZS55" s="201"/>
      <c r="ZT55" s="201"/>
      <c r="ZU55" s="201"/>
      <c r="ZV55" s="201"/>
      <c r="ZW55" s="201"/>
      <c r="ZX55" s="201"/>
      <c r="ZY55" s="201"/>
      <c r="ZZ55" s="201"/>
      <c r="AAA55" s="201"/>
      <c r="AAB55" s="201"/>
      <c r="AAC55" s="201"/>
      <c r="AAD55" s="201"/>
      <c r="AAE55" s="201"/>
      <c r="AAF55" s="201"/>
      <c r="AAG55" s="201"/>
      <c r="AAH55" s="201"/>
      <c r="AAI55" s="201"/>
      <c r="AAJ55" s="201"/>
      <c r="AAK55" s="201"/>
      <c r="AAL55" s="201"/>
      <c r="AAM55" s="201"/>
      <c r="AAN55" s="201"/>
      <c r="AAO55" s="201"/>
      <c r="AAP55" s="201"/>
      <c r="AAQ55" s="201"/>
      <c r="AAR55" s="201"/>
      <c r="AAS55" s="201"/>
      <c r="AAT55" s="201"/>
      <c r="AAU55" s="201"/>
      <c r="AAV55" s="201"/>
      <c r="AAW55" s="201"/>
      <c r="AAX55" s="201"/>
      <c r="AAY55" s="201"/>
      <c r="AAZ55" s="201"/>
      <c r="ABA55" s="201"/>
      <c r="ABB55" s="201"/>
      <c r="ABC55" s="201"/>
      <c r="ABD55" s="201"/>
      <c r="ABE55" s="201"/>
      <c r="ABF55" s="201"/>
      <c r="ABG55" s="201"/>
      <c r="ABH55" s="201"/>
      <c r="ABI55" s="201"/>
      <c r="ABJ55" s="201"/>
      <c r="ABK55" s="201"/>
      <c r="ABL55" s="201"/>
      <c r="ABM55" s="201"/>
      <c r="ABN55" s="201"/>
      <c r="ABO55" s="201"/>
      <c r="ABP55" s="201"/>
      <c r="ABQ55" s="201"/>
      <c r="ABR55" s="201"/>
      <c r="ABS55" s="201"/>
      <c r="ABT55" s="201"/>
      <c r="ABU55" s="201"/>
      <c r="ABV55" s="201"/>
      <c r="ABW55" s="201"/>
      <c r="ABX55" s="201"/>
      <c r="ABY55" s="201"/>
      <c r="ABZ55" s="201"/>
      <c r="ACA55" s="201"/>
      <c r="ACB55" s="201"/>
      <c r="ACC55" s="201"/>
      <c r="ACD55" s="201"/>
      <c r="ACE55" s="201"/>
      <c r="ACF55" s="201"/>
      <c r="ACG55" s="201"/>
      <c r="ACH55" s="201"/>
      <c r="ACI55" s="201"/>
      <c r="ACJ55" s="201"/>
      <c r="ACK55" s="201"/>
      <c r="ACL55" s="201"/>
      <c r="ACM55" s="201"/>
      <c r="ACN55" s="201"/>
      <c r="ACO55" s="201"/>
      <c r="ACP55" s="201"/>
      <c r="ACQ55" s="201"/>
      <c r="ACR55" s="201"/>
      <c r="ACS55" s="201"/>
      <c r="ACT55" s="201"/>
      <c r="ACU55" s="201"/>
      <c r="ACV55" s="201"/>
      <c r="ACW55" s="201"/>
      <c r="ACX55" s="201"/>
      <c r="ACY55" s="201"/>
      <c r="ACZ55" s="201"/>
      <c r="ADA55" s="201"/>
      <c r="ADB55" s="201"/>
      <c r="ADC55" s="201"/>
      <c r="ADD55" s="201"/>
      <c r="ADE55" s="201"/>
      <c r="ADF55" s="201"/>
      <c r="ADG55" s="201"/>
      <c r="ADH55" s="201"/>
      <c r="ADI55" s="201"/>
      <c r="ADJ55" s="201"/>
      <c r="ADK55" s="201"/>
      <c r="ADL55" s="201"/>
      <c r="ADM55" s="201"/>
      <c r="ADN55" s="201"/>
      <c r="ADO55" s="201"/>
      <c r="ADP55" s="201"/>
      <c r="ADQ55" s="201"/>
      <c r="ADR55" s="201"/>
      <c r="ADS55" s="201"/>
      <c r="ADT55" s="201"/>
      <c r="ADU55" s="201"/>
      <c r="ADV55" s="201"/>
      <c r="ADW55" s="201"/>
      <c r="ADX55" s="201"/>
      <c r="ADY55" s="201"/>
      <c r="ADZ55" s="201"/>
      <c r="AEA55" s="201"/>
      <c r="AEB55" s="201"/>
      <c r="AEC55" s="201"/>
      <c r="AED55" s="201"/>
      <c r="AEE55" s="201"/>
      <c r="AEF55" s="201"/>
      <c r="AEG55" s="201"/>
      <c r="AEH55" s="201"/>
      <c r="AEI55" s="201"/>
      <c r="AEJ55" s="201"/>
      <c r="AEK55" s="201"/>
      <c r="AEL55" s="201"/>
      <c r="AEM55" s="201"/>
      <c r="AEN55" s="201"/>
      <c r="AEO55" s="201"/>
      <c r="AEP55" s="201"/>
      <c r="AEQ55" s="201"/>
      <c r="AER55" s="201"/>
      <c r="AES55" s="201"/>
      <c r="AET55" s="201"/>
      <c r="AEU55" s="201"/>
      <c r="AEV55" s="201"/>
      <c r="AEW55" s="201"/>
      <c r="AEX55" s="201"/>
      <c r="AEY55" s="201"/>
      <c r="AEZ55" s="201"/>
      <c r="AFA55" s="201"/>
      <c r="AFB55" s="201"/>
      <c r="AFC55" s="201"/>
      <c r="AFD55" s="201"/>
      <c r="AFE55" s="201"/>
      <c r="AFF55" s="201"/>
      <c r="AFG55" s="201"/>
      <c r="AFH55" s="201"/>
      <c r="AFI55" s="201"/>
      <c r="AFJ55" s="201"/>
      <c r="AFK55" s="201"/>
      <c r="AFL55" s="201"/>
      <c r="AFM55" s="201"/>
      <c r="AFN55" s="201"/>
      <c r="AFO55" s="201"/>
      <c r="AFP55" s="201"/>
      <c r="AFQ55" s="201"/>
      <c r="AFR55" s="201"/>
      <c r="AFS55" s="201"/>
      <c r="AFT55" s="201"/>
      <c r="AFU55" s="201"/>
      <c r="AFV55" s="201"/>
      <c r="AFW55" s="201"/>
      <c r="AFX55" s="201"/>
      <c r="AFY55" s="201"/>
      <c r="AFZ55" s="201"/>
      <c r="AGA55" s="201"/>
      <c r="AGB55" s="201"/>
      <c r="AGC55" s="201"/>
      <c r="AGD55" s="201"/>
      <c r="AGE55" s="201"/>
      <c r="AGF55" s="201"/>
      <c r="AGG55" s="201"/>
      <c r="AGH55" s="201"/>
      <c r="AGI55" s="201"/>
      <c r="AGJ55" s="201"/>
      <c r="AGK55" s="201"/>
      <c r="AGL55" s="201"/>
      <c r="AGM55" s="201"/>
      <c r="AGN55" s="201"/>
      <c r="AGO55" s="201"/>
      <c r="AGP55" s="201"/>
      <c r="AGQ55" s="201"/>
      <c r="AGR55" s="201"/>
      <c r="AGS55" s="201"/>
      <c r="AGT55" s="201"/>
      <c r="AGU55" s="201"/>
      <c r="AGV55" s="201"/>
      <c r="AGW55" s="201"/>
      <c r="AGX55" s="201"/>
      <c r="AGY55" s="201"/>
      <c r="AGZ55" s="201"/>
      <c r="AHA55" s="201"/>
      <c r="AHB55" s="201"/>
      <c r="AHC55" s="201"/>
      <c r="AHD55" s="201"/>
      <c r="AHE55" s="201"/>
      <c r="AHF55" s="201"/>
      <c r="AHG55" s="201"/>
      <c r="AHH55" s="201"/>
      <c r="AHI55" s="201"/>
      <c r="AHJ55" s="201"/>
      <c r="AHK55" s="201"/>
      <c r="AHL55" s="201"/>
      <c r="AHM55" s="201"/>
      <c r="AHN55" s="201"/>
      <c r="AHO55" s="201"/>
      <c r="AHP55" s="201"/>
      <c r="AHQ55" s="201"/>
      <c r="AHR55" s="201"/>
      <c r="AHS55" s="201"/>
      <c r="AHT55" s="201"/>
      <c r="AHU55" s="201"/>
      <c r="AHV55" s="201"/>
      <c r="AHW55" s="201"/>
      <c r="AHX55" s="201"/>
      <c r="AHY55" s="201"/>
      <c r="AHZ55" s="201"/>
      <c r="AIA55" s="201"/>
      <c r="AIB55" s="201"/>
      <c r="AIC55" s="201"/>
      <c r="AID55" s="201"/>
      <c r="AIE55" s="201"/>
      <c r="AIF55" s="201"/>
      <c r="AIG55" s="201"/>
      <c r="AIH55" s="201"/>
      <c r="AII55" s="201"/>
      <c r="AIJ55" s="201"/>
      <c r="AIK55" s="201"/>
      <c r="AIL55" s="201"/>
      <c r="AIM55" s="201"/>
      <c r="AIN55" s="201"/>
      <c r="AIO55" s="201"/>
      <c r="AIP55" s="201"/>
      <c r="AIQ55" s="201"/>
      <c r="AIR55" s="201"/>
      <c r="AIS55" s="201"/>
      <c r="AIT55" s="201"/>
      <c r="AIU55" s="201"/>
      <c r="AIV55" s="201"/>
      <c r="AIW55" s="201"/>
      <c r="AIX55" s="201"/>
      <c r="AIY55" s="201"/>
      <c r="AIZ55" s="201"/>
      <c r="AJA55" s="201"/>
      <c r="AJB55" s="201"/>
      <c r="AJC55" s="201"/>
      <c r="AJD55" s="201"/>
      <c r="AJE55" s="201"/>
      <c r="AJF55" s="201"/>
      <c r="AJG55" s="201"/>
      <c r="AJH55" s="201"/>
      <c r="AJI55" s="201"/>
      <c r="AJJ55" s="201"/>
      <c r="AJK55" s="201"/>
      <c r="AJL55" s="201"/>
      <c r="AJM55" s="201"/>
      <c r="AJN55" s="201"/>
      <c r="AJO55" s="201"/>
      <c r="AJP55" s="201"/>
      <c r="AJQ55" s="201"/>
      <c r="AJR55" s="201"/>
      <c r="AJS55" s="201"/>
      <c r="AJT55" s="201"/>
      <c r="AJU55" s="201"/>
      <c r="AJV55" s="201"/>
      <c r="AJW55" s="201"/>
      <c r="AJX55" s="201"/>
      <c r="AJY55" s="201"/>
    </row>
    <row r="56" ht="59.25" customHeight="1" spans="2:150" x14ac:dyDescent="0.25">
      <c r="B56" s="252" t="s">
        <v>216</v>
      </c>
      <c r="C56" s="228"/>
      <c r="D56" s="102"/>
      <c r="E56" s="103">
        <v>5</v>
      </c>
      <c r="F56" s="104">
        <f t="shared" ref="F56:F57" si="379">D56/E56</f>
        <v>0</v>
      </c>
      <c r="G56" s="102"/>
      <c r="H56" s="103">
        <v>5</v>
      </c>
      <c r="I56" s="104">
        <f t="shared" ref="I56:I57" si="380">G56/H56</f>
        <v>0</v>
      </c>
      <c r="J56" s="105"/>
      <c r="K56" s="103">
        <v>5</v>
      </c>
      <c r="L56" s="104">
        <f t="shared" ref="L56:L57" si="381">J56/K56</f>
        <v>0</v>
      </c>
      <c r="M56" s="105"/>
      <c r="N56" s="103">
        <v>5</v>
      </c>
      <c r="O56" s="104">
        <f t="shared" ref="O56:O57" si="382">M56/N56</f>
        <v>0</v>
      </c>
      <c r="P56" s="106"/>
      <c r="Q56" s="107">
        <v>5</v>
      </c>
      <c r="R56" s="104">
        <f t="shared" ref="R56:R57" si="383">P56/Q56</f>
        <v>0</v>
      </c>
      <c r="S56" s="102"/>
      <c r="T56" s="107">
        <v>5</v>
      </c>
      <c r="U56" s="104">
        <f t="shared" ref="U56:U57" si="384">S56/T56</f>
        <v>0</v>
      </c>
      <c r="V56" s="102"/>
      <c r="W56" s="107">
        <v>5</v>
      </c>
      <c r="X56" s="104">
        <f t="shared" ref="X56:X57" si="385">V56/W56</f>
        <v>0</v>
      </c>
      <c r="Y56" s="102"/>
      <c r="Z56" s="107">
        <v>5</v>
      </c>
      <c r="AA56" s="104">
        <f t="shared" ref="AA56:AA57" si="386">Y56/Z56</f>
        <v>0</v>
      </c>
      <c r="AB56" s="106"/>
      <c r="AC56" s="107">
        <v>5</v>
      </c>
      <c r="AD56" s="104">
        <f t="shared" ref="AD56:AD57" si="387">AB56/AC56</f>
        <v>0</v>
      </c>
      <c r="AE56" s="106"/>
      <c r="AF56" s="107">
        <v>5</v>
      </c>
      <c r="AG56" s="104">
        <f t="shared" ref="AG56:AG57" si="388">AE56/AF56</f>
        <v>0</v>
      </c>
      <c r="AH56" s="106"/>
      <c r="AI56" s="107">
        <v>5</v>
      </c>
      <c r="AJ56" s="104">
        <f t="shared" ref="AJ56:AJ57" si="389">AH56/AI56</f>
        <v>0</v>
      </c>
      <c r="AK56" s="106"/>
      <c r="AL56" s="107">
        <v>5</v>
      </c>
      <c r="AM56" s="104">
        <f t="shared" ref="AM56:AM57" si="390">AK56/AL56</f>
        <v>0</v>
      </c>
      <c r="AN56" s="102"/>
      <c r="AO56" s="1">
        <v>5</v>
      </c>
      <c r="AP56" s="104">
        <f t="shared" ref="AP56:AP57" si="391">AN56/AO56</f>
        <v>0</v>
      </c>
      <c r="AQ56" s="102"/>
      <c r="AR56" s="1">
        <v>5</v>
      </c>
      <c r="AS56" s="104">
        <f t="shared" ref="AS56:AS57" si="392">AQ56/AR56</f>
        <v>0</v>
      </c>
      <c r="AT56" s="102"/>
      <c r="AU56" s="1">
        <v>5</v>
      </c>
      <c r="AV56" s="104">
        <f t="shared" ref="AV56:AV57" si="393">AT56/AU56</f>
        <v>0</v>
      </c>
      <c r="AW56" s="102"/>
      <c r="AX56" s="1">
        <v>5</v>
      </c>
      <c r="AY56" s="104">
        <f t="shared" ref="AY56:AY57" si="394">AW56/AX56</f>
        <v>0</v>
      </c>
      <c r="AZ56" s="102"/>
      <c r="BA56" s="1">
        <v>5</v>
      </c>
      <c r="BB56" s="104">
        <f t="shared" ref="BB56:BB57" si="395">AZ56/BA56</f>
        <v>0</v>
      </c>
      <c r="BC56" s="102"/>
      <c r="BD56" s="1">
        <v>5</v>
      </c>
      <c r="BE56" s="104">
        <f t="shared" ref="BE56:BE57" si="396">BC56/BD56</f>
        <v>0</v>
      </c>
      <c r="BF56" s="102"/>
      <c r="BG56" s="1">
        <v>5</v>
      </c>
      <c r="BH56" s="104">
        <f t="shared" ref="BH56:BH57" si="397">BF56/BG56</f>
        <v>0</v>
      </c>
      <c r="BI56" s="102"/>
      <c r="BJ56" s="1">
        <v>5</v>
      </c>
      <c r="BK56" s="104">
        <f t="shared" ref="BK56:BK57" si="398">BI56/BJ56</f>
        <v>0</v>
      </c>
      <c r="BL56" s="102"/>
      <c r="BM56" s="1">
        <v>5</v>
      </c>
      <c r="BN56" s="104">
        <f t="shared" ref="BN56:BN57" si="399">BL56/BM56</f>
        <v>0</v>
      </c>
      <c r="BO56" s="102"/>
      <c r="BP56" s="1">
        <v>5</v>
      </c>
      <c r="BQ56" s="104">
        <f t="shared" ref="BQ56:BQ57" si="400">BO56/BP56</f>
        <v>0</v>
      </c>
      <c r="BR56" s="102"/>
      <c r="BS56" s="1">
        <v>5</v>
      </c>
      <c r="BT56" s="104">
        <f t="shared" ref="BT56:BT57" si="401">BR56/BS56</f>
        <v>0</v>
      </c>
      <c r="BU56" s="102"/>
      <c r="BV56" s="1">
        <v>5</v>
      </c>
      <c r="BW56" s="104">
        <f t="shared" ref="BW56:BW57" si="402">BU56/BV56</f>
        <v>0</v>
      </c>
      <c r="BX56" s="102"/>
      <c r="BY56" s="1">
        <v>5</v>
      </c>
      <c r="BZ56" s="104">
        <f t="shared" ref="BZ56:BZ57" si="403">BX56/BY56</f>
        <v>0</v>
      </c>
      <c r="CA56" s="102"/>
      <c r="CB56" s="1">
        <v>5</v>
      </c>
      <c r="CC56" s="104">
        <f t="shared" ref="CC56:CC57" si="404">CA56/CB56</f>
        <v>0</v>
      </c>
      <c r="CD56" s="102"/>
      <c r="CE56" s="1">
        <v>5</v>
      </c>
      <c r="CF56" s="104">
        <f t="shared" ref="CF56:CF57" si="405">CD56/CE56</f>
        <v>0</v>
      </c>
      <c r="CG56" s="102"/>
      <c r="CH56" s="1">
        <v>5</v>
      </c>
      <c r="CI56" s="104">
        <f t="shared" ref="CI56:CI57" si="406">CG56/CH56</f>
        <v>0</v>
      </c>
      <c r="CJ56" s="102"/>
      <c r="CK56" s="1">
        <v>5</v>
      </c>
      <c r="CL56" s="104">
        <f t="shared" ref="CL56:CL57" si="407">CJ56/CK56</f>
        <v>0</v>
      </c>
      <c r="CM56" s="102"/>
      <c r="CN56" s="1">
        <v>5</v>
      </c>
      <c r="CO56" s="104">
        <f t="shared" ref="CO56:CO57" si="408">CM56/CN56</f>
        <v>0</v>
      </c>
      <c r="CP56" s="102"/>
      <c r="CQ56" s="1">
        <v>5</v>
      </c>
      <c r="CR56" s="104">
        <f t="shared" ref="CR56:CR57" si="409">CP56/CQ56</f>
        <v>0</v>
      </c>
      <c r="CS56" s="102"/>
      <c r="CT56" s="1">
        <v>5</v>
      </c>
      <c r="CU56" s="104">
        <f t="shared" ref="CU56:CU57" si="410">CS56/CT56</f>
        <v>0</v>
      </c>
      <c r="CV56" s="102"/>
      <c r="CW56" s="1">
        <v>5</v>
      </c>
      <c r="CX56" s="104">
        <f t="shared" ref="CX56:CX57" si="411">CV56/CW56</f>
        <v>0</v>
      </c>
      <c r="CY56" s="102"/>
      <c r="CZ56" s="1">
        <v>5</v>
      </c>
      <c r="DA56" s="104">
        <f t="shared" ref="DA56:DA57" si="412">CY56/CZ56</f>
        <v>0</v>
      </c>
      <c r="DB56" s="102"/>
      <c r="DC56" s="1">
        <v>5</v>
      </c>
      <c r="DD56" s="104">
        <f t="shared" ref="DD56:DD57" si="413">DB56/DC56</f>
        <v>0</v>
      </c>
      <c r="DE56" s="102"/>
      <c r="DF56" s="1">
        <v>5</v>
      </c>
      <c r="DG56" s="104">
        <f t="shared" ref="DG56:DG57" si="414">DE56/DF56</f>
        <v>0</v>
      </c>
      <c r="DH56" s="102"/>
      <c r="DI56" s="1">
        <v>5</v>
      </c>
      <c r="DJ56" s="104">
        <f t="shared" ref="DJ56:DJ57" si="415">DH56/DI56</f>
        <v>0</v>
      </c>
      <c r="DK56" s="102"/>
      <c r="DL56" s="1">
        <v>5</v>
      </c>
      <c r="DM56" s="104">
        <f t="shared" ref="DM56:DM57" si="416">DK56/DL56</f>
        <v>0</v>
      </c>
      <c r="DN56" s="102"/>
      <c r="DO56" s="1">
        <v>5</v>
      </c>
      <c r="DP56" s="104">
        <f t="shared" ref="DP56:DP57" si="417">DN56/DO56</f>
        <v>0</v>
      </c>
      <c r="DQ56" s="102"/>
      <c r="DR56" s="1">
        <v>5</v>
      </c>
      <c r="DS56" s="104">
        <f t="shared" ref="DS56:DS57" si="418">DQ56/DR56</f>
        <v>0</v>
      </c>
      <c r="DT56" s="102"/>
      <c r="DU56" s="1">
        <v>5</v>
      </c>
      <c r="DV56" s="104">
        <f t="shared" ref="DV56:DV57" si="419">DT56/DU56</f>
        <v>0</v>
      </c>
      <c r="DW56" s="102"/>
      <c r="DX56" s="1">
        <v>5</v>
      </c>
      <c r="DY56" s="104">
        <f t="shared" ref="DY56:DY57" si="420">DW56/DX56</f>
        <v>0</v>
      </c>
      <c r="DZ56" s="102"/>
      <c r="EA56" s="1">
        <v>5</v>
      </c>
      <c r="EB56" s="104">
        <f t="shared" ref="EB56:EB57" si="421">DZ56/EA56</f>
        <v>0</v>
      </c>
      <c r="EC56" s="102"/>
      <c r="ED56" s="1">
        <v>5</v>
      </c>
      <c r="EE56" s="104">
        <f t="shared" ref="EE56:EE57" si="422">EC56/ED56</f>
        <v>0</v>
      </c>
      <c r="EF56" s="102"/>
      <c r="EG56" s="1">
        <v>5</v>
      </c>
      <c r="EH56" s="104">
        <f t="shared" ref="EH56:EH57" si="423">EF56/EG56</f>
        <v>0</v>
      </c>
      <c r="EI56" s="102"/>
      <c r="EJ56" s="1">
        <v>5</v>
      </c>
      <c r="EK56" s="104">
        <f t="shared" ref="EK56:EK57" si="424">EI56/EJ56</f>
        <v>0</v>
      </c>
      <c r="EL56" s="102"/>
      <c r="EM56" s="1">
        <v>5</v>
      </c>
      <c r="EN56" s="104">
        <f t="shared" ref="EN56:EN57" si="425">EL56/EM56</f>
        <v>0</v>
      </c>
      <c r="EO56" s="90">
        <v>0</v>
      </c>
      <c r="EP56" s="96">
        <v>5</v>
      </c>
      <c r="EQ56" s="104">
        <f>IFERROR(EO56/EP56,0)</f>
        <v>0</v>
      </c>
      <c r="ER56" s="85">
        <f t="array" ref="ER56">IFERROR(_xlfn.LET(
_xlpm.datos,CHOOSE({1;2;3;4;5;6;7;8;9;10;11;12;13;13;14;15;16;17;18;19;20;21;22;23;23;24;25;26;27;28;29;30;31;32;33;34;35;36;37;38;39;40;41;42;43;44;45;46;47;48},F56,I56,L56,O56,R56,U56,X56,AA56,AD56,AG56,AJ56,AM56,AP56,AS56,AV56,AY56,BB56,BE56,BH56,BK56,BN56,BQ56,BT56,BW56,BZ56,CC56,CF56,CI56,CL56,CO56,CR56,CU56,CX56,DA56,DD56,DG56,DJ56,DM56,DP56,DS56,DV56,DY56,EB56,EE56,EH56,EK56,EN56,EQ56),
AVERAGE(_xlfn._xlws.FILTER(_xlpm.datos,(_xlpm.datos&lt;&gt;0)*(_xlpm.datos&lt;&gt;"")))
),0)</f>
        <v>0</v>
      </c>
      <c r="ES56" s="162" t="str">
        <f t="array" ref="ES56">_xlfn.IFS(ER56&gt;=91.5%,"MENSUAL",ER56&gt;=75%,"QUINCENAL",ER56&lt;75%,"SEMANAL")</f>
        <v>SEMANAL</v>
      </c>
      <c r="ET56" s="239"/>
    </row>
    <row r="57" ht="36.75" customHeight="1" spans="2:150" x14ac:dyDescent="0.25">
      <c r="B57" s="238" t="s">
        <v>84</v>
      </c>
      <c r="C57" s="228"/>
      <c r="D57" s="102"/>
      <c r="E57" s="103">
        <v>5</v>
      </c>
      <c r="F57" s="104">
        <f t="shared" si="379"/>
        <v>0</v>
      </c>
      <c r="G57" s="102"/>
      <c r="H57" s="103">
        <v>5</v>
      </c>
      <c r="I57" s="104">
        <f t="shared" si="380"/>
        <v>0</v>
      </c>
      <c r="J57" s="105"/>
      <c r="K57" s="103">
        <v>5</v>
      </c>
      <c r="L57" s="104">
        <f t="shared" si="381"/>
        <v>0</v>
      </c>
      <c r="M57" s="105"/>
      <c r="N57" s="103">
        <v>5</v>
      </c>
      <c r="O57" s="104">
        <f t="shared" si="382"/>
        <v>0</v>
      </c>
      <c r="P57" s="106"/>
      <c r="Q57" s="107">
        <v>5</v>
      </c>
      <c r="R57" s="104">
        <f t="shared" si="383"/>
        <v>0</v>
      </c>
      <c r="S57" s="102"/>
      <c r="T57" s="107">
        <v>5</v>
      </c>
      <c r="U57" s="104">
        <f t="shared" si="384"/>
        <v>0</v>
      </c>
      <c r="V57" s="102"/>
      <c r="W57" s="107">
        <v>5</v>
      </c>
      <c r="X57" s="104">
        <f t="shared" si="385"/>
        <v>0</v>
      </c>
      <c r="Y57" s="102"/>
      <c r="Z57" s="107">
        <v>5</v>
      </c>
      <c r="AA57" s="104">
        <f t="shared" si="386"/>
        <v>0</v>
      </c>
      <c r="AB57" s="106"/>
      <c r="AC57" s="107">
        <v>5</v>
      </c>
      <c r="AD57" s="104">
        <f t="shared" si="387"/>
        <v>0</v>
      </c>
      <c r="AE57" s="106"/>
      <c r="AF57" s="107">
        <v>5</v>
      </c>
      <c r="AG57" s="104">
        <f t="shared" si="388"/>
        <v>0</v>
      </c>
      <c r="AH57" s="106"/>
      <c r="AI57" s="107">
        <v>5</v>
      </c>
      <c r="AJ57" s="104">
        <f t="shared" si="389"/>
        <v>0</v>
      </c>
      <c r="AK57" s="106"/>
      <c r="AL57" s="107">
        <v>5</v>
      </c>
      <c r="AM57" s="104">
        <f t="shared" si="390"/>
        <v>0</v>
      </c>
      <c r="AN57" s="102"/>
      <c r="AO57" s="1">
        <v>5</v>
      </c>
      <c r="AP57" s="104">
        <f t="shared" si="391"/>
        <v>0</v>
      </c>
      <c r="AQ57" s="102"/>
      <c r="AR57" s="1">
        <v>5</v>
      </c>
      <c r="AS57" s="104">
        <f t="shared" si="392"/>
        <v>0</v>
      </c>
      <c r="AT57" s="102"/>
      <c r="AU57" s="1">
        <v>5</v>
      </c>
      <c r="AV57" s="104">
        <f t="shared" si="393"/>
        <v>0</v>
      </c>
      <c r="AW57" s="102"/>
      <c r="AX57" s="1">
        <v>5</v>
      </c>
      <c r="AY57" s="104">
        <f t="shared" si="394"/>
        <v>0</v>
      </c>
      <c r="AZ57" s="102"/>
      <c r="BA57" s="1">
        <v>5</v>
      </c>
      <c r="BB57" s="104">
        <f t="shared" si="395"/>
        <v>0</v>
      </c>
      <c r="BC57" s="102"/>
      <c r="BD57" s="1">
        <v>5</v>
      </c>
      <c r="BE57" s="104">
        <f t="shared" si="396"/>
        <v>0</v>
      </c>
      <c r="BF57" s="102"/>
      <c r="BG57" s="1">
        <v>5</v>
      </c>
      <c r="BH57" s="104">
        <f t="shared" si="397"/>
        <v>0</v>
      </c>
      <c r="BI57" s="102"/>
      <c r="BJ57" s="1">
        <v>5</v>
      </c>
      <c r="BK57" s="104">
        <f t="shared" si="398"/>
        <v>0</v>
      </c>
      <c r="BL57" s="102"/>
      <c r="BM57" s="1">
        <v>5</v>
      </c>
      <c r="BN57" s="104">
        <f t="shared" si="399"/>
        <v>0</v>
      </c>
      <c r="BO57" s="102"/>
      <c r="BP57" s="1">
        <v>5</v>
      </c>
      <c r="BQ57" s="104">
        <f t="shared" si="400"/>
        <v>0</v>
      </c>
      <c r="BR57" s="102"/>
      <c r="BS57" s="1">
        <v>5</v>
      </c>
      <c r="BT57" s="104">
        <f t="shared" si="401"/>
        <v>0</v>
      </c>
      <c r="BU57" s="102"/>
      <c r="BV57" s="1">
        <v>5</v>
      </c>
      <c r="BW57" s="104">
        <f t="shared" si="402"/>
        <v>0</v>
      </c>
      <c r="BX57" s="102"/>
      <c r="BY57" s="1">
        <v>5</v>
      </c>
      <c r="BZ57" s="104">
        <f t="shared" si="403"/>
        <v>0</v>
      </c>
      <c r="CA57" s="102"/>
      <c r="CB57" s="1">
        <v>5</v>
      </c>
      <c r="CC57" s="104">
        <f t="shared" si="404"/>
        <v>0</v>
      </c>
      <c r="CD57" s="102"/>
      <c r="CE57" s="1">
        <v>5</v>
      </c>
      <c r="CF57" s="104">
        <f t="shared" si="405"/>
        <v>0</v>
      </c>
      <c r="CG57" s="102"/>
      <c r="CH57" s="1">
        <v>5</v>
      </c>
      <c r="CI57" s="104">
        <f t="shared" si="406"/>
        <v>0</v>
      </c>
      <c r="CJ57" s="102"/>
      <c r="CK57" s="1">
        <v>5</v>
      </c>
      <c r="CL57" s="104">
        <f t="shared" si="407"/>
        <v>0</v>
      </c>
      <c r="CM57" s="102"/>
      <c r="CN57" s="1">
        <v>5</v>
      </c>
      <c r="CO57" s="104">
        <f t="shared" si="408"/>
        <v>0</v>
      </c>
      <c r="CP57" s="102"/>
      <c r="CQ57" s="1">
        <v>5</v>
      </c>
      <c r="CR57" s="104">
        <f t="shared" si="409"/>
        <v>0</v>
      </c>
      <c r="CS57" s="102"/>
      <c r="CT57" s="1">
        <v>5</v>
      </c>
      <c r="CU57" s="104">
        <f t="shared" si="410"/>
        <v>0</v>
      </c>
      <c r="CV57" s="102"/>
      <c r="CW57" s="1">
        <v>5</v>
      </c>
      <c r="CX57" s="104">
        <f t="shared" si="411"/>
        <v>0</v>
      </c>
      <c r="CY57" s="102"/>
      <c r="CZ57" s="1">
        <v>5</v>
      </c>
      <c r="DA57" s="104">
        <f t="shared" si="412"/>
        <v>0</v>
      </c>
      <c r="DB57" s="102"/>
      <c r="DC57" s="1">
        <v>5</v>
      </c>
      <c r="DD57" s="104">
        <f t="shared" si="413"/>
        <v>0</v>
      </c>
      <c r="DE57" s="102"/>
      <c r="DF57" s="1">
        <v>5</v>
      </c>
      <c r="DG57" s="104">
        <f t="shared" si="414"/>
        <v>0</v>
      </c>
      <c r="DH57" s="102"/>
      <c r="DI57" s="1">
        <v>5</v>
      </c>
      <c r="DJ57" s="104">
        <f t="shared" si="415"/>
        <v>0</v>
      </c>
      <c r="DK57" s="102"/>
      <c r="DL57" s="1">
        <v>5</v>
      </c>
      <c r="DM57" s="104">
        <f t="shared" si="416"/>
        <v>0</v>
      </c>
      <c r="DN57" s="102"/>
      <c r="DO57" s="1">
        <v>5</v>
      </c>
      <c r="DP57" s="104">
        <f t="shared" si="417"/>
        <v>0</v>
      </c>
      <c r="DQ57" s="102"/>
      <c r="DR57" s="1">
        <v>5</v>
      </c>
      <c r="DS57" s="104">
        <f t="shared" si="418"/>
        <v>0</v>
      </c>
      <c r="DT57" s="102"/>
      <c r="DU57" s="1">
        <v>5</v>
      </c>
      <c r="DV57" s="104">
        <f t="shared" si="419"/>
        <v>0</v>
      </c>
      <c r="DW57" s="102"/>
      <c r="DX57" s="1">
        <v>5</v>
      </c>
      <c r="DY57" s="104">
        <f t="shared" si="420"/>
        <v>0</v>
      </c>
      <c r="DZ57" s="102"/>
      <c r="EA57" s="1">
        <v>5</v>
      </c>
      <c r="EB57" s="104">
        <f t="shared" si="421"/>
        <v>0</v>
      </c>
      <c r="EC57" s="102"/>
      <c r="ED57" s="1">
        <v>5</v>
      </c>
      <c r="EE57" s="104">
        <f t="shared" si="422"/>
        <v>0</v>
      </c>
      <c r="EF57" s="102"/>
      <c r="EG57" s="1">
        <v>5</v>
      </c>
      <c r="EH57" s="104">
        <f t="shared" si="423"/>
        <v>0</v>
      </c>
      <c r="EI57" s="102"/>
      <c r="EJ57" s="1">
        <v>5</v>
      </c>
      <c r="EK57" s="104">
        <f t="shared" si="424"/>
        <v>0</v>
      </c>
      <c r="EL57" s="102"/>
      <c r="EM57" s="1">
        <v>5</v>
      </c>
      <c r="EN57" s="104">
        <f t="shared" si="425"/>
        <v>0</v>
      </c>
      <c r="EO57" s="90">
        <v>0</v>
      </c>
      <c r="EP57" s="96">
        <v>5</v>
      </c>
      <c r="EQ57" s="104">
        <f>IFERROR(EO57/EP57,0)</f>
        <v>0</v>
      </c>
      <c r="ER57" s="85">
        <f t="array" ref="ER57">IFERROR(_xlfn.LET(
_xlpm.datos,CHOOSE({1;2;3;4;5;6;7;8;9;10;11;12;13;13;14;15;16;17;18;19;20;21;22;23;23;24;25;26;27;28;29;30;31;32;33;34;35;36;37;38;39;40;41;42;43;44;45;46;47;48},F57,I57,L57,O57,R57,U57,X57,AA57,AD57,AG57,AJ57,AM57,AP57,AS57,AV57,AY57,BB57,BE57,BH57,BK57,BN57,BQ57,BT57,BW57,BZ57,CC57,CF57,CI57,CL57,CO57,CR57,CU57,CX57,DA57,DD57,DG57,DJ57,DM57,DP57,DS57,DV57,DY57,EB57,EE57,EH57,EK57,EN57,EQ57),
AVERAGE(_xlfn._xlws.FILTER(_xlpm.datos,(_xlpm.datos&lt;&gt;0)*(_xlpm.datos&lt;&gt;"")))
),0)</f>
        <v>0</v>
      </c>
      <c r="ES57" s="253" t="str">
        <f t="array" ref="ES57">_xlfn.IFS(ER57&gt;=91.5%,"MENSUAL",ER57&gt;=75%,"QUINCENAL",ER57&lt;75%,"SEMANAL")</f>
        <v>SEMANAL</v>
      </c>
      <c r="ET57" s="239"/>
    </row>
    <row r="58" ht="16" customHeight="1" spans="2:150" x14ac:dyDescent="0.25">
      <c r="B58" s="254" t="s">
        <v>217</v>
      </c>
      <c r="C58" s="255"/>
      <c r="D58" s="256"/>
      <c r="E58" s="257"/>
      <c r="F58" s="258">
        <f>AVERAGE(F59:F62)</f>
        <v>0</v>
      </c>
      <c r="G58" s="256"/>
      <c r="H58" s="257"/>
      <c r="I58" s="258">
        <f>AVERAGE(I59:I62)</f>
        <v>0</v>
      </c>
      <c r="J58" s="256"/>
      <c r="K58" s="257"/>
      <c r="L58" s="258">
        <f>AVERAGE(L59:L62)</f>
        <v>0</v>
      </c>
      <c r="M58" s="256"/>
      <c r="N58" s="257"/>
      <c r="O58" s="258">
        <f>AVERAGE(O59:O62)</f>
        <v>0</v>
      </c>
      <c r="P58" s="256"/>
      <c r="Q58" s="257"/>
      <c r="R58" s="258">
        <f>AVERAGE(R59:R62)</f>
        <v>0</v>
      </c>
      <c r="S58" s="256"/>
      <c r="T58" s="257"/>
      <c r="U58" s="258">
        <f>AVERAGE(U59:U62)</f>
        <v>0</v>
      </c>
      <c r="V58" s="256"/>
      <c r="W58" s="257"/>
      <c r="X58" s="258">
        <f>AVERAGE(X59:X62)</f>
        <v>0</v>
      </c>
      <c r="Y58" s="256"/>
      <c r="Z58" s="257"/>
      <c r="AA58" s="258">
        <f>AVERAGE(AA59:AA62)</f>
        <v>0</v>
      </c>
      <c r="AB58" s="256"/>
      <c r="AC58" s="257"/>
      <c r="AD58" s="258">
        <f>AVERAGE(AD59:AD62)</f>
        <v>0</v>
      </c>
      <c r="AE58" s="256"/>
      <c r="AF58" s="257"/>
      <c r="AG58" s="258">
        <f>AVERAGE(AG59:AG62)</f>
        <v>0</v>
      </c>
      <c r="AH58" s="256"/>
      <c r="AI58" s="257"/>
      <c r="AJ58" s="258">
        <f>AVERAGE(AJ59:AJ62)</f>
        <v>0</v>
      </c>
      <c r="AK58" s="256"/>
      <c r="AL58" s="257"/>
      <c r="AM58" s="258">
        <f>AVERAGE(AM59:AM62)</f>
        <v>0</v>
      </c>
      <c r="AN58" s="256"/>
      <c r="AO58" s="257"/>
      <c r="AP58" s="258">
        <f>AVERAGE(AP59:AP62)</f>
        <v>0</v>
      </c>
      <c r="AQ58" s="256"/>
      <c r="AR58" s="257"/>
      <c r="AS58" s="258">
        <f>AVERAGE(AS59:AS62)</f>
        <v>0</v>
      </c>
      <c r="AT58" s="256"/>
      <c r="AU58" s="257"/>
      <c r="AV58" s="258">
        <f>AVERAGE(AV59:AV62)</f>
        <v>0</v>
      </c>
      <c r="AW58" s="256"/>
      <c r="AX58" s="257"/>
      <c r="AY58" s="258">
        <f>AVERAGE(AY59:AY62)</f>
        <v>0</v>
      </c>
      <c r="AZ58" s="256"/>
      <c r="BA58" s="257"/>
      <c r="BB58" s="259">
        <f>AVERAGE(BB59:BB61)</f>
        <v>0</v>
      </c>
      <c r="BC58" s="256"/>
      <c r="BD58" s="257"/>
      <c r="BE58" s="259">
        <f>AVERAGE(BE59:BE61)</f>
        <v>0</v>
      </c>
      <c r="BF58" s="256"/>
      <c r="BG58" s="257"/>
      <c r="BH58" s="259">
        <f>AVERAGE(BH59:BH61)</f>
        <v>0</v>
      </c>
      <c r="BI58" s="256"/>
      <c r="BJ58" s="257"/>
      <c r="BK58" s="259">
        <f>AVERAGE(BK59:BK61)</f>
        <v>0</v>
      </c>
      <c r="BL58" s="256"/>
      <c r="BM58" s="257"/>
      <c r="BN58" s="259">
        <f>AVERAGE(BN59:BN61)</f>
        <v>0</v>
      </c>
      <c r="BO58" s="256"/>
      <c r="BP58" s="257"/>
      <c r="BQ58" s="259">
        <f>AVERAGE(BQ59:BQ61)</f>
        <v>0</v>
      </c>
      <c r="BR58" s="256"/>
      <c r="BS58" s="257"/>
      <c r="BT58" s="259">
        <f>AVERAGE(BT59:BT61)</f>
        <v>0</v>
      </c>
      <c r="BU58" s="256"/>
      <c r="BV58" s="257"/>
      <c r="BW58" s="259">
        <f>AVERAGE(BW59:BW61)</f>
        <v>0</v>
      </c>
      <c r="BX58" s="256"/>
      <c r="BY58" s="257"/>
      <c r="BZ58" s="259">
        <f>AVERAGE(BZ59:BZ61)</f>
        <v>0</v>
      </c>
      <c r="CA58" s="256"/>
      <c r="CB58" s="257"/>
      <c r="CC58" s="259">
        <f>AVERAGE(CC59:CC61)</f>
        <v>0</v>
      </c>
      <c r="CD58" s="256"/>
      <c r="CE58" s="257"/>
      <c r="CF58" s="259">
        <f>AVERAGE(CF59:CF61)</f>
        <v>0</v>
      </c>
      <c r="CG58" s="256"/>
      <c r="CH58" s="257"/>
      <c r="CI58" s="259">
        <f>AVERAGE(CI59:CI61)</f>
        <v>0</v>
      </c>
      <c r="CJ58" s="256"/>
      <c r="CK58" s="257"/>
      <c r="CL58" s="259">
        <f>AVERAGE(CL59:CL61)</f>
        <v>0</v>
      </c>
      <c r="CM58" s="256"/>
      <c r="CN58" s="257"/>
      <c r="CO58" s="259">
        <f>AVERAGE(CO59:CO61)</f>
        <v>0</v>
      </c>
      <c r="CP58" s="256"/>
      <c r="CQ58" s="257"/>
      <c r="CR58" s="259">
        <f>AVERAGE(CR59:CR61)</f>
        <v>0</v>
      </c>
      <c r="CS58" s="256"/>
      <c r="CT58" s="257"/>
      <c r="CU58" s="259">
        <f>AVERAGE(CU59:CU61)</f>
        <v>0</v>
      </c>
      <c r="CV58" s="256"/>
      <c r="CW58" s="257"/>
      <c r="CX58" s="259">
        <f>AVERAGE(CX59:CX61)</f>
        <v>0</v>
      </c>
      <c r="CY58" s="256"/>
      <c r="CZ58" s="257"/>
      <c r="DA58" s="259">
        <f>AVERAGE(DA59:DA61)</f>
        <v>0</v>
      </c>
      <c r="DB58" s="256"/>
      <c r="DC58" s="257"/>
      <c r="DD58" s="259">
        <f>AVERAGE(DD59:DD61)</f>
        <v>0</v>
      </c>
      <c r="DE58" s="256"/>
      <c r="DF58" s="257"/>
      <c r="DG58" s="260">
        <f>AVERAGE(DG59:DG61)</f>
        <v>0</v>
      </c>
      <c r="DH58" s="256"/>
      <c r="DI58" s="257"/>
      <c r="DJ58" s="259">
        <f>AVERAGE(DJ59:DJ61)</f>
        <v>0</v>
      </c>
      <c r="DK58" s="256"/>
      <c r="DL58" s="257"/>
      <c r="DM58" s="259">
        <f>AVERAGE(DM59:DM61)</f>
        <v>0</v>
      </c>
      <c r="DN58" s="256"/>
      <c r="DO58" s="257"/>
      <c r="DP58" s="259">
        <f>AVERAGE(DP59:DP61)</f>
        <v>0</v>
      </c>
      <c r="DQ58" s="256"/>
      <c r="DR58" s="257"/>
      <c r="DS58" s="259">
        <f>AVERAGE(DS59:DS61)</f>
        <v>0</v>
      </c>
      <c r="DT58" s="256"/>
      <c r="DU58" s="257"/>
      <c r="DV58" s="259">
        <f>AVERAGE(DV59:DV61)</f>
        <v>0</v>
      </c>
      <c r="DW58" s="256"/>
      <c r="DX58" s="257"/>
      <c r="DY58" s="259">
        <f>AVERAGE(DY59:DY61)</f>
        <v>0</v>
      </c>
      <c r="DZ58" s="256"/>
      <c r="EA58" s="257"/>
      <c r="EB58" s="259">
        <f>AVERAGE(EB59:EB61)</f>
        <v>0</v>
      </c>
      <c r="EC58" s="256"/>
      <c r="ED58" s="257"/>
      <c r="EE58" s="259">
        <f>AVERAGE(EE59:EE61)</f>
        <v>0</v>
      </c>
      <c r="EF58" s="256"/>
      <c r="EG58" s="257"/>
      <c r="EH58" s="259">
        <f>AVERAGE(EH59:EH61)</f>
        <v>0</v>
      </c>
      <c r="EI58" s="256"/>
      <c r="EJ58" s="257"/>
      <c r="EK58" s="259">
        <f>AVERAGE(EK59:EK61)</f>
        <v>0</v>
      </c>
      <c r="EL58" s="256"/>
      <c r="EM58" s="257"/>
      <c r="EN58" s="259">
        <f>AVERAGE(EN59:EN61)</f>
        <v>0</v>
      </c>
      <c r="EO58" s="256"/>
      <c r="EP58" s="257"/>
      <c r="EQ58" s="259">
        <f>AVERAGE(EQ59:EQ61)</f>
        <v>0</v>
      </c>
      <c r="ER58" s="85">
        <f t="array" ref="ER58">IFERROR(_xlfn.LET(
_xlpm.datos,CHOOSE({1;2;3;4;5;6;7;8;9;10;11;12;13;13;14;15;16;17;18;19;20;21;22;23;23;24;25;26;27;28;29;30;31;32;33;34;35;36;37;38;39;40;41;42;43;44;45;46;47;48},F58,I58,L58,O58,R58,U58,X58,AA58,AD58,AG58,AJ58,AM58,AP58,AS58,AV58,AY58,BB58,BE58,BH58,BK58,BN58,BQ58,BT58,BW58,BZ58,CC58,CF58,CI58,CL58,CO58,CR58,CU58,CX58,DA58,DD58,DG58,DJ58,DM58,DP58,DS58,DV58,DY58,EB58,EE58,EH58,EK58,EN58,EQ58),
AVERAGE(_xlfn._xlws.FILTER(_xlpm.datos,(_xlpm.datos&lt;&gt;0)*(_xlpm.datos&lt;&gt;"")))
),0)</f>
        <v>0</v>
      </c>
      <c r="ES58" s="253" t="str">
        <f t="array" ref="ES58">_xlfn.IFS(ER58&gt;=91.5%,"MENSUAL",ER58&gt;=75%,"QUINCENAL",ER58&lt;75%,"SEMANAL")</f>
        <v>SEMANAL</v>
      </c>
      <c r="ET58" s="239"/>
    </row>
    <row r="59" ht="22.5" customHeight="1" spans="1:961" s="261" customFormat="1" x14ac:dyDescent="0.25">
      <c r="A59" s="262"/>
      <c r="B59" s="263" t="s">
        <v>218</v>
      </c>
      <c r="C59" s="264"/>
      <c r="D59" s="265"/>
      <c r="E59" s="266">
        <v>5</v>
      </c>
      <c r="F59" s="267">
        <f t="shared" ref="F59:F62" si="426">D59/E59</f>
        <v>0</v>
      </c>
      <c r="G59" s="265"/>
      <c r="H59" s="266">
        <v>5</v>
      </c>
      <c r="I59" s="267">
        <f t="shared" ref="I59:I62" si="427">G59/H59</f>
        <v>0</v>
      </c>
      <c r="J59" s="268"/>
      <c r="K59" s="266">
        <v>5</v>
      </c>
      <c r="L59" s="267">
        <f t="shared" ref="L59:L62" si="428">J59/K59</f>
        <v>0</v>
      </c>
      <c r="M59" s="268"/>
      <c r="N59" s="266">
        <v>5</v>
      </c>
      <c r="O59" s="267">
        <f t="shared" ref="O59:O62" si="429">M59/N59</f>
        <v>0</v>
      </c>
      <c r="P59" s="269"/>
      <c r="Q59" s="270">
        <v>5</v>
      </c>
      <c r="R59" s="267">
        <f t="shared" ref="R59:R62" si="430">P59/Q59</f>
        <v>0</v>
      </c>
      <c r="S59" s="265"/>
      <c r="T59" s="270">
        <v>5</v>
      </c>
      <c r="U59" s="267">
        <f t="shared" ref="U59:U62" si="431">S59/T59</f>
        <v>0</v>
      </c>
      <c r="V59" s="265"/>
      <c r="W59" s="270">
        <v>5</v>
      </c>
      <c r="X59" s="267">
        <f t="shared" ref="X59:X62" si="432">V59/W59</f>
        <v>0</v>
      </c>
      <c r="Y59" s="265"/>
      <c r="Z59" s="270">
        <v>5</v>
      </c>
      <c r="AA59" s="267">
        <f t="shared" ref="AA59:AA62" si="433">Y59/Z59</f>
        <v>0</v>
      </c>
      <c r="AB59" s="269"/>
      <c r="AC59" s="270">
        <v>5</v>
      </c>
      <c r="AD59" s="267">
        <f t="shared" ref="AD59:AD62" si="434">AB59/AC59</f>
        <v>0</v>
      </c>
      <c r="AE59" s="269"/>
      <c r="AF59" s="270">
        <v>5</v>
      </c>
      <c r="AG59" s="267">
        <f t="shared" ref="AG59:AG62" si="435">AE59/AF59</f>
        <v>0</v>
      </c>
      <c r="AH59" s="269"/>
      <c r="AI59" s="270">
        <v>5</v>
      </c>
      <c r="AJ59" s="267">
        <f t="shared" ref="AJ59:AJ62" si="436">AH59/AI59</f>
        <v>0</v>
      </c>
      <c r="AK59" s="269"/>
      <c r="AL59" s="270">
        <v>5</v>
      </c>
      <c r="AM59" s="267">
        <f t="shared" ref="AM59:AM62" si="437">AK59/AL59</f>
        <v>0</v>
      </c>
      <c r="AN59" s="265"/>
      <c r="AO59" s="271">
        <v>5</v>
      </c>
      <c r="AP59" s="267">
        <f t="shared" ref="AP59:AP62" si="438">AN59/AO59</f>
        <v>0</v>
      </c>
      <c r="AQ59" s="265"/>
      <c r="AR59" s="271">
        <v>5</v>
      </c>
      <c r="AS59" s="267">
        <f t="shared" ref="AS59:AS62" si="439">AQ59/AR59</f>
        <v>0</v>
      </c>
      <c r="AT59" s="265"/>
      <c r="AU59" s="271">
        <v>5</v>
      </c>
      <c r="AV59" s="267">
        <f t="shared" ref="AV59:AV62" si="440">AT59/AU59</f>
        <v>0</v>
      </c>
      <c r="AW59" s="265"/>
      <c r="AX59" s="271">
        <v>5</v>
      </c>
      <c r="AY59" s="267">
        <f t="shared" ref="AY59:AY62" si="441">AW59/AX59</f>
        <v>0</v>
      </c>
      <c r="AZ59" s="265"/>
      <c r="BA59" s="271">
        <v>5</v>
      </c>
      <c r="BB59" s="267">
        <f t="shared" ref="BB59:BB62" si="442">AZ59/BA59</f>
        <v>0</v>
      </c>
      <c r="BC59" s="265"/>
      <c r="BD59" s="271">
        <v>5</v>
      </c>
      <c r="BE59" s="267">
        <f t="shared" ref="BE59:BE62" si="443">BC59/BD59</f>
        <v>0</v>
      </c>
      <c r="BF59" s="265"/>
      <c r="BG59" s="271">
        <v>5</v>
      </c>
      <c r="BH59" s="267">
        <f t="shared" ref="BH59:BH62" si="444">BF59/BG59</f>
        <v>0</v>
      </c>
      <c r="BI59" s="265"/>
      <c r="BJ59" s="271">
        <v>5</v>
      </c>
      <c r="BK59" s="267">
        <f t="shared" ref="BK59:BK62" si="445">BI59/BJ59</f>
        <v>0</v>
      </c>
      <c r="BL59" s="265"/>
      <c r="BM59" s="271">
        <v>5</v>
      </c>
      <c r="BN59" s="267">
        <f t="shared" ref="BN59:BN62" si="446">BL59/BM59</f>
        <v>0</v>
      </c>
      <c r="BO59" s="265"/>
      <c r="BP59" s="271">
        <v>5</v>
      </c>
      <c r="BQ59" s="267">
        <f t="shared" ref="BQ59:BQ62" si="447">BO59/BP59</f>
        <v>0</v>
      </c>
      <c r="BR59" s="265"/>
      <c r="BS59" s="271">
        <v>5</v>
      </c>
      <c r="BT59" s="267">
        <f t="shared" ref="BT59:BT62" si="448">BR59/BS59</f>
        <v>0</v>
      </c>
      <c r="BU59" s="265"/>
      <c r="BV59" s="271">
        <v>5</v>
      </c>
      <c r="BW59" s="267">
        <f t="shared" ref="BW59:BW62" si="449">BU59/BV59</f>
        <v>0</v>
      </c>
      <c r="BX59" s="265"/>
      <c r="BY59" s="271">
        <v>5</v>
      </c>
      <c r="BZ59" s="267">
        <f t="shared" ref="BZ59:BZ62" si="450">BX59/BY59</f>
        <v>0</v>
      </c>
      <c r="CA59" s="265"/>
      <c r="CB59" s="271">
        <v>5</v>
      </c>
      <c r="CC59" s="267">
        <f t="shared" ref="CC59:CC62" si="451">CA59/CB59</f>
        <v>0</v>
      </c>
      <c r="CD59" s="265"/>
      <c r="CE59" s="271">
        <v>5</v>
      </c>
      <c r="CF59" s="267">
        <f t="shared" ref="CF59:CF62" si="452">CD59/CE59</f>
        <v>0</v>
      </c>
      <c r="CG59" s="265"/>
      <c r="CH59" s="271">
        <v>5</v>
      </c>
      <c r="CI59" s="267">
        <f t="shared" ref="CI59:CI62" si="453">CG59/CH59</f>
        <v>0</v>
      </c>
      <c r="CJ59" s="265"/>
      <c r="CK59" s="271">
        <v>5</v>
      </c>
      <c r="CL59" s="267">
        <f t="shared" ref="CL59:CL62" si="454">CJ59/CK59</f>
        <v>0</v>
      </c>
      <c r="CM59" s="265"/>
      <c r="CN59" s="271">
        <v>5</v>
      </c>
      <c r="CO59" s="267">
        <f t="shared" ref="CO59:CO62" si="455">CM59/CN59</f>
        <v>0</v>
      </c>
      <c r="CP59" s="265"/>
      <c r="CQ59" s="271">
        <v>5</v>
      </c>
      <c r="CR59" s="267">
        <f t="shared" ref="CR59:CR62" si="456">CP59/CQ59</f>
        <v>0</v>
      </c>
      <c r="CS59" s="265"/>
      <c r="CT59" s="271">
        <v>5</v>
      </c>
      <c r="CU59" s="267">
        <f t="shared" ref="CU59:CU62" si="457">CS59/CT59</f>
        <v>0</v>
      </c>
      <c r="CV59" s="265"/>
      <c r="CW59" s="271">
        <v>5</v>
      </c>
      <c r="CX59" s="267">
        <f t="shared" ref="CX59:CX62" si="458">CV59/CW59</f>
        <v>0</v>
      </c>
      <c r="CY59" s="265"/>
      <c r="CZ59" s="271">
        <v>5</v>
      </c>
      <c r="DA59" s="267">
        <f t="shared" ref="DA59:DA62" si="459">CY59/CZ59</f>
        <v>0</v>
      </c>
      <c r="DB59" s="265"/>
      <c r="DC59" s="271">
        <v>5</v>
      </c>
      <c r="DD59" s="267">
        <f t="shared" ref="DD59:DD62" si="460">DB59/DC59</f>
        <v>0</v>
      </c>
      <c r="DE59" s="265"/>
      <c r="DF59" s="271">
        <v>5</v>
      </c>
      <c r="DG59" s="267">
        <f t="shared" ref="DG59:DG62" si="461">DE59/DF59</f>
        <v>0</v>
      </c>
      <c r="DH59" s="265"/>
      <c r="DI59" s="271">
        <v>5</v>
      </c>
      <c r="DJ59" s="267">
        <f t="shared" ref="DJ59:DJ62" si="462">DH59/DI59</f>
        <v>0</v>
      </c>
      <c r="DK59" s="265"/>
      <c r="DL59" s="271">
        <v>5</v>
      </c>
      <c r="DM59" s="267">
        <f t="shared" ref="DM59:DM62" si="463">DK59/DL59</f>
        <v>0</v>
      </c>
      <c r="DN59" s="265"/>
      <c r="DO59" s="271">
        <v>5</v>
      </c>
      <c r="DP59" s="267">
        <f t="shared" ref="DP59:DP62" si="464">DN59/DO59</f>
        <v>0</v>
      </c>
      <c r="DQ59" s="265"/>
      <c r="DR59" s="271">
        <v>5</v>
      </c>
      <c r="DS59" s="267">
        <f t="shared" ref="DS59:DS62" si="465">DQ59/DR59</f>
        <v>0</v>
      </c>
      <c r="DT59" s="265"/>
      <c r="DU59" s="271">
        <v>5</v>
      </c>
      <c r="DV59" s="267">
        <f t="shared" ref="DV59:DV62" si="466">DT59/DU59</f>
        <v>0</v>
      </c>
      <c r="DW59" s="265"/>
      <c r="DX59" s="271">
        <v>5</v>
      </c>
      <c r="DY59" s="267">
        <f t="shared" ref="DY59:DY62" si="467">DW59/DX59</f>
        <v>0</v>
      </c>
      <c r="DZ59" s="265"/>
      <c r="EA59" s="271">
        <v>5</v>
      </c>
      <c r="EB59" s="267">
        <f t="shared" ref="EB59:EB62" si="468">DZ59/EA59</f>
        <v>0</v>
      </c>
      <c r="EC59" s="265"/>
      <c r="ED59" s="271">
        <v>5</v>
      </c>
      <c r="EE59" s="267">
        <f t="shared" ref="EE59:EE62" si="469">EC59/ED59</f>
        <v>0</v>
      </c>
      <c r="EF59" s="265"/>
      <c r="EG59" s="271">
        <v>5</v>
      </c>
      <c r="EH59" s="267">
        <f t="shared" ref="EH59:EH62" si="470">EF59/EG59</f>
        <v>0</v>
      </c>
      <c r="EI59" s="265"/>
      <c r="EJ59" s="271">
        <v>5</v>
      </c>
      <c r="EK59" s="267">
        <f t="shared" ref="EK59:EK62" si="471">EI59/EJ59</f>
        <v>0</v>
      </c>
      <c r="EL59" s="265"/>
      <c r="EM59" s="271">
        <v>5</v>
      </c>
      <c r="EN59" s="267">
        <f t="shared" ref="EN59:EN62" si="472">EL59/EM59</f>
        <v>0</v>
      </c>
      <c r="EO59" s="265">
        <v>0</v>
      </c>
      <c r="EP59" s="271">
        <v>5</v>
      </c>
      <c r="EQ59" s="267">
        <f>IFERROR(EO59/EP59,0)</f>
        <v>0</v>
      </c>
      <c r="ER59" s="85">
        <f t="array" ref="ER59">IFERROR(_xlfn.LET(
_xlpm.datos,CHOOSE({1;2;3;4;5;6;7;8;9;10;11;12;13;13;14;15;16;17;18;19;20;21;22;23;23;24;25;26;27;28;29;30;31;32;33;34;35;36;37;38;39;40;41;42;43;44;45;46;47;48},F59,I59,L59,O59,R59,U59,X59,AA59,AD59,AG59,AJ59,AM59,AP59,AS59,AV59,AY59,BB59,BE59,BH59,BK59,BN59,BQ59,BT59,BW59,BZ59,CC59,CF59,CI59,CL59,CO59,CR59,CU59,CX59,DA59,DD59,DG59,DJ59,DM59,DP59,DS59,DV59,DY59,EB59,EE59,EH59,EK59,EN59,EQ59),
AVERAGE(_xlfn._xlws.FILTER(_xlpm.datos,(_xlpm.datos&lt;&gt;0)*(_xlpm.datos&lt;&gt;"")))
),0)</f>
        <v>0</v>
      </c>
      <c r="ES59" s="162" t="str">
        <f t="array" ref="ES59">_xlfn.IFS(ER59&gt;=91.5%,"MENSUAL",ER59&gt;=75%,"QUINCENAL",ER59&lt;75%,"SEMANAL")</f>
        <v>SEMANAL</v>
      </c>
      <c r="ET59" s="239"/>
      <c r="EU59" s="201"/>
      <c r="EV59" s="201"/>
      <c r="EW59" s="201"/>
      <c r="EX59" s="201"/>
      <c r="EY59" s="201"/>
      <c r="EZ59" s="201"/>
      <c r="FA59" s="201"/>
      <c r="FB59" s="201"/>
      <c r="FC59" s="201"/>
      <c r="FD59" s="201"/>
      <c r="FE59" s="201"/>
      <c r="FF59" s="201"/>
      <c r="FG59" s="201"/>
      <c r="FH59" s="201"/>
      <c r="FI59" s="201"/>
      <c r="FJ59" s="201"/>
      <c r="FK59" s="201"/>
      <c r="FL59" s="201"/>
      <c r="FM59" s="201"/>
      <c r="FN59" s="201"/>
      <c r="FO59" s="201"/>
      <c r="FP59" s="201"/>
      <c r="FQ59" s="201"/>
      <c r="FR59" s="201"/>
      <c r="FS59" s="201"/>
      <c r="FT59" s="201"/>
      <c r="FU59" s="201"/>
      <c r="FV59" s="201"/>
      <c r="FW59" s="201"/>
      <c r="FX59" s="201"/>
      <c r="FY59" s="201"/>
      <c r="FZ59" s="201"/>
      <c r="GA59" s="201"/>
      <c r="GB59" s="201"/>
      <c r="GC59" s="201"/>
      <c r="GD59" s="201"/>
      <c r="GE59" s="201"/>
      <c r="GF59" s="201"/>
      <c r="GG59" s="201"/>
      <c r="GH59" s="201"/>
      <c r="GI59" s="201"/>
      <c r="GJ59" s="201"/>
      <c r="GK59" s="201"/>
      <c r="GL59" s="201"/>
      <c r="GM59" s="201"/>
      <c r="GN59" s="201"/>
      <c r="GO59" s="201"/>
      <c r="GP59" s="201"/>
      <c r="GQ59" s="201"/>
      <c r="GR59" s="201"/>
      <c r="GS59" s="201"/>
      <c r="GT59" s="201"/>
      <c r="GU59" s="201"/>
      <c r="GV59" s="201"/>
      <c r="GW59" s="201"/>
      <c r="GX59" s="201"/>
      <c r="GY59" s="201"/>
      <c r="GZ59" s="201"/>
      <c r="HA59" s="201"/>
      <c r="HB59" s="201"/>
      <c r="HC59" s="201"/>
      <c r="HD59" s="201"/>
      <c r="HE59" s="201"/>
      <c r="HF59" s="201"/>
      <c r="HG59" s="201"/>
      <c r="HH59" s="201"/>
      <c r="HI59" s="201"/>
      <c r="HJ59" s="201"/>
      <c r="HK59" s="201"/>
      <c r="HL59" s="201"/>
      <c r="HM59" s="201"/>
      <c r="HN59" s="201"/>
      <c r="HO59" s="201"/>
      <c r="HP59" s="201"/>
      <c r="HQ59" s="201"/>
      <c r="HR59" s="201"/>
      <c r="HS59" s="201"/>
      <c r="HT59" s="201"/>
      <c r="HU59" s="201"/>
      <c r="HV59" s="201"/>
      <c r="HW59" s="201"/>
      <c r="HX59" s="201"/>
      <c r="HY59" s="201"/>
      <c r="HZ59" s="201"/>
      <c r="IA59" s="201"/>
      <c r="IB59" s="201"/>
      <c r="IC59" s="201"/>
      <c r="ID59" s="201"/>
      <c r="IE59" s="201"/>
      <c r="IF59" s="201"/>
      <c r="IG59" s="201"/>
      <c r="IH59" s="201"/>
      <c r="II59" s="201"/>
      <c r="IJ59" s="201"/>
      <c r="IK59" s="201"/>
      <c r="IL59" s="201"/>
      <c r="IM59" s="201"/>
      <c r="IN59" s="201"/>
      <c r="IO59" s="201"/>
      <c r="IP59" s="201"/>
      <c r="IQ59" s="201"/>
      <c r="IR59" s="201"/>
      <c r="IS59" s="201"/>
      <c r="IT59" s="201"/>
      <c r="IU59" s="201"/>
      <c r="IV59" s="201"/>
      <c r="IW59" s="201"/>
      <c r="IX59" s="201"/>
      <c r="IY59" s="201"/>
      <c r="IZ59" s="201"/>
      <c r="JA59" s="201"/>
      <c r="JB59" s="201"/>
      <c r="JC59" s="201"/>
      <c r="JD59" s="201"/>
      <c r="JE59" s="201"/>
      <c r="JF59" s="201"/>
      <c r="JG59" s="201"/>
      <c r="JH59" s="201"/>
      <c r="JI59" s="201"/>
      <c r="JJ59" s="201"/>
      <c r="JK59" s="201"/>
      <c r="JL59" s="201"/>
      <c r="JM59" s="201"/>
      <c r="JN59" s="201"/>
      <c r="JO59" s="201"/>
      <c r="JP59" s="201"/>
      <c r="JQ59" s="201"/>
      <c r="JR59" s="201"/>
      <c r="JS59" s="201"/>
      <c r="JT59" s="201"/>
      <c r="JU59" s="201"/>
      <c r="JV59" s="201"/>
      <c r="JW59" s="201"/>
      <c r="JX59" s="201"/>
      <c r="JY59" s="201"/>
      <c r="JZ59" s="201"/>
      <c r="KA59" s="201"/>
      <c r="KB59" s="201"/>
      <c r="KC59" s="201"/>
      <c r="KD59" s="201"/>
      <c r="KE59" s="201"/>
      <c r="KF59" s="201"/>
      <c r="KG59" s="201"/>
      <c r="KH59" s="201"/>
      <c r="KI59" s="201"/>
      <c r="KJ59" s="201"/>
      <c r="KK59" s="201"/>
      <c r="KL59" s="201"/>
      <c r="KM59" s="201"/>
      <c r="KN59" s="201"/>
      <c r="KO59" s="201"/>
      <c r="KP59" s="201"/>
      <c r="KQ59" s="201"/>
      <c r="KR59" s="201"/>
      <c r="KS59" s="201"/>
      <c r="KT59" s="201"/>
      <c r="KU59" s="201"/>
      <c r="KV59" s="201"/>
      <c r="KW59" s="201"/>
      <c r="KX59" s="201"/>
      <c r="KY59" s="201"/>
      <c r="KZ59" s="201"/>
      <c r="LA59" s="201"/>
      <c r="LB59" s="201"/>
      <c r="LC59" s="201"/>
      <c r="LD59" s="201"/>
      <c r="LE59" s="201"/>
      <c r="LF59" s="201"/>
      <c r="LG59" s="201"/>
      <c r="LH59" s="201"/>
      <c r="LI59" s="201"/>
      <c r="LJ59" s="201"/>
      <c r="LK59" s="201"/>
      <c r="LL59" s="201"/>
      <c r="LM59" s="201"/>
      <c r="LN59" s="201"/>
      <c r="LO59" s="201"/>
      <c r="LP59" s="201"/>
      <c r="LQ59" s="201"/>
      <c r="LR59" s="201"/>
      <c r="LS59" s="201"/>
      <c r="LT59" s="201"/>
      <c r="LU59" s="201"/>
      <c r="LV59" s="201"/>
      <c r="LW59" s="201"/>
      <c r="LX59" s="201"/>
      <c r="LY59" s="201"/>
      <c r="LZ59" s="201"/>
      <c r="MA59" s="201"/>
      <c r="MB59" s="201"/>
      <c r="MC59" s="201"/>
      <c r="MD59" s="201"/>
      <c r="ME59" s="201"/>
      <c r="MF59" s="201"/>
      <c r="MG59" s="201"/>
      <c r="MH59" s="201"/>
      <c r="MI59" s="201"/>
      <c r="MJ59" s="201"/>
      <c r="MK59" s="201"/>
      <c r="ML59" s="201"/>
      <c r="MM59" s="201"/>
      <c r="MN59" s="201"/>
      <c r="MO59" s="201"/>
      <c r="MP59" s="201"/>
      <c r="MQ59" s="201"/>
      <c r="MR59" s="201"/>
      <c r="MS59" s="201"/>
      <c r="MT59" s="201"/>
      <c r="MU59" s="201"/>
      <c r="MV59" s="201"/>
      <c r="MW59" s="201"/>
      <c r="MX59" s="201"/>
      <c r="MY59" s="201"/>
      <c r="MZ59" s="201"/>
      <c r="NA59" s="201"/>
      <c r="NB59" s="201"/>
      <c r="NC59" s="201"/>
      <c r="ND59" s="201"/>
      <c r="NE59" s="201"/>
      <c r="NF59" s="201"/>
      <c r="NG59" s="201"/>
      <c r="NH59" s="201"/>
      <c r="NI59" s="201"/>
      <c r="NJ59" s="201"/>
      <c r="NK59" s="201"/>
      <c r="NL59" s="201"/>
      <c r="NM59" s="201"/>
      <c r="NN59" s="201"/>
      <c r="NO59" s="201"/>
      <c r="NP59" s="201"/>
      <c r="NQ59" s="201"/>
      <c r="NR59" s="201"/>
      <c r="NS59" s="201"/>
      <c r="NT59" s="201"/>
      <c r="NU59" s="201"/>
      <c r="NV59" s="201"/>
      <c r="NW59" s="201"/>
      <c r="NX59" s="201"/>
      <c r="NY59" s="201"/>
      <c r="NZ59" s="201"/>
      <c r="OA59" s="201"/>
      <c r="OB59" s="201"/>
      <c r="OC59" s="201"/>
      <c r="OD59" s="201"/>
      <c r="OE59" s="201"/>
      <c r="OF59" s="201"/>
      <c r="OG59" s="201"/>
      <c r="OH59" s="201"/>
      <c r="OI59" s="201"/>
      <c r="OJ59" s="201"/>
      <c r="OK59" s="201"/>
      <c r="OL59" s="201"/>
      <c r="OM59" s="201"/>
      <c r="ON59" s="201"/>
      <c r="OO59" s="201"/>
      <c r="OP59" s="201"/>
      <c r="OQ59" s="201"/>
      <c r="OR59" s="201"/>
      <c r="OS59" s="201"/>
      <c r="OT59" s="201"/>
      <c r="OU59" s="201"/>
      <c r="OV59" s="201"/>
      <c r="OW59" s="201"/>
      <c r="OX59" s="201"/>
      <c r="OY59" s="201"/>
      <c r="OZ59" s="201"/>
      <c r="PA59" s="201"/>
      <c r="PB59" s="201"/>
      <c r="PC59" s="201"/>
      <c r="PD59" s="201"/>
      <c r="PE59" s="201"/>
      <c r="PF59" s="201"/>
      <c r="PG59" s="201"/>
      <c r="PH59" s="201"/>
      <c r="PI59" s="201"/>
      <c r="PJ59" s="201"/>
      <c r="PK59" s="201"/>
      <c r="PL59" s="201"/>
      <c r="PM59" s="201"/>
      <c r="PN59" s="201"/>
      <c r="PO59" s="201"/>
      <c r="PP59" s="201"/>
      <c r="PQ59" s="201"/>
      <c r="PR59" s="201"/>
      <c r="PS59" s="201"/>
      <c r="PT59" s="201"/>
      <c r="PU59" s="201"/>
      <c r="PV59" s="201"/>
      <c r="PW59" s="201"/>
      <c r="PX59" s="201"/>
      <c r="PY59" s="201"/>
      <c r="PZ59" s="201"/>
      <c r="QA59" s="201"/>
      <c r="QB59" s="201"/>
      <c r="QC59" s="201"/>
      <c r="QD59" s="201"/>
      <c r="QE59" s="201"/>
      <c r="QF59" s="201"/>
      <c r="QG59" s="201"/>
      <c r="QH59" s="201"/>
      <c r="QI59" s="201"/>
      <c r="QJ59" s="201"/>
      <c r="QK59" s="201"/>
      <c r="QL59" s="201"/>
      <c r="QM59" s="201"/>
      <c r="QN59" s="201"/>
      <c r="QO59" s="201"/>
      <c r="QP59" s="201"/>
      <c r="QQ59" s="201"/>
      <c r="QR59" s="201"/>
      <c r="QS59" s="201"/>
      <c r="QT59" s="201"/>
      <c r="QU59" s="201"/>
      <c r="QV59" s="201"/>
      <c r="QW59" s="201"/>
      <c r="QX59" s="201"/>
      <c r="QY59" s="201"/>
      <c r="QZ59" s="201"/>
      <c r="RA59" s="201"/>
      <c r="RB59" s="201"/>
      <c r="RC59" s="201"/>
      <c r="RD59" s="201"/>
      <c r="RE59" s="201"/>
      <c r="RF59" s="201"/>
      <c r="RG59" s="201"/>
      <c r="RH59" s="201"/>
      <c r="RI59" s="201"/>
      <c r="RJ59" s="201"/>
      <c r="RK59" s="201"/>
      <c r="RL59" s="201"/>
      <c r="RM59" s="201"/>
      <c r="RN59" s="201"/>
      <c r="RO59" s="201"/>
      <c r="RP59" s="201"/>
      <c r="RQ59" s="201"/>
      <c r="RR59" s="201"/>
      <c r="RS59" s="201"/>
      <c r="RT59" s="201"/>
      <c r="RU59" s="201"/>
      <c r="RV59" s="201"/>
      <c r="RW59" s="201"/>
      <c r="RX59" s="201"/>
      <c r="RY59" s="201"/>
      <c r="RZ59" s="201"/>
      <c r="SA59" s="201"/>
      <c r="SB59" s="201"/>
      <c r="SC59" s="201"/>
      <c r="SD59" s="201"/>
      <c r="SE59" s="201"/>
      <c r="SF59" s="201"/>
      <c r="SG59" s="201"/>
      <c r="SH59" s="201"/>
      <c r="SI59" s="201"/>
      <c r="SJ59" s="201"/>
      <c r="SK59" s="201"/>
      <c r="SL59" s="201"/>
      <c r="SM59" s="201"/>
      <c r="SN59" s="201"/>
      <c r="SO59" s="201"/>
      <c r="SP59" s="201"/>
      <c r="SQ59" s="201"/>
      <c r="SR59" s="201"/>
      <c r="SS59" s="201"/>
      <c r="ST59" s="201"/>
      <c r="SU59" s="201"/>
      <c r="SV59" s="201"/>
      <c r="SW59" s="201"/>
      <c r="SX59" s="201"/>
      <c r="SY59" s="201"/>
      <c r="SZ59" s="201"/>
      <c r="TA59" s="201"/>
      <c r="TB59" s="201"/>
      <c r="TC59" s="201"/>
      <c r="TD59" s="201"/>
      <c r="TE59" s="201"/>
      <c r="TF59" s="201"/>
      <c r="TG59" s="201"/>
      <c r="TH59" s="201"/>
      <c r="TI59" s="201"/>
      <c r="TJ59" s="201"/>
      <c r="TK59" s="201"/>
      <c r="TL59" s="201"/>
      <c r="TM59" s="201"/>
      <c r="TN59" s="201"/>
      <c r="TO59" s="201"/>
      <c r="TP59" s="201"/>
      <c r="TQ59" s="201"/>
      <c r="TR59" s="201"/>
      <c r="TS59" s="201"/>
      <c r="TT59" s="201"/>
      <c r="TU59" s="201"/>
      <c r="TV59" s="201"/>
      <c r="TW59" s="201"/>
      <c r="TX59" s="201"/>
      <c r="TY59" s="201"/>
      <c r="TZ59" s="201"/>
      <c r="UA59" s="201"/>
      <c r="UB59" s="201"/>
      <c r="UC59" s="201"/>
      <c r="UD59" s="201"/>
      <c r="UE59" s="201"/>
      <c r="UF59" s="201"/>
      <c r="UG59" s="201"/>
      <c r="UH59" s="201"/>
      <c r="UI59" s="201"/>
      <c r="UJ59" s="201"/>
      <c r="UK59" s="201"/>
      <c r="UL59" s="201"/>
      <c r="UM59" s="201"/>
      <c r="UN59" s="201"/>
      <c r="UO59" s="201"/>
      <c r="UP59" s="201"/>
      <c r="UQ59" s="201"/>
      <c r="UR59" s="201"/>
      <c r="US59" s="201"/>
      <c r="UT59" s="201"/>
      <c r="UU59" s="201"/>
      <c r="UV59" s="201"/>
      <c r="UW59" s="201"/>
      <c r="UX59" s="201"/>
      <c r="UY59" s="201"/>
      <c r="UZ59" s="201"/>
      <c r="VA59" s="201"/>
      <c r="VB59" s="201"/>
      <c r="VC59" s="201"/>
      <c r="VD59" s="201"/>
      <c r="VE59" s="201"/>
      <c r="VF59" s="201"/>
      <c r="VG59" s="201"/>
      <c r="VH59" s="201"/>
      <c r="VI59" s="201"/>
      <c r="VJ59" s="201"/>
      <c r="VK59" s="201"/>
      <c r="VL59" s="201"/>
      <c r="VM59" s="201"/>
      <c r="VN59" s="201"/>
      <c r="VO59" s="201"/>
      <c r="VP59" s="201"/>
      <c r="VQ59" s="201"/>
      <c r="VR59" s="201"/>
      <c r="VS59" s="201"/>
      <c r="VT59" s="201"/>
      <c r="VU59" s="201"/>
      <c r="VV59" s="201"/>
      <c r="VW59" s="201"/>
      <c r="VX59" s="201"/>
      <c r="VY59" s="201"/>
      <c r="VZ59" s="201"/>
      <c r="WA59" s="201"/>
      <c r="WB59" s="201"/>
      <c r="WC59" s="201"/>
      <c r="WD59" s="201"/>
      <c r="WE59" s="201"/>
      <c r="WF59" s="201"/>
      <c r="WG59" s="201"/>
      <c r="WH59" s="201"/>
      <c r="WI59" s="201"/>
      <c r="WJ59" s="201"/>
      <c r="WK59" s="201"/>
      <c r="WL59" s="201"/>
      <c r="WM59" s="201"/>
      <c r="WN59" s="201"/>
      <c r="WO59" s="201"/>
      <c r="WP59" s="201"/>
      <c r="WQ59" s="201"/>
      <c r="WR59" s="201"/>
      <c r="WS59" s="201"/>
      <c r="WT59" s="201"/>
      <c r="WU59" s="201"/>
      <c r="WV59" s="201"/>
      <c r="WW59" s="201"/>
      <c r="WX59" s="201"/>
      <c r="WY59" s="201"/>
      <c r="WZ59" s="201"/>
      <c r="XA59" s="201"/>
      <c r="XB59" s="201"/>
      <c r="XC59" s="201"/>
      <c r="XD59" s="201"/>
      <c r="XE59" s="201"/>
      <c r="XF59" s="201"/>
      <c r="XG59" s="201"/>
      <c r="XH59" s="201"/>
      <c r="XI59" s="201"/>
      <c r="XJ59" s="201"/>
      <c r="XK59" s="201"/>
      <c r="XL59" s="201"/>
      <c r="XM59" s="201"/>
      <c r="XN59" s="201"/>
      <c r="XO59" s="201"/>
      <c r="XP59" s="201"/>
      <c r="XQ59" s="201"/>
      <c r="XR59" s="201"/>
      <c r="XS59" s="201"/>
      <c r="XT59" s="201"/>
      <c r="XU59" s="201"/>
      <c r="XV59" s="201"/>
      <c r="XW59" s="201"/>
      <c r="XX59" s="201"/>
      <c r="XY59" s="201"/>
      <c r="XZ59" s="201"/>
      <c r="YA59" s="201"/>
      <c r="YB59" s="201"/>
      <c r="YC59" s="201"/>
      <c r="YD59" s="201"/>
      <c r="YE59" s="201"/>
      <c r="YF59" s="201"/>
      <c r="YG59" s="201"/>
      <c r="YH59" s="201"/>
      <c r="YI59" s="201"/>
      <c r="YJ59" s="201"/>
      <c r="YK59" s="201"/>
      <c r="YL59" s="201"/>
      <c r="YM59" s="201"/>
      <c r="YN59" s="201"/>
      <c r="YO59" s="201"/>
      <c r="YP59" s="201"/>
      <c r="YQ59" s="201"/>
      <c r="YR59" s="201"/>
      <c r="YS59" s="201"/>
      <c r="YT59" s="201"/>
      <c r="YU59" s="201"/>
      <c r="YV59" s="201"/>
      <c r="YW59" s="201"/>
      <c r="YX59" s="201"/>
      <c r="YY59" s="201"/>
      <c r="YZ59" s="201"/>
      <c r="ZA59" s="201"/>
      <c r="ZB59" s="201"/>
      <c r="ZC59" s="201"/>
      <c r="ZD59" s="201"/>
      <c r="ZE59" s="201"/>
      <c r="ZF59" s="201"/>
      <c r="ZG59" s="201"/>
      <c r="ZH59" s="201"/>
      <c r="ZI59" s="201"/>
      <c r="ZJ59" s="201"/>
      <c r="ZK59" s="201"/>
      <c r="ZL59" s="201"/>
      <c r="ZM59" s="201"/>
      <c r="ZN59" s="201"/>
      <c r="ZO59" s="201"/>
      <c r="ZP59" s="201"/>
      <c r="ZQ59" s="201"/>
      <c r="ZR59" s="201"/>
      <c r="ZS59" s="201"/>
      <c r="ZT59" s="201"/>
      <c r="ZU59" s="201"/>
      <c r="ZV59" s="201"/>
      <c r="ZW59" s="201"/>
      <c r="ZX59" s="201"/>
      <c r="ZY59" s="201"/>
      <c r="ZZ59" s="201"/>
      <c r="AAA59" s="201"/>
      <c r="AAB59" s="201"/>
      <c r="AAC59" s="201"/>
      <c r="AAD59" s="201"/>
      <c r="AAE59" s="201"/>
      <c r="AAF59" s="201"/>
      <c r="AAG59" s="201"/>
      <c r="AAH59" s="201"/>
      <c r="AAI59" s="201"/>
      <c r="AAJ59" s="201"/>
      <c r="AAK59" s="201"/>
      <c r="AAL59" s="201"/>
      <c r="AAM59" s="201"/>
      <c r="AAN59" s="201"/>
      <c r="AAO59" s="201"/>
      <c r="AAP59" s="201"/>
      <c r="AAQ59" s="201"/>
      <c r="AAR59" s="201"/>
      <c r="AAS59" s="201"/>
      <c r="AAT59" s="201"/>
      <c r="AAU59" s="201"/>
      <c r="AAV59" s="201"/>
      <c r="AAW59" s="201"/>
      <c r="AAX59" s="201"/>
      <c r="AAY59" s="201"/>
      <c r="AAZ59" s="201"/>
      <c r="ABA59" s="201"/>
      <c r="ABB59" s="201"/>
      <c r="ABC59" s="201"/>
      <c r="ABD59" s="201"/>
      <c r="ABE59" s="201"/>
      <c r="ABF59" s="201"/>
      <c r="ABG59" s="201"/>
      <c r="ABH59" s="201"/>
      <c r="ABI59" s="201"/>
      <c r="ABJ59" s="201"/>
      <c r="ABK59" s="201"/>
      <c r="ABL59" s="201"/>
      <c r="ABM59" s="201"/>
      <c r="ABN59" s="201"/>
      <c r="ABO59" s="201"/>
      <c r="ABP59" s="201"/>
      <c r="ABQ59" s="201"/>
      <c r="ABR59" s="201"/>
      <c r="ABS59" s="201"/>
      <c r="ABT59" s="201"/>
      <c r="ABU59" s="201"/>
      <c r="ABV59" s="201"/>
      <c r="ABW59" s="201"/>
      <c r="ABX59" s="201"/>
      <c r="ABY59" s="201"/>
      <c r="ABZ59" s="201"/>
      <c r="ACA59" s="201"/>
      <c r="ACB59" s="201"/>
      <c r="ACC59" s="201"/>
      <c r="ACD59" s="201"/>
      <c r="ACE59" s="201"/>
      <c r="ACF59" s="201"/>
      <c r="ACG59" s="201"/>
      <c r="ACH59" s="201"/>
      <c r="ACI59" s="201"/>
      <c r="ACJ59" s="201"/>
      <c r="ACK59" s="201"/>
      <c r="ACL59" s="201"/>
      <c r="ACM59" s="201"/>
      <c r="ACN59" s="201"/>
      <c r="ACO59" s="201"/>
      <c r="ACP59" s="201"/>
      <c r="ACQ59" s="201"/>
      <c r="ACR59" s="201"/>
      <c r="ACS59" s="201"/>
      <c r="ACT59" s="201"/>
      <c r="ACU59" s="201"/>
      <c r="ACV59" s="201"/>
      <c r="ACW59" s="201"/>
      <c r="ACX59" s="201"/>
      <c r="ACY59" s="201"/>
      <c r="ACZ59" s="201"/>
      <c r="ADA59" s="201"/>
      <c r="ADB59" s="201"/>
      <c r="ADC59" s="201"/>
      <c r="ADD59" s="201"/>
      <c r="ADE59" s="201"/>
      <c r="ADF59" s="201"/>
      <c r="ADG59" s="201"/>
      <c r="ADH59" s="201"/>
      <c r="ADI59" s="201"/>
      <c r="ADJ59" s="201"/>
      <c r="ADK59" s="201"/>
      <c r="ADL59" s="201"/>
      <c r="ADM59" s="201"/>
      <c r="ADN59" s="201"/>
      <c r="ADO59" s="201"/>
      <c r="ADP59" s="201"/>
      <c r="ADQ59" s="201"/>
      <c r="ADR59" s="201"/>
      <c r="ADS59" s="201"/>
      <c r="ADT59" s="201"/>
      <c r="ADU59" s="201"/>
      <c r="ADV59" s="201"/>
      <c r="ADW59" s="201"/>
      <c r="ADX59" s="201"/>
      <c r="ADY59" s="201"/>
      <c r="ADZ59" s="201"/>
      <c r="AEA59" s="201"/>
      <c r="AEB59" s="201"/>
      <c r="AEC59" s="201"/>
      <c r="AED59" s="201"/>
      <c r="AEE59" s="201"/>
      <c r="AEF59" s="201"/>
      <c r="AEG59" s="201"/>
      <c r="AEH59" s="201"/>
      <c r="AEI59" s="201"/>
      <c r="AEJ59" s="201"/>
      <c r="AEK59" s="201"/>
      <c r="AEL59" s="201"/>
      <c r="AEM59" s="201"/>
      <c r="AEN59" s="201"/>
      <c r="AEO59" s="201"/>
      <c r="AEP59" s="201"/>
      <c r="AEQ59" s="201"/>
      <c r="AER59" s="201"/>
      <c r="AES59" s="201"/>
      <c r="AET59" s="201"/>
      <c r="AEU59" s="201"/>
      <c r="AEV59" s="201"/>
      <c r="AEW59" s="201"/>
      <c r="AEX59" s="201"/>
      <c r="AEY59" s="201"/>
      <c r="AEZ59" s="201"/>
      <c r="AFA59" s="201"/>
      <c r="AFB59" s="201"/>
      <c r="AFC59" s="201"/>
      <c r="AFD59" s="201"/>
      <c r="AFE59" s="201"/>
      <c r="AFF59" s="201"/>
      <c r="AFG59" s="201"/>
      <c r="AFH59" s="201"/>
      <c r="AFI59" s="201"/>
      <c r="AFJ59" s="201"/>
      <c r="AFK59" s="201"/>
      <c r="AFL59" s="201"/>
      <c r="AFM59" s="201"/>
      <c r="AFN59" s="201"/>
      <c r="AFO59" s="201"/>
      <c r="AFP59" s="201"/>
      <c r="AFQ59" s="201"/>
      <c r="AFR59" s="201"/>
      <c r="AFS59" s="201"/>
      <c r="AFT59" s="201"/>
      <c r="AFU59" s="201"/>
      <c r="AFV59" s="201"/>
      <c r="AFW59" s="201"/>
      <c r="AFX59" s="201"/>
      <c r="AFY59" s="201"/>
      <c r="AFZ59" s="201"/>
      <c r="AGA59" s="201"/>
      <c r="AGB59" s="201"/>
      <c r="AGC59" s="201"/>
      <c r="AGD59" s="201"/>
      <c r="AGE59" s="201"/>
      <c r="AGF59" s="201"/>
      <c r="AGG59" s="201"/>
      <c r="AGH59" s="201"/>
      <c r="AGI59" s="201"/>
      <c r="AGJ59" s="201"/>
      <c r="AGK59" s="201"/>
      <c r="AGL59" s="201"/>
      <c r="AGM59" s="201"/>
      <c r="AGN59" s="201"/>
      <c r="AGO59" s="201"/>
      <c r="AGP59" s="201"/>
      <c r="AGQ59" s="201"/>
      <c r="AGR59" s="201"/>
      <c r="AGS59" s="201"/>
      <c r="AGT59" s="201"/>
      <c r="AGU59" s="201"/>
      <c r="AGV59" s="201"/>
      <c r="AGW59" s="201"/>
      <c r="AGX59" s="201"/>
      <c r="AGY59" s="201"/>
      <c r="AGZ59" s="201"/>
      <c r="AHA59" s="201"/>
      <c r="AHB59" s="201"/>
      <c r="AHC59" s="201"/>
      <c r="AHD59" s="201"/>
      <c r="AHE59" s="201"/>
      <c r="AHF59" s="201"/>
      <c r="AHG59" s="201"/>
      <c r="AHH59" s="201"/>
      <c r="AHI59" s="201"/>
      <c r="AHJ59" s="201"/>
      <c r="AHK59" s="201"/>
      <c r="AHL59" s="201"/>
      <c r="AHM59" s="201"/>
      <c r="AHN59" s="201"/>
      <c r="AHO59" s="201"/>
      <c r="AHP59" s="201"/>
      <c r="AHQ59" s="201"/>
      <c r="AHR59" s="201"/>
      <c r="AHS59" s="201"/>
      <c r="AHT59" s="201"/>
      <c r="AHU59" s="201"/>
      <c r="AHV59" s="201"/>
      <c r="AHW59" s="201"/>
      <c r="AHX59" s="201"/>
      <c r="AHY59" s="201"/>
      <c r="AHZ59" s="201"/>
      <c r="AIA59" s="201"/>
      <c r="AIB59" s="201"/>
      <c r="AIC59" s="201"/>
      <c r="AID59" s="201"/>
      <c r="AIE59" s="201"/>
      <c r="AIF59" s="201"/>
      <c r="AIG59" s="201"/>
      <c r="AIH59" s="201"/>
      <c r="AII59" s="201"/>
      <c r="AIJ59" s="201"/>
      <c r="AIK59" s="201"/>
      <c r="AIL59" s="201"/>
      <c r="AIM59" s="201"/>
      <c r="AIN59" s="201"/>
      <c r="AIO59" s="201"/>
      <c r="AIP59" s="201"/>
      <c r="AIQ59" s="201"/>
      <c r="AIR59" s="201"/>
      <c r="AIS59" s="201"/>
      <c r="AIT59" s="201"/>
      <c r="AIU59" s="201"/>
      <c r="AIV59" s="201"/>
      <c r="AIW59" s="201"/>
      <c r="AIX59" s="201"/>
      <c r="AIY59" s="201"/>
      <c r="AIZ59" s="201"/>
      <c r="AJA59" s="201"/>
      <c r="AJB59" s="201"/>
      <c r="AJC59" s="201"/>
      <c r="AJD59" s="201"/>
      <c r="AJE59" s="201"/>
      <c r="AJF59" s="201"/>
      <c r="AJG59" s="201"/>
      <c r="AJH59" s="201"/>
      <c r="AJI59" s="201"/>
      <c r="AJJ59" s="201"/>
      <c r="AJK59" s="201"/>
      <c r="AJL59" s="201"/>
      <c r="AJM59" s="201"/>
      <c r="AJN59" s="201"/>
      <c r="AJO59" s="201"/>
      <c r="AJP59" s="201"/>
      <c r="AJQ59" s="201"/>
      <c r="AJR59" s="201"/>
      <c r="AJS59" s="201"/>
      <c r="AJT59" s="201"/>
      <c r="AJU59" s="201"/>
      <c r="AJV59" s="201"/>
      <c r="AJW59" s="201"/>
      <c r="AJX59" s="201"/>
      <c r="AJY59" s="201"/>
    </row>
    <row r="60" ht="25.5" customHeight="1" spans="1:961" s="272" customFormat="1" x14ac:dyDescent="0.25">
      <c r="A60" s="273"/>
      <c r="B60" s="100" t="s">
        <v>103</v>
      </c>
      <c r="C60" s="274"/>
      <c r="D60" s="102"/>
      <c r="E60" s="103">
        <v>5</v>
      </c>
      <c r="F60" s="104">
        <f t="shared" si="426"/>
        <v>0</v>
      </c>
      <c r="G60" s="102"/>
      <c r="H60" s="103">
        <v>5</v>
      </c>
      <c r="I60" s="104">
        <f t="shared" si="427"/>
        <v>0</v>
      </c>
      <c r="J60" s="105"/>
      <c r="K60" s="103">
        <v>5</v>
      </c>
      <c r="L60" s="104">
        <f t="shared" si="428"/>
        <v>0</v>
      </c>
      <c r="M60" s="105"/>
      <c r="N60" s="103">
        <v>5</v>
      </c>
      <c r="O60" s="104">
        <f t="shared" si="429"/>
        <v>0</v>
      </c>
      <c r="P60" s="106"/>
      <c r="Q60" s="107">
        <v>5</v>
      </c>
      <c r="R60" s="104">
        <f t="shared" si="430"/>
        <v>0</v>
      </c>
      <c r="S60" s="102"/>
      <c r="T60" s="107">
        <v>5</v>
      </c>
      <c r="U60" s="104">
        <f t="shared" si="431"/>
        <v>0</v>
      </c>
      <c r="V60" s="102"/>
      <c r="W60" s="107">
        <v>5</v>
      </c>
      <c r="X60" s="104">
        <f t="shared" si="432"/>
        <v>0</v>
      </c>
      <c r="Y60" s="102"/>
      <c r="Z60" s="107">
        <v>5</v>
      </c>
      <c r="AA60" s="104">
        <f t="shared" si="433"/>
        <v>0</v>
      </c>
      <c r="AB60" s="106"/>
      <c r="AC60" s="107">
        <v>5</v>
      </c>
      <c r="AD60" s="104">
        <f t="shared" si="434"/>
        <v>0</v>
      </c>
      <c r="AE60" s="106"/>
      <c r="AF60" s="107">
        <v>5</v>
      </c>
      <c r="AG60" s="104">
        <f t="shared" si="435"/>
        <v>0</v>
      </c>
      <c r="AH60" s="106"/>
      <c r="AI60" s="107">
        <v>5</v>
      </c>
      <c r="AJ60" s="104">
        <f t="shared" si="436"/>
        <v>0</v>
      </c>
      <c r="AK60" s="106"/>
      <c r="AL60" s="107">
        <v>5</v>
      </c>
      <c r="AM60" s="104">
        <f t="shared" si="437"/>
        <v>0</v>
      </c>
      <c r="AN60" s="102"/>
      <c r="AO60" s="1">
        <v>5</v>
      </c>
      <c r="AP60" s="104">
        <f t="shared" si="438"/>
        <v>0</v>
      </c>
      <c r="AQ60" s="102"/>
      <c r="AR60" s="1">
        <v>5</v>
      </c>
      <c r="AS60" s="104">
        <f t="shared" si="439"/>
        <v>0</v>
      </c>
      <c r="AT60" s="102"/>
      <c r="AU60" s="1">
        <v>5</v>
      </c>
      <c r="AV60" s="104">
        <f t="shared" si="440"/>
        <v>0</v>
      </c>
      <c r="AW60" s="102"/>
      <c r="AX60" s="1">
        <v>5</v>
      </c>
      <c r="AY60" s="104">
        <f t="shared" si="441"/>
        <v>0</v>
      </c>
      <c r="AZ60" s="102"/>
      <c r="BA60" s="1">
        <v>5</v>
      </c>
      <c r="BB60" s="104">
        <f t="shared" si="442"/>
        <v>0</v>
      </c>
      <c r="BC60" s="102"/>
      <c r="BD60" s="1">
        <v>5</v>
      </c>
      <c r="BE60" s="104">
        <f t="shared" si="443"/>
        <v>0</v>
      </c>
      <c r="BF60" s="102"/>
      <c r="BG60" s="1">
        <v>5</v>
      </c>
      <c r="BH60" s="104">
        <f t="shared" si="444"/>
        <v>0</v>
      </c>
      <c r="BI60" s="102"/>
      <c r="BJ60" s="1">
        <v>5</v>
      </c>
      <c r="BK60" s="104">
        <f t="shared" si="445"/>
        <v>0</v>
      </c>
      <c r="BL60" s="102"/>
      <c r="BM60" s="1">
        <v>5</v>
      </c>
      <c r="BN60" s="104">
        <f t="shared" si="446"/>
        <v>0</v>
      </c>
      <c r="BO60" s="102"/>
      <c r="BP60" s="1">
        <v>5</v>
      </c>
      <c r="BQ60" s="104">
        <f t="shared" si="447"/>
        <v>0</v>
      </c>
      <c r="BR60" s="102"/>
      <c r="BS60" s="1">
        <v>5</v>
      </c>
      <c r="BT60" s="104">
        <f t="shared" si="448"/>
        <v>0</v>
      </c>
      <c r="BU60" s="102"/>
      <c r="BV60" s="1">
        <v>5</v>
      </c>
      <c r="BW60" s="104">
        <f t="shared" si="449"/>
        <v>0</v>
      </c>
      <c r="BX60" s="102"/>
      <c r="BY60" s="1">
        <v>5</v>
      </c>
      <c r="BZ60" s="104">
        <f t="shared" si="450"/>
        <v>0</v>
      </c>
      <c r="CA60" s="102"/>
      <c r="CB60" s="1">
        <v>5</v>
      </c>
      <c r="CC60" s="104">
        <f t="shared" si="451"/>
        <v>0</v>
      </c>
      <c r="CD60" s="102"/>
      <c r="CE60" s="1">
        <v>5</v>
      </c>
      <c r="CF60" s="104">
        <f t="shared" si="452"/>
        <v>0</v>
      </c>
      <c r="CG60" s="102"/>
      <c r="CH60" s="1">
        <v>5</v>
      </c>
      <c r="CI60" s="104">
        <f t="shared" si="453"/>
        <v>0</v>
      </c>
      <c r="CJ60" s="102"/>
      <c r="CK60" s="1">
        <v>5</v>
      </c>
      <c r="CL60" s="104">
        <f t="shared" si="454"/>
        <v>0</v>
      </c>
      <c r="CM60" s="102"/>
      <c r="CN60" s="1">
        <v>5</v>
      </c>
      <c r="CO60" s="104">
        <f t="shared" si="455"/>
        <v>0</v>
      </c>
      <c r="CP60" s="102"/>
      <c r="CQ60" s="1">
        <v>5</v>
      </c>
      <c r="CR60" s="104">
        <f t="shared" si="456"/>
        <v>0</v>
      </c>
      <c r="CS60" s="102"/>
      <c r="CT60" s="1">
        <v>5</v>
      </c>
      <c r="CU60" s="104">
        <f t="shared" si="457"/>
        <v>0</v>
      </c>
      <c r="CV60" s="102"/>
      <c r="CW60" s="1">
        <v>5</v>
      </c>
      <c r="CX60" s="104">
        <f t="shared" si="458"/>
        <v>0</v>
      </c>
      <c r="CY60" s="102"/>
      <c r="CZ60" s="1">
        <v>5</v>
      </c>
      <c r="DA60" s="104">
        <f t="shared" si="459"/>
        <v>0</v>
      </c>
      <c r="DB60" s="102"/>
      <c r="DC60" s="1">
        <v>5</v>
      </c>
      <c r="DD60" s="104">
        <f t="shared" si="460"/>
        <v>0</v>
      </c>
      <c r="DE60" s="102"/>
      <c r="DF60" s="1">
        <v>5</v>
      </c>
      <c r="DG60" s="104">
        <f t="shared" si="461"/>
        <v>0</v>
      </c>
      <c r="DH60" s="102"/>
      <c r="DI60" s="1">
        <v>5</v>
      </c>
      <c r="DJ60" s="104">
        <f t="shared" si="462"/>
        <v>0</v>
      </c>
      <c r="DK60" s="102"/>
      <c r="DL60" s="1">
        <v>5</v>
      </c>
      <c r="DM60" s="104">
        <f t="shared" si="463"/>
        <v>0</v>
      </c>
      <c r="DN60" s="102"/>
      <c r="DO60" s="1">
        <v>5</v>
      </c>
      <c r="DP60" s="104">
        <f t="shared" si="464"/>
        <v>0</v>
      </c>
      <c r="DQ60" s="102"/>
      <c r="DR60" s="1">
        <v>5</v>
      </c>
      <c r="DS60" s="104">
        <f t="shared" si="465"/>
        <v>0</v>
      </c>
      <c r="DT60" s="102"/>
      <c r="DU60" s="1">
        <v>5</v>
      </c>
      <c r="DV60" s="104">
        <f t="shared" si="466"/>
        <v>0</v>
      </c>
      <c r="DW60" s="102"/>
      <c r="DX60" s="1">
        <v>5</v>
      </c>
      <c r="DY60" s="104">
        <f t="shared" si="467"/>
        <v>0</v>
      </c>
      <c r="DZ60" s="102"/>
      <c r="EA60" s="1">
        <v>5</v>
      </c>
      <c r="EB60" s="104">
        <f t="shared" si="468"/>
        <v>0</v>
      </c>
      <c r="EC60" s="102"/>
      <c r="ED60" s="1">
        <v>5</v>
      </c>
      <c r="EE60" s="104">
        <f t="shared" si="469"/>
        <v>0</v>
      </c>
      <c r="EF60" s="102"/>
      <c r="EG60" s="1">
        <v>5</v>
      </c>
      <c r="EH60" s="104">
        <f t="shared" si="470"/>
        <v>0</v>
      </c>
      <c r="EI60" s="102"/>
      <c r="EJ60" s="1">
        <v>5</v>
      </c>
      <c r="EK60" s="104">
        <f t="shared" si="471"/>
        <v>0</v>
      </c>
      <c r="EL60" s="102"/>
      <c r="EM60" s="1">
        <v>5</v>
      </c>
      <c r="EN60" s="104">
        <f t="shared" si="472"/>
        <v>0</v>
      </c>
      <c r="EO60" s="90">
        <v>0</v>
      </c>
      <c r="EP60" s="96">
        <v>5</v>
      </c>
      <c r="EQ60" s="104">
        <f>IFERROR(EO60/EP60,0)</f>
        <v>0</v>
      </c>
      <c r="ER60" s="85">
        <f t="array" ref="ER60">IFERROR(_xlfn.LET(
_xlpm.datos,CHOOSE({1;2;3;4;5;6;7;8;9;10;11;12;13;13;14;15;16;17;18;19;20;21;22;23;23;24;25;26;27;28;29;30;31;32;33;34;35;36;37;38;39;40;41;42;43;44;45;46;47;48},F60,I60,L60,O60,R60,U60,X60,AA60,AD60,AG60,AJ60,AM60,AP60,AS60,AV60,AY60,BB60,BE60,BH60,BK60,BN60,BQ60,BT60,BW60,BZ60,CC60,CF60,CI60,CL60,CO60,CR60,CU60,CX60,DA60,DD60,DG60,DJ60,DM60,DP60,DS60,DV60,DY60,EB60,EE60,EH60,EK60,EN60,EQ60),
AVERAGE(_xlfn._xlws.FILTER(_xlpm.datos,(_xlpm.datos&lt;&gt;0)*(_xlpm.datos&lt;&gt;"")))
),0)</f>
        <v>0</v>
      </c>
      <c r="ES60" s="162" t="str">
        <f t="array" ref="ES60">_xlfn.IFS(ER60&gt;=91.5%,"MENSUAL",ER60&gt;=75%,"QUINCENAL",ER60&lt;75%,"SEMANAL")</f>
        <v>SEMANAL</v>
      </c>
      <c r="ET60" s="239"/>
      <c r="EU60" s="201"/>
      <c r="EV60" s="201"/>
      <c r="EW60" s="201"/>
      <c r="EX60" s="201"/>
      <c r="EY60" s="201"/>
      <c r="EZ60" s="201"/>
      <c r="FA60" s="201"/>
      <c r="FB60" s="201"/>
      <c r="FC60" s="201"/>
      <c r="FD60" s="201"/>
      <c r="FE60" s="201"/>
      <c r="FF60" s="201"/>
      <c r="FG60" s="201"/>
      <c r="FH60" s="201"/>
      <c r="FI60" s="201"/>
      <c r="FJ60" s="201"/>
      <c r="FK60" s="201"/>
      <c r="FL60" s="201"/>
      <c r="FM60" s="201"/>
      <c r="FN60" s="201"/>
      <c r="FO60" s="201"/>
      <c r="FP60" s="201"/>
      <c r="FQ60" s="201"/>
      <c r="FR60" s="201"/>
      <c r="FS60" s="201"/>
      <c r="FT60" s="201"/>
      <c r="FU60" s="201"/>
      <c r="FV60" s="201"/>
      <c r="FW60" s="201"/>
      <c r="FX60" s="201"/>
      <c r="FY60" s="201"/>
      <c r="FZ60" s="201"/>
      <c r="GA60" s="201"/>
      <c r="GB60" s="201"/>
      <c r="GC60" s="201"/>
      <c r="GD60" s="201"/>
      <c r="GE60" s="201"/>
      <c r="GF60" s="201"/>
      <c r="GG60" s="201"/>
      <c r="GH60" s="201"/>
      <c r="GI60" s="201"/>
      <c r="GJ60" s="201"/>
      <c r="GK60" s="201"/>
      <c r="GL60" s="201"/>
      <c r="GM60" s="201"/>
      <c r="GN60" s="201"/>
      <c r="GO60" s="201"/>
      <c r="GP60" s="201"/>
      <c r="GQ60" s="201"/>
      <c r="GR60" s="201"/>
      <c r="GS60" s="201"/>
      <c r="GT60" s="201"/>
      <c r="GU60" s="201"/>
      <c r="GV60" s="201"/>
      <c r="GW60" s="201"/>
      <c r="GX60" s="201"/>
      <c r="GY60" s="201"/>
      <c r="GZ60" s="201"/>
      <c r="HA60" s="201"/>
      <c r="HB60" s="201"/>
      <c r="HC60" s="201"/>
      <c r="HD60" s="201"/>
      <c r="HE60" s="201"/>
      <c r="HF60" s="201"/>
      <c r="HG60" s="201"/>
      <c r="HH60" s="201"/>
      <c r="HI60" s="201"/>
      <c r="HJ60" s="201"/>
      <c r="HK60" s="201"/>
      <c r="HL60" s="201"/>
      <c r="HM60" s="201"/>
      <c r="HN60" s="201"/>
      <c r="HO60" s="201"/>
      <c r="HP60" s="201"/>
      <c r="HQ60" s="201"/>
      <c r="HR60" s="201"/>
      <c r="HS60" s="201"/>
      <c r="HT60" s="201"/>
      <c r="HU60" s="201"/>
      <c r="HV60" s="201"/>
      <c r="HW60" s="201"/>
      <c r="HX60" s="201"/>
      <c r="HY60" s="201"/>
      <c r="HZ60" s="201"/>
      <c r="IA60" s="201"/>
      <c r="IB60" s="201"/>
      <c r="IC60" s="201"/>
      <c r="ID60" s="201"/>
      <c r="IE60" s="201"/>
      <c r="IF60" s="201"/>
      <c r="IG60" s="201"/>
      <c r="IH60" s="201"/>
      <c r="II60" s="201"/>
      <c r="IJ60" s="201"/>
      <c r="IK60" s="201"/>
      <c r="IL60" s="201"/>
      <c r="IM60" s="201"/>
      <c r="IN60" s="201"/>
      <c r="IO60" s="201"/>
      <c r="IP60" s="201"/>
      <c r="IQ60" s="201"/>
      <c r="IR60" s="201"/>
      <c r="IS60" s="201"/>
      <c r="IT60" s="201"/>
      <c r="IU60" s="201"/>
      <c r="IV60" s="201"/>
      <c r="IW60" s="201"/>
      <c r="IX60" s="201"/>
      <c r="IY60" s="201"/>
      <c r="IZ60" s="201"/>
      <c r="JA60" s="201"/>
      <c r="JB60" s="201"/>
      <c r="JC60" s="201"/>
      <c r="JD60" s="201"/>
      <c r="JE60" s="201"/>
      <c r="JF60" s="201"/>
      <c r="JG60" s="201"/>
      <c r="JH60" s="201"/>
      <c r="JI60" s="201"/>
      <c r="JJ60" s="201"/>
      <c r="JK60" s="201"/>
      <c r="JL60" s="201"/>
      <c r="JM60" s="201"/>
      <c r="JN60" s="201"/>
      <c r="JO60" s="201"/>
      <c r="JP60" s="201"/>
      <c r="JQ60" s="201"/>
      <c r="JR60" s="201"/>
      <c r="JS60" s="201"/>
      <c r="JT60" s="201"/>
      <c r="JU60" s="201"/>
      <c r="JV60" s="201"/>
      <c r="JW60" s="201"/>
      <c r="JX60" s="201"/>
      <c r="JY60" s="201"/>
      <c r="JZ60" s="201"/>
      <c r="KA60" s="201"/>
      <c r="KB60" s="201"/>
      <c r="KC60" s="201"/>
      <c r="KD60" s="201"/>
      <c r="KE60" s="201"/>
      <c r="KF60" s="201"/>
      <c r="KG60" s="201"/>
      <c r="KH60" s="201"/>
      <c r="KI60" s="201"/>
      <c r="KJ60" s="201"/>
      <c r="KK60" s="201"/>
      <c r="KL60" s="201"/>
      <c r="KM60" s="201"/>
      <c r="KN60" s="201"/>
      <c r="KO60" s="201"/>
      <c r="KP60" s="201"/>
      <c r="KQ60" s="201"/>
      <c r="KR60" s="201"/>
      <c r="KS60" s="201"/>
      <c r="KT60" s="201"/>
      <c r="KU60" s="201"/>
      <c r="KV60" s="201"/>
      <c r="KW60" s="201"/>
      <c r="KX60" s="201"/>
      <c r="KY60" s="201"/>
      <c r="KZ60" s="201"/>
      <c r="LA60" s="201"/>
      <c r="LB60" s="201"/>
      <c r="LC60" s="201"/>
      <c r="LD60" s="201"/>
      <c r="LE60" s="201"/>
      <c r="LF60" s="201"/>
      <c r="LG60" s="201"/>
      <c r="LH60" s="201"/>
      <c r="LI60" s="201"/>
      <c r="LJ60" s="201"/>
      <c r="LK60" s="201"/>
      <c r="LL60" s="201"/>
      <c r="LM60" s="201"/>
      <c r="LN60" s="201"/>
      <c r="LO60" s="201"/>
      <c r="LP60" s="201"/>
      <c r="LQ60" s="201"/>
      <c r="LR60" s="201"/>
      <c r="LS60" s="201"/>
      <c r="LT60" s="201"/>
      <c r="LU60" s="201"/>
      <c r="LV60" s="201"/>
      <c r="LW60" s="201"/>
      <c r="LX60" s="201"/>
      <c r="LY60" s="201"/>
      <c r="LZ60" s="201"/>
      <c r="MA60" s="201"/>
      <c r="MB60" s="201"/>
      <c r="MC60" s="201"/>
      <c r="MD60" s="201"/>
      <c r="ME60" s="201"/>
      <c r="MF60" s="201"/>
      <c r="MG60" s="201"/>
      <c r="MH60" s="201"/>
      <c r="MI60" s="201"/>
      <c r="MJ60" s="201"/>
      <c r="MK60" s="201"/>
      <c r="ML60" s="201"/>
      <c r="MM60" s="201"/>
      <c r="MN60" s="201"/>
      <c r="MO60" s="201"/>
      <c r="MP60" s="201"/>
      <c r="MQ60" s="201"/>
      <c r="MR60" s="201"/>
      <c r="MS60" s="201"/>
      <c r="MT60" s="201"/>
      <c r="MU60" s="201"/>
      <c r="MV60" s="201"/>
      <c r="MW60" s="201"/>
      <c r="MX60" s="201"/>
      <c r="MY60" s="201"/>
      <c r="MZ60" s="201"/>
      <c r="NA60" s="201"/>
      <c r="NB60" s="201"/>
      <c r="NC60" s="201"/>
      <c r="ND60" s="201"/>
      <c r="NE60" s="201"/>
      <c r="NF60" s="201"/>
      <c r="NG60" s="201"/>
      <c r="NH60" s="201"/>
      <c r="NI60" s="201"/>
      <c r="NJ60" s="201"/>
      <c r="NK60" s="201"/>
      <c r="NL60" s="201"/>
      <c r="NM60" s="201"/>
      <c r="NN60" s="201"/>
      <c r="NO60" s="201"/>
      <c r="NP60" s="201"/>
      <c r="NQ60" s="201"/>
      <c r="NR60" s="201"/>
      <c r="NS60" s="201"/>
      <c r="NT60" s="201"/>
      <c r="NU60" s="201"/>
      <c r="NV60" s="201"/>
      <c r="NW60" s="201"/>
      <c r="NX60" s="201"/>
      <c r="NY60" s="201"/>
      <c r="NZ60" s="201"/>
      <c r="OA60" s="201"/>
      <c r="OB60" s="201"/>
      <c r="OC60" s="201"/>
      <c r="OD60" s="201"/>
      <c r="OE60" s="201"/>
      <c r="OF60" s="201"/>
      <c r="OG60" s="201"/>
      <c r="OH60" s="201"/>
      <c r="OI60" s="201"/>
      <c r="OJ60" s="201"/>
      <c r="OK60" s="201"/>
      <c r="OL60" s="201"/>
      <c r="OM60" s="201"/>
      <c r="ON60" s="201"/>
      <c r="OO60" s="201"/>
      <c r="OP60" s="201"/>
      <c r="OQ60" s="201"/>
      <c r="OR60" s="201"/>
      <c r="OS60" s="201"/>
      <c r="OT60" s="201"/>
      <c r="OU60" s="201"/>
      <c r="OV60" s="201"/>
      <c r="OW60" s="201"/>
      <c r="OX60" s="201"/>
      <c r="OY60" s="201"/>
      <c r="OZ60" s="201"/>
      <c r="PA60" s="201"/>
      <c r="PB60" s="201"/>
      <c r="PC60" s="201"/>
      <c r="PD60" s="201"/>
      <c r="PE60" s="201"/>
      <c r="PF60" s="201"/>
      <c r="PG60" s="201"/>
      <c r="PH60" s="201"/>
      <c r="PI60" s="201"/>
      <c r="PJ60" s="201"/>
      <c r="PK60" s="201"/>
      <c r="PL60" s="201"/>
      <c r="PM60" s="201"/>
      <c r="PN60" s="201"/>
      <c r="PO60" s="201"/>
      <c r="PP60" s="201"/>
      <c r="PQ60" s="201"/>
      <c r="PR60" s="201"/>
      <c r="PS60" s="201"/>
      <c r="PT60" s="201"/>
      <c r="PU60" s="201"/>
      <c r="PV60" s="201"/>
      <c r="PW60" s="201"/>
      <c r="PX60" s="201"/>
      <c r="PY60" s="201"/>
      <c r="PZ60" s="201"/>
      <c r="QA60" s="201"/>
      <c r="QB60" s="201"/>
      <c r="QC60" s="201"/>
      <c r="QD60" s="201"/>
      <c r="QE60" s="201"/>
      <c r="QF60" s="201"/>
      <c r="QG60" s="201"/>
      <c r="QH60" s="201"/>
      <c r="QI60" s="201"/>
      <c r="QJ60" s="201"/>
      <c r="QK60" s="201"/>
      <c r="QL60" s="201"/>
      <c r="QM60" s="201"/>
      <c r="QN60" s="201"/>
      <c r="QO60" s="201"/>
      <c r="QP60" s="201"/>
      <c r="QQ60" s="201"/>
      <c r="QR60" s="201"/>
      <c r="QS60" s="201"/>
      <c r="QT60" s="201"/>
      <c r="QU60" s="201"/>
      <c r="QV60" s="201"/>
      <c r="QW60" s="201"/>
      <c r="QX60" s="201"/>
      <c r="QY60" s="201"/>
      <c r="QZ60" s="201"/>
      <c r="RA60" s="201"/>
      <c r="RB60" s="201"/>
      <c r="RC60" s="201"/>
      <c r="RD60" s="201"/>
      <c r="RE60" s="201"/>
      <c r="RF60" s="201"/>
      <c r="RG60" s="201"/>
      <c r="RH60" s="201"/>
      <c r="RI60" s="201"/>
      <c r="RJ60" s="201"/>
      <c r="RK60" s="201"/>
      <c r="RL60" s="201"/>
      <c r="RM60" s="201"/>
      <c r="RN60" s="201"/>
      <c r="RO60" s="201"/>
      <c r="RP60" s="201"/>
      <c r="RQ60" s="201"/>
      <c r="RR60" s="201"/>
      <c r="RS60" s="201"/>
      <c r="RT60" s="201"/>
      <c r="RU60" s="201"/>
      <c r="RV60" s="201"/>
      <c r="RW60" s="201"/>
      <c r="RX60" s="201"/>
      <c r="RY60" s="201"/>
      <c r="RZ60" s="201"/>
      <c r="SA60" s="201"/>
      <c r="SB60" s="201"/>
      <c r="SC60" s="201"/>
      <c r="SD60" s="201"/>
      <c r="SE60" s="201"/>
      <c r="SF60" s="201"/>
      <c r="SG60" s="201"/>
      <c r="SH60" s="201"/>
      <c r="SI60" s="201"/>
      <c r="SJ60" s="201"/>
      <c r="SK60" s="201"/>
      <c r="SL60" s="201"/>
      <c r="SM60" s="201"/>
      <c r="SN60" s="201"/>
      <c r="SO60" s="201"/>
      <c r="SP60" s="201"/>
      <c r="SQ60" s="201"/>
      <c r="SR60" s="201"/>
      <c r="SS60" s="201"/>
      <c r="ST60" s="201"/>
      <c r="SU60" s="201"/>
      <c r="SV60" s="201"/>
      <c r="SW60" s="201"/>
      <c r="SX60" s="201"/>
      <c r="SY60" s="201"/>
      <c r="SZ60" s="201"/>
      <c r="TA60" s="201"/>
      <c r="TB60" s="201"/>
      <c r="TC60" s="201"/>
      <c r="TD60" s="201"/>
      <c r="TE60" s="201"/>
      <c r="TF60" s="201"/>
      <c r="TG60" s="201"/>
      <c r="TH60" s="201"/>
      <c r="TI60" s="201"/>
      <c r="TJ60" s="201"/>
      <c r="TK60" s="201"/>
      <c r="TL60" s="201"/>
      <c r="TM60" s="201"/>
      <c r="TN60" s="201"/>
      <c r="TO60" s="201"/>
      <c r="TP60" s="201"/>
      <c r="TQ60" s="201"/>
      <c r="TR60" s="201"/>
      <c r="TS60" s="201"/>
      <c r="TT60" s="201"/>
      <c r="TU60" s="201"/>
      <c r="TV60" s="201"/>
      <c r="TW60" s="201"/>
      <c r="TX60" s="201"/>
      <c r="TY60" s="201"/>
      <c r="TZ60" s="201"/>
      <c r="UA60" s="201"/>
      <c r="UB60" s="201"/>
      <c r="UC60" s="201"/>
      <c r="UD60" s="201"/>
      <c r="UE60" s="201"/>
      <c r="UF60" s="201"/>
      <c r="UG60" s="201"/>
      <c r="UH60" s="201"/>
      <c r="UI60" s="201"/>
      <c r="UJ60" s="201"/>
      <c r="UK60" s="201"/>
      <c r="UL60" s="201"/>
      <c r="UM60" s="201"/>
      <c r="UN60" s="201"/>
      <c r="UO60" s="201"/>
      <c r="UP60" s="201"/>
      <c r="UQ60" s="201"/>
      <c r="UR60" s="201"/>
      <c r="US60" s="201"/>
      <c r="UT60" s="201"/>
      <c r="UU60" s="201"/>
      <c r="UV60" s="201"/>
      <c r="UW60" s="201"/>
      <c r="UX60" s="201"/>
      <c r="UY60" s="201"/>
      <c r="UZ60" s="201"/>
      <c r="VA60" s="201"/>
      <c r="VB60" s="201"/>
      <c r="VC60" s="201"/>
      <c r="VD60" s="201"/>
      <c r="VE60" s="201"/>
      <c r="VF60" s="201"/>
      <c r="VG60" s="201"/>
      <c r="VH60" s="201"/>
      <c r="VI60" s="201"/>
      <c r="VJ60" s="201"/>
      <c r="VK60" s="201"/>
      <c r="VL60" s="201"/>
      <c r="VM60" s="201"/>
      <c r="VN60" s="201"/>
      <c r="VO60" s="201"/>
      <c r="VP60" s="201"/>
      <c r="VQ60" s="201"/>
      <c r="VR60" s="201"/>
      <c r="VS60" s="201"/>
      <c r="VT60" s="201"/>
      <c r="VU60" s="201"/>
      <c r="VV60" s="201"/>
      <c r="VW60" s="201"/>
      <c r="VX60" s="201"/>
      <c r="VY60" s="201"/>
      <c r="VZ60" s="201"/>
      <c r="WA60" s="201"/>
      <c r="WB60" s="201"/>
      <c r="WC60" s="201"/>
      <c r="WD60" s="201"/>
      <c r="WE60" s="201"/>
      <c r="WF60" s="201"/>
      <c r="WG60" s="201"/>
      <c r="WH60" s="201"/>
      <c r="WI60" s="201"/>
      <c r="WJ60" s="201"/>
      <c r="WK60" s="201"/>
      <c r="WL60" s="201"/>
      <c r="WM60" s="201"/>
      <c r="WN60" s="201"/>
      <c r="WO60" s="201"/>
      <c r="WP60" s="201"/>
      <c r="WQ60" s="201"/>
      <c r="WR60" s="201"/>
      <c r="WS60" s="201"/>
      <c r="WT60" s="201"/>
      <c r="WU60" s="201"/>
      <c r="WV60" s="201"/>
      <c r="WW60" s="201"/>
      <c r="WX60" s="201"/>
      <c r="WY60" s="201"/>
      <c r="WZ60" s="201"/>
      <c r="XA60" s="201"/>
      <c r="XB60" s="201"/>
      <c r="XC60" s="201"/>
      <c r="XD60" s="201"/>
      <c r="XE60" s="201"/>
      <c r="XF60" s="201"/>
      <c r="XG60" s="201"/>
      <c r="XH60" s="201"/>
      <c r="XI60" s="201"/>
      <c r="XJ60" s="201"/>
      <c r="XK60" s="201"/>
      <c r="XL60" s="201"/>
      <c r="XM60" s="201"/>
      <c r="XN60" s="201"/>
      <c r="XO60" s="201"/>
      <c r="XP60" s="201"/>
      <c r="XQ60" s="201"/>
      <c r="XR60" s="201"/>
      <c r="XS60" s="201"/>
      <c r="XT60" s="201"/>
      <c r="XU60" s="201"/>
      <c r="XV60" s="201"/>
      <c r="XW60" s="201"/>
      <c r="XX60" s="201"/>
      <c r="XY60" s="201"/>
      <c r="XZ60" s="201"/>
      <c r="YA60" s="201"/>
      <c r="YB60" s="201"/>
      <c r="YC60" s="201"/>
      <c r="YD60" s="201"/>
      <c r="YE60" s="201"/>
      <c r="YF60" s="201"/>
      <c r="YG60" s="201"/>
      <c r="YH60" s="201"/>
      <c r="YI60" s="201"/>
      <c r="YJ60" s="201"/>
      <c r="YK60" s="201"/>
      <c r="YL60" s="201"/>
      <c r="YM60" s="201"/>
      <c r="YN60" s="201"/>
      <c r="YO60" s="201"/>
      <c r="YP60" s="201"/>
      <c r="YQ60" s="201"/>
      <c r="YR60" s="201"/>
      <c r="YS60" s="201"/>
      <c r="YT60" s="201"/>
      <c r="YU60" s="201"/>
      <c r="YV60" s="201"/>
      <c r="YW60" s="201"/>
      <c r="YX60" s="201"/>
      <c r="YY60" s="201"/>
      <c r="YZ60" s="201"/>
      <c r="ZA60" s="201"/>
      <c r="ZB60" s="201"/>
      <c r="ZC60" s="201"/>
      <c r="ZD60" s="201"/>
      <c r="ZE60" s="201"/>
      <c r="ZF60" s="201"/>
      <c r="ZG60" s="201"/>
      <c r="ZH60" s="201"/>
      <c r="ZI60" s="201"/>
      <c r="ZJ60" s="201"/>
      <c r="ZK60" s="201"/>
      <c r="ZL60" s="201"/>
      <c r="ZM60" s="201"/>
      <c r="ZN60" s="201"/>
      <c r="ZO60" s="201"/>
      <c r="ZP60" s="201"/>
      <c r="ZQ60" s="201"/>
      <c r="ZR60" s="201"/>
      <c r="ZS60" s="201"/>
      <c r="ZT60" s="201"/>
      <c r="ZU60" s="201"/>
      <c r="ZV60" s="201"/>
      <c r="ZW60" s="201"/>
      <c r="ZX60" s="201"/>
      <c r="ZY60" s="201"/>
      <c r="ZZ60" s="201"/>
      <c r="AAA60" s="201"/>
      <c r="AAB60" s="201"/>
      <c r="AAC60" s="201"/>
      <c r="AAD60" s="201"/>
      <c r="AAE60" s="201"/>
      <c r="AAF60" s="201"/>
      <c r="AAG60" s="201"/>
      <c r="AAH60" s="201"/>
      <c r="AAI60" s="201"/>
      <c r="AAJ60" s="201"/>
      <c r="AAK60" s="201"/>
      <c r="AAL60" s="201"/>
      <c r="AAM60" s="201"/>
      <c r="AAN60" s="201"/>
      <c r="AAO60" s="201"/>
      <c r="AAP60" s="201"/>
      <c r="AAQ60" s="201"/>
      <c r="AAR60" s="201"/>
      <c r="AAS60" s="201"/>
      <c r="AAT60" s="201"/>
      <c r="AAU60" s="201"/>
      <c r="AAV60" s="201"/>
      <c r="AAW60" s="201"/>
      <c r="AAX60" s="201"/>
      <c r="AAY60" s="201"/>
      <c r="AAZ60" s="201"/>
      <c r="ABA60" s="201"/>
      <c r="ABB60" s="201"/>
      <c r="ABC60" s="201"/>
      <c r="ABD60" s="201"/>
      <c r="ABE60" s="201"/>
      <c r="ABF60" s="201"/>
      <c r="ABG60" s="201"/>
      <c r="ABH60" s="201"/>
      <c r="ABI60" s="201"/>
      <c r="ABJ60" s="201"/>
      <c r="ABK60" s="201"/>
      <c r="ABL60" s="201"/>
      <c r="ABM60" s="201"/>
      <c r="ABN60" s="201"/>
      <c r="ABO60" s="201"/>
      <c r="ABP60" s="201"/>
      <c r="ABQ60" s="201"/>
      <c r="ABR60" s="201"/>
      <c r="ABS60" s="201"/>
      <c r="ABT60" s="201"/>
      <c r="ABU60" s="201"/>
      <c r="ABV60" s="201"/>
      <c r="ABW60" s="201"/>
      <c r="ABX60" s="201"/>
      <c r="ABY60" s="201"/>
      <c r="ABZ60" s="201"/>
      <c r="ACA60" s="201"/>
      <c r="ACB60" s="201"/>
      <c r="ACC60" s="201"/>
      <c r="ACD60" s="201"/>
      <c r="ACE60" s="201"/>
      <c r="ACF60" s="201"/>
      <c r="ACG60" s="201"/>
      <c r="ACH60" s="201"/>
      <c r="ACI60" s="201"/>
      <c r="ACJ60" s="201"/>
      <c r="ACK60" s="201"/>
      <c r="ACL60" s="201"/>
      <c r="ACM60" s="201"/>
      <c r="ACN60" s="201"/>
      <c r="ACO60" s="201"/>
      <c r="ACP60" s="201"/>
      <c r="ACQ60" s="201"/>
      <c r="ACR60" s="201"/>
      <c r="ACS60" s="201"/>
      <c r="ACT60" s="201"/>
      <c r="ACU60" s="201"/>
      <c r="ACV60" s="201"/>
      <c r="ACW60" s="201"/>
      <c r="ACX60" s="201"/>
      <c r="ACY60" s="201"/>
      <c r="ACZ60" s="201"/>
      <c r="ADA60" s="201"/>
      <c r="ADB60" s="201"/>
      <c r="ADC60" s="201"/>
      <c r="ADD60" s="201"/>
      <c r="ADE60" s="201"/>
      <c r="ADF60" s="201"/>
      <c r="ADG60" s="201"/>
      <c r="ADH60" s="201"/>
      <c r="ADI60" s="201"/>
      <c r="ADJ60" s="201"/>
      <c r="ADK60" s="201"/>
      <c r="ADL60" s="201"/>
      <c r="ADM60" s="201"/>
      <c r="ADN60" s="201"/>
      <c r="ADO60" s="201"/>
      <c r="ADP60" s="201"/>
      <c r="ADQ60" s="201"/>
      <c r="ADR60" s="201"/>
      <c r="ADS60" s="201"/>
      <c r="ADT60" s="201"/>
      <c r="ADU60" s="201"/>
      <c r="ADV60" s="201"/>
      <c r="ADW60" s="201"/>
      <c r="ADX60" s="201"/>
      <c r="ADY60" s="201"/>
      <c r="ADZ60" s="201"/>
      <c r="AEA60" s="201"/>
      <c r="AEB60" s="201"/>
      <c r="AEC60" s="201"/>
      <c r="AED60" s="201"/>
      <c r="AEE60" s="201"/>
      <c r="AEF60" s="201"/>
      <c r="AEG60" s="201"/>
      <c r="AEH60" s="201"/>
      <c r="AEI60" s="201"/>
      <c r="AEJ60" s="201"/>
      <c r="AEK60" s="201"/>
      <c r="AEL60" s="201"/>
      <c r="AEM60" s="201"/>
      <c r="AEN60" s="201"/>
      <c r="AEO60" s="201"/>
      <c r="AEP60" s="201"/>
      <c r="AEQ60" s="201"/>
      <c r="AER60" s="201"/>
      <c r="AES60" s="201"/>
      <c r="AET60" s="201"/>
      <c r="AEU60" s="201"/>
      <c r="AEV60" s="201"/>
      <c r="AEW60" s="201"/>
      <c r="AEX60" s="201"/>
      <c r="AEY60" s="201"/>
      <c r="AEZ60" s="201"/>
      <c r="AFA60" s="201"/>
      <c r="AFB60" s="201"/>
      <c r="AFC60" s="201"/>
      <c r="AFD60" s="201"/>
      <c r="AFE60" s="201"/>
      <c r="AFF60" s="201"/>
      <c r="AFG60" s="201"/>
      <c r="AFH60" s="201"/>
      <c r="AFI60" s="201"/>
      <c r="AFJ60" s="201"/>
      <c r="AFK60" s="201"/>
      <c r="AFL60" s="201"/>
      <c r="AFM60" s="201"/>
      <c r="AFN60" s="201"/>
      <c r="AFO60" s="201"/>
      <c r="AFP60" s="201"/>
      <c r="AFQ60" s="201"/>
      <c r="AFR60" s="201"/>
      <c r="AFS60" s="201"/>
      <c r="AFT60" s="201"/>
      <c r="AFU60" s="201"/>
      <c r="AFV60" s="201"/>
      <c r="AFW60" s="201"/>
      <c r="AFX60" s="201"/>
      <c r="AFY60" s="201"/>
      <c r="AFZ60" s="201"/>
      <c r="AGA60" s="201"/>
      <c r="AGB60" s="201"/>
      <c r="AGC60" s="201"/>
      <c r="AGD60" s="201"/>
      <c r="AGE60" s="201"/>
      <c r="AGF60" s="201"/>
      <c r="AGG60" s="201"/>
      <c r="AGH60" s="201"/>
      <c r="AGI60" s="201"/>
      <c r="AGJ60" s="201"/>
      <c r="AGK60" s="201"/>
      <c r="AGL60" s="201"/>
      <c r="AGM60" s="201"/>
      <c r="AGN60" s="201"/>
      <c r="AGO60" s="201"/>
      <c r="AGP60" s="201"/>
      <c r="AGQ60" s="201"/>
      <c r="AGR60" s="201"/>
      <c r="AGS60" s="201"/>
      <c r="AGT60" s="201"/>
      <c r="AGU60" s="201"/>
      <c r="AGV60" s="201"/>
      <c r="AGW60" s="201"/>
      <c r="AGX60" s="201"/>
      <c r="AGY60" s="201"/>
      <c r="AGZ60" s="201"/>
      <c r="AHA60" s="201"/>
      <c r="AHB60" s="201"/>
      <c r="AHC60" s="201"/>
      <c r="AHD60" s="201"/>
      <c r="AHE60" s="201"/>
      <c r="AHF60" s="201"/>
      <c r="AHG60" s="201"/>
      <c r="AHH60" s="201"/>
      <c r="AHI60" s="201"/>
      <c r="AHJ60" s="201"/>
      <c r="AHK60" s="201"/>
      <c r="AHL60" s="201"/>
      <c r="AHM60" s="201"/>
      <c r="AHN60" s="201"/>
      <c r="AHO60" s="201"/>
      <c r="AHP60" s="201"/>
      <c r="AHQ60" s="201"/>
      <c r="AHR60" s="201"/>
      <c r="AHS60" s="201"/>
      <c r="AHT60" s="201"/>
      <c r="AHU60" s="201"/>
      <c r="AHV60" s="201"/>
      <c r="AHW60" s="201"/>
      <c r="AHX60" s="201"/>
      <c r="AHY60" s="201"/>
      <c r="AHZ60" s="201"/>
      <c r="AIA60" s="201"/>
      <c r="AIB60" s="201"/>
      <c r="AIC60" s="201"/>
      <c r="AID60" s="201"/>
      <c r="AIE60" s="201"/>
      <c r="AIF60" s="201"/>
      <c r="AIG60" s="201"/>
      <c r="AIH60" s="201"/>
      <c r="AII60" s="201"/>
      <c r="AIJ60" s="201"/>
      <c r="AIK60" s="201"/>
      <c r="AIL60" s="201"/>
      <c r="AIM60" s="201"/>
      <c r="AIN60" s="201"/>
      <c r="AIO60" s="201"/>
      <c r="AIP60" s="201"/>
      <c r="AIQ60" s="201"/>
      <c r="AIR60" s="201"/>
      <c r="AIS60" s="201"/>
      <c r="AIT60" s="201"/>
      <c r="AIU60" s="201"/>
      <c r="AIV60" s="201"/>
      <c r="AIW60" s="201"/>
      <c r="AIX60" s="201"/>
      <c r="AIY60" s="201"/>
      <c r="AIZ60" s="201"/>
      <c r="AJA60" s="201"/>
      <c r="AJB60" s="201"/>
      <c r="AJC60" s="201"/>
      <c r="AJD60" s="201"/>
      <c r="AJE60" s="201"/>
      <c r="AJF60" s="201"/>
      <c r="AJG60" s="201"/>
      <c r="AJH60" s="201"/>
      <c r="AJI60" s="201"/>
      <c r="AJJ60" s="201"/>
      <c r="AJK60" s="201"/>
      <c r="AJL60" s="201"/>
      <c r="AJM60" s="201"/>
      <c r="AJN60" s="201"/>
      <c r="AJO60" s="201"/>
      <c r="AJP60" s="201"/>
      <c r="AJQ60" s="201"/>
      <c r="AJR60" s="201"/>
      <c r="AJS60" s="201"/>
      <c r="AJT60" s="201"/>
      <c r="AJU60" s="201"/>
      <c r="AJV60" s="201"/>
      <c r="AJW60" s="201"/>
      <c r="AJX60" s="201"/>
      <c r="AJY60" s="201"/>
    </row>
    <row r="61" ht="30.75" customHeight="1" spans="1:961" s="275" customFormat="1" x14ac:dyDescent="0.25">
      <c r="A61" s="276"/>
      <c r="B61" s="100" t="s">
        <v>219</v>
      </c>
      <c r="C61" s="108"/>
      <c r="D61" s="102"/>
      <c r="E61" s="103">
        <v>5</v>
      </c>
      <c r="F61" s="104">
        <f t="shared" si="426"/>
        <v>0</v>
      </c>
      <c r="G61" s="102"/>
      <c r="H61" s="103">
        <v>5</v>
      </c>
      <c r="I61" s="104">
        <f t="shared" si="427"/>
        <v>0</v>
      </c>
      <c r="J61" s="105"/>
      <c r="K61" s="103">
        <v>5</v>
      </c>
      <c r="L61" s="104">
        <f t="shared" si="428"/>
        <v>0</v>
      </c>
      <c r="M61" s="105"/>
      <c r="N61" s="103">
        <v>5</v>
      </c>
      <c r="O61" s="104">
        <f t="shared" si="429"/>
        <v>0</v>
      </c>
      <c r="P61" s="106"/>
      <c r="Q61" s="107">
        <v>5</v>
      </c>
      <c r="R61" s="104">
        <f t="shared" si="430"/>
        <v>0</v>
      </c>
      <c r="S61" s="102"/>
      <c r="T61" s="107">
        <v>5</v>
      </c>
      <c r="U61" s="104">
        <f t="shared" si="431"/>
        <v>0</v>
      </c>
      <c r="V61" s="102"/>
      <c r="W61" s="107">
        <v>5</v>
      </c>
      <c r="X61" s="104">
        <f t="shared" si="432"/>
        <v>0</v>
      </c>
      <c r="Y61" s="102"/>
      <c r="Z61" s="107">
        <v>5</v>
      </c>
      <c r="AA61" s="104">
        <f t="shared" si="433"/>
        <v>0</v>
      </c>
      <c r="AB61" s="106"/>
      <c r="AC61" s="107">
        <v>5</v>
      </c>
      <c r="AD61" s="104">
        <f t="shared" si="434"/>
        <v>0</v>
      </c>
      <c r="AE61" s="106"/>
      <c r="AF61" s="107">
        <v>5</v>
      </c>
      <c r="AG61" s="104">
        <f t="shared" si="435"/>
        <v>0</v>
      </c>
      <c r="AH61" s="106"/>
      <c r="AI61" s="107">
        <v>5</v>
      </c>
      <c r="AJ61" s="104">
        <f t="shared" si="436"/>
        <v>0</v>
      </c>
      <c r="AK61" s="106"/>
      <c r="AL61" s="107">
        <v>5</v>
      </c>
      <c r="AM61" s="104">
        <f t="shared" si="437"/>
        <v>0</v>
      </c>
      <c r="AN61" s="102"/>
      <c r="AO61" s="1">
        <v>5</v>
      </c>
      <c r="AP61" s="104">
        <f t="shared" si="438"/>
        <v>0</v>
      </c>
      <c r="AQ61" s="102"/>
      <c r="AR61" s="1">
        <v>5</v>
      </c>
      <c r="AS61" s="104">
        <f t="shared" si="439"/>
        <v>0</v>
      </c>
      <c r="AT61" s="102"/>
      <c r="AU61" s="1">
        <v>5</v>
      </c>
      <c r="AV61" s="104">
        <f t="shared" si="440"/>
        <v>0</v>
      </c>
      <c r="AW61" s="102"/>
      <c r="AX61" s="1">
        <v>5</v>
      </c>
      <c r="AY61" s="104">
        <f t="shared" si="441"/>
        <v>0</v>
      </c>
      <c r="AZ61" s="102"/>
      <c r="BA61" s="1">
        <v>5</v>
      </c>
      <c r="BB61" s="104">
        <f t="shared" si="442"/>
        <v>0</v>
      </c>
      <c r="BC61" s="102"/>
      <c r="BD61" s="1">
        <v>5</v>
      </c>
      <c r="BE61" s="104">
        <f t="shared" si="443"/>
        <v>0</v>
      </c>
      <c r="BF61" s="102"/>
      <c r="BG61" s="1">
        <v>5</v>
      </c>
      <c r="BH61" s="104">
        <f t="shared" si="444"/>
        <v>0</v>
      </c>
      <c r="BI61" s="102"/>
      <c r="BJ61" s="1">
        <v>5</v>
      </c>
      <c r="BK61" s="104">
        <f t="shared" si="445"/>
        <v>0</v>
      </c>
      <c r="BL61" s="102"/>
      <c r="BM61" s="1">
        <v>5</v>
      </c>
      <c r="BN61" s="104">
        <f t="shared" si="446"/>
        <v>0</v>
      </c>
      <c r="BO61" s="102"/>
      <c r="BP61" s="1">
        <v>5</v>
      </c>
      <c r="BQ61" s="104">
        <f t="shared" si="447"/>
        <v>0</v>
      </c>
      <c r="BR61" s="102"/>
      <c r="BS61" s="1">
        <v>5</v>
      </c>
      <c r="BT61" s="104">
        <f t="shared" si="448"/>
        <v>0</v>
      </c>
      <c r="BU61" s="102"/>
      <c r="BV61" s="1">
        <v>5</v>
      </c>
      <c r="BW61" s="104">
        <f t="shared" si="449"/>
        <v>0</v>
      </c>
      <c r="BX61" s="102"/>
      <c r="BY61" s="1">
        <v>5</v>
      </c>
      <c r="BZ61" s="104">
        <f t="shared" si="450"/>
        <v>0</v>
      </c>
      <c r="CA61" s="102"/>
      <c r="CB61" s="1">
        <v>5</v>
      </c>
      <c r="CC61" s="104">
        <f t="shared" si="451"/>
        <v>0</v>
      </c>
      <c r="CD61" s="102"/>
      <c r="CE61" s="1">
        <v>5</v>
      </c>
      <c r="CF61" s="104">
        <f t="shared" si="452"/>
        <v>0</v>
      </c>
      <c r="CG61" s="102"/>
      <c r="CH61" s="1">
        <v>5</v>
      </c>
      <c r="CI61" s="104">
        <f t="shared" si="453"/>
        <v>0</v>
      </c>
      <c r="CJ61" s="102"/>
      <c r="CK61" s="1">
        <v>5</v>
      </c>
      <c r="CL61" s="104">
        <f t="shared" si="454"/>
        <v>0</v>
      </c>
      <c r="CM61" s="102"/>
      <c r="CN61" s="1">
        <v>5</v>
      </c>
      <c r="CO61" s="104">
        <f t="shared" si="455"/>
        <v>0</v>
      </c>
      <c r="CP61" s="102"/>
      <c r="CQ61" s="1">
        <v>5</v>
      </c>
      <c r="CR61" s="104">
        <f t="shared" si="456"/>
        <v>0</v>
      </c>
      <c r="CS61" s="102"/>
      <c r="CT61" s="1">
        <v>5</v>
      </c>
      <c r="CU61" s="104">
        <f t="shared" si="457"/>
        <v>0</v>
      </c>
      <c r="CV61" s="102"/>
      <c r="CW61" s="1">
        <v>5</v>
      </c>
      <c r="CX61" s="104">
        <f t="shared" si="458"/>
        <v>0</v>
      </c>
      <c r="CY61" s="102"/>
      <c r="CZ61" s="1">
        <v>5</v>
      </c>
      <c r="DA61" s="104">
        <f t="shared" si="459"/>
        <v>0</v>
      </c>
      <c r="DB61" s="102"/>
      <c r="DC61" s="1">
        <v>5</v>
      </c>
      <c r="DD61" s="104">
        <f t="shared" si="460"/>
        <v>0</v>
      </c>
      <c r="DE61" s="102"/>
      <c r="DF61" s="1">
        <v>5</v>
      </c>
      <c r="DG61" s="104">
        <f t="shared" si="461"/>
        <v>0</v>
      </c>
      <c r="DH61" s="102"/>
      <c r="DI61" s="1">
        <v>5</v>
      </c>
      <c r="DJ61" s="104">
        <f t="shared" si="462"/>
        <v>0</v>
      </c>
      <c r="DK61" s="102"/>
      <c r="DL61" s="1">
        <v>5</v>
      </c>
      <c r="DM61" s="104">
        <f t="shared" si="463"/>
        <v>0</v>
      </c>
      <c r="DN61" s="102"/>
      <c r="DO61" s="1">
        <v>5</v>
      </c>
      <c r="DP61" s="104">
        <f t="shared" si="464"/>
        <v>0</v>
      </c>
      <c r="DQ61" s="102"/>
      <c r="DR61" s="1">
        <v>5</v>
      </c>
      <c r="DS61" s="104">
        <f t="shared" si="465"/>
        <v>0</v>
      </c>
      <c r="DT61" s="102"/>
      <c r="DU61" s="1">
        <v>5</v>
      </c>
      <c r="DV61" s="104">
        <f t="shared" si="466"/>
        <v>0</v>
      </c>
      <c r="DW61" s="102"/>
      <c r="DX61" s="1">
        <v>5</v>
      </c>
      <c r="DY61" s="104">
        <f t="shared" si="467"/>
        <v>0</v>
      </c>
      <c r="DZ61" s="102"/>
      <c r="EA61" s="1">
        <v>5</v>
      </c>
      <c r="EB61" s="104">
        <f t="shared" si="468"/>
        <v>0</v>
      </c>
      <c r="EC61" s="102"/>
      <c r="ED61" s="1">
        <v>5</v>
      </c>
      <c r="EE61" s="104">
        <f t="shared" si="469"/>
        <v>0</v>
      </c>
      <c r="EF61" s="102"/>
      <c r="EG61" s="1">
        <v>5</v>
      </c>
      <c r="EH61" s="104">
        <f t="shared" si="470"/>
        <v>0</v>
      </c>
      <c r="EI61" s="102"/>
      <c r="EJ61" s="1">
        <v>5</v>
      </c>
      <c r="EK61" s="104">
        <f t="shared" si="471"/>
        <v>0</v>
      </c>
      <c r="EL61" s="102"/>
      <c r="EM61" s="1">
        <v>5</v>
      </c>
      <c r="EN61" s="104">
        <f t="shared" si="472"/>
        <v>0</v>
      </c>
      <c r="EO61" s="90">
        <v>0</v>
      </c>
      <c r="EP61" s="96">
        <v>5</v>
      </c>
      <c r="EQ61" s="104">
        <f>IFERROR(EO61/EP61,0)</f>
        <v>0</v>
      </c>
      <c r="ER61" s="85">
        <f t="array" ref="ER61">IFERROR(_xlfn.LET(
_xlpm.datos,CHOOSE({1;2;3;4;5;6;7;8;9;10;11;12;13;13;14;15;16;17;18;19;20;21;22;23;23;24;25;26;27;28;29;30;31;32;33;34;35;36;37;38;39;40;41;42;43;44;45;46;47;48},F61,I61,L61,O61,R61,U61,X61,AA61,AD61,AG61,AJ61,AM61,AP61,AS61,AV61,AY61,BB61,BE61,BH61,BK61,BN61,BQ61,BT61,BW61,BZ61,CC61,CF61,CI61,CL61,CO61,CR61,CU61,CX61,DA61,DD61,DG61,DJ61,DM61,DP61,DS61,DV61,DY61,EB61,EE61,EH61,EK61,EN61,EQ61),
AVERAGE(_xlfn._xlws.FILTER(_xlpm.datos,(_xlpm.datos&lt;&gt;0)*(_xlpm.datos&lt;&gt;"")))
),0)</f>
        <v>0</v>
      </c>
      <c r="ES61" s="162" t="str">
        <f t="array" ref="ES61">_xlfn.IFS(ER61&gt;=91.5%,"MENSUAL",ER61&gt;=75%,"QUINCENAL",ER61&lt;75%,"SEMANAL")</f>
        <v>SEMANAL</v>
      </c>
      <c r="ET61" s="239"/>
      <c r="EU61" s="201"/>
      <c r="EV61" s="201"/>
      <c r="EW61" s="201"/>
      <c r="EX61" s="201"/>
      <c r="EY61" s="201"/>
      <c r="EZ61" s="201"/>
      <c r="FA61" s="201"/>
      <c r="FB61" s="201"/>
      <c r="FC61" s="201"/>
      <c r="FD61" s="201"/>
      <c r="FE61" s="201"/>
      <c r="FF61" s="201"/>
      <c r="FG61" s="201"/>
      <c r="FH61" s="201"/>
      <c r="FI61" s="201"/>
      <c r="FJ61" s="201"/>
      <c r="FK61" s="201"/>
      <c r="FL61" s="201"/>
      <c r="FM61" s="201"/>
      <c r="FN61" s="201"/>
      <c r="FO61" s="201"/>
      <c r="FP61" s="201"/>
      <c r="FQ61" s="201"/>
      <c r="FR61" s="201"/>
      <c r="FS61" s="201"/>
      <c r="FT61" s="201"/>
      <c r="FU61" s="201"/>
      <c r="FV61" s="201"/>
      <c r="FW61" s="201"/>
      <c r="FX61" s="201"/>
      <c r="FY61" s="201"/>
      <c r="FZ61" s="201"/>
      <c r="GA61" s="201"/>
      <c r="GB61" s="201"/>
      <c r="GC61" s="201"/>
      <c r="GD61" s="201"/>
      <c r="GE61" s="201"/>
      <c r="GF61" s="201"/>
      <c r="GG61" s="201"/>
      <c r="GH61" s="201"/>
      <c r="GI61" s="201"/>
      <c r="GJ61" s="201"/>
      <c r="GK61" s="201"/>
      <c r="GL61" s="201"/>
      <c r="GM61" s="201"/>
      <c r="GN61" s="201"/>
      <c r="GO61" s="201"/>
      <c r="GP61" s="201"/>
      <c r="GQ61" s="201"/>
      <c r="GR61" s="201"/>
      <c r="GS61" s="201"/>
      <c r="GT61" s="201"/>
      <c r="GU61" s="201"/>
      <c r="GV61" s="201"/>
      <c r="GW61" s="201"/>
      <c r="GX61" s="201"/>
      <c r="GY61" s="201"/>
      <c r="GZ61" s="201"/>
      <c r="HA61" s="201"/>
      <c r="HB61" s="201"/>
      <c r="HC61" s="201"/>
      <c r="HD61" s="201"/>
      <c r="HE61" s="201"/>
      <c r="HF61" s="201"/>
      <c r="HG61" s="201"/>
      <c r="HH61" s="201"/>
      <c r="HI61" s="201"/>
      <c r="HJ61" s="201"/>
      <c r="HK61" s="201"/>
      <c r="HL61" s="201"/>
      <c r="HM61" s="201"/>
      <c r="HN61" s="201"/>
      <c r="HO61" s="201"/>
      <c r="HP61" s="201"/>
      <c r="HQ61" s="201"/>
      <c r="HR61" s="201"/>
      <c r="HS61" s="201"/>
      <c r="HT61" s="201"/>
      <c r="HU61" s="201"/>
      <c r="HV61" s="201"/>
      <c r="HW61" s="201"/>
      <c r="HX61" s="201"/>
      <c r="HY61" s="201"/>
      <c r="HZ61" s="201"/>
      <c r="IA61" s="201"/>
      <c r="IB61" s="201"/>
      <c r="IC61" s="201"/>
      <c r="ID61" s="201"/>
      <c r="IE61" s="201"/>
      <c r="IF61" s="201"/>
      <c r="IG61" s="201"/>
      <c r="IH61" s="201"/>
      <c r="II61" s="201"/>
      <c r="IJ61" s="201"/>
      <c r="IK61" s="201"/>
      <c r="IL61" s="201"/>
      <c r="IM61" s="201"/>
      <c r="IN61" s="201"/>
      <c r="IO61" s="201"/>
      <c r="IP61" s="201"/>
      <c r="IQ61" s="201"/>
      <c r="IR61" s="201"/>
      <c r="IS61" s="201"/>
      <c r="IT61" s="201"/>
      <c r="IU61" s="201"/>
      <c r="IV61" s="201"/>
      <c r="IW61" s="201"/>
      <c r="IX61" s="201"/>
      <c r="IY61" s="201"/>
      <c r="IZ61" s="201"/>
      <c r="JA61" s="201"/>
      <c r="JB61" s="201"/>
      <c r="JC61" s="201"/>
      <c r="JD61" s="201"/>
      <c r="JE61" s="201"/>
      <c r="JF61" s="201"/>
      <c r="JG61" s="201"/>
      <c r="JH61" s="201"/>
      <c r="JI61" s="201"/>
      <c r="JJ61" s="201"/>
      <c r="JK61" s="201"/>
      <c r="JL61" s="201"/>
      <c r="JM61" s="201"/>
      <c r="JN61" s="201"/>
      <c r="JO61" s="201"/>
      <c r="JP61" s="201"/>
      <c r="JQ61" s="201"/>
      <c r="JR61" s="201"/>
      <c r="JS61" s="201"/>
      <c r="JT61" s="201"/>
      <c r="JU61" s="201"/>
      <c r="JV61" s="201"/>
      <c r="JW61" s="201"/>
      <c r="JX61" s="201"/>
      <c r="JY61" s="201"/>
      <c r="JZ61" s="201"/>
      <c r="KA61" s="201"/>
      <c r="KB61" s="201"/>
      <c r="KC61" s="201"/>
      <c r="KD61" s="201"/>
      <c r="KE61" s="201"/>
      <c r="KF61" s="201"/>
      <c r="KG61" s="201"/>
      <c r="KH61" s="201"/>
      <c r="KI61" s="201"/>
      <c r="KJ61" s="201"/>
      <c r="KK61" s="201"/>
      <c r="KL61" s="201"/>
      <c r="KM61" s="201"/>
      <c r="KN61" s="201"/>
      <c r="KO61" s="201"/>
      <c r="KP61" s="201"/>
      <c r="KQ61" s="201"/>
      <c r="KR61" s="201"/>
      <c r="KS61" s="201"/>
      <c r="KT61" s="201"/>
      <c r="KU61" s="201"/>
      <c r="KV61" s="201"/>
      <c r="KW61" s="201"/>
      <c r="KX61" s="201"/>
      <c r="KY61" s="201"/>
      <c r="KZ61" s="201"/>
      <c r="LA61" s="201"/>
      <c r="LB61" s="201"/>
      <c r="LC61" s="201"/>
      <c r="LD61" s="201"/>
      <c r="LE61" s="201"/>
      <c r="LF61" s="201"/>
      <c r="LG61" s="201"/>
      <c r="LH61" s="201"/>
      <c r="LI61" s="201"/>
      <c r="LJ61" s="201"/>
      <c r="LK61" s="201"/>
      <c r="LL61" s="201"/>
      <c r="LM61" s="201"/>
      <c r="LN61" s="201"/>
      <c r="LO61" s="201"/>
      <c r="LP61" s="201"/>
      <c r="LQ61" s="201"/>
      <c r="LR61" s="201"/>
      <c r="LS61" s="201"/>
      <c r="LT61" s="201"/>
      <c r="LU61" s="201"/>
      <c r="LV61" s="201"/>
      <c r="LW61" s="201"/>
      <c r="LX61" s="201"/>
      <c r="LY61" s="201"/>
      <c r="LZ61" s="201"/>
      <c r="MA61" s="201"/>
      <c r="MB61" s="201"/>
      <c r="MC61" s="201"/>
      <c r="MD61" s="201"/>
      <c r="ME61" s="201"/>
      <c r="MF61" s="201"/>
      <c r="MG61" s="201"/>
      <c r="MH61" s="201"/>
      <c r="MI61" s="201"/>
      <c r="MJ61" s="201"/>
      <c r="MK61" s="201"/>
      <c r="ML61" s="201"/>
      <c r="MM61" s="201"/>
      <c r="MN61" s="201"/>
      <c r="MO61" s="201"/>
      <c r="MP61" s="201"/>
      <c r="MQ61" s="201"/>
      <c r="MR61" s="201"/>
      <c r="MS61" s="201"/>
      <c r="MT61" s="201"/>
      <c r="MU61" s="201"/>
      <c r="MV61" s="201"/>
      <c r="MW61" s="201"/>
      <c r="MX61" s="201"/>
      <c r="MY61" s="201"/>
      <c r="MZ61" s="201"/>
      <c r="NA61" s="201"/>
      <c r="NB61" s="201"/>
      <c r="NC61" s="201"/>
      <c r="ND61" s="201"/>
      <c r="NE61" s="201"/>
      <c r="NF61" s="201"/>
      <c r="NG61" s="201"/>
      <c r="NH61" s="201"/>
      <c r="NI61" s="201"/>
      <c r="NJ61" s="201"/>
      <c r="NK61" s="201"/>
      <c r="NL61" s="201"/>
      <c r="NM61" s="201"/>
      <c r="NN61" s="201"/>
      <c r="NO61" s="201"/>
      <c r="NP61" s="201"/>
      <c r="NQ61" s="201"/>
      <c r="NR61" s="201"/>
      <c r="NS61" s="201"/>
      <c r="NT61" s="201"/>
      <c r="NU61" s="201"/>
      <c r="NV61" s="201"/>
      <c r="NW61" s="201"/>
      <c r="NX61" s="201"/>
      <c r="NY61" s="201"/>
      <c r="NZ61" s="201"/>
      <c r="OA61" s="201"/>
      <c r="OB61" s="201"/>
      <c r="OC61" s="201"/>
      <c r="OD61" s="201"/>
      <c r="OE61" s="201"/>
      <c r="OF61" s="201"/>
      <c r="OG61" s="201"/>
      <c r="OH61" s="201"/>
      <c r="OI61" s="201"/>
      <c r="OJ61" s="201"/>
      <c r="OK61" s="201"/>
      <c r="OL61" s="201"/>
      <c r="OM61" s="201"/>
      <c r="ON61" s="201"/>
      <c r="OO61" s="201"/>
      <c r="OP61" s="201"/>
      <c r="OQ61" s="201"/>
      <c r="OR61" s="201"/>
      <c r="OS61" s="201"/>
      <c r="OT61" s="201"/>
      <c r="OU61" s="201"/>
      <c r="OV61" s="201"/>
      <c r="OW61" s="201"/>
      <c r="OX61" s="201"/>
      <c r="OY61" s="201"/>
      <c r="OZ61" s="201"/>
      <c r="PA61" s="201"/>
      <c r="PB61" s="201"/>
      <c r="PC61" s="201"/>
      <c r="PD61" s="201"/>
      <c r="PE61" s="201"/>
      <c r="PF61" s="201"/>
      <c r="PG61" s="201"/>
      <c r="PH61" s="201"/>
      <c r="PI61" s="201"/>
      <c r="PJ61" s="201"/>
      <c r="PK61" s="201"/>
      <c r="PL61" s="201"/>
      <c r="PM61" s="201"/>
      <c r="PN61" s="201"/>
      <c r="PO61" s="201"/>
      <c r="PP61" s="201"/>
      <c r="PQ61" s="201"/>
      <c r="PR61" s="201"/>
      <c r="PS61" s="201"/>
      <c r="PT61" s="201"/>
      <c r="PU61" s="201"/>
      <c r="PV61" s="201"/>
      <c r="PW61" s="201"/>
      <c r="PX61" s="201"/>
      <c r="PY61" s="201"/>
      <c r="PZ61" s="201"/>
      <c r="QA61" s="201"/>
      <c r="QB61" s="201"/>
      <c r="QC61" s="201"/>
      <c r="QD61" s="201"/>
      <c r="QE61" s="201"/>
      <c r="QF61" s="201"/>
      <c r="QG61" s="201"/>
      <c r="QH61" s="201"/>
      <c r="QI61" s="201"/>
      <c r="QJ61" s="201"/>
      <c r="QK61" s="201"/>
      <c r="QL61" s="201"/>
      <c r="QM61" s="201"/>
      <c r="QN61" s="201"/>
      <c r="QO61" s="201"/>
      <c r="QP61" s="201"/>
      <c r="QQ61" s="201"/>
      <c r="QR61" s="201"/>
      <c r="QS61" s="201"/>
      <c r="QT61" s="201"/>
      <c r="QU61" s="201"/>
      <c r="QV61" s="201"/>
      <c r="QW61" s="201"/>
      <c r="QX61" s="201"/>
      <c r="QY61" s="201"/>
      <c r="QZ61" s="201"/>
      <c r="RA61" s="201"/>
      <c r="RB61" s="201"/>
      <c r="RC61" s="201"/>
      <c r="RD61" s="201"/>
      <c r="RE61" s="201"/>
      <c r="RF61" s="201"/>
      <c r="RG61" s="201"/>
      <c r="RH61" s="201"/>
      <c r="RI61" s="201"/>
      <c r="RJ61" s="201"/>
      <c r="RK61" s="201"/>
      <c r="RL61" s="201"/>
      <c r="RM61" s="201"/>
      <c r="RN61" s="201"/>
      <c r="RO61" s="201"/>
      <c r="RP61" s="201"/>
      <c r="RQ61" s="201"/>
      <c r="RR61" s="201"/>
      <c r="RS61" s="201"/>
      <c r="RT61" s="201"/>
      <c r="RU61" s="201"/>
      <c r="RV61" s="201"/>
      <c r="RW61" s="201"/>
      <c r="RX61" s="201"/>
      <c r="RY61" s="201"/>
      <c r="RZ61" s="201"/>
      <c r="SA61" s="201"/>
      <c r="SB61" s="201"/>
      <c r="SC61" s="201"/>
      <c r="SD61" s="201"/>
      <c r="SE61" s="201"/>
      <c r="SF61" s="201"/>
      <c r="SG61" s="201"/>
      <c r="SH61" s="201"/>
      <c r="SI61" s="201"/>
      <c r="SJ61" s="201"/>
      <c r="SK61" s="201"/>
      <c r="SL61" s="201"/>
      <c r="SM61" s="201"/>
      <c r="SN61" s="201"/>
      <c r="SO61" s="201"/>
      <c r="SP61" s="201"/>
      <c r="SQ61" s="201"/>
      <c r="SR61" s="201"/>
      <c r="SS61" s="201"/>
      <c r="ST61" s="201"/>
      <c r="SU61" s="201"/>
      <c r="SV61" s="201"/>
      <c r="SW61" s="201"/>
      <c r="SX61" s="201"/>
      <c r="SY61" s="201"/>
      <c r="SZ61" s="201"/>
      <c r="TA61" s="201"/>
      <c r="TB61" s="201"/>
      <c r="TC61" s="201"/>
      <c r="TD61" s="201"/>
      <c r="TE61" s="201"/>
      <c r="TF61" s="201"/>
      <c r="TG61" s="201"/>
      <c r="TH61" s="201"/>
      <c r="TI61" s="201"/>
      <c r="TJ61" s="201"/>
      <c r="TK61" s="201"/>
      <c r="TL61" s="201"/>
      <c r="TM61" s="201"/>
      <c r="TN61" s="201"/>
      <c r="TO61" s="201"/>
      <c r="TP61" s="201"/>
      <c r="TQ61" s="201"/>
      <c r="TR61" s="201"/>
      <c r="TS61" s="201"/>
      <c r="TT61" s="201"/>
      <c r="TU61" s="201"/>
      <c r="TV61" s="201"/>
      <c r="TW61" s="201"/>
      <c r="TX61" s="201"/>
      <c r="TY61" s="201"/>
      <c r="TZ61" s="201"/>
      <c r="UA61" s="201"/>
      <c r="UB61" s="201"/>
      <c r="UC61" s="201"/>
      <c r="UD61" s="201"/>
      <c r="UE61" s="201"/>
      <c r="UF61" s="201"/>
      <c r="UG61" s="201"/>
      <c r="UH61" s="201"/>
      <c r="UI61" s="201"/>
      <c r="UJ61" s="201"/>
      <c r="UK61" s="201"/>
      <c r="UL61" s="201"/>
      <c r="UM61" s="201"/>
      <c r="UN61" s="201"/>
      <c r="UO61" s="201"/>
      <c r="UP61" s="201"/>
      <c r="UQ61" s="201"/>
      <c r="UR61" s="201"/>
      <c r="US61" s="201"/>
      <c r="UT61" s="201"/>
      <c r="UU61" s="201"/>
      <c r="UV61" s="201"/>
      <c r="UW61" s="201"/>
      <c r="UX61" s="201"/>
      <c r="UY61" s="201"/>
      <c r="UZ61" s="201"/>
      <c r="VA61" s="201"/>
      <c r="VB61" s="201"/>
      <c r="VC61" s="201"/>
      <c r="VD61" s="201"/>
      <c r="VE61" s="201"/>
      <c r="VF61" s="201"/>
      <c r="VG61" s="201"/>
      <c r="VH61" s="201"/>
      <c r="VI61" s="201"/>
      <c r="VJ61" s="201"/>
      <c r="VK61" s="201"/>
      <c r="VL61" s="201"/>
      <c r="VM61" s="201"/>
      <c r="VN61" s="201"/>
      <c r="VO61" s="201"/>
      <c r="VP61" s="201"/>
      <c r="VQ61" s="201"/>
      <c r="VR61" s="201"/>
      <c r="VS61" s="201"/>
      <c r="VT61" s="201"/>
      <c r="VU61" s="201"/>
      <c r="VV61" s="201"/>
      <c r="VW61" s="201"/>
      <c r="VX61" s="201"/>
      <c r="VY61" s="201"/>
      <c r="VZ61" s="201"/>
      <c r="WA61" s="201"/>
      <c r="WB61" s="201"/>
      <c r="WC61" s="201"/>
      <c r="WD61" s="201"/>
      <c r="WE61" s="201"/>
      <c r="WF61" s="201"/>
      <c r="WG61" s="201"/>
      <c r="WH61" s="201"/>
      <c r="WI61" s="201"/>
      <c r="WJ61" s="201"/>
      <c r="WK61" s="201"/>
      <c r="WL61" s="201"/>
      <c r="WM61" s="201"/>
      <c r="WN61" s="201"/>
      <c r="WO61" s="201"/>
      <c r="WP61" s="201"/>
      <c r="WQ61" s="201"/>
      <c r="WR61" s="201"/>
      <c r="WS61" s="201"/>
      <c r="WT61" s="201"/>
      <c r="WU61" s="201"/>
      <c r="WV61" s="201"/>
      <c r="WW61" s="201"/>
      <c r="WX61" s="201"/>
      <c r="WY61" s="201"/>
      <c r="WZ61" s="201"/>
      <c r="XA61" s="201"/>
      <c r="XB61" s="201"/>
      <c r="XC61" s="201"/>
      <c r="XD61" s="201"/>
      <c r="XE61" s="201"/>
      <c r="XF61" s="201"/>
      <c r="XG61" s="201"/>
      <c r="XH61" s="201"/>
      <c r="XI61" s="201"/>
      <c r="XJ61" s="201"/>
      <c r="XK61" s="201"/>
      <c r="XL61" s="201"/>
      <c r="XM61" s="201"/>
      <c r="XN61" s="201"/>
      <c r="XO61" s="201"/>
      <c r="XP61" s="201"/>
      <c r="XQ61" s="201"/>
      <c r="XR61" s="201"/>
      <c r="XS61" s="201"/>
      <c r="XT61" s="201"/>
      <c r="XU61" s="201"/>
      <c r="XV61" s="201"/>
      <c r="XW61" s="201"/>
      <c r="XX61" s="201"/>
      <c r="XY61" s="201"/>
      <c r="XZ61" s="201"/>
      <c r="YA61" s="201"/>
      <c r="YB61" s="201"/>
      <c r="YC61" s="201"/>
      <c r="YD61" s="201"/>
      <c r="YE61" s="201"/>
      <c r="YF61" s="201"/>
      <c r="YG61" s="201"/>
      <c r="YH61" s="201"/>
      <c r="YI61" s="201"/>
      <c r="YJ61" s="201"/>
      <c r="YK61" s="201"/>
      <c r="YL61" s="201"/>
      <c r="YM61" s="201"/>
      <c r="YN61" s="201"/>
      <c r="YO61" s="201"/>
      <c r="YP61" s="201"/>
      <c r="YQ61" s="201"/>
      <c r="YR61" s="201"/>
      <c r="YS61" s="201"/>
      <c r="YT61" s="201"/>
      <c r="YU61" s="201"/>
      <c r="YV61" s="201"/>
      <c r="YW61" s="201"/>
      <c r="YX61" s="201"/>
      <c r="YY61" s="201"/>
      <c r="YZ61" s="201"/>
      <c r="ZA61" s="201"/>
      <c r="ZB61" s="201"/>
      <c r="ZC61" s="201"/>
      <c r="ZD61" s="201"/>
      <c r="ZE61" s="201"/>
      <c r="ZF61" s="201"/>
      <c r="ZG61" s="201"/>
      <c r="ZH61" s="201"/>
      <c r="ZI61" s="201"/>
      <c r="ZJ61" s="201"/>
      <c r="ZK61" s="201"/>
      <c r="ZL61" s="201"/>
      <c r="ZM61" s="201"/>
      <c r="ZN61" s="201"/>
      <c r="ZO61" s="201"/>
      <c r="ZP61" s="201"/>
      <c r="ZQ61" s="201"/>
      <c r="ZR61" s="201"/>
      <c r="ZS61" s="201"/>
      <c r="ZT61" s="201"/>
      <c r="ZU61" s="201"/>
      <c r="ZV61" s="201"/>
      <c r="ZW61" s="201"/>
      <c r="ZX61" s="201"/>
      <c r="ZY61" s="201"/>
      <c r="ZZ61" s="201"/>
      <c r="AAA61" s="201"/>
      <c r="AAB61" s="201"/>
      <c r="AAC61" s="201"/>
      <c r="AAD61" s="201"/>
      <c r="AAE61" s="201"/>
      <c r="AAF61" s="201"/>
      <c r="AAG61" s="201"/>
      <c r="AAH61" s="201"/>
      <c r="AAI61" s="201"/>
      <c r="AAJ61" s="201"/>
      <c r="AAK61" s="201"/>
      <c r="AAL61" s="201"/>
      <c r="AAM61" s="201"/>
      <c r="AAN61" s="201"/>
      <c r="AAO61" s="201"/>
      <c r="AAP61" s="201"/>
      <c r="AAQ61" s="201"/>
      <c r="AAR61" s="201"/>
      <c r="AAS61" s="201"/>
      <c r="AAT61" s="201"/>
      <c r="AAU61" s="201"/>
      <c r="AAV61" s="201"/>
      <c r="AAW61" s="201"/>
      <c r="AAX61" s="201"/>
      <c r="AAY61" s="201"/>
      <c r="AAZ61" s="201"/>
      <c r="ABA61" s="201"/>
      <c r="ABB61" s="201"/>
      <c r="ABC61" s="201"/>
      <c r="ABD61" s="201"/>
      <c r="ABE61" s="201"/>
      <c r="ABF61" s="201"/>
      <c r="ABG61" s="201"/>
      <c r="ABH61" s="201"/>
      <c r="ABI61" s="201"/>
      <c r="ABJ61" s="201"/>
      <c r="ABK61" s="201"/>
      <c r="ABL61" s="201"/>
      <c r="ABM61" s="201"/>
      <c r="ABN61" s="201"/>
      <c r="ABO61" s="201"/>
      <c r="ABP61" s="201"/>
      <c r="ABQ61" s="201"/>
      <c r="ABR61" s="201"/>
      <c r="ABS61" s="201"/>
      <c r="ABT61" s="201"/>
      <c r="ABU61" s="201"/>
      <c r="ABV61" s="201"/>
      <c r="ABW61" s="201"/>
      <c r="ABX61" s="201"/>
      <c r="ABY61" s="201"/>
      <c r="ABZ61" s="201"/>
      <c r="ACA61" s="201"/>
      <c r="ACB61" s="201"/>
      <c r="ACC61" s="201"/>
      <c r="ACD61" s="201"/>
      <c r="ACE61" s="201"/>
      <c r="ACF61" s="201"/>
      <c r="ACG61" s="201"/>
      <c r="ACH61" s="201"/>
      <c r="ACI61" s="201"/>
      <c r="ACJ61" s="201"/>
      <c r="ACK61" s="201"/>
      <c r="ACL61" s="201"/>
      <c r="ACM61" s="201"/>
      <c r="ACN61" s="201"/>
      <c r="ACO61" s="201"/>
      <c r="ACP61" s="201"/>
      <c r="ACQ61" s="201"/>
      <c r="ACR61" s="201"/>
      <c r="ACS61" s="201"/>
      <c r="ACT61" s="201"/>
      <c r="ACU61" s="201"/>
      <c r="ACV61" s="201"/>
      <c r="ACW61" s="201"/>
      <c r="ACX61" s="201"/>
      <c r="ACY61" s="201"/>
      <c r="ACZ61" s="201"/>
      <c r="ADA61" s="201"/>
      <c r="ADB61" s="201"/>
      <c r="ADC61" s="201"/>
      <c r="ADD61" s="201"/>
      <c r="ADE61" s="201"/>
      <c r="ADF61" s="201"/>
      <c r="ADG61" s="201"/>
      <c r="ADH61" s="201"/>
      <c r="ADI61" s="201"/>
      <c r="ADJ61" s="201"/>
      <c r="ADK61" s="201"/>
      <c r="ADL61" s="201"/>
      <c r="ADM61" s="201"/>
      <c r="ADN61" s="201"/>
      <c r="ADO61" s="201"/>
      <c r="ADP61" s="201"/>
      <c r="ADQ61" s="201"/>
      <c r="ADR61" s="201"/>
      <c r="ADS61" s="201"/>
      <c r="ADT61" s="201"/>
      <c r="ADU61" s="201"/>
      <c r="ADV61" s="201"/>
      <c r="ADW61" s="201"/>
      <c r="ADX61" s="201"/>
      <c r="ADY61" s="201"/>
      <c r="ADZ61" s="201"/>
      <c r="AEA61" s="201"/>
      <c r="AEB61" s="201"/>
      <c r="AEC61" s="201"/>
      <c r="AED61" s="201"/>
      <c r="AEE61" s="201"/>
      <c r="AEF61" s="201"/>
      <c r="AEG61" s="201"/>
      <c r="AEH61" s="201"/>
      <c r="AEI61" s="201"/>
      <c r="AEJ61" s="201"/>
      <c r="AEK61" s="201"/>
      <c r="AEL61" s="201"/>
      <c r="AEM61" s="201"/>
      <c r="AEN61" s="201"/>
      <c r="AEO61" s="201"/>
      <c r="AEP61" s="201"/>
      <c r="AEQ61" s="201"/>
      <c r="AER61" s="201"/>
      <c r="AES61" s="201"/>
      <c r="AET61" s="201"/>
      <c r="AEU61" s="201"/>
      <c r="AEV61" s="201"/>
      <c r="AEW61" s="201"/>
      <c r="AEX61" s="201"/>
      <c r="AEY61" s="201"/>
      <c r="AEZ61" s="201"/>
      <c r="AFA61" s="201"/>
      <c r="AFB61" s="201"/>
      <c r="AFC61" s="201"/>
      <c r="AFD61" s="201"/>
      <c r="AFE61" s="201"/>
      <c r="AFF61" s="201"/>
      <c r="AFG61" s="201"/>
      <c r="AFH61" s="201"/>
      <c r="AFI61" s="201"/>
      <c r="AFJ61" s="201"/>
      <c r="AFK61" s="201"/>
      <c r="AFL61" s="201"/>
      <c r="AFM61" s="201"/>
      <c r="AFN61" s="201"/>
      <c r="AFO61" s="201"/>
      <c r="AFP61" s="201"/>
      <c r="AFQ61" s="201"/>
      <c r="AFR61" s="201"/>
      <c r="AFS61" s="201"/>
      <c r="AFT61" s="201"/>
      <c r="AFU61" s="201"/>
      <c r="AFV61" s="201"/>
      <c r="AFW61" s="201"/>
      <c r="AFX61" s="201"/>
      <c r="AFY61" s="201"/>
      <c r="AFZ61" s="201"/>
      <c r="AGA61" s="201"/>
      <c r="AGB61" s="201"/>
      <c r="AGC61" s="201"/>
      <c r="AGD61" s="201"/>
      <c r="AGE61" s="201"/>
      <c r="AGF61" s="201"/>
      <c r="AGG61" s="201"/>
      <c r="AGH61" s="201"/>
      <c r="AGI61" s="201"/>
      <c r="AGJ61" s="201"/>
      <c r="AGK61" s="201"/>
      <c r="AGL61" s="201"/>
      <c r="AGM61" s="201"/>
      <c r="AGN61" s="201"/>
      <c r="AGO61" s="201"/>
      <c r="AGP61" s="201"/>
      <c r="AGQ61" s="201"/>
      <c r="AGR61" s="201"/>
      <c r="AGS61" s="201"/>
      <c r="AGT61" s="201"/>
      <c r="AGU61" s="201"/>
      <c r="AGV61" s="201"/>
      <c r="AGW61" s="201"/>
      <c r="AGX61" s="201"/>
      <c r="AGY61" s="201"/>
      <c r="AGZ61" s="201"/>
      <c r="AHA61" s="201"/>
      <c r="AHB61" s="201"/>
      <c r="AHC61" s="201"/>
      <c r="AHD61" s="201"/>
      <c r="AHE61" s="201"/>
      <c r="AHF61" s="201"/>
      <c r="AHG61" s="201"/>
      <c r="AHH61" s="201"/>
      <c r="AHI61" s="201"/>
      <c r="AHJ61" s="201"/>
      <c r="AHK61" s="201"/>
      <c r="AHL61" s="201"/>
      <c r="AHM61" s="201"/>
      <c r="AHN61" s="201"/>
      <c r="AHO61" s="201"/>
      <c r="AHP61" s="201"/>
      <c r="AHQ61" s="201"/>
      <c r="AHR61" s="201"/>
      <c r="AHS61" s="201"/>
      <c r="AHT61" s="201"/>
      <c r="AHU61" s="201"/>
      <c r="AHV61" s="201"/>
      <c r="AHW61" s="201"/>
      <c r="AHX61" s="201"/>
      <c r="AHY61" s="201"/>
      <c r="AHZ61" s="201"/>
      <c r="AIA61" s="201"/>
      <c r="AIB61" s="201"/>
      <c r="AIC61" s="201"/>
      <c r="AID61" s="201"/>
      <c r="AIE61" s="201"/>
      <c r="AIF61" s="201"/>
      <c r="AIG61" s="201"/>
      <c r="AIH61" s="201"/>
      <c r="AII61" s="201"/>
      <c r="AIJ61" s="201"/>
      <c r="AIK61" s="201"/>
      <c r="AIL61" s="201"/>
      <c r="AIM61" s="201"/>
      <c r="AIN61" s="201"/>
      <c r="AIO61" s="201"/>
      <c r="AIP61" s="201"/>
      <c r="AIQ61" s="201"/>
      <c r="AIR61" s="201"/>
      <c r="AIS61" s="201"/>
      <c r="AIT61" s="201"/>
      <c r="AIU61" s="201"/>
      <c r="AIV61" s="201"/>
      <c r="AIW61" s="201"/>
      <c r="AIX61" s="201"/>
      <c r="AIY61" s="201"/>
      <c r="AIZ61" s="201"/>
      <c r="AJA61" s="201"/>
      <c r="AJB61" s="201"/>
      <c r="AJC61" s="201"/>
      <c r="AJD61" s="201"/>
      <c r="AJE61" s="201"/>
      <c r="AJF61" s="201"/>
      <c r="AJG61" s="201"/>
      <c r="AJH61" s="201"/>
      <c r="AJI61" s="201"/>
      <c r="AJJ61" s="201"/>
      <c r="AJK61" s="201"/>
      <c r="AJL61" s="201"/>
      <c r="AJM61" s="201"/>
      <c r="AJN61" s="201"/>
      <c r="AJO61" s="201"/>
      <c r="AJP61" s="201"/>
      <c r="AJQ61" s="201"/>
      <c r="AJR61" s="201"/>
      <c r="AJS61" s="201"/>
      <c r="AJT61" s="201"/>
      <c r="AJU61" s="201"/>
      <c r="AJV61" s="201"/>
      <c r="AJW61" s="201"/>
      <c r="AJX61" s="201"/>
      <c r="AJY61" s="201"/>
    </row>
    <row r="62" ht="27.75" customHeight="1" spans="1:961" s="275" customFormat="1" x14ac:dyDescent="0.25">
      <c r="A62" s="276"/>
      <c r="B62" s="115" t="s">
        <v>117</v>
      </c>
      <c r="C62" s="158"/>
      <c r="D62" s="151"/>
      <c r="E62" s="152">
        <v>5</v>
      </c>
      <c r="F62" s="153">
        <f t="shared" si="426"/>
        <v>0</v>
      </c>
      <c r="G62" s="151"/>
      <c r="H62" s="152">
        <v>5</v>
      </c>
      <c r="I62" s="153">
        <f t="shared" si="427"/>
        <v>0</v>
      </c>
      <c r="J62" s="154"/>
      <c r="K62" s="152">
        <v>5</v>
      </c>
      <c r="L62" s="153">
        <f t="shared" si="428"/>
        <v>0</v>
      </c>
      <c r="M62" s="154"/>
      <c r="N62" s="152">
        <v>5</v>
      </c>
      <c r="O62" s="153">
        <f t="shared" si="429"/>
        <v>0</v>
      </c>
      <c r="P62" s="155"/>
      <c r="Q62" s="156">
        <v>5</v>
      </c>
      <c r="R62" s="153">
        <f t="shared" si="430"/>
        <v>0</v>
      </c>
      <c r="S62" s="151"/>
      <c r="T62" s="156">
        <v>5</v>
      </c>
      <c r="U62" s="153">
        <f t="shared" si="431"/>
        <v>0</v>
      </c>
      <c r="V62" s="151"/>
      <c r="W62" s="156">
        <v>5</v>
      </c>
      <c r="X62" s="153">
        <f t="shared" si="432"/>
        <v>0</v>
      </c>
      <c r="Y62" s="151"/>
      <c r="Z62" s="156">
        <v>5</v>
      </c>
      <c r="AA62" s="153">
        <f t="shared" si="433"/>
        <v>0</v>
      </c>
      <c r="AB62" s="155"/>
      <c r="AC62" s="156">
        <v>5</v>
      </c>
      <c r="AD62" s="153">
        <f t="shared" si="434"/>
        <v>0</v>
      </c>
      <c r="AE62" s="155"/>
      <c r="AF62" s="156">
        <v>5</v>
      </c>
      <c r="AG62" s="153">
        <f t="shared" si="435"/>
        <v>0</v>
      </c>
      <c r="AH62" s="155"/>
      <c r="AI62" s="156">
        <v>5</v>
      </c>
      <c r="AJ62" s="153">
        <f t="shared" si="436"/>
        <v>0</v>
      </c>
      <c r="AK62" s="155"/>
      <c r="AL62" s="156">
        <v>5</v>
      </c>
      <c r="AM62" s="153">
        <f t="shared" si="437"/>
        <v>0</v>
      </c>
      <c r="AN62" s="151"/>
      <c r="AO62" s="157">
        <v>5</v>
      </c>
      <c r="AP62" s="153">
        <f t="shared" si="438"/>
        <v>0</v>
      </c>
      <c r="AQ62" s="151"/>
      <c r="AR62" s="157">
        <v>5</v>
      </c>
      <c r="AS62" s="153">
        <f t="shared" si="439"/>
        <v>0</v>
      </c>
      <c r="AT62" s="151"/>
      <c r="AU62" s="157">
        <v>5</v>
      </c>
      <c r="AV62" s="153">
        <f t="shared" si="440"/>
        <v>0</v>
      </c>
      <c r="AW62" s="151"/>
      <c r="AX62" s="157">
        <v>5</v>
      </c>
      <c r="AY62" s="153">
        <f t="shared" si="441"/>
        <v>0</v>
      </c>
      <c r="AZ62" s="151"/>
      <c r="BA62" s="157">
        <v>5</v>
      </c>
      <c r="BB62" s="153">
        <f t="shared" si="442"/>
        <v>0</v>
      </c>
      <c r="BC62" s="151"/>
      <c r="BD62" s="157">
        <v>5</v>
      </c>
      <c r="BE62" s="153">
        <f t="shared" si="443"/>
        <v>0</v>
      </c>
      <c r="BF62" s="151"/>
      <c r="BG62" s="157">
        <v>5</v>
      </c>
      <c r="BH62" s="153">
        <f t="shared" si="444"/>
        <v>0</v>
      </c>
      <c r="BI62" s="151"/>
      <c r="BJ62" s="157">
        <v>5</v>
      </c>
      <c r="BK62" s="153">
        <f t="shared" si="445"/>
        <v>0</v>
      </c>
      <c r="BL62" s="151"/>
      <c r="BM62" s="157">
        <v>5</v>
      </c>
      <c r="BN62" s="153">
        <f t="shared" si="446"/>
        <v>0</v>
      </c>
      <c r="BO62" s="151"/>
      <c r="BP62" s="157">
        <v>5</v>
      </c>
      <c r="BQ62" s="153">
        <f t="shared" si="447"/>
        <v>0</v>
      </c>
      <c r="BR62" s="151"/>
      <c r="BS62" s="157">
        <v>5</v>
      </c>
      <c r="BT62" s="153">
        <f t="shared" si="448"/>
        <v>0</v>
      </c>
      <c r="BU62" s="151"/>
      <c r="BV62" s="157">
        <v>5</v>
      </c>
      <c r="BW62" s="153">
        <f t="shared" si="449"/>
        <v>0</v>
      </c>
      <c r="BX62" s="151"/>
      <c r="BY62" s="157">
        <v>5</v>
      </c>
      <c r="BZ62" s="153">
        <f t="shared" si="450"/>
        <v>0</v>
      </c>
      <c r="CA62" s="151"/>
      <c r="CB62" s="157">
        <v>5</v>
      </c>
      <c r="CC62" s="153">
        <f t="shared" si="451"/>
        <v>0</v>
      </c>
      <c r="CD62" s="151"/>
      <c r="CE62" s="157">
        <v>5</v>
      </c>
      <c r="CF62" s="153">
        <f t="shared" si="452"/>
        <v>0</v>
      </c>
      <c r="CG62" s="151"/>
      <c r="CH62" s="157">
        <v>5</v>
      </c>
      <c r="CI62" s="153">
        <f t="shared" si="453"/>
        <v>0</v>
      </c>
      <c r="CJ62" s="151"/>
      <c r="CK62" s="157">
        <v>5</v>
      </c>
      <c r="CL62" s="153">
        <f t="shared" si="454"/>
        <v>0</v>
      </c>
      <c r="CM62" s="151"/>
      <c r="CN62" s="157">
        <v>5</v>
      </c>
      <c r="CO62" s="153">
        <f t="shared" si="455"/>
        <v>0</v>
      </c>
      <c r="CP62" s="151"/>
      <c r="CQ62" s="157">
        <v>5</v>
      </c>
      <c r="CR62" s="153">
        <f t="shared" si="456"/>
        <v>0</v>
      </c>
      <c r="CS62" s="151"/>
      <c r="CT62" s="157">
        <v>5</v>
      </c>
      <c r="CU62" s="153">
        <f t="shared" si="457"/>
        <v>0</v>
      </c>
      <c r="CV62" s="151"/>
      <c r="CW62" s="157">
        <v>5</v>
      </c>
      <c r="CX62" s="153">
        <f t="shared" si="458"/>
        <v>0</v>
      </c>
      <c r="CY62" s="151"/>
      <c r="CZ62" s="157">
        <v>5</v>
      </c>
      <c r="DA62" s="153">
        <f t="shared" si="459"/>
        <v>0</v>
      </c>
      <c r="DB62" s="151"/>
      <c r="DC62" s="157">
        <v>5</v>
      </c>
      <c r="DD62" s="153">
        <f t="shared" si="460"/>
        <v>0</v>
      </c>
      <c r="DE62" s="151"/>
      <c r="DF62" s="157">
        <v>5</v>
      </c>
      <c r="DG62" s="153">
        <f t="shared" si="461"/>
        <v>0</v>
      </c>
      <c r="DH62" s="151"/>
      <c r="DI62" s="157">
        <v>5</v>
      </c>
      <c r="DJ62" s="153">
        <f t="shared" si="462"/>
        <v>0</v>
      </c>
      <c r="DK62" s="151"/>
      <c r="DL62" s="157">
        <v>5</v>
      </c>
      <c r="DM62" s="153">
        <f t="shared" si="463"/>
        <v>0</v>
      </c>
      <c r="DN62" s="151"/>
      <c r="DO62" s="157">
        <v>5</v>
      </c>
      <c r="DP62" s="153">
        <f t="shared" si="464"/>
        <v>0</v>
      </c>
      <c r="DQ62" s="151"/>
      <c r="DR62" s="157">
        <v>5</v>
      </c>
      <c r="DS62" s="153">
        <f t="shared" si="465"/>
        <v>0</v>
      </c>
      <c r="DT62" s="151"/>
      <c r="DU62" s="157">
        <v>5</v>
      </c>
      <c r="DV62" s="153">
        <f t="shared" si="466"/>
        <v>0</v>
      </c>
      <c r="DW62" s="151"/>
      <c r="DX62" s="157">
        <v>5</v>
      </c>
      <c r="DY62" s="153">
        <f t="shared" si="467"/>
        <v>0</v>
      </c>
      <c r="DZ62" s="151"/>
      <c r="EA62" s="157">
        <v>5</v>
      </c>
      <c r="EB62" s="153">
        <f t="shared" si="468"/>
        <v>0</v>
      </c>
      <c r="EC62" s="151"/>
      <c r="ED62" s="157">
        <v>5</v>
      </c>
      <c r="EE62" s="153">
        <f t="shared" si="469"/>
        <v>0</v>
      </c>
      <c r="EF62" s="151"/>
      <c r="EG62" s="157">
        <v>5</v>
      </c>
      <c r="EH62" s="153">
        <f t="shared" si="470"/>
        <v>0</v>
      </c>
      <c r="EI62" s="151"/>
      <c r="EJ62" s="157">
        <v>5</v>
      </c>
      <c r="EK62" s="153">
        <f t="shared" si="471"/>
        <v>0</v>
      </c>
      <c r="EL62" s="151"/>
      <c r="EM62" s="157">
        <v>5</v>
      </c>
      <c r="EN62" s="153">
        <f t="shared" si="472"/>
        <v>0</v>
      </c>
      <c r="EO62" s="277">
        <v>0</v>
      </c>
      <c r="EP62" s="278">
        <v>5</v>
      </c>
      <c r="EQ62" s="153">
        <f>IFERROR(EO62/EP62,0)</f>
        <v>0</v>
      </c>
      <c r="ER62" s="85">
        <f t="array" ref="ER62">IFERROR(_xlfn.LET(
_xlpm.datos,CHOOSE({1;2;3;4;5;6;7;8;9;10;11;12;13;13;14;15;16;17;18;19;20;21;22;23;23;24;25;26;27;28;29;30;31;32;33;34;35;36;37;38;39;40;41;42;43;44;45;46;47;48},F62,I62,L62,O62,R62,U62,X62,AA62,AD62,AG62,AJ62,AM62,AP62,AS62,AV62,AY62,BB62,BE62,BH62,BK62,BN62,BQ62,BT62,BW62,BZ62,CC62,CF62,CI62,CL62,CO62,CR62,CU62,CX62,DA62,DD62,DG62,DJ62,DM62,DP62,DS62,DV62,DY62,EB62,EE62,EH62,EK62,EN62,EQ62),
AVERAGE(_xlfn._xlws.FILTER(_xlpm.datos,(_xlpm.datos&lt;&gt;0)*(_xlpm.datos&lt;&gt;"")))
),0)</f>
        <v>0</v>
      </c>
      <c r="ES62" s="162" t="str">
        <f t="array" ref="ES62">_xlfn.IFS(ER62&gt;=91.5%,"MENSUAL",ER62&gt;=75%,"QUINCENAL",ER62&lt;75%,"SEMANAL")</f>
        <v>SEMANAL</v>
      </c>
      <c r="ET62" s="239"/>
      <c r="EU62" s="201"/>
      <c r="EV62" s="201"/>
      <c r="EW62" s="201"/>
      <c r="EX62" s="201"/>
      <c r="EY62" s="201"/>
      <c r="EZ62" s="201"/>
      <c r="FA62" s="201"/>
      <c r="FB62" s="201"/>
      <c r="FC62" s="201"/>
      <c r="FD62" s="201"/>
      <c r="FE62" s="201"/>
      <c r="FF62" s="201"/>
      <c r="FG62" s="201"/>
      <c r="FH62" s="201"/>
      <c r="FI62" s="201"/>
      <c r="FJ62" s="201"/>
      <c r="FK62" s="201"/>
      <c r="FL62" s="201"/>
      <c r="FM62" s="201"/>
      <c r="FN62" s="201"/>
      <c r="FO62" s="201"/>
      <c r="FP62" s="201"/>
      <c r="FQ62" s="201"/>
      <c r="FR62" s="201"/>
      <c r="FS62" s="201"/>
      <c r="FT62" s="201"/>
      <c r="FU62" s="201"/>
      <c r="FV62" s="201"/>
      <c r="FW62" s="201"/>
      <c r="FX62" s="201"/>
      <c r="FY62" s="201"/>
      <c r="FZ62" s="201"/>
      <c r="GA62" s="201"/>
      <c r="GB62" s="201"/>
      <c r="GC62" s="201"/>
      <c r="GD62" s="201"/>
      <c r="GE62" s="201"/>
      <c r="GF62" s="201"/>
      <c r="GG62" s="201"/>
      <c r="GH62" s="201"/>
      <c r="GI62" s="201"/>
      <c r="GJ62" s="201"/>
      <c r="GK62" s="201"/>
      <c r="GL62" s="201"/>
      <c r="GM62" s="201"/>
      <c r="GN62" s="201"/>
      <c r="GO62" s="201"/>
      <c r="GP62" s="201"/>
      <c r="GQ62" s="201"/>
      <c r="GR62" s="201"/>
      <c r="GS62" s="201"/>
      <c r="GT62" s="201"/>
      <c r="GU62" s="201"/>
      <c r="GV62" s="201"/>
      <c r="GW62" s="201"/>
      <c r="GX62" s="201"/>
      <c r="GY62" s="201"/>
      <c r="GZ62" s="201"/>
      <c r="HA62" s="201"/>
      <c r="HB62" s="201"/>
      <c r="HC62" s="201"/>
      <c r="HD62" s="201"/>
      <c r="HE62" s="201"/>
      <c r="HF62" s="201"/>
      <c r="HG62" s="201"/>
      <c r="HH62" s="201"/>
      <c r="HI62" s="201"/>
      <c r="HJ62" s="201"/>
      <c r="HK62" s="201"/>
      <c r="HL62" s="201"/>
      <c r="HM62" s="201"/>
      <c r="HN62" s="201"/>
      <c r="HO62" s="201"/>
      <c r="HP62" s="201"/>
      <c r="HQ62" s="201"/>
      <c r="HR62" s="201"/>
      <c r="HS62" s="201"/>
      <c r="HT62" s="201"/>
      <c r="HU62" s="201"/>
      <c r="HV62" s="201"/>
      <c r="HW62" s="201"/>
      <c r="HX62" s="201"/>
      <c r="HY62" s="201"/>
      <c r="HZ62" s="201"/>
      <c r="IA62" s="201"/>
      <c r="IB62" s="201"/>
      <c r="IC62" s="201"/>
      <c r="ID62" s="201"/>
      <c r="IE62" s="201"/>
      <c r="IF62" s="201"/>
      <c r="IG62" s="201"/>
      <c r="IH62" s="201"/>
      <c r="II62" s="201"/>
      <c r="IJ62" s="201"/>
      <c r="IK62" s="201"/>
      <c r="IL62" s="201"/>
      <c r="IM62" s="201"/>
      <c r="IN62" s="201"/>
      <c r="IO62" s="201"/>
      <c r="IP62" s="201"/>
      <c r="IQ62" s="201"/>
      <c r="IR62" s="201"/>
      <c r="IS62" s="201"/>
      <c r="IT62" s="201"/>
      <c r="IU62" s="201"/>
      <c r="IV62" s="201"/>
      <c r="IW62" s="201"/>
      <c r="IX62" s="201"/>
      <c r="IY62" s="201"/>
      <c r="IZ62" s="201"/>
      <c r="JA62" s="201"/>
      <c r="JB62" s="201"/>
      <c r="JC62" s="201"/>
      <c r="JD62" s="201"/>
      <c r="JE62" s="201"/>
      <c r="JF62" s="201"/>
      <c r="JG62" s="201"/>
      <c r="JH62" s="201"/>
      <c r="JI62" s="201"/>
      <c r="JJ62" s="201"/>
      <c r="JK62" s="201"/>
      <c r="JL62" s="201"/>
      <c r="JM62" s="201"/>
      <c r="JN62" s="201"/>
      <c r="JO62" s="201"/>
      <c r="JP62" s="201"/>
      <c r="JQ62" s="201"/>
      <c r="JR62" s="201"/>
      <c r="JS62" s="201"/>
      <c r="JT62" s="201"/>
      <c r="JU62" s="201"/>
      <c r="JV62" s="201"/>
      <c r="JW62" s="201"/>
      <c r="JX62" s="201"/>
      <c r="JY62" s="201"/>
      <c r="JZ62" s="201"/>
      <c r="KA62" s="201"/>
      <c r="KB62" s="201"/>
      <c r="KC62" s="201"/>
      <c r="KD62" s="201"/>
      <c r="KE62" s="201"/>
      <c r="KF62" s="201"/>
      <c r="KG62" s="201"/>
      <c r="KH62" s="201"/>
      <c r="KI62" s="201"/>
      <c r="KJ62" s="201"/>
      <c r="KK62" s="201"/>
      <c r="KL62" s="201"/>
      <c r="KM62" s="201"/>
      <c r="KN62" s="201"/>
      <c r="KO62" s="201"/>
      <c r="KP62" s="201"/>
      <c r="KQ62" s="201"/>
      <c r="KR62" s="201"/>
      <c r="KS62" s="201"/>
      <c r="KT62" s="201"/>
      <c r="KU62" s="201"/>
      <c r="KV62" s="201"/>
      <c r="KW62" s="201"/>
      <c r="KX62" s="201"/>
      <c r="KY62" s="201"/>
      <c r="KZ62" s="201"/>
      <c r="LA62" s="201"/>
      <c r="LB62" s="201"/>
      <c r="LC62" s="201"/>
      <c r="LD62" s="201"/>
      <c r="LE62" s="201"/>
      <c r="LF62" s="201"/>
      <c r="LG62" s="201"/>
      <c r="LH62" s="201"/>
      <c r="LI62" s="201"/>
      <c r="LJ62" s="201"/>
      <c r="LK62" s="201"/>
      <c r="LL62" s="201"/>
      <c r="LM62" s="201"/>
      <c r="LN62" s="201"/>
      <c r="LO62" s="201"/>
      <c r="LP62" s="201"/>
      <c r="LQ62" s="201"/>
      <c r="LR62" s="201"/>
      <c r="LS62" s="201"/>
      <c r="LT62" s="201"/>
      <c r="LU62" s="201"/>
      <c r="LV62" s="201"/>
      <c r="LW62" s="201"/>
      <c r="LX62" s="201"/>
      <c r="LY62" s="201"/>
      <c r="LZ62" s="201"/>
      <c r="MA62" s="201"/>
      <c r="MB62" s="201"/>
      <c r="MC62" s="201"/>
      <c r="MD62" s="201"/>
      <c r="ME62" s="201"/>
      <c r="MF62" s="201"/>
      <c r="MG62" s="201"/>
      <c r="MH62" s="201"/>
      <c r="MI62" s="201"/>
      <c r="MJ62" s="201"/>
      <c r="MK62" s="201"/>
      <c r="ML62" s="201"/>
      <c r="MM62" s="201"/>
      <c r="MN62" s="201"/>
      <c r="MO62" s="201"/>
      <c r="MP62" s="201"/>
      <c r="MQ62" s="201"/>
      <c r="MR62" s="201"/>
      <c r="MS62" s="201"/>
      <c r="MT62" s="201"/>
      <c r="MU62" s="201"/>
      <c r="MV62" s="201"/>
      <c r="MW62" s="201"/>
      <c r="MX62" s="201"/>
      <c r="MY62" s="201"/>
      <c r="MZ62" s="201"/>
      <c r="NA62" s="201"/>
      <c r="NB62" s="201"/>
      <c r="NC62" s="201"/>
      <c r="ND62" s="201"/>
      <c r="NE62" s="201"/>
      <c r="NF62" s="201"/>
      <c r="NG62" s="201"/>
      <c r="NH62" s="201"/>
      <c r="NI62" s="201"/>
      <c r="NJ62" s="201"/>
      <c r="NK62" s="201"/>
      <c r="NL62" s="201"/>
      <c r="NM62" s="201"/>
      <c r="NN62" s="201"/>
      <c r="NO62" s="201"/>
      <c r="NP62" s="201"/>
      <c r="NQ62" s="201"/>
      <c r="NR62" s="201"/>
      <c r="NS62" s="201"/>
      <c r="NT62" s="201"/>
      <c r="NU62" s="201"/>
      <c r="NV62" s="201"/>
      <c r="NW62" s="201"/>
      <c r="NX62" s="201"/>
      <c r="NY62" s="201"/>
      <c r="NZ62" s="201"/>
      <c r="OA62" s="201"/>
      <c r="OB62" s="201"/>
      <c r="OC62" s="201"/>
      <c r="OD62" s="201"/>
      <c r="OE62" s="201"/>
      <c r="OF62" s="201"/>
      <c r="OG62" s="201"/>
      <c r="OH62" s="201"/>
      <c r="OI62" s="201"/>
      <c r="OJ62" s="201"/>
      <c r="OK62" s="201"/>
      <c r="OL62" s="201"/>
      <c r="OM62" s="201"/>
      <c r="ON62" s="201"/>
      <c r="OO62" s="201"/>
      <c r="OP62" s="201"/>
      <c r="OQ62" s="201"/>
      <c r="OR62" s="201"/>
      <c r="OS62" s="201"/>
      <c r="OT62" s="201"/>
      <c r="OU62" s="201"/>
      <c r="OV62" s="201"/>
      <c r="OW62" s="201"/>
      <c r="OX62" s="201"/>
      <c r="OY62" s="201"/>
      <c r="OZ62" s="201"/>
      <c r="PA62" s="201"/>
      <c r="PB62" s="201"/>
      <c r="PC62" s="201"/>
      <c r="PD62" s="201"/>
      <c r="PE62" s="201"/>
      <c r="PF62" s="201"/>
      <c r="PG62" s="201"/>
      <c r="PH62" s="201"/>
      <c r="PI62" s="201"/>
      <c r="PJ62" s="201"/>
      <c r="PK62" s="201"/>
      <c r="PL62" s="201"/>
      <c r="PM62" s="201"/>
      <c r="PN62" s="201"/>
      <c r="PO62" s="201"/>
      <c r="PP62" s="201"/>
      <c r="PQ62" s="201"/>
      <c r="PR62" s="201"/>
      <c r="PS62" s="201"/>
      <c r="PT62" s="201"/>
      <c r="PU62" s="201"/>
      <c r="PV62" s="201"/>
      <c r="PW62" s="201"/>
      <c r="PX62" s="201"/>
      <c r="PY62" s="201"/>
      <c r="PZ62" s="201"/>
      <c r="QA62" s="201"/>
      <c r="QB62" s="201"/>
      <c r="QC62" s="201"/>
      <c r="QD62" s="201"/>
      <c r="QE62" s="201"/>
      <c r="QF62" s="201"/>
      <c r="QG62" s="201"/>
      <c r="QH62" s="201"/>
      <c r="QI62" s="201"/>
      <c r="QJ62" s="201"/>
      <c r="QK62" s="201"/>
      <c r="QL62" s="201"/>
      <c r="QM62" s="201"/>
      <c r="QN62" s="201"/>
      <c r="QO62" s="201"/>
      <c r="QP62" s="201"/>
      <c r="QQ62" s="201"/>
      <c r="QR62" s="201"/>
      <c r="QS62" s="201"/>
      <c r="QT62" s="201"/>
      <c r="QU62" s="201"/>
      <c r="QV62" s="201"/>
      <c r="QW62" s="201"/>
      <c r="QX62" s="201"/>
      <c r="QY62" s="201"/>
      <c r="QZ62" s="201"/>
      <c r="RA62" s="201"/>
      <c r="RB62" s="201"/>
      <c r="RC62" s="201"/>
      <c r="RD62" s="201"/>
      <c r="RE62" s="201"/>
      <c r="RF62" s="201"/>
      <c r="RG62" s="201"/>
      <c r="RH62" s="201"/>
      <c r="RI62" s="201"/>
      <c r="RJ62" s="201"/>
      <c r="RK62" s="201"/>
      <c r="RL62" s="201"/>
      <c r="RM62" s="201"/>
      <c r="RN62" s="201"/>
      <c r="RO62" s="201"/>
      <c r="RP62" s="201"/>
      <c r="RQ62" s="201"/>
      <c r="RR62" s="201"/>
      <c r="RS62" s="201"/>
      <c r="RT62" s="201"/>
      <c r="RU62" s="201"/>
      <c r="RV62" s="201"/>
      <c r="RW62" s="201"/>
      <c r="RX62" s="201"/>
      <c r="RY62" s="201"/>
      <c r="RZ62" s="201"/>
      <c r="SA62" s="201"/>
      <c r="SB62" s="201"/>
      <c r="SC62" s="201"/>
      <c r="SD62" s="201"/>
      <c r="SE62" s="201"/>
      <c r="SF62" s="201"/>
      <c r="SG62" s="201"/>
      <c r="SH62" s="201"/>
      <c r="SI62" s="201"/>
      <c r="SJ62" s="201"/>
      <c r="SK62" s="201"/>
      <c r="SL62" s="201"/>
      <c r="SM62" s="201"/>
      <c r="SN62" s="201"/>
      <c r="SO62" s="201"/>
      <c r="SP62" s="201"/>
      <c r="SQ62" s="201"/>
      <c r="SR62" s="201"/>
      <c r="SS62" s="201"/>
      <c r="ST62" s="201"/>
      <c r="SU62" s="201"/>
      <c r="SV62" s="201"/>
      <c r="SW62" s="201"/>
      <c r="SX62" s="201"/>
      <c r="SY62" s="201"/>
      <c r="SZ62" s="201"/>
      <c r="TA62" s="201"/>
      <c r="TB62" s="201"/>
      <c r="TC62" s="201"/>
      <c r="TD62" s="201"/>
      <c r="TE62" s="201"/>
      <c r="TF62" s="201"/>
      <c r="TG62" s="201"/>
      <c r="TH62" s="201"/>
      <c r="TI62" s="201"/>
      <c r="TJ62" s="201"/>
      <c r="TK62" s="201"/>
      <c r="TL62" s="201"/>
      <c r="TM62" s="201"/>
      <c r="TN62" s="201"/>
      <c r="TO62" s="201"/>
      <c r="TP62" s="201"/>
      <c r="TQ62" s="201"/>
      <c r="TR62" s="201"/>
      <c r="TS62" s="201"/>
      <c r="TT62" s="201"/>
      <c r="TU62" s="201"/>
      <c r="TV62" s="201"/>
      <c r="TW62" s="201"/>
      <c r="TX62" s="201"/>
      <c r="TY62" s="201"/>
      <c r="TZ62" s="201"/>
      <c r="UA62" s="201"/>
      <c r="UB62" s="201"/>
      <c r="UC62" s="201"/>
      <c r="UD62" s="201"/>
      <c r="UE62" s="201"/>
      <c r="UF62" s="201"/>
      <c r="UG62" s="201"/>
      <c r="UH62" s="201"/>
      <c r="UI62" s="201"/>
      <c r="UJ62" s="201"/>
      <c r="UK62" s="201"/>
      <c r="UL62" s="201"/>
      <c r="UM62" s="201"/>
      <c r="UN62" s="201"/>
      <c r="UO62" s="201"/>
      <c r="UP62" s="201"/>
      <c r="UQ62" s="201"/>
      <c r="UR62" s="201"/>
      <c r="US62" s="201"/>
      <c r="UT62" s="201"/>
      <c r="UU62" s="201"/>
      <c r="UV62" s="201"/>
      <c r="UW62" s="201"/>
      <c r="UX62" s="201"/>
      <c r="UY62" s="201"/>
      <c r="UZ62" s="201"/>
      <c r="VA62" s="201"/>
      <c r="VB62" s="201"/>
      <c r="VC62" s="201"/>
      <c r="VD62" s="201"/>
      <c r="VE62" s="201"/>
      <c r="VF62" s="201"/>
      <c r="VG62" s="201"/>
      <c r="VH62" s="201"/>
      <c r="VI62" s="201"/>
      <c r="VJ62" s="201"/>
      <c r="VK62" s="201"/>
      <c r="VL62" s="201"/>
      <c r="VM62" s="201"/>
      <c r="VN62" s="201"/>
      <c r="VO62" s="201"/>
      <c r="VP62" s="201"/>
      <c r="VQ62" s="201"/>
      <c r="VR62" s="201"/>
      <c r="VS62" s="201"/>
      <c r="VT62" s="201"/>
      <c r="VU62" s="201"/>
      <c r="VV62" s="201"/>
      <c r="VW62" s="201"/>
      <c r="VX62" s="201"/>
      <c r="VY62" s="201"/>
      <c r="VZ62" s="201"/>
      <c r="WA62" s="201"/>
      <c r="WB62" s="201"/>
      <c r="WC62" s="201"/>
      <c r="WD62" s="201"/>
      <c r="WE62" s="201"/>
      <c r="WF62" s="201"/>
      <c r="WG62" s="201"/>
      <c r="WH62" s="201"/>
      <c r="WI62" s="201"/>
      <c r="WJ62" s="201"/>
      <c r="WK62" s="201"/>
      <c r="WL62" s="201"/>
      <c r="WM62" s="201"/>
      <c r="WN62" s="201"/>
      <c r="WO62" s="201"/>
      <c r="WP62" s="201"/>
      <c r="WQ62" s="201"/>
      <c r="WR62" s="201"/>
      <c r="WS62" s="201"/>
      <c r="WT62" s="201"/>
      <c r="WU62" s="201"/>
      <c r="WV62" s="201"/>
      <c r="WW62" s="201"/>
      <c r="WX62" s="201"/>
      <c r="WY62" s="201"/>
      <c r="WZ62" s="201"/>
      <c r="XA62" s="201"/>
      <c r="XB62" s="201"/>
      <c r="XC62" s="201"/>
      <c r="XD62" s="201"/>
      <c r="XE62" s="201"/>
      <c r="XF62" s="201"/>
      <c r="XG62" s="201"/>
      <c r="XH62" s="201"/>
      <c r="XI62" s="201"/>
      <c r="XJ62" s="201"/>
      <c r="XK62" s="201"/>
      <c r="XL62" s="201"/>
      <c r="XM62" s="201"/>
      <c r="XN62" s="201"/>
      <c r="XO62" s="201"/>
      <c r="XP62" s="201"/>
      <c r="XQ62" s="201"/>
      <c r="XR62" s="201"/>
      <c r="XS62" s="201"/>
      <c r="XT62" s="201"/>
      <c r="XU62" s="201"/>
      <c r="XV62" s="201"/>
      <c r="XW62" s="201"/>
      <c r="XX62" s="201"/>
      <c r="XY62" s="201"/>
      <c r="XZ62" s="201"/>
      <c r="YA62" s="201"/>
      <c r="YB62" s="201"/>
      <c r="YC62" s="201"/>
      <c r="YD62" s="201"/>
      <c r="YE62" s="201"/>
      <c r="YF62" s="201"/>
      <c r="YG62" s="201"/>
      <c r="YH62" s="201"/>
      <c r="YI62" s="201"/>
      <c r="YJ62" s="201"/>
      <c r="YK62" s="201"/>
      <c r="YL62" s="201"/>
      <c r="YM62" s="201"/>
      <c r="YN62" s="201"/>
      <c r="YO62" s="201"/>
      <c r="YP62" s="201"/>
      <c r="YQ62" s="201"/>
      <c r="YR62" s="201"/>
      <c r="YS62" s="201"/>
      <c r="YT62" s="201"/>
      <c r="YU62" s="201"/>
      <c r="YV62" s="201"/>
      <c r="YW62" s="201"/>
      <c r="YX62" s="201"/>
      <c r="YY62" s="201"/>
      <c r="YZ62" s="201"/>
      <c r="ZA62" s="201"/>
      <c r="ZB62" s="201"/>
      <c r="ZC62" s="201"/>
      <c r="ZD62" s="201"/>
      <c r="ZE62" s="201"/>
      <c r="ZF62" s="201"/>
      <c r="ZG62" s="201"/>
      <c r="ZH62" s="201"/>
      <c r="ZI62" s="201"/>
      <c r="ZJ62" s="201"/>
      <c r="ZK62" s="201"/>
      <c r="ZL62" s="201"/>
      <c r="ZM62" s="201"/>
      <c r="ZN62" s="201"/>
      <c r="ZO62" s="201"/>
      <c r="ZP62" s="201"/>
      <c r="ZQ62" s="201"/>
      <c r="ZR62" s="201"/>
      <c r="ZS62" s="201"/>
      <c r="ZT62" s="201"/>
      <c r="ZU62" s="201"/>
      <c r="ZV62" s="201"/>
      <c r="ZW62" s="201"/>
      <c r="ZX62" s="201"/>
      <c r="ZY62" s="201"/>
      <c r="ZZ62" s="201"/>
      <c r="AAA62" s="201"/>
      <c r="AAB62" s="201"/>
      <c r="AAC62" s="201"/>
      <c r="AAD62" s="201"/>
      <c r="AAE62" s="201"/>
      <c r="AAF62" s="201"/>
      <c r="AAG62" s="201"/>
      <c r="AAH62" s="201"/>
      <c r="AAI62" s="201"/>
      <c r="AAJ62" s="201"/>
      <c r="AAK62" s="201"/>
      <c r="AAL62" s="201"/>
      <c r="AAM62" s="201"/>
      <c r="AAN62" s="201"/>
      <c r="AAO62" s="201"/>
      <c r="AAP62" s="201"/>
      <c r="AAQ62" s="201"/>
      <c r="AAR62" s="201"/>
      <c r="AAS62" s="201"/>
      <c r="AAT62" s="201"/>
      <c r="AAU62" s="201"/>
      <c r="AAV62" s="201"/>
      <c r="AAW62" s="201"/>
      <c r="AAX62" s="201"/>
      <c r="AAY62" s="201"/>
      <c r="AAZ62" s="201"/>
      <c r="ABA62" s="201"/>
      <c r="ABB62" s="201"/>
      <c r="ABC62" s="201"/>
      <c r="ABD62" s="201"/>
      <c r="ABE62" s="201"/>
      <c r="ABF62" s="201"/>
      <c r="ABG62" s="201"/>
      <c r="ABH62" s="201"/>
      <c r="ABI62" s="201"/>
      <c r="ABJ62" s="201"/>
      <c r="ABK62" s="201"/>
      <c r="ABL62" s="201"/>
      <c r="ABM62" s="201"/>
      <c r="ABN62" s="201"/>
      <c r="ABO62" s="201"/>
      <c r="ABP62" s="201"/>
      <c r="ABQ62" s="201"/>
      <c r="ABR62" s="201"/>
      <c r="ABS62" s="201"/>
      <c r="ABT62" s="201"/>
      <c r="ABU62" s="201"/>
      <c r="ABV62" s="201"/>
      <c r="ABW62" s="201"/>
      <c r="ABX62" s="201"/>
      <c r="ABY62" s="201"/>
      <c r="ABZ62" s="201"/>
      <c r="ACA62" s="201"/>
      <c r="ACB62" s="201"/>
      <c r="ACC62" s="201"/>
      <c r="ACD62" s="201"/>
      <c r="ACE62" s="201"/>
      <c r="ACF62" s="201"/>
      <c r="ACG62" s="201"/>
      <c r="ACH62" s="201"/>
      <c r="ACI62" s="201"/>
      <c r="ACJ62" s="201"/>
      <c r="ACK62" s="201"/>
      <c r="ACL62" s="201"/>
      <c r="ACM62" s="201"/>
      <c r="ACN62" s="201"/>
      <c r="ACO62" s="201"/>
      <c r="ACP62" s="201"/>
      <c r="ACQ62" s="201"/>
      <c r="ACR62" s="201"/>
      <c r="ACS62" s="201"/>
      <c r="ACT62" s="201"/>
      <c r="ACU62" s="201"/>
      <c r="ACV62" s="201"/>
      <c r="ACW62" s="201"/>
      <c r="ACX62" s="201"/>
      <c r="ACY62" s="201"/>
      <c r="ACZ62" s="201"/>
      <c r="ADA62" s="201"/>
      <c r="ADB62" s="201"/>
      <c r="ADC62" s="201"/>
      <c r="ADD62" s="201"/>
      <c r="ADE62" s="201"/>
      <c r="ADF62" s="201"/>
      <c r="ADG62" s="201"/>
      <c r="ADH62" s="201"/>
      <c r="ADI62" s="201"/>
      <c r="ADJ62" s="201"/>
      <c r="ADK62" s="201"/>
      <c r="ADL62" s="201"/>
      <c r="ADM62" s="201"/>
      <c r="ADN62" s="201"/>
      <c r="ADO62" s="201"/>
      <c r="ADP62" s="201"/>
      <c r="ADQ62" s="201"/>
      <c r="ADR62" s="201"/>
      <c r="ADS62" s="201"/>
      <c r="ADT62" s="201"/>
      <c r="ADU62" s="201"/>
      <c r="ADV62" s="201"/>
      <c r="ADW62" s="201"/>
      <c r="ADX62" s="201"/>
      <c r="ADY62" s="201"/>
      <c r="ADZ62" s="201"/>
      <c r="AEA62" s="201"/>
      <c r="AEB62" s="201"/>
      <c r="AEC62" s="201"/>
      <c r="AED62" s="201"/>
      <c r="AEE62" s="201"/>
      <c r="AEF62" s="201"/>
      <c r="AEG62" s="201"/>
      <c r="AEH62" s="201"/>
      <c r="AEI62" s="201"/>
      <c r="AEJ62" s="201"/>
      <c r="AEK62" s="201"/>
      <c r="AEL62" s="201"/>
      <c r="AEM62" s="201"/>
      <c r="AEN62" s="201"/>
      <c r="AEO62" s="201"/>
      <c r="AEP62" s="201"/>
      <c r="AEQ62" s="201"/>
      <c r="AER62" s="201"/>
      <c r="AES62" s="201"/>
      <c r="AET62" s="201"/>
      <c r="AEU62" s="201"/>
      <c r="AEV62" s="201"/>
      <c r="AEW62" s="201"/>
      <c r="AEX62" s="201"/>
      <c r="AEY62" s="201"/>
      <c r="AEZ62" s="201"/>
      <c r="AFA62" s="201"/>
      <c r="AFB62" s="201"/>
      <c r="AFC62" s="201"/>
      <c r="AFD62" s="201"/>
      <c r="AFE62" s="201"/>
      <c r="AFF62" s="201"/>
      <c r="AFG62" s="201"/>
      <c r="AFH62" s="201"/>
      <c r="AFI62" s="201"/>
      <c r="AFJ62" s="201"/>
      <c r="AFK62" s="201"/>
      <c r="AFL62" s="201"/>
      <c r="AFM62" s="201"/>
      <c r="AFN62" s="201"/>
      <c r="AFO62" s="201"/>
      <c r="AFP62" s="201"/>
      <c r="AFQ62" s="201"/>
      <c r="AFR62" s="201"/>
      <c r="AFS62" s="201"/>
      <c r="AFT62" s="201"/>
      <c r="AFU62" s="201"/>
      <c r="AFV62" s="201"/>
      <c r="AFW62" s="201"/>
      <c r="AFX62" s="201"/>
      <c r="AFY62" s="201"/>
      <c r="AFZ62" s="201"/>
      <c r="AGA62" s="201"/>
      <c r="AGB62" s="201"/>
      <c r="AGC62" s="201"/>
      <c r="AGD62" s="201"/>
      <c r="AGE62" s="201"/>
      <c r="AGF62" s="201"/>
      <c r="AGG62" s="201"/>
      <c r="AGH62" s="201"/>
      <c r="AGI62" s="201"/>
      <c r="AGJ62" s="201"/>
      <c r="AGK62" s="201"/>
      <c r="AGL62" s="201"/>
      <c r="AGM62" s="201"/>
      <c r="AGN62" s="201"/>
      <c r="AGO62" s="201"/>
      <c r="AGP62" s="201"/>
      <c r="AGQ62" s="201"/>
      <c r="AGR62" s="201"/>
      <c r="AGS62" s="201"/>
      <c r="AGT62" s="201"/>
      <c r="AGU62" s="201"/>
      <c r="AGV62" s="201"/>
      <c r="AGW62" s="201"/>
      <c r="AGX62" s="201"/>
      <c r="AGY62" s="201"/>
      <c r="AGZ62" s="201"/>
      <c r="AHA62" s="201"/>
      <c r="AHB62" s="201"/>
      <c r="AHC62" s="201"/>
      <c r="AHD62" s="201"/>
      <c r="AHE62" s="201"/>
      <c r="AHF62" s="201"/>
      <c r="AHG62" s="201"/>
      <c r="AHH62" s="201"/>
      <c r="AHI62" s="201"/>
      <c r="AHJ62" s="201"/>
      <c r="AHK62" s="201"/>
      <c r="AHL62" s="201"/>
      <c r="AHM62" s="201"/>
      <c r="AHN62" s="201"/>
      <c r="AHO62" s="201"/>
      <c r="AHP62" s="201"/>
      <c r="AHQ62" s="201"/>
      <c r="AHR62" s="201"/>
      <c r="AHS62" s="201"/>
      <c r="AHT62" s="201"/>
      <c r="AHU62" s="201"/>
      <c r="AHV62" s="201"/>
      <c r="AHW62" s="201"/>
      <c r="AHX62" s="201"/>
      <c r="AHY62" s="201"/>
      <c r="AHZ62" s="201"/>
      <c r="AIA62" s="201"/>
      <c r="AIB62" s="201"/>
      <c r="AIC62" s="201"/>
      <c r="AID62" s="201"/>
      <c r="AIE62" s="201"/>
      <c r="AIF62" s="201"/>
      <c r="AIG62" s="201"/>
      <c r="AIH62" s="201"/>
      <c r="AII62" s="201"/>
      <c r="AIJ62" s="201"/>
      <c r="AIK62" s="201"/>
      <c r="AIL62" s="201"/>
      <c r="AIM62" s="201"/>
      <c r="AIN62" s="201"/>
      <c r="AIO62" s="201"/>
      <c r="AIP62" s="201"/>
      <c r="AIQ62" s="201"/>
      <c r="AIR62" s="201"/>
      <c r="AIS62" s="201"/>
      <c r="AIT62" s="201"/>
      <c r="AIU62" s="201"/>
      <c r="AIV62" s="201"/>
      <c r="AIW62" s="201"/>
      <c r="AIX62" s="201"/>
      <c r="AIY62" s="201"/>
      <c r="AIZ62" s="201"/>
      <c r="AJA62" s="201"/>
      <c r="AJB62" s="201"/>
      <c r="AJC62" s="201"/>
      <c r="AJD62" s="201"/>
      <c r="AJE62" s="201"/>
      <c r="AJF62" s="201"/>
      <c r="AJG62" s="201"/>
      <c r="AJH62" s="201"/>
      <c r="AJI62" s="201"/>
      <c r="AJJ62" s="201"/>
      <c r="AJK62" s="201"/>
      <c r="AJL62" s="201"/>
      <c r="AJM62" s="201"/>
      <c r="AJN62" s="201"/>
      <c r="AJO62" s="201"/>
      <c r="AJP62" s="201"/>
      <c r="AJQ62" s="201"/>
      <c r="AJR62" s="201"/>
      <c r="AJS62" s="201"/>
      <c r="AJT62" s="201"/>
      <c r="AJU62" s="201"/>
      <c r="AJV62" s="201"/>
      <c r="AJW62" s="201"/>
      <c r="AJX62" s="201"/>
      <c r="AJY62" s="201"/>
    </row>
    <row r="63" ht="14.5" customHeight="1" spans="44:150" x14ac:dyDescent="0.25">
      <c r="AR63" s="202"/>
      <c r="BM63" s="201"/>
      <c r="ET63" s="239"/>
    </row>
    <row r="64" spans="65:65" x14ac:dyDescent="0.25">
      <c r="BM64" s="201"/>
    </row>
    <row r="65" spans="65:65" x14ac:dyDescent="0.25">
      <c r="BM65" s="201"/>
    </row>
    <row r="66" spans="65:65" x14ac:dyDescent="0.25">
      <c r="BM66" s="201"/>
    </row>
    <row r="67" spans="65:65" x14ac:dyDescent="0.25">
      <c r="BM67" s="201"/>
    </row>
    <row r="68" spans="65:65" x14ac:dyDescent="0.25">
      <c r="BM68" s="201"/>
    </row>
    <row r="69" spans="65:65" x14ac:dyDescent="0.25">
      <c r="BM69" s="201"/>
    </row>
    <row r="70" spans="65:65" x14ac:dyDescent="0.25">
      <c r="BM70" s="201"/>
    </row>
    <row r="71" spans="65:65" x14ac:dyDescent="0.25">
      <c r="BM71" s="201"/>
    </row>
    <row r="72" spans="65:65" x14ac:dyDescent="0.25">
      <c r="BM72" s="201"/>
    </row>
    <row r="73" spans="65:65" x14ac:dyDescent="0.25">
      <c r="BM73" s="201"/>
    </row>
    <row r="74" spans="65:65" x14ac:dyDescent="0.25">
      <c r="BM74" s="201"/>
    </row>
    <row r="75" spans="65:65" x14ac:dyDescent="0.25">
      <c r="BM75" s="201"/>
    </row>
    <row r="76" spans="65:65" x14ac:dyDescent="0.25">
      <c r="BM76" s="201"/>
    </row>
    <row r="77" spans="65:65" x14ac:dyDescent="0.25">
      <c r="BM77" s="201"/>
    </row>
    <row r="78" spans="65:65" x14ac:dyDescent="0.25">
      <c r="BM78" s="201"/>
    </row>
    <row r="79" spans="65:65" x14ac:dyDescent="0.25">
      <c r="BM79" s="201"/>
    </row>
    <row r="80" spans="65:65" x14ac:dyDescent="0.25">
      <c r="BM80" s="201"/>
    </row>
    <row r="81" spans="65:65" x14ac:dyDescent="0.25">
      <c r="BM81" s="201"/>
    </row>
    <row r="82" spans="65:65" x14ac:dyDescent="0.25">
      <c r="BM82" s="201"/>
    </row>
    <row r="83" spans="65:65" x14ac:dyDescent="0.25">
      <c r="BM83" s="201"/>
    </row>
    <row r="84" spans="65:65" x14ac:dyDescent="0.25">
      <c r="BM84" s="201"/>
    </row>
    <row r="85" spans="65:65" x14ac:dyDescent="0.25">
      <c r="BM85" s="201"/>
    </row>
    <row r="86" spans="65:65" x14ac:dyDescent="0.25">
      <c r="BM86" s="201"/>
    </row>
    <row r="87" spans="65:65" x14ac:dyDescent="0.25">
      <c r="BM87" s="201"/>
    </row>
    <row r="88" spans="65:65" x14ac:dyDescent="0.25">
      <c r="BM88" s="201"/>
    </row>
    <row r="89" spans="65:65" x14ac:dyDescent="0.25">
      <c r="BM89" s="201"/>
    </row>
    <row r="90" spans="65:65" x14ac:dyDescent="0.25">
      <c r="BM90" s="201"/>
    </row>
    <row r="91" spans="65:65" x14ac:dyDescent="0.25">
      <c r="BM91" s="201"/>
    </row>
    <row r="92" spans="65:65" x14ac:dyDescent="0.25">
      <c r="BM92" s="201"/>
    </row>
    <row r="93" spans="65:65" x14ac:dyDescent="0.25">
      <c r="BM93" s="201"/>
    </row>
    <row r="94" spans="65:65" x14ac:dyDescent="0.25">
      <c r="BM94" s="201"/>
    </row>
    <row r="95" spans="65:65" x14ac:dyDescent="0.25">
      <c r="BM95" s="201"/>
    </row>
    <row r="96" spans="65:65" x14ac:dyDescent="0.25">
      <c r="BM96" s="201"/>
    </row>
    <row r="97" spans="65:65" x14ac:dyDescent="0.25">
      <c r="BM97" s="201"/>
    </row>
    <row r="98" spans="65:65" x14ac:dyDescent="0.25">
      <c r="BM98" s="201"/>
    </row>
    <row r="99" spans="65:65" x14ac:dyDescent="0.25">
      <c r="BM99" s="201"/>
    </row>
    <row r="100" spans="65:65" x14ac:dyDescent="0.25">
      <c r="BM100" s="201"/>
    </row>
    <row r="101" spans="65:65" x14ac:dyDescent="0.25">
      <c r="BM101" s="201"/>
    </row>
    <row r="102" spans="65:65" x14ac:dyDescent="0.25">
      <c r="BM102" s="201"/>
    </row>
    <row r="103" spans="65:65" x14ac:dyDescent="0.25">
      <c r="BM103" s="201"/>
    </row>
    <row r="104" spans="65:65" x14ac:dyDescent="0.25">
      <c r="BM104" s="201"/>
    </row>
    <row r="105" spans="65:65" x14ac:dyDescent="0.25">
      <c r="BM105" s="201"/>
    </row>
    <row r="106" spans="65:65" x14ac:dyDescent="0.25">
      <c r="BM106" s="201"/>
    </row>
    <row r="107" spans="65:65" x14ac:dyDescent="0.25">
      <c r="BM107" s="201"/>
    </row>
    <row r="108" spans="65:65" x14ac:dyDescent="0.25">
      <c r="BM108" s="201"/>
    </row>
    <row r="109" spans="65:65" x14ac:dyDescent="0.25">
      <c r="BM109" s="201"/>
    </row>
    <row r="110" spans="65:65" x14ac:dyDescent="0.25">
      <c r="BM110" s="201"/>
    </row>
    <row r="111" spans="65:65" x14ac:dyDescent="0.25">
      <c r="BM111" s="201"/>
    </row>
    <row r="112" spans="65:65" x14ac:dyDescent="0.25">
      <c r="BM112" s="201"/>
    </row>
    <row r="113" spans="65:65" x14ac:dyDescent="0.25">
      <c r="BM113" s="201"/>
    </row>
    <row r="114" spans="65:65" x14ac:dyDescent="0.25">
      <c r="BM114" s="201"/>
    </row>
    <row r="115" spans="65:65" x14ac:dyDescent="0.25">
      <c r="BM115" s="201"/>
    </row>
    <row r="116" spans="65:65" x14ac:dyDescent="0.25">
      <c r="BM116" s="201"/>
    </row>
    <row r="117" spans="65:65" x14ac:dyDescent="0.25">
      <c r="BM117" s="201"/>
    </row>
    <row r="118" spans="65:65" x14ac:dyDescent="0.25">
      <c r="BM118" s="201"/>
    </row>
    <row r="119" spans="65:65" x14ac:dyDescent="0.25">
      <c r="BM119" s="201"/>
    </row>
    <row r="120" spans="65:65" x14ac:dyDescent="0.25">
      <c r="BM120" s="201"/>
    </row>
    <row r="121" spans="65:65" x14ac:dyDescent="0.25">
      <c r="BM121" s="201"/>
    </row>
    <row r="122" spans="65:65" x14ac:dyDescent="0.25">
      <c r="BM122" s="201"/>
    </row>
    <row r="123" spans="65:65" x14ac:dyDescent="0.25">
      <c r="BM123" s="201"/>
    </row>
    <row r="124" spans="65:65" x14ac:dyDescent="0.25">
      <c r="BM124" s="201"/>
    </row>
    <row r="125" spans="65:65" x14ac:dyDescent="0.25">
      <c r="BM125" s="201"/>
    </row>
    <row r="126" spans="65:65" x14ac:dyDescent="0.25">
      <c r="BM126" s="201"/>
    </row>
    <row r="127" spans="65:65" x14ac:dyDescent="0.25">
      <c r="BM127" s="201"/>
    </row>
    <row r="128" spans="65:65" x14ac:dyDescent="0.25">
      <c r="BM128" s="201"/>
    </row>
    <row r="129" spans="65:65" x14ac:dyDescent="0.25">
      <c r="BM129" s="201"/>
    </row>
    <row r="130" spans="65:65" x14ac:dyDescent="0.25">
      <c r="BM130" s="201"/>
    </row>
    <row r="131" spans="65:65" x14ac:dyDescent="0.25">
      <c r="BM131" s="201"/>
    </row>
    <row r="132" spans="65:65" x14ac:dyDescent="0.25">
      <c r="BM132" s="201"/>
    </row>
    <row r="133" spans="65:65" x14ac:dyDescent="0.25">
      <c r="BM133" s="201"/>
    </row>
    <row r="134" spans="65:65" x14ac:dyDescent="0.25">
      <c r="BM134" s="201"/>
    </row>
    <row r="135" spans="65:65" x14ac:dyDescent="0.25">
      <c r="BM135" s="201"/>
    </row>
    <row r="136" spans="65:65" x14ac:dyDescent="0.25">
      <c r="BM136" s="201"/>
    </row>
    <row r="137" spans="65:65" x14ac:dyDescent="0.25">
      <c r="BM137" s="201"/>
    </row>
    <row r="138" spans="65:65" x14ac:dyDescent="0.25">
      <c r="BM138" s="201"/>
    </row>
    <row r="139" spans="65:65" x14ac:dyDescent="0.25">
      <c r="BM139" s="201"/>
    </row>
    <row r="140" spans="65:65" x14ac:dyDescent="0.25">
      <c r="BM140" s="201"/>
    </row>
    <row r="141" spans="65:65" x14ac:dyDescent="0.25">
      <c r="BM141" s="201"/>
    </row>
    <row r="142" spans="65:65" x14ac:dyDescent="0.25">
      <c r="BM142" s="201"/>
    </row>
    <row r="143" spans="65:65" x14ac:dyDescent="0.25">
      <c r="BM143" s="201"/>
    </row>
    <row r="144" spans="65:65" x14ac:dyDescent="0.25">
      <c r="BM144" s="201"/>
    </row>
    <row r="145" spans="65:65" x14ac:dyDescent="0.25">
      <c r="BM145" s="201"/>
    </row>
    <row r="146" spans="65:65" x14ac:dyDescent="0.25">
      <c r="BM146" s="201"/>
    </row>
    <row r="147" spans="65:65" x14ac:dyDescent="0.25">
      <c r="BM147" s="201"/>
    </row>
    <row r="148" spans="65:65" x14ac:dyDescent="0.25">
      <c r="BM148" s="201"/>
    </row>
    <row r="149" spans="65:65" x14ac:dyDescent="0.25">
      <c r="BM149" s="201"/>
    </row>
    <row r="150" spans="65:65" x14ac:dyDescent="0.25">
      <c r="BM150" s="201"/>
    </row>
    <row r="151" spans="65:65" x14ac:dyDescent="0.25">
      <c r="BM151" s="201"/>
    </row>
    <row r="152" spans="65:65" x14ac:dyDescent="0.25">
      <c r="BM152" s="201"/>
    </row>
    <row r="153" spans="65:65" x14ac:dyDescent="0.25">
      <c r="BM153" s="201"/>
    </row>
    <row r="154" spans="65:65" x14ac:dyDescent="0.25">
      <c r="BM154" s="201"/>
    </row>
    <row r="155" spans="65:65" x14ac:dyDescent="0.25">
      <c r="BM155" s="201"/>
    </row>
    <row r="156" spans="65:65" x14ac:dyDescent="0.25">
      <c r="BM156" s="201"/>
    </row>
    <row r="157" spans="65:65" x14ac:dyDescent="0.25">
      <c r="BM157" s="201"/>
    </row>
    <row r="158" spans="65:65" x14ac:dyDescent="0.25">
      <c r="BM158" s="201"/>
    </row>
    <row r="159" spans="65:65" x14ac:dyDescent="0.25">
      <c r="BM159" s="201"/>
    </row>
    <row r="160" spans="65:65" x14ac:dyDescent="0.25">
      <c r="BM160" s="201"/>
    </row>
    <row r="161" spans="65:65" x14ac:dyDescent="0.25">
      <c r="BM161" s="201"/>
    </row>
    <row r="162" spans="65:65" x14ac:dyDescent="0.25">
      <c r="BM162" s="201"/>
    </row>
    <row r="163" spans="65:65" x14ac:dyDescent="0.25">
      <c r="BM163" s="201"/>
    </row>
    <row r="164" spans="65:65" x14ac:dyDescent="0.25">
      <c r="BM164" s="201"/>
    </row>
    <row r="165" spans="65:65" x14ac:dyDescent="0.25">
      <c r="BM165" s="201"/>
    </row>
    <row r="166" spans="65:65" x14ac:dyDescent="0.25">
      <c r="BM166" s="201"/>
    </row>
    <row r="167" spans="65:65" x14ac:dyDescent="0.25">
      <c r="BM167" s="201"/>
    </row>
    <row r="168" spans="65:65" x14ac:dyDescent="0.25">
      <c r="BM168" s="201"/>
    </row>
    <row r="169" spans="65:65" x14ac:dyDescent="0.25">
      <c r="BM169" s="201"/>
    </row>
    <row r="170" spans="65:65" x14ac:dyDescent="0.25">
      <c r="BM170" s="201"/>
    </row>
    <row r="171" spans="65:65" x14ac:dyDescent="0.25">
      <c r="BM171" s="201"/>
    </row>
    <row r="172" spans="65:65" x14ac:dyDescent="0.25">
      <c r="BM172" s="201"/>
    </row>
    <row r="173" spans="65:65" x14ac:dyDescent="0.25">
      <c r="BM173" s="201"/>
    </row>
    <row r="174" spans="65:65" x14ac:dyDescent="0.25">
      <c r="BM174" s="201"/>
    </row>
    <row r="175" spans="65:65" x14ac:dyDescent="0.25">
      <c r="BM175" s="201"/>
    </row>
    <row r="176" spans="65:65" x14ac:dyDescent="0.25">
      <c r="BM176" s="201"/>
    </row>
    <row r="177" spans="65:65" x14ac:dyDescent="0.25">
      <c r="BM177" s="201"/>
    </row>
    <row r="178" spans="65:65" x14ac:dyDescent="0.25">
      <c r="BM178" s="201"/>
    </row>
    <row r="179" spans="65:65" x14ac:dyDescent="0.25">
      <c r="BM179" s="201"/>
    </row>
    <row r="180" spans="65:65" x14ac:dyDescent="0.25">
      <c r="BM180" s="201"/>
    </row>
    <row r="181" spans="65:65" x14ac:dyDescent="0.25">
      <c r="BM181" s="201"/>
    </row>
    <row r="182" spans="65:65" x14ac:dyDescent="0.25">
      <c r="BM182" s="201"/>
    </row>
    <row r="183" spans="65:65" x14ac:dyDescent="0.25">
      <c r="BM183" s="201"/>
    </row>
    <row r="184" spans="65:65" x14ac:dyDescent="0.25">
      <c r="BM184" s="201"/>
    </row>
    <row r="185" spans="65:65" x14ac:dyDescent="0.25">
      <c r="BM185" s="201"/>
    </row>
    <row r="186" spans="65:65" x14ac:dyDescent="0.25">
      <c r="BM186" s="201"/>
    </row>
    <row r="187" spans="65:65" x14ac:dyDescent="0.25">
      <c r="BM187" s="201"/>
    </row>
    <row r="188" spans="65:65" x14ac:dyDescent="0.25">
      <c r="BM188" s="201"/>
    </row>
    <row r="189" spans="65:65" x14ac:dyDescent="0.25">
      <c r="BM189" s="201"/>
    </row>
    <row r="190" spans="65:65" x14ac:dyDescent="0.25">
      <c r="BM190" s="201"/>
    </row>
    <row r="191" spans="65:65" x14ac:dyDescent="0.25">
      <c r="BM191" s="201"/>
    </row>
    <row r="192" spans="65:65" x14ac:dyDescent="0.25">
      <c r="BM192" s="201"/>
    </row>
    <row r="193" spans="65:65" x14ac:dyDescent="0.25">
      <c r="BM193" s="201"/>
    </row>
    <row r="194" spans="65:65" x14ac:dyDescent="0.25">
      <c r="BM194" s="201"/>
    </row>
    <row r="195" spans="65:65" x14ac:dyDescent="0.25">
      <c r="BM195" s="201"/>
    </row>
    <row r="196" spans="65:65" x14ac:dyDescent="0.25">
      <c r="BM196" s="201"/>
    </row>
    <row r="197" spans="65:65" x14ac:dyDescent="0.25">
      <c r="BM197" s="201"/>
    </row>
    <row r="198" spans="65:65" x14ac:dyDescent="0.25">
      <c r="BM198" s="201"/>
    </row>
    <row r="199" spans="65:65" x14ac:dyDescent="0.25">
      <c r="BM199" s="201"/>
    </row>
    <row r="200" spans="65:65" x14ac:dyDescent="0.25">
      <c r="BM200" s="201"/>
    </row>
    <row r="201" spans="65:65" x14ac:dyDescent="0.25">
      <c r="BM201" s="201"/>
    </row>
    <row r="202" spans="65:65" x14ac:dyDescent="0.25">
      <c r="BM202" s="201"/>
    </row>
    <row r="203" spans="65:65" x14ac:dyDescent="0.25">
      <c r="BM203" s="201"/>
    </row>
    <row r="204" spans="65:65" x14ac:dyDescent="0.25">
      <c r="BM204" s="201"/>
    </row>
    <row r="205" spans="65:65" x14ac:dyDescent="0.25">
      <c r="BM205" s="201"/>
    </row>
    <row r="206" spans="65:65" x14ac:dyDescent="0.25">
      <c r="BM206" s="201"/>
    </row>
    <row r="207" spans="65:65" x14ac:dyDescent="0.25">
      <c r="BM207" s="201"/>
    </row>
    <row r="208" spans="65:65" x14ac:dyDescent="0.25">
      <c r="BM208" s="201"/>
    </row>
    <row r="209" spans="65:65" x14ac:dyDescent="0.25">
      <c r="BM209" s="201"/>
    </row>
    <row r="210" spans="65:65" x14ac:dyDescent="0.25">
      <c r="BM210" s="201"/>
    </row>
    <row r="211" spans="65:65" x14ac:dyDescent="0.25">
      <c r="BM211" s="201"/>
    </row>
    <row r="212" spans="65:65" x14ac:dyDescent="0.25">
      <c r="BM212" s="201"/>
    </row>
    <row r="213" spans="65:65" x14ac:dyDescent="0.25">
      <c r="BM213" s="201"/>
    </row>
    <row r="214" spans="65:65" x14ac:dyDescent="0.25">
      <c r="BM214" s="201"/>
    </row>
    <row r="215" spans="65:65" x14ac:dyDescent="0.25">
      <c r="BM215" s="201"/>
    </row>
    <row r="216" spans="65:65" x14ac:dyDescent="0.25">
      <c r="BM216" s="201"/>
    </row>
    <row r="217" spans="65:65" x14ac:dyDescent="0.25">
      <c r="BM217" s="201"/>
    </row>
    <row r="218" spans="65:65" x14ac:dyDescent="0.25">
      <c r="BM218" s="201"/>
    </row>
    <row r="219" spans="65:65" x14ac:dyDescent="0.25">
      <c r="BM219" s="201"/>
    </row>
    <row r="220" spans="65:65" x14ac:dyDescent="0.25">
      <c r="BM220" s="201"/>
    </row>
    <row r="221" spans="65:65" x14ac:dyDescent="0.25">
      <c r="BM221" s="201"/>
    </row>
    <row r="222" spans="65:65" x14ac:dyDescent="0.25">
      <c r="BM222" s="201"/>
    </row>
    <row r="223" spans="65:65" x14ac:dyDescent="0.25">
      <c r="BM223" s="201"/>
    </row>
    <row r="224" spans="65:65" x14ac:dyDescent="0.25">
      <c r="BM224" s="201"/>
    </row>
    <row r="225" spans="65:65" x14ac:dyDescent="0.25">
      <c r="BM225" s="201"/>
    </row>
    <row r="226" spans="65:65" x14ac:dyDescent="0.25">
      <c r="BM226" s="201"/>
    </row>
    <row r="227" spans="65:65" x14ac:dyDescent="0.25">
      <c r="BM227" s="201"/>
    </row>
    <row r="228" spans="65:65" x14ac:dyDescent="0.25">
      <c r="BM228" s="201"/>
    </row>
    <row r="229" spans="65:65" x14ac:dyDescent="0.25">
      <c r="BM229" s="201"/>
    </row>
    <row r="230" spans="65:65" x14ac:dyDescent="0.25">
      <c r="BM230" s="201"/>
    </row>
    <row r="231" spans="65:65" x14ac:dyDescent="0.25">
      <c r="BM231" s="201"/>
    </row>
    <row r="232" spans="65:65" x14ac:dyDescent="0.25">
      <c r="BM232" s="201"/>
    </row>
    <row r="233" spans="65:65" x14ac:dyDescent="0.25">
      <c r="BM233" s="201"/>
    </row>
    <row r="234" spans="65:65" x14ac:dyDescent="0.25">
      <c r="BM234" s="201"/>
    </row>
    <row r="235" spans="65:65" x14ac:dyDescent="0.25">
      <c r="BM235" s="201"/>
    </row>
    <row r="236" spans="65:65" x14ac:dyDescent="0.25">
      <c r="BM236" s="201"/>
    </row>
    <row r="237" spans="65:65" x14ac:dyDescent="0.25">
      <c r="BM237" s="201"/>
    </row>
    <row r="238" spans="65:65" x14ac:dyDescent="0.25">
      <c r="BM238" s="201"/>
    </row>
    <row r="239" spans="65:65" x14ac:dyDescent="0.25">
      <c r="BM239" s="201"/>
    </row>
    <row r="240" spans="65:65" x14ac:dyDescent="0.25">
      <c r="BM240" s="201"/>
    </row>
    <row r="241" spans="65:65" x14ac:dyDescent="0.25">
      <c r="BM241" s="201"/>
    </row>
    <row r="242" spans="65:65" x14ac:dyDescent="0.25">
      <c r="BM242" s="201"/>
    </row>
    <row r="243" spans="65:65" x14ac:dyDescent="0.25">
      <c r="BM243" s="201"/>
    </row>
    <row r="244" spans="65:65" x14ac:dyDescent="0.25">
      <c r="BM244" s="201"/>
    </row>
    <row r="245" spans="65:65" x14ac:dyDescent="0.25">
      <c r="BM245" s="201"/>
    </row>
    <row r="246" spans="65:65" x14ac:dyDescent="0.25">
      <c r="BM246" s="201"/>
    </row>
    <row r="247" spans="65:65" x14ac:dyDescent="0.25">
      <c r="BM247" s="201"/>
    </row>
    <row r="248" spans="65:65" x14ac:dyDescent="0.25">
      <c r="BM248" s="201"/>
    </row>
    <row r="249" spans="65:65" x14ac:dyDescent="0.25">
      <c r="BM249" s="201"/>
    </row>
    <row r="250" spans="65:65" x14ac:dyDescent="0.25">
      <c r="BM250" s="201"/>
    </row>
    <row r="251" spans="65:65" x14ac:dyDescent="0.25">
      <c r="BM251" s="201"/>
    </row>
    <row r="252" spans="65:65" x14ac:dyDescent="0.25">
      <c r="BM252" s="201"/>
    </row>
    <row r="253" spans="65:65" x14ac:dyDescent="0.25">
      <c r="BM253" s="201"/>
    </row>
    <row r="254" spans="65:65" x14ac:dyDescent="0.25">
      <c r="BM254" s="201"/>
    </row>
    <row r="255" spans="65:65" x14ac:dyDescent="0.25">
      <c r="BM255" s="201"/>
    </row>
    <row r="256" spans="65:65" x14ac:dyDescent="0.25">
      <c r="BM256" s="201"/>
    </row>
    <row r="257" spans="65:65" x14ac:dyDescent="0.25">
      <c r="BM257" s="201"/>
    </row>
    <row r="258" spans="65:65" x14ac:dyDescent="0.25">
      <c r="BM258" s="201"/>
    </row>
    <row r="259" spans="65:65" x14ac:dyDescent="0.25">
      <c r="BM259" s="201"/>
    </row>
    <row r="260" spans="65:65" x14ac:dyDescent="0.25">
      <c r="BM260" s="201"/>
    </row>
    <row r="261" spans="65:65" x14ac:dyDescent="0.25">
      <c r="BM261" s="201"/>
    </row>
    <row r="262" spans="65:65" x14ac:dyDescent="0.25">
      <c r="BM262" s="201"/>
    </row>
    <row r="263" spans="65:65" x14ac:dyDescent="0.25">
      <c r="BM263" s="201"/>
    </row>
    <row r="264" spans="65:65" x14ac:dyDescent="0.25">
      <c r="BM264" s="201"/>
    </row>
    <row r="265" spans="65:65" x14ac:dyDescent="0.25">
      <c r="BM265" s="201"/>
    </row>
    <row r="266" spans="65:65" x14ac:dyDescent="0.25">
      <c r="BM266" s="201"/>
    </row>
    <row r="267" spans="65:65" x14ac:dyDescent="0.25">
      <c r="BM267" s="201"/>
    </row>
    <row r="268" spans="65:65" x14ac:dyDescent="0.25">
      <c r="BM268" s="201"/>
    </row>
    <row r="269" spans="65:65" x14ac:dyDescent="0.25">
      <c r="BM269" s="201"/>
    </row>
    <row r="270" spans="65:65" x14ac:dyDescent="0.25">
      <c r="BM270" s="201"/>
    </row>
    <row r="271" spans="65:65" x14ac:dyDescent="0.25">
      <c r="BM271" s="201"/>
    </row>
    <row r="272" spans="65:65" x14ac:dyDescent="0.25">
      <c r="BM272" s="201"/>
    </row>
    <row r="273" spans="65:65" x14ac:dyDescent="0.25">
      <c r="BM273" s="201"/>
    </row>
    <row r="274" spans="65:65" x14ac:dyDescent="0.25">
      <c r="BM274" s="201"/>
    </row>
    <row r="275" spans="65:65" x14ac:dyDescent="0.25">
      <c r="BM275" s="201"/>
    </row>
    <row r="276" spans="65:65" x14ac:dyDescent="0.25">
      <c r="BM276" s="201"/>
    </row>
    <row r="277" spans="65:65" x14ac:dyDescent="0.25">
      <c r="BM277" s="201"/>
    </row>
    <row r="278" spans="65:65" x14ac:dyDescent="0.25">
      <c r="BM278" s="201"/>
    </row>
    <row r="279" spans="65:65" x14ac:dyDescent="0.25">
      <c r="BM279" s="201"/>
    </row>
    <row r="280" spans="65:65" x14ac:dyDescent="0.25">
      <c r="BM280" s="201"/>
    </row>
    <row r="281" spans="65:65" x14ac:dyDescent="0.25">
      <c r="BM281" s="201"/>
    </row>
    <row r="282" spans="65:65" x14ac:dyDescent="0.25">
      <c r="BM282" s="201"/>
    </row>
    <row r="283" spans="65:65" x14ac:dyDescent="0.25">
      <c r="BM283" s="201"/>
    </row>
    <row r="284" spans="65:65" x14ac:dyDescent="0.25">
      <c r="BM284" s="201"/>
    </row>
    <row r="285" spans="65:65" x14ac:dyDescent="0.25">
      <c r="BM285" s="201"/>
    </row>
    <row r="286" spans="65:65" x14ac:dyDescent="0.25">
      <c r="BM286" s="201"/>
    </row>
    <row r="287" spans="65:65" x14ac:dyDescent="0.25">
      <c r="BM287" s="201"/>
    </row>
    <row r="288" spans="65:65" x14ac:dyDescent="0.25">
      <c r="BM288" s="201"/>
    </row>
    <row r="289" spans="65:65" x14ac:dyDescent="0.25">
      <c r="BM289" s="201"/>
    </row>
    <row r="290" spans="65:65" x14ac:dyDescent="0.25">
      <c r="BM290" s="201"/>
    </row>
    <row r="291" spans="65:65" x14ac:dyDescent="0.25">
      <c r="BM291" s="201"/>
    </row>
    <row r="292" spans="65:65" x14ac:dyDescent="0.25">
      <c r="BM292" s="201"/>
    </row>
    <row r="293" spans="65:65" x14ac:dyDescent="0.25">
      <c r="BM293" s="201"/>
    </row>
    <row r="294" spans="65:65" x14ac:dyDescent="0.25">
      <c r="BM294" s="201"/>
    </row>
    <row r="295" spans="65:65" x14ac:dyDescent="0.25">
      <c r="BM295" s="201"/>
    </row>
    <row r="296" spans="65:65" x14ac:dyDescent="0.25">
      <c r="BM296" s="201"/>
    </row>
    <row r="297" spans="65:65" x14ac:dyDescent="0.25">
      <c r="BM297" s="201"/>
    </row>
    <row r="298" spans="65:65" x14ac:dyDescent="0.25">
      <c r="BM298" s="201"/>
    </row>
    <row r="299" spans="65:65" x14ac:dyDescent="0.25">
      <c r="BM299" s="201"/>
    </row>
    <row r="300" spans="65:65" x14ac:dyDescent="0.25">
      <c r="BM300" s="201"/>
    </row>
    <row r="301" spans="65:65" x14ac:dyDescent="0.25">
      <c r="BM301" s="201"/>
    </row>
    <row r="302" spans="65:65" x14ac:dyDescent="0.25">
      <c r="BM302" s="201"/>
    </row>
    <row r="303" spans="65:65" x14ac:dyDescent="0.25">
      <c r="BM303" s="201"/>
    </row>
    <row r="304" spans="65:65" x14ac:dyDescent="0.25">
      <c r="BM304" s="201"/>
    </row>
    <row r="305" spans="65:65" x14ac:dyDescent="0.25">
      <c r="BM305" s="201"/>
    </row>
    <row r="306" spans="65:65" x14ac:dyDescent="0.25">
      <c r="BM306" s="201"/>
    </row>
    <row r="307" spans="65:65" x14ac:dyDescent="0.25">
      <c r="BM307" s="201"/>
    </row>
    <row r="308" spans="65:65" x14ac:dyDescent="0.25">
      <c r="BM308" s="201"/>
    </row>
    <row r="309" spans="65:65" x14ac:dyDescent="0.25">
      <c r="BM309" s="201"/>
    </row>
    <row r="310" spans="65:65" x14ac:dyDescent="0.25">
      <c r="BM310" s="201"/>
    </row>
    <row r="311" spans="65:65" x14ac:dyDescent="0.25">
      <c r="BM311" s="201"/>
    </row>
    <row r="312" spans="65:65" x14ac:dyDescent="0.25">
      <c r="BM312" s="201"/>
    </row>
    <row r="313" spans="65:65" x14ac:dyDescent="0.25">
      <c r="BM313" s="201"/>
    </row>
    <row r="314" spans="65:65" x14ac:dyDescent="0.25">
      <c r="BM314" s="201"/>
    </row>
    <row r="315" spans="65:65" x14ac:dyDescent="0.25">
      <c r="BM315" s="201"/>
    </row>
    <row r="316" spans="65:65" x14ac:dyDescent="0.25">
      <c r="BM316" s="201"/>
    </row>
    <row r="317" spans="65:65" x14ac:dyDescent="0.25">
      <c r="BM317" s="201"/>
    </row>
    <row r="318" spans="65:65" x14ac:dyDescent="0.25">
      <c r="BM318" s="201"/>
    </row>
    <row r="319" spans="65:65" x14ac:dyDescent="0.25">
      <c r="BM319" s="201"/>
    </row>
    <row r="320" spans="65:65" x14ac:dyDescent="0.25">
      <c r="BM320" s="201"/>
    </row>
    <row r="321" spans="65:65" x14ac:dyDescent="0.25">
      <c r="BM321" s="201"/>
    </row>
    <row r="322" spans="65:65" x14ac:dyDescent="0.25">
      <c r="BM322" s="201"/>
    </row>
    <row r="323" spans="65:65" x14ac:dyDescent="0.25">
      <c r="BM323" s="201"/>
    </row>
    <row r="324" spans="65:65" x14ac:dyDescent="0.25">
      <c r="BM324" s="201"/>
    </row>
    <row r="325" spans="65:65" x14ac:dyDescent="0.25">
      <c r="BM325" s="201"/>
    </row>
    <row r="326" spans="65:65" x14ac:dyDescent="0.25">
      <c r="BM326" s="201"/>
    </row>
    <row r="327" spans="65:65" x14ac:dyDescent="0.25">
      <c r="BM327" s="201"/>
    </row>
    <row r="328" spans="65:65" x14ac:dyDescent="0.25">
      <c r="BM328" s="201"/>
    </row>
    <row r="329" spans="65:65" x14ac:dyDescent="0.25">
      <c r="BM329" s="201"/>
    </row>
    <row r="330" spans="65:65" x14ac:dyDescent="0.25">
      <c r="BM330" s="201"/>
    </row>
    <row r="331" spans="65:65" x14ac:dyDescent="0.25">
      <c r="BM331" s="201"/>
    </row>
    <row r="332" spans="65:65" x14ac:dyDescent="0.25">
      <c r="BM332" s="201"/>
    </row>
    <row r="333" spans="65:65" x14ac:dyDescent="0.25">
      <c r="BM333" s="201"/>
    </row>
    <row r="334" spans="65:65" x14ac:dyDescent="0.25">
      <c r="BM334" s="201"/>
    </row>
    <row r="335" spans="65:65" x14ac:dyDescent="0.25">
      <c r="BM335" s="201"/>
    </row>
    <row r="336" spans="65:65" x14ac:dyDescent="0.25">
      <c r="BM336" s="201"/>
    </row>
    <row r="337" spans="65:65" x14ac:dyDescent="0.25">
      <c r="BM337" s="201"/>
    </row>
    <row r="338" spans="65:65" x14ac:dyDescent="0.25">
      <c r="BM338" s="201"/>
    </row>
    <row r="339" spans="65:65" x14ac:dyDescent="0.25">
      <c r="BM339" s="201"/>
    </row>
    <row r="340" spans="65:65" x14ac:dyDescent="0.25">
      <c r="BM340" s="201"/>
    </row>
    <row r="341" spans="65:65" x14ac:dyDescent="0.25">
      <c r="BM341" s="201"/>
    </row>
    <row r="342" spans="65:65" x14ac:dyDescent="0.25">
      <c r="BM342" s="201"/>
    </row>
    <row r="343" spans="65:65" x14ac:dyDescent="0.25">
      <c r="BM343" s="201"/>
    </row>
    <row r="344" spans="65:65" x14ac:dyDescent="0.25">
      <c r="BM344" s="201"/>
    </row>
    <row r="345" spans="65:65" x14ac:dyDescent="0.25">
      <c r="BM345" s="201"/>
    </row>
    <row r="346" spans="65:65" x14ac:dyDescent="0.25">
      <c r="BM346" s="201"/>
    </row>
    <row r="347" spans="65:65" x14ac:dyDescent="0.25">
      <c r="BM347" s="201"/>
    </row>
    <row r="348" spans="65:65" x14ac:dyDescent="0.25">
      <c r="BM348" s="201"/>
    </row>
    <row r="349" spans="65:65" x14ac:dyDescent="0.25">
      <c r="BM349" s="201"/>
    </row>
    <row r="350" spans="65:65" x14ac:dyDescent="0.25">
      <c r="BM350" s="201"/>
    </row>
    <row r="351" spans="65:65" x14ac:dyDescent="0.25">
      <c r="BM351" s="201"/>
    </row>
    <row r="352" spans="65:65" x14ac:dyDescent="0.25">
      <c r="BM352" s="201"/>
    </row>
    <row r="353" spans="65:65" x14ac:dyDescent="0.25">
      <c r="BM353" s="201"/>
    </row>
    <row r="354" spans="65:65" x14ac:dyDescent="0.25">
      <c r="BM354" s="201"/>
    </row>
    <row r="355" spans="65:65" x14ac:dyDescent="0.25">
      <c r="BM355" s="201"/>
    </row>
    <row r="356" spans="65:65" x14ac:dyDescent="0.25">
      <c r="BM356" s="201"/>
    </row>
    <row r="357" spans="65:65" x14ac:dyDescent="0.25">
      <c r="BM357" s="201"/>
    </row>
    <row r="358" spans="65:65" x14ac:dyDescent="0.25">
      <c r="BM358" s="201"/>
    </row>
    <row r="359" spans="65:65" x14ac:dyDescent="0.25">
      <c r="BM359" s="201"/>
    </row>
    <row r="360" spans="65:65" x14ac:dyDescent="0.25">
      <c r="BM360" s="201"/>
    </row>
    <row r="361" spans="65:65" x14ac:dyDescent="0.25">
      <c r="BM361" s="201"/>
    </row>
    <row r="362" spans="65:65" x14ac:dyDescent="0.25">
      <c r="BM362" s="201"/>
    </row>
    <row r="363" spans="65:65" x14ac:dyDescent="0.25">
      <c r="BM363" s="201"/>
    </row>
    <row r="364" spans="65:65" x14ac:dyDescent="0.25">
      <c r="BM364" s="201"/>
    </row>
    <row r="365" spans="65:65" x14ac:dyDescent="0.25">
      <c r="BM365" s="201"/>
    </row>
    <row r="366" spans="65:65" x14ac:dyDescent="0.25">
      <c r="BM366" s="201"/>
    </row>
    <row r="367" spans="65:65" x14ac:dyDescent="0.25">
      <c r="BM367" s="201"/>
    </row>
    <row r="368" spans="65:65" x14ac:dyDescent="0.25">
      <c r="BM368" s="201"/>
    </row>
    <row r="369" spans="65:65" x14ac:dyDescent="0.25">
      <c r="BM369" s="201"/>
    </row>
    <row r="370" spans="65:65" x14ac:dyDescent="0.25">
      <c r="BM370" s="201"/>
    </row>
    <row r="371" spans="65:65" x14ac:dyDescent="0.25">
      <c r="BM371" s="201"/>
    </row>
    <row r="372" spans="65:65" x14ac:dyDescent="0.25">
      <c r="BM372" s="201"/>
    </row>
    <row r="373" spans="65:65" x14ac:dyDescent="0.25">
      <c r="BM373" s="201"/>
    </row>
    <row r="374" spans="65:65" x14ac:dyDescent="0.25">
      <c r="BM374" s="201"/>
    </row>
    <row r="375" spans="65:65" x14ac:dyDescent="0.25">
      <c r="BM375" s="201"/>
    </row>
    <row r="376" spans="65:65" x14ac:dyDescent="0.25">
      <c r="BM376" s="201"/>
    </row>
    <row r="377" spans="65:65" x14ac:dyDescent="0.25">
      <c r="BM377" s="201"/>
    </row>
    <row r="378" spans="65:65" x14ac:dyDescent="0.25">
      <c r="BM378" s="201"/>
    </row>
    <row r="379" spans="65:65" x14ac:dyDescent="0.25">
      <c r="BM379" s="201"/>
    </row>
    <row r="380" spans="65:65" x14ac:dyDescent="0.25">
      <c r="BM380" s="201"/>
    </row>
    <row r="381" spans="65:65" x14ac:dyDescent="0.25">
      <c r="BM381" s="201"/>
    </row>
    <row r="382" spans="65:65" x14ac:dyDescent="0.25">
      <c r="BM382" s="201"/>
    </row>
    <row r="383" spans="65:65" x14ac:dyDescent="0.25">
      <c r="BM383" s="201"/>
    </row>
    <row r="384" spans="65:65" x14ac:dyDescent="0.25">
      <c r="BM384" s="201"/>
    </row>
    <row r="385" spans="65:65" x14ac:dyDescent="0.25">
      <c r="BM385" s="201"/>
    </row>
    <row r="386" spans="65:65" x14ac:dyDescent="0.25">
      <c r="BM386" s="201"/>
    </row>
    <row r="387" spans="65:65" x14ac:dyDescent="0.25">
      <c r="BM387" s="201"/>
    </row>
    <row r="388" spans="65:65" x14ac:dyDescent="0.25">
      <c r="BM388" s="201"/>
    </row>
    <row r="389" spans="65:65" x14ac:dyDescent="0.25">
      <c r="BM389" s="201"/>
    </row>
    <row r="390" spans="65:65" x14ac:dyDescent="0.25">
      <c r="BM390" s="201"/>
    </row>
    <row r="391" spans="65:65" x14ac:dyDescent="0.25">
      <c r="BM391" s="201"/>
    </row>
    <row r="392" spans="65:65" x14ac:dyDescent="0.25">
      <c r="BM392" s="201"/>
    </row>
    <row r="393" spans="65:65" x14ac:dyDescent="0.25">
      <c r="BM393" s="201"/>
    </row>
    <row r="394" spans="65:65" x14ac:dyDescent="0.25">
      <c r="BM394" s="201"/>
    </row>
    <row r="395" spans="65:65" x14ac:dyDescent="0.25">
      <c r="BM395" s="201"/>
    </row>
    <row r="396" spans="65:65" x14ac:dyDescent="0.25">
      <c r="BM396" s="201"/>
    </row>
    <row r="397" spans="65:65" x14ac:dyDescent="0.25">
      <c r="BM397" s="201"/>
    </row>
    <row r="398" spans="65:65" x14ac:dyDescent="0.25">
      <c r="BM398" s="201"/>
    </row>
    <row r="399" spans="65:65" x14ac:dyDescent="0.25">
      <c r="BM399" s="201"/>
    </row>
    <row r="400" spans="65:65" x14ac:dyDescent="0.25">
      <c r="BM400" s="201"/>
    </row>
    <row r="401" spans="65:65" x14ac:dyDescent="0.25">
      <c r="BM401" s="201"/>
    </row>
    <row r="402" spans="65:65" x14ac:dyDescent="0.25">
      <c r="BM402" s="201"/>
    </row>
    <row r="403" spans="65:65" x14ac:dyDescent="0.25">
      <c r="BM403" s="201"/>
    </row>
    <row r="404" spans="65:65" x14ac:dyDescent="0.25">
      <c r="BM404" s="201"/>
    </row>
    <row r="405" spans="65:65" x14ac:dyDescent="0.25">
      <c r="BM405" s="201"/>
    </row>
    <row r="406" spans="65:65" x14ac:dyDescent="0.25">
      <c r="BM406" s="201"/>
    </row>
    <row r="407" spans="65:65" x14ac:dyDescent="0.25">
      <c r="BM407" s="201"/>
    </row>
    <row r="408" spans="65:65" x14ac:dyDescent="0.25">
      <c r="BM408" s="201"/>
    </row>
    <row r="409" spans="65:65" x14ac:dyDescent="0.25">
      <c r="BM409" s="201"/>
    </row>
    <row r="410" spans="65:65" x14ac:dyDescent="0.25">
      <c r="BM410" s="201"/>
    </row>
    <row r="411" spans="65:65" x14ac:dyDescent="0.25">
      <c r="BM411" s="201"/>
    </row>
    <row r="412" spans="65:65" x14ac:dyDescent="0.25">
      <c r="BM412" s="201"/>
    </row>
    <row r="413" spans="65:65" x14ac:dyDescent="0.25">
      <c r="BM413" s="201"/>
    </row>
    <row r="414" spans="65:65" x14ac:dyDescent="0.25">
      <c r="BM414" s="201"/>
    </row>
    <row r="415" spans="65:65" x14ac:dyDescent="0.25">
      <c r="BM415" s="201"/>
    </row>
    <row r="416" spans="65:65" x14ac:dyDescent="0.25">
      <c r="BM416" s="201"/>
    </row>
    <row r="417" spans="65:65" x14ac:dyDescent="0.25">
      <c r="BM417" s="201"/>
    </row>
    <row r="418" spans="65:65" x14ac:dyDescent="0.25">
      <c r="BM418" s="201"/>
    </row>
    <row r="419" spans="65:65" x14ac:dyDescent="0.25">
      <c r="BM419" s="201"/>
    </row>
    <row r="420" spans="65:65" x14ac:dyDescent="0.25">
      <c r="BM420" s="201"/>
    </row>
    <row r="421" spans="65:65" x14ac:dyDescent="0.25">
      <c r="BM421" s="201"/>
    </row>
    <row r="422" spans="65:65" x14ac:dyDescent="0.25">
      <c r="BM422" s="201"/>
    </row>
    <row r="423" spans="65:65" x14ac:dyDescent="0.25">
      <c r="BM423" s="201"/>
    </row>
    <row r="424" spans="65:65" x14ac:dyDescent="0.25">
      <c r="BM424" s="201"/>
    </row>
    <row r="425" spans="65:65" x14ac:dyDescent="0.25">
      <c r="BM425" s="201"/>
    </row>
    <row r="426" spans="65:65" x14ac:dyDescent="0.25">
      <c r="BM426" s="201"/>
    </row>
    <row r="427" spans="65:65" x14ac:dyDescent="0.25">
      <c r="BM427" s="201"/>
    </row>
    <row r="428" spans="65:65" x14ac:dyDescent="0.25">
      <c r="BM428" s="201"/>
    </row>
    <row r="429" spans="65:65" x14ac:dyDescent="0.25">
      <c r="BM429" s="201"/>
    </row>
    <row r="430" spans="65:65" x14ac:dyDescent="0.25">
      <c r="BM430" s="201"/>
    </row>
    <row r="431" spans="65:65" x14ac:dyDescent="0.25">
      <c r="BM431" s="201"/>
    </row>
    <row r="432" spans="65:65" x14ac:dyDescent="0.25">
      <c r="BM432" s="201"/>
    </row>
    <row r="433" spans="65:65" x14ac:dyDescent="0.25">
      <c r="BM433" s="201"/>
    </row>
    <row r="434" spans="65:65" x14ac:dyDescent="0.25">
      <c r="BM434" s="201"/>
    </row>
    <row r="435" spans="65:65" x14ac:dyDescent="0.25">
      <c r="BM435" s="201"/>
    </row>
    <row r="436" spans="65:65" x14ac:dyDescent="0.25">
      <c r="BM436" s="201"/>
    </row>
    <row r="437" spans="65:65" x14ac:dyDescent="0.25">
      <c r="BM437" s="201"/>
    </row>
    <row r="438" spans="65:65" x14ac:dyDescent="0.25">
      <c r="BM438" s="201"/>
    </row>
    <row r="439" spans="65:65" x14ac:dyDescent="0.25">
      <c r="BM439" s="201"/>
    </row>
    <row r="440" spans="65:65" x14ac:dyDescent="0.25">
      <c r="BM440" s="201"/>
    </row>
    <row r="441" spans="65:65" x14ac:dyDescent="0.25">
      <c r="BM441" s="201"/>
    </row>
    <row r="442" spans="65:65" x14ac:dyDescent="0.25">
      <c r="BM442" s="201"/>
    </row>
    <row r="443" spans="65:65" x14ac:dyDescent="0.25">
      <c r="BM443" s="201"/>
    </row>
    <row r="444" spans="65:65" x14ac:dyDescent="0.25">
      <c r="BM444" s="201"/>
    </row>
    <row r="445" spans="65:65" x14ac:dyDescent="0.25">
      <c r="BM445" s="201"/>
    </row>
    <row r="446" spans="65:65" x14ac:dyDescent="0.25">
      <c r="BM446" s="201"/>
    </row>
    <row r="447" spans="65:65" x14ac:dyDescent="0.25">
      <c r="BM447" s="201"/>
    </row>
    <row r="448" spans="65:65" x14ac:dyDescent="0.25">
      <c r="BM448" s="201"/>
    </row>
    <row r="449" spans="65:65" x14ac:dyDescent="0.25">
      <c r="BM449" s="201"/>
    </row>
    <row r="450" spans="65:65" x14ac:dyDescent="0.25">
      <c r="BM450" s="201"/>
    </row>
    <row r="451" spans="65:65" x14ac:dyDescent="0.25">
      <c r="BM451" s="201"/>
    </row>
    <row r="452" spans="65:65" x14ac:dyDescent="0.25">
      <c r="BM452" s="201"/>
    </row>
    <row r="453" spans="65:65" x14ac:dyDescent="0.25">
      <c r="BM453" s="201"/>
    </row>
    <row r="454" spans="65:65" x14ac:dyDescent="0.25">
      <c r="BM454" s="201"/>
    </row>
    <row r="455" spans="65:65" x14ac:dyDescent="0.25">
      <c r="BM455" s="201"/>
    </row>
    <row r="456" spans="65:65" x14ac:dyDescent="0.25">
      <c r="BM456" s="201"/>
    </row>
    <row r="457" spans="65:65" x14ac:dyDescent="0.25">
      <c r="BM457" s="201"/>
    </row>
    <row r="458" spans="65:65" x14ac:dyDescent="0.25">
      <c r="BM458" s="201"/>
    </row>
    <row r="459" spans="65:65" x14ac:dyDescent="0.25">
      <c r="BM459" s="201"/>
    </row>
    <row r="460" spans="65:65" x14ac:dyDescent="0.25">
      <c r="BM460" s="201"/>
    </row>
    <row r="461" spans="65:65" x14ac:dyDescent="0.25">
      <c r="BM461" s="201"/>
    </row>
    <row r="462" spans="65:65" x14ac:dyDescent="0.25">
      <c r="BM462" s="201"/>
    </row>
    <row r="463" spans="65:65" x14ac:dyDescent="0.25">
      <c r="BM463" s="201"/>
    </row>
    <row r="464" spans="65:65" x14ac:dyDescent="0.25">
      <c r="BM464" s="201"/>
    </row>
    <row r="465" spans="65:65" x14ac:dyDescent="0.25">
      <c r="BM465" s="201"/>
    </row>
    <row r="466" spans="65:65" x14ac:dyDescent="0.25">
      <c r="BM466" s="201"/>
    </row>
    <row r="467" spans="65:65" x14ac:dyDescent="0.25">
      <c r="BM467" s="201"/>
    </row>
    <row r="468" spans="65:65" x14ac:dyDescent="0.25">
      <c r="BM468" s="201"/>
    </row>
    <row r="469" spans="65:65" x14ac:dyDescent="0.25">
      <c r="BM469" s="201"/>
    </row>
    <row r="470" spans="65:65" x14ac:dyDescent="0.25">
      <c r="BM470" s="201"/>
    </row>
    <row r="471" spans="65:65" x14ac:dyDescent="0.25">
      <c r="BM471" s="201"/>
    </row>
    <row r="472" spans="65:65" x14ac:dyDescent="0.25">
      <c r="BM472" s="201"/>
    </row>
    <row r="473" spans="65:65" x14ac:dyDescent="0.25">
      <c r="BM473" s="201"/>
    </row>
    <row r="474" spans="65:65" x14ac:dyDescent="0.25">
      <c r="BM474" s="201"/>
    </row>
    <row r="475" spans="65:65" x14ac:dyDescent="0.25">
      <c r="BM475" s="201"/>
    </row>
    <row r="476" spans="65:65" x14ac:dyDescent="0.25">
      <c r="BM476" s="201"/>
    </row>
    <row r="477" spans="65:65" x14ac:dyDescent="0.25">
      <c r="BM477" s="201"/>
    </row>
    <row r="478" spans="65:65" x14ac:dyDescent="0.25">
      <c r="BM478" s="201"/>
    </row>
    <row r="479" spans="65:65" x14ac:dyDescent="0.25">
      <c r="BM479" s="201"/>
    </row>
    <row r="480" spans="65:65" x14ac:dyDescent="0.25">
      <c r="BM480" s="201"/>
    </row>
    <row r="481" spans="65:65" x14ac:dyDescent="0.25">
      <c r="BM481" s="201"/>
    </row>
    <row r="482" spans="65:65" x14ac:dyDescent="0.25">
      <c r="BM482" s="201"/>
    </row>
    <row r="483" spans="65:65" x14ac:dyDescent="0.25">
      <c r="BM483" s="201"/>
    </row>
    <row r="484" spans="65:65" x14ac:dyDescent="0.25">
      <c r="BM484" s="201"/>
    </row>
    <row r="485" spans="65:65" x14ac:dyDescent="0.25">
      <c r="BM485" s="201"/>
    </row>
    <row r="486" spans="65:65" x14ac:dyDescent="0.25">
      <c r="BM486" s="201"/>
    </row>
    <row r="487" spans="65:65" x14ac:dyDescent="0.25">
      <c r="BM487" s="201"/>
    </row>
    <row r="488" spans="65:65" x14ac:dyDescent="0.25">
      <c r="BM488" s="201"/>
    </row>
    <row r="489" spans="65:65" x14ac:dyDescent="0.25">
      <c r="BM489" s="201"/>
    </row>
    <row r="490" spans="65:65" x14ac:dyDescent="0.25">
      <c r="BM490" s="201"/>
    </row>
    <row r="491" spans="65:65" x14ac:dyDescent="0.25">
      <c r="BM491" s="201"/>
    </row>
    <row r="492" spans="65:65" x14ac:dyDescent="0.25">
      <c r="BM492" s="201"/>
    </row>
    <row r="493" spans="65:65" x14ac:dyDescent="0.25">
      <c r="BM493" s="201"/>
    </row>
    <row r="494" spans="65:65" x14ac:dyDescent="0.25">
      <c r="BM494" s="201"/>
    </row>
    <row r="495" spans="65:65" x14ac:dyDescent="0.25">
      <c r="BM495" s="201"/>
    </row>
    <row r="496" spans="65:65" x14ac:dyDescent="0.25">
      <c r="BM496" s="201"/>
    </row>
    <row r="497" spans="65:65" x14ac:dyDescent="0.25">
      <c r="BM497" s="201"/>
    </row>
    <row r="498" spans="65:65" x14ac:dyDescent="0.25">
      <c r="BM498" s="201"/>
    </row>
    <row r="499" spans="65:65" x14ac:dyDescent="0.25">
      <c r="BM499" s="201"/>
    </row>
    <row r="500" spans="65:65" x14ac:dyDescent="0.25">
      <c r="BM500" s="201"/>
    </row>
    <row r="501" spans="65:65" x14ac:dyDescent="0.25">
      <c r="BM501" s="201"/>
    </row>
    <row r="502" spans="65:65" x14ac:dyDescent="0.25">
      <c r="BM502" s="201"/>
    </row>
    <row r="503" spans="65:65" x14ac:dyDescent="0.25">
      <c r="BM503" s="201"/>
    </row>
    <row r="504" spans="65:65" x14ac:dyDescent="0.25">
      <c r="BM504" s="201"/>
    </row>
    <row r="505" spans="65:65" x14ac:dyDescent="0.25">
      <c r="BM505" s="201"/>
    </row>
    <row r="506" spans="65:65" x14ac:dyDescent="0.25">
      <c r="BM506" s="201"/>
    </row>
    <row r="507" spans="65:65" x14ac:dyDescent="0.25">
      <c r="BM507" s="201"/>
    </row>
    <row r="508" spans="65:65" x14ac:dyDescent="0.25">
      <c r="BM508" s="201"/>
    </row>
    <row r="509" spans="65:65" x14ac:dyDescent="0.25">
      <c r="BM509" s="201"/>
    </row>
    <row r="510" spans="65:65" x14ac:dyDescent="0.25">
      <c r="BM510" s="201"/>
    </row>
    <row r="511" spans="65:65" x14ac:dyDescent="0.25">
      <c r="BM511" s="201"/>
    </row>
    <row r="512" spans="65:65" x14ac:dyDescent="0.25">
      <c r="BM512" s="201"/>
    </row>
    <row r="513" spans="65:65" x14ac:dyDescent="0.25">
      <c r="BM513" s="201"/>
    </row>
    <row r="514" spans="65:65" x14ac:dyDescent="0.25">
      <c r="BM514" s="201"/>
    </row>
    <row r="515" spans="65:65" x14ac:dyDescent="0.25">
      <c r="BM515" s="201"/>
    </row>
    <row r="516" spans="65:65" x14ac:dyDescent="0.25">
      <c r="BM516" s="201"/>
    </row>
    <row r="517" spans="65:65" x14ac:dyDescent="0.25">
      <c r="BM517" s="201"/>
    </row>
    <row r="518" spans="65:65" x14ac:dyDescent="0.25">
      <c r="BM518" s="201"/>
    </row>
    <row r="519" spans="65:65" x14ac:dyDescent="0.25">
      <c r="BM519" s="201"/>
    </row>
    <row r="520" spans="65:65" x14ac:dyDescent="0.25">
      <c r="BM520" s="201"/>
    </row>
    <row r="521" spans="65:65" x14ac:dyDescent="0.25">
      <c r="BM521" s="201"/>
    </row>
    <row r="522" spans="65:65" x14ac:dyDescent="0.25">
      <c r="BM522" s="201"/>
    </row>
    <row r="523" spans="65:65" x14ac:dyDescent="0.25">
      <c r="BM523" s="201"/>
    </row>
    <row r="524" spans="65:65" x14ac:dyDescent="0.25">
      <c r="BM524" s="201"/>
    </row>
    <row r="525" spans="65:65" x14ac:dyDescent="0.25">
      <c r="BM525" s="201"/>
    </row>
    <row r="526" spans="65:65" x14ac:dyDescent="0.25">
      <c r="BM526" s="201"/>
    </row>
    <row r="527" spans="65:65" x14ac:dyDescent="0.25">
      <c r="BM527" s="201"/>
    </row>
    <row r="528" spans="65:65" x14ac:dyDescent="0.25">
      <c r="BM528" s="201"/>
    </row>
    <row r="529" spans="65:65" x14ac:dyDescent="0.25">
      <c r="BM529" s="201"/>
    </row>
    <row r="530" spans="65:65" x14ac:dyDescent="0.25">
      <c r="BM530" s="201"/>
    </row>
    <row r="531" spans="65:65" x14ac:dyDescent="0.25">
      <c r="BM531" s="201"/>
    </row>
    <row r="532" spans="65:65" x14ac:dyDescent="0.25">
      <c r="BM532" s="201"/>
    </row>
    <row r="533" spans="65:65" x14ac:dyDescent="0.25">
      <c r="BM533" s="201"/>
    </row>
    <row r="534" spans="65:65" x14ac:dyDescent="0.25">
      <c r="BM534" s="201"/>
    </row>
    <row r="535" spans="65:65" x14ac:dyDescent="0.25">
      <c r="BM535" s="201"/>
    </row>
    <row r="536" spans="65:65" x14ac:dyDescent="0.25">
      <c r="BM536" s="201"/>
    </row>
    <row r="537" spans="65:65" x14ac:dyDescent="0.25">
      <c r="BM537" s="201"/>
    </row>
    <row r="538" spans="65:65" x14ac:dyDescent="0.25">
      <c r="BM538" s="201"/>
    </row>
    <row r="539" spans="65:65" x14ac:dyDescent="0.25">
      <c r="BM539" s="201"/>
    </row>
    <row r="540" spans="65:65" x14ac:dyDescent="0.25">
      <c r="BM540" s="201"/>
    </row>
    <row r="541" spans="65:65" x14ac:dyDescent="0.25">
      <c r="BM541" s="201"/>
    </row>
    <row r="542" spans="65:65" x14ac:dyDescent="0.25">
      <c r="BM542" s="201"/>
    </row>
    <row r="543" spans="65:65" x14ac:dyDescent="0.25">
      <c r="BM543" s="201"/>
    </row>
    <row r="544" spans="65:65" x14ac:dyDescent="0.25">
      <c r="BM544" s="201"/>
    </row>
    <row r="545" spans="65:65" x14ac:dyDescent="0.25">
      <c r="BM545" s="201"/>
    </row>
    <row r="546" spans="65:65" x14ac:dyDescent="0.25">
      <c r="BM546" s="201"/>
    </row>
    <row r="547" spans="65:65" x14ac:dyDescent="0.25">
      <c r="BM547" s="201"/>
    </row>
    <row r="548" spans="65:65" x14ac:dyDescent="0.25">
      <c r="BM548" s="201"/>
    </row>
    <row r="549" spans="65:65" x14ac:dyDescent="0.25">
      <c r="BM549" s="201"/>
    </row>
    <row r="550" spans="65:65" x14ac:dyDescent="0.25">
      <c r="BM550" s="201"/>
    </row>
    <row r="551" spans="65:65" x14ac:dyDescent="0.25">
      <c r="BM551" s="201"/>
    </row>
    <row r="552" spans="65:65" x14ac:dyDescent="0.25">
      <c r="BM552" s="201"/>
    </row>
    <row r="553" spans="65:65" x14ac:dyDescent="0.25">
      <c r="BM553" s="201"/>
    </row>
    <row r="554" spans="65:65" x14ac:dyDescent="0.25">
      <c r="BM554" s="201"/>
    </row>
    <row r="555" spans="65:65" x14ac:dyDescent="0.25">
      <c r="BM555" s="201"/>
    </row>
    <row r="556" spans="65:65" x14ac:dyDescent="0.25">
      <c r="BM556" s="201"/>
    </row>
    <row r="557" spans="65:65" x14ac:dyDescent="0.25">
      <c r="BM557" s="201"/>
    </row>
    <row r="558" spans="65:65" x14ac:dyDescent="0.25">
      <c r="BM558" s="201"/>
    </row>
    <row r="559" spans="65:65" x14ac:dyDescent="0.25">
      <c r="BM559" s="201"/>
    </row>
    <row r="560" spans="65:65" x14ac:dyDescent="0.25">
      <c r="BM560" s="201"/>
    </row>
    <row r="561" spans="65:65" x14ac:dyDescent="0.25">
      <c r="BM561" s="201"/>
    </row>
    <row r="562" spans="65:65" x14ac:dyDescent="0.25">
      <c r="BM562" s="201"/>
    </row>
    <row r="563" spans="65:65" x14ac:dyDescent="0.25">
      <c r="BM563" s="201"/>
    </row>
    <row r="564" spans="65:65" x14ac:dyDescent="0.25">
      <c r="BM564" s="201"/>
    </row>
    <row r="565" spans="65:65" x14ac:dyDescent="0.25">
      <c r="BM565" s="201"/>
    </row>
    <row r="566" spans="65:65" x14ac:dyDescent="0.25">
      <c r="BM566" s="201"/>
    </row>
    <row r="567" spans="65:65" x14ac:dyDescent="0.25">
      <c r="BM567" s="201"/>
    </row>
    <row r="568" spans="65:65" x14ac:dyDescent="0.25">
      <c r="BM568" s="201"/>
    </row>
    <row r="569" spans="65:65" x14ac:dyDescent="0.25">
      <c r="BM569" s="201"/>
    </row>
    <row r="570" spans="65:65" x14ac:dyDescent="0.25">
      <c r="BM570" s="201"/>
    </row>
    <row r="571" spans="65:65" x14ac:dyDescent="0.25">
      <c r="BM571" s="201"/>
    </row>
    <row r="572" spans="65:65" x14ac:dyDescent="0.25">
      <c r="BM572" s="201"/>
    </row>
    <row r="573" spans="65:65" x14ac:dyDescent="0.25">
      <c r="BM573" s="201"/>
    </row>
    <row r="574" spans="65:65" x14ac:dyDescent="0.25">
      <c r="BM574" s="201"/>
    </row>
    <row r="575" spans="65:65" x14ac:dyDescent="0.25">
      <c r="BM575" s="201"/>
    </row>
    <row r="576" spans="65:65" x14ac:dyDescent="0.25">
      <c r="BM576" s="201"/>
    </row>
    <row r="577" spans="65:65" x14ac:dyDescent="0.25">
      <c r="BM577" s="201"/>
    </row>
    <row r="578" spans="65:65" x14ac:dyDescent="0.25">
      <c r="BM578" s="201"/>
    </row>
    <row r="579" spans="65:65" x14ac:dyDescent="0.25">
      <c r="BM579" s="201"/>
    </row>
    <row r="580" spans="65:65" x14ac:dyDescent="0.25">
      <c r="BM580" s="201"/>
    </row>
    <row r="581" spans="65:65" x14ac:dyDescent="0.25">
      <c r="BM581" s="201"/>
    </row>
    <row r="582" spans="65:65" x14ac:dyDescent="0.25">
      <c r="BM582" s="201"/>
    </row>
    <row r="583" spans="65:65" x14ac:dyDescent="0.25">
      <c r="BM583" s="201"/>
    </row>
    <row r="584" spans="65:65" x14ac:dyDescent="0.25">
      <c r="BM584" s="201"/>
    </row>
    <row r="585" spans="65:65" x14ac:dyDescent="0.25">
      <c r="BM585" s="201"/>
    </row>
    <row r="586" spans="65:65" x14ac:dyDescent="0.25">
      <c r="BM586" s="201"/>
    </row>
    <row r="587" spans="65:65" x14ac:dyDescent="0.25">
      <c r="BM587" s="201"/>
    </row>
    <row r="588" spans="65:65" x14ac:dyDescent="0.25">
      <c r="BM588" s="201"/>
    </row>
    <row r="589" spans="65:65" x14ac:dyDescent="0.25">
      <c r="BM589" s="201"/>
    </row>
    <row r="590" spans="65:65" x14ac:dyDescent="0.25">
      <c r="BM590" s="201"/>
    </row>
    <row r="591" spans="65:65" x14ac:dyDescent="0.25">
      <c r="BM591" s="201"/>
    </row>
    <row r="592" spans="65:65" x14ac:dyDescent="0.25">
      <c r="BM592" s="201"/>
    </row>
    <row r="593" spans="65:65" x14ac:dyDescent="0.25">
      <c r="BM593" s="201"/>
    </row>
    <row r="594" spans="65:65" x14ac:dyDescent="0.25">
      <c r="BM594" s="201"/>
    </row>
    <row r="595" spans="65:65" x14ac:dyDescent="0.25">
      <c r="BM595" s="201"/>
    </row>
    <row r="596" spans="65:65" x14ac:dyDescent="0.25">
      <c r="BM596" s="201"/>
    </row>
    <row r="597" spans="65:65" x14ac:dyDescent="0.25">
      <c r="BM597" s="201"/>
    </row>
    <row r="598" spans="65:65" x14ac:dyDescent="0.25">
      <c r="BM598" s="201"/>
    </row>
    <row r="599" spans="65:65" x14ac:dyDescent="0.25">
      <c r="BM599" s="201"/>
    </row>
    <row r="600" spans="65:65" x14ac:dyDescent="0.25">
      <c r="BM600" s="201"/>
    </row>
    <row r="601" spans="65:65" x14ac:dyDescent="0.25">
      <c r="BM601" s="201"/>
    </row>
    <row r="602" spans="65:65" x14ac:dyDescent="0.25">
      <c r="BM602" s="201"/>
    </row>
    <row r="603" spans="65:65" x14ac:dyDescent="0.25">
      <c r="BM603" s="201"/>
    </row>
    <row r="604" spans="65:65" x14ac:dyDescent="0.25">
      <c r="BM604" s="201"/>
    </row>
    <row r="605" spans="65:65" x14ac:dyDescent="0.25">
      <c r="BM605" s="201"/>
    </row>
    <row r="606" spans="65:65" x14ac:dyDescent="0.25">
      <c r="BM606" s="201"/>
    </row>
    <row r="607" spans="65:65" x14ac:dyDescent="0.25">
      <c r="BM607" s="201"/>
    </row>
    <row r="608" spans="65:65" x14ac:dyDescent="0.25">
      <c r="BM608" s="201"/>
    </row>
    <row r="609" spans="65:65" x14ac:dyDescent="0.25">
      <c r="BM609" s="201"/>
    </row>
    <row r="610" spans="65:65" x14ac:dyDescent="0.25">
      <c r="BM610" s="201"/>
    </row>
    <row r="611" spans="65:65" x14ac:dyDescent="0.25">
      <c r="BM611" s="201"/>
    </row>
    <row r="612" spans="65:65" x14ac:dyDescent="0.25">
      <c r="BM612" s="201"/>
    </row>
    <row r="613" spans="65:65" x14ac:dyDescent="0.25">
      <c r="BM613" s="201"/>
    </row>
    <row r="614" spans="65:65" x14ac:dyDescent="0.25">
      <c r="BM614" s="201"/>
    </row>
    <row r="615" spans="65:65" x14ac:dyDescent="0.25">
      <c r="BM615" s="201"/>
    </row>
    <row r="616" spans="65:65" x14ac:dyDescent="0.25">
      <c r="BM616" s="201"/>
    </row>
    <row r="617" spans="65:65" x14ac:dyDescent="0.25">
      <c r="BM617" s="201"/>
    </row>
    <row r="618" spans="65:65" x14ac:dyDescent="0.25">
      <c r="BM618" s="201"/>
    </row>
    <row r="619" spans="65:65" x14ac:dyDescent="0.25">
      <c r="BM619" s="201"/>
    </row>
    <row r="620" spans="65:65" x14ac:dyDescent="0.25">
      <c r="BM620" s="201"/>
    </row>
    <row r="621" spans="65:65" x14ac:dyDescent="0.25">
      <c r="BM621" s="201"/>
    </row>
    <row r="622" spans="65:65" x14ac:dyDescent="0.25">
      <c r="BM622" s="201"/>
    </row>
    <row r="623" spans="65:65" x14ac:dyDescent="0.25">
      <c r="BM623" s="201"/>
    </row>
    <row r="624" spans="65:65" x14ac:dyDescent="0.25">
      <c r="BM624" s="201"/>
    </row>
    <row r="625" spans="65:65" x14ac:dyDescent="0.25">
      <c r="BM625" s="201"/>
    </row>
    <row r="626" spans="65:65" x14ac:dyDescent="0.25">
      <c r="BM626" s="201"/>
    </row>
    <row r="627" spans="65:65" x14ac:dyDescent="0.25">
      <c r="BM627" s="201"/>
    </row>
    <row r="628" spans="65:65" x14ac:dyDescent="0.25">
      <c r="BM628" s="201"/>
    </row>
    <row r="629" spans="65:65" x14ac:dyDescent="0.25">
      <c r="BM629" s="201"/>
    </row>
    <row r="630" spans="65:65" x14ac:dyDescent="0.25">
      <c r="BM630" s="201"/>
    </row>
    <row r="631" spans="65:65" x14ac:dyDescent="0.25">
      <c r="BM631" s="201"/>
    </row>
    <row r="632" spans="65:65" x14ac:dyDescent="0.25">
      <c r="BM632" s="201"/>
    </row>
    <row r="633" spans="65:65" x14ac:dyDescent="0.25">
      <c r="BM633" s="201"/>
    </row>
    <row r="634" spans="65:65" x14ac:dyDescent="0.25">
      <c r="BM634" s="201"/>
    </row>
    <row r="635" spans="65:65" x14ac:dyDescent="0.25">
      <c r="BM635" s="201"/>
    </row>
    <row r="636" spans="65:65" x14ac:dyDescent="0.25">
      <c r="BM636" s="201"/>
    </row>
    <row r="637" spans="65:65" x14ac:dyDescent="0.25">
      <c r="BM637" s="201"/>
    </row>
    <row r="638" spans="65:65" x14ac:dyDescent="0.25">
      <c r="BM638" s="201"/>
    </row>
    <row r="639" spans="65:65" x14ac:dyDescent="0.25">
      <c r="BM639" s="201"/>
    </row>
    <row r="640" spans="65:65" x14ac:dyDescent="0.25">
      <c r="BM640" s="201"/>
    </row>
    <row r="641" spans="65:65" x14ac:dyDescent="0.25">
      <c r="BM641" s="201"/>
    </row>
    <row r="642" spans="65:65" x14ac:dyDescent="0.25">
      <c r="BM642" s="201"/>
    </row>
    <row r="643" spans="65:65" x14ac:dyDescent="0.25">
      <c r="BM643" s="201"/>
    </row>
    <row r="644" spans="65:65" x14ac:dyDescent="0.25">
      <c r="BM644" s="201"/>
    </row>
    <row r="645" spans="65:65" x14ac:dyDescent="0.25">
      <c r="BM645" s="201"/>
    </row>
    <row r="646" spans="65:65" x14ac:dyDescent="0.25">
      <c r="BM646" s="201"/>
    </row>
    <row r="647" spans="65:65" x14ac:dyDescent="0.25">
      <c r="BM647" s="201"/>
    </row>
    <row r="648" spans="65:65" x14ac:dyDescent="0.25">
      <c r="BM648" s="201"/>
    </row>
    <row r="649" spans="65:65" x14ac:dyDescent="0.25">
      <c r="BM649" s="201"/>
    </row>
    <row r="650" spans="65:65" x14ac:dyDescent="0.25">
      <c r="BM650" s="201"/>
    </row>
    <row r="651" spans="65:65" x14ac:dyDescent="0.25">
      <c r="BM651" s="201"/>
    </row>
    <row r="652" spans="65:65" x14ac:dyDescent="0.25">
      <c r="BM652" s="201"/>
    </row>
    <row r="653" spans="65:65" x14ac:dyDescent="0.25">
      <c r="BM653" s="201"/>
    </row>
    <row r="654" spans="65:65" x14ac:dyDescent="0.25">
      <c r="BM654" s="201"/>
    </row>
    <row r="655" spans="65:65" x14ac:dyDescent="0.25">
      <c r="BM655" s="201"/>
    </row>
    <row r="656" spans="65:65" x14ac:dyDescent="0.25">
      <c r="BM656" s="201"/>
    </row>
    <row r="657" spans="65:65" x14ac:dyDescent="0.25">
      <c r="BM657" s="201"/>
    </row>
    <row r="658" spans="65:65" x14ac:dyDescent="0.25">
      <c r="BM658" s="201"/>
    </row>
    <row r="659" spans="65:65" x14ac:dyDescent="0.25">
      <c r="BM659" s="201"/>
    </row>
    <row r="660" spans="65:65" x14ac:dyDescent="0.25">
      <c r="BM660" s="201"/>
    </row>
    <row r="661" spans="65:65" x14ac:dyDescent="0.25">
      <c r="BM661" s="201"/>
    </row>
    <row r="662" spans="65:65" x14ac:dyDescent="0.25">
      <c r="BM662" s="201"/>
    </row>
    <row r="663" spans="65:65" x14ac:dyDescent="0.25">
      <c r="BM663" s="201"/>
    </row>
    <row r="664" spans="65:65" x14ac:dyDescent="0.25">
      <c r="BM664" s="201"/>
    </row>
    <row r="665" spans="65:65" x14ac:dyDescent="0.25">
      <c r="BM665" s="201"/>
    </row>
    <row r="666" spans="65:65" x14ac:dyDescent="0.25">
      <c r="BM666" s="201"/>
    </row>
    <row r="667" spans="65:65" x14ac:dyDescent="0.25">
      <c r="BM667" s="201"/>
    </row>
    <row r="668" spans="65:65" x14ac:dyDescent="0.25">
      <c r="BM668" s="201"/>
    </row>
    <row r="669" spans="65:65" x14ac:dyDescent="0.25">
      <c r="BM669" s="201"/>
    </row>
    <row r="670" spans="65:65" x14ac:dyDescent="0.25">
      <c r="BM670" s="201"/>
    </row>
    <row r="671" spans="65:65" x14ac:dyDescent="0.25">
      <c r="BM671" s="201"/>
    </row>
    <row r="672" spans="65:65" x14ac:dyDescent="0.25">
      <c r="BM672" s="201"/>
    </row>
    <row r="673" spans="65:65" x14ac:dyDescent="0.25">
      <c r="BM673" s="201"/>
    </row>
    <row r="674" spans="65:65" x14ac:dyDescent="0.25">
      <c r="BM674" s="201"/>
    </row>
    <row r="675" spans="65:65" x14ac:dyDescent="0.25">
      <c r="BM675" s="201"/>
    </row>
    <row r="676" spans="65:65" x14ac:dyDescent="0.25">
      <c r="BM676" s="201"/>
    </row>
    <row r="677" spans="65:65" x14ac:dyDescent="0.25">
      <c r="BM677" s="201"/>
    </row>
    <row r="678" spans="65:65" x14ac:dyDescent="0.25">
      <c r="BM678" s="201"/>
    </row>
    <row r="679" spans="65:65" x14ac:dyDescent="0.25">
      <c r="BM679" s="201"/>
    </row>
    <row r="680" spans="65:65" x14ac:dyDescent="0.25">
      <c r="BM680" s="201"/>
    </row>
    <row r="681" spans="65:65" x14ac:dyDescent="0.25">
      <c r="BM681" s="201"/>
    </row>
    <row r="682" spans="65:65" x14ac:dyDescent="0.25">
      <c r="BM682" s="201"/>
    </row>
    <row r="683" spans="65:65" x14ac:dyDescent="0.25">
      <c r="BM683" s="201"/>
    </row>
    <row r="684" spans="65:65" x14ac:dyDescent="0.25">
      <c r="BM684" s="201"/>
    </row>
    <row r="685" spans="65:65" x14ac:dyDescent="0.25">
      <c r="BM685" s="201"/>
    </row>
    <row r="686" spans="65:65" x14ac:dyDescent="0.25">
      <c r="BM686" s="201"/>
    </row>
    <row r="687" spans="65:65" x14ac:dyDescent="0.25">
      <c r="BM687" s="201"/>
    </row>
    <row r="688" spans="65:65" x14ac:dyDescent="0.25">
      <c r="BM688" s="201"/>
    </row>
    <row r="689" spans="65:65" x14ac:dyDescent="0.25">
      <c r="BM689" s="201"/>
    </row>
    <row r="690" spans="65:65" x14ac:dyDescent="0.25">
      <c r="BM690" s="201"/>
    </row>
    <row r="691" spans="65:65" x14ac:dyDescent="0.25">
      <c r="BM691" s="201"/>
    </row>
    <row r="692" spans="65:65" x14ac:dyDescent="0.25">
      <c r="BM692" s="201"/>
    </row>
    <row r="693" spans="65:65" x14ac:dyDescent="0.25">
      <c r="BM693" s="201"/>
    </row>
    <row r="694" spans="65:65" x14ac:dyDescent="0.25">
      <c r="BM694" s="201"/>
    </row>
    <row r="695" spans="65:65" x14ac:dyDescent="0.25">
      <c r="BM695" s="201"/>
    </row>
    <row r="696" spans="65:65" x14ac:dyDescent="0.25">
      <c r="BM696" s="201"/>
    </row>
    <row r="697" spans="65:65" x14ac:dyDescent="0.25">
      <c r="BM697" s="201"/>
    </row>
    <row r="698" spans="65:65" x14ac:dyDescent="0.25">
      <c r="BM698" s="201"/>
    </row>
    <row r="699" spans="65:65" x14ac:dyDescent="0.25">
      <c r="BM699" s="201"/>
    </row>
    <row r="700" spans="65:65" x14ac:dyDescent="0.25">
      <c r="BM700" s="201"/>
    </row>
    <row r="701" spans="65:65" x14ac:dyDescent="0.25">
      <c r="BM701" s="201"/>
    </row>
    <row r="702" spans="65:65" x14ac:dyDescent="0.25">
      <c r="BM702" s="201"/>
    </row>
    <row r="703" spans="65:65" x14ac:dyDescent="0.25">
      <c r="BM703" s="201"/>
    </row>
    <row r="704" spans="65:65" x14ac:dyDescent="0.25">
      <c r="BM704" s="201"/>
    </row>
    <row r="705" spans="65:65" x14ac:dyDescent="0.25">
      <c r="BM705" s="201"/>
    </row>
    <row r="706" spans="65:65" x14ac:dyDescent="0.25">
      <c r="BM706" s="201"/>
    </row>
    <row r="707" spans="65:65" x14ac:dyDescent="0.25">
      <c r="BM707" s="201"/>
    </row>
  </sheetData>
  <mergeCells count="52">
    <mergeCell ref="C2:DG2"/>
    <mergeCell ref="C3:DG3"/>
    <mergeCell ref="D6:F6"/>
    <mergeCell ref="G6:I6"/>
    <mergeCell ref="J6:L6"/>
    <mergeCell ref="M6:O6"/>
    <mergeCell ref="P6:R6"/>
    <mergeCell ref="S6:U6"/>
    <mergeCell ref="V6:X6"/>
    <mergeCell ref="Y6:AA6"/>
    <mergeCell ref="AB6:AD6"/>
    <mergeCell ref="AE6:AG6"/>
    <mergeCell ref="AH6:AJ6"/>
    <mergeCell ref="AK6:AM6"/>
    <mergeCell ref="AN6:AP6"/>
    <mergeCell ref="AQ6:AS6"/>
    <mergeCell ref="AT6:AV6"/>
    <mergeCell ref="AW6:AY6"/>
    <mergeCell ref="AZ6:BB6"/>
    <mergeCell ref="BC6:BE6"/>
    <mergeCell ref="BF6:BH6"/>
    <mergeCell ref="BI6:BK6"/>
    <mergeCell ref="BL6:BN6"/>
    <mergeCell ref="BO6:BQ6"/>
    <mergeCell ref="BR6:BT6"/>
    <mergeCell ref="BU6:BW6"/>
    <mergeCell ref="BX6:BZ6"/>
    <mergeCell ref="CA6:CC6"/>
    <mergeCell ref="CD6:CF6"/>
    <mergeCell ref="CG6:CI6"/>
    <mergeCell ref="CJ6:CL6"/>
    <mergeCell ref="CM6:CO6"/>
    <mergeCell ref="CP6:CR6"/>
    <mergeCell ref="CS6:CU6"/>
    <mergeCell ref="CV6:CX6"/>
    <mergeCell ref="CY6:DA6"/>
    <mergeCell ref="DB6:DD6"/>
    <mergeCell ref="DE6:DG6"/>
    <mergeCell ref="DH6:DJ6"/>
    <mergeCell ref="DK6:DM6"/>
    <mergeCell ref="DN6:DP6"/>
    <mergeCell ref="DQ6:DS6"/>
    <mergeCell ref="DT6:DV6"/>
    <mergeCell ref="DW6:DY6"/>
    <mergeCell ref="DZ6:EB6"/>
    <mergeCell ref="EC6:EE6"/>
    <mergeCell ref="EF6:EH6"/>
    <mergeCell ref="EI6:EK6"/>
    <mergeCell ref="EL6:EN6"/>
    <mergeCell ref="EO6:EQ6"/>
    <mergeCell ref="ER6:ER7"/>
    <mergeCell ref="ES6:ES7"/>
  </mergeCells>
  <conditionalFormatting sqref="ES8:ES62">
    <cfRule type="containsText" dxfId="9" priority="1">
      <formula>NOT(ISERROR(SEARCH("QUINCENAL",ES8)))</formula>
    </cfRule>
    <cfRule type="containsText" dxfId="10" priority="2">
      <formula>NOT(ISERROR(SEARCH("MENSUAL",ES8)))</formula>
    </cfRule>
    <cfRule type="containsText" dxfId="11" priority="3">
      <formula>NOT(ISERROR(SEARCH("QUINCENAL",ES8)))</formula>
    </cfRule>
  </conditionalFormatting>
  <conditionalFormatting sqref="ET29:ET63">
    <cfRule type="containsText" dxfId="12" priority="4">
      <formula>NOT(ISERROR(SEARCH("QUINCENAL",ET29)))</formula>
    </cfRule>
    <cfRule type="containsText" dxfId="13" priority="5">
      <formula>NOT(ISERROR(SEARCH("MENSUAL",ET29)))</formula>
    </cfRule>
    <cfRule type="containsText" dxfId="14" priority="6">
      <formula>NOT(ISERROR(SEARCH("QUINCENAL",ET29)))</formula>
    </cfRule>
  </conditionalFormatting>
  <pageMargins left="1.2598425196850394" right="0.2362204724409449" top="0.5511811023622047" bottom="0.5511811023622047" header="0.31496062992125984" footer="0.31496062992125984"/>
  <pageSetup paperSize="5" orientation="landscape" horizontalDpi="4294967295" verticalDpi="4294967295" scale="100" fitToWidth="1" fitToHeight="1" firstPageNumber="1" useFirstPageNumber="1" copies="1"/>
  <drawing r:id="rId3"/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"/>
  </sheetPr>
  <dimension ref="A1:A47"/>
  <sheetViews>
    <sheetView workbookViewId="0" zoomScale="100" zoomScaleNormal="100">
      <selection activeCell="D13" sqref="D13"/>
    </sheetView>
  </sheetViews>
  <sheetFormatPr defaultRowHeight="14.5" outlineLevelRow="0" outlineLevelCol="0" x14ac:dyDescent="0.35" customHeight="1"/>
  <cols>
    <col min="1" max="1" width="21.6328125" customWidth="1"/>
    <col min="4" max="4" width="22.6328125" customWidth="1"/>
  </cols>
  <sheetData>
    <row r="1" ht="15" customHeight="1" spans="1:1" x14ac:dyDescent="0.25">
      <c r="A1" s="363" t="s">
        <v>252</v>
      </c>
    </row>
    <row r="2" ht="15" customHeight="1" spans="1:1" x14ac:dyDescent="0.25">
      <c r="A2" t="s">
        <v>2</v>
      </c>
    </row>
    <row r="3" spans="1:1" x14ac:dyDescent="0.25">
      <c r="A3" t="s">
        <v>25</v>
      </c>
    </row>
    <row r="4" spans="1:1" x14ac:dyDescent="0.25">
      <c r="A4" t="s">
        <v>26</v>
      </c>
    </row>
    <row r="5" spans="1:1" x14ac:dyDescent="0.25">
      <c r="A5" t="s">
        <v>27</v>
      </c>
    </row>
    <row r="6" spans="1:1" x14ac:dyDescent="0.25">
      <c r="A6" t="s">
        <v>28</v>
      </c>
    </row>
    <row r="7" spans="1:1" x14ac:dyDescent="0.25">
      <c r="A7" t="s">
        <v>29</v>
      </c>
    </row>
    <row r="8" spans="1:1" x14ac:dyDescent="0.25">
      <c r="A8" t="s">
        <v>30</v>
      </c>
    </row>
    <row r="9" spans="1:1" x14ac:dyDescent="0.25">
      <c r="A9" t="s">
        <v>31</v>
      </c>
    </row>
    <row r="10" spans="1:1" x14ac:dyDescent="0.25">
      <c r="A10" t="s">
        <v>32</v>
      </c>
    </row>
    <row r="11" spans="1:1" x14ac:dyDescent="0.25">
      <c r="A11" t="s">
        <v>33</v>
      </c>
    </row>
    <row r="12" spans="1:1" x14ac:dyDescent="0.25">
      <c r="A12" t="s">
        <v>34</v>
      </c>
    </row>
    <row r="13" spans="1:1" x14ac:dyDescent="0.25">
      <c r="A13" t="s">
        <v>35</v>
      </c>
    </row>
    <row r="14" spans="1:1" x14ac:dyDescent="0.25">
      <c r="A14" t="s">
        <v>36</v>
      </c>
    </row>
    <row r="15" spans="1:1" x14ac:dyDescent="0.25">
      <c r="A15" t="s">
        <v>37</v>
      </c>
    </row>
    <row r="16" spans="1:1" x14ac:dyDescent="0.25">
      <c r="A16" t="s">
        <v>38</v>
      </c>
    </row>
    <row r="17" spans="1:1" x14ac:dyDescent="0.25">
      <c r="A17" t="s">
        <v>39</v>
      </c>
    </row>
    <row r="18" spans="1:1" x14ac:dyDescent="0.25">
      <c r="A18" t="s">
        <v>40</v>
      </c>
    </row>
    <row r="19" spans="1:1" x14ac:dyDescent="0.25">
      <c r="A19" t="s">
        <v>41</v>
      </c>
    </row>
    <row r="20" spans="1:1" x14ac:dyDescent="0.25">
      <c r="A20" t="s">
        <v>42</v>
      </c>
    </row>
    <row r="21" spans="1:1" x14ac:dyDescent="0.25">
      <c r="A21" t="s">
        <v>43</v>
      </c>
    </row>
    <row r="22" spans="1:1" x14ac:dyDescent="0.25">
      <c r="A22" t="s">
        <v>44</v>
      </c>
    </row>
    <row r="23" spans="1:1" x14ac:dyDescent="0.25">
      <c r="A23" t="s">
        <v>45</v>
      </c>
    </row>
    <row r="24" spans="1:1" x14ac:dyDescent="0.25">
      <c r="A24" t="s">
        <v>46</v>
      </c>
    </row>
    <row r="25" spans="1:1" x14ac:dyDescent="0.25">
      <c r="A25" t="s">
        <v>47</v>
      </c>
    </row>
    <row r="26" spans="1:1" x14ac:dyDescent="0.25">
      <c r="A26" t="s">
        <v>48</v>
      </c>
    </row>
    <row r="27" spans="1:1" x14ac:dyDescent="0.25">
      <c r="A27" t="s">
        <v>49</v>
      </c>
    </row>
    <row r="28" spans="1:1" x14ac:dyDescent="0.25">
      <c r="A28" t="s">
        <v>50</v>
      </c>
    </row>
    <row r="29" spans="1:1" x14ac:dyDescent="0.25">
      <c r="A29" t="s">
        <v>51</v>
      </c>
    </row>
    <row r="30" spans="1:1" x14ac:dyDescent="0.25">
      <c r="A30" t="s">
        <v>52</v>
      </c>
    </row>
    <row r="31" spans="1:1" x14ac:dyDescent="0.25">
      <c r="A31" t="s">
        <v>53</v>
      </c>
    </row>
    <row r="32" spans="1:1" x14ac:dyDescent="0.25">
      <c r="A32" t="s">
        <v>54</v>
      </c>
    </row>
    <row r="33" spans="1:1" x14ac:dyDescent="0.25">
      <c r="A33" t="s">
        <v>55</v>
      </c>
    </row>
    <row r="34" spans="1:1" x14ac:dyDescent="0.25">
      <c r="A34" t="s">
        <v>56</v>
      </c>
    </row>
    <row r="35" spans="1:1" x14ac:dyDescent="0.25">
      <c r="A35" t="s">
        <v>57</v>
      </c>
    </row>
    <row r="36" spans="1:1" x14ac:dyDescent="0.25">
      <c r="A36" t="s">
        <v>58</v>
      </c>
    </row>
    <row r="37" spans="1:1" x14ac:dyDescent="0.25">
      <c r="A37" t="s">
        <v>59</v>
      </c>
    </row>
    <row r="38" spans="1:1" x14ac:dyDescent="0.25">
      <c r="A38" t="s">
        <v>60</v>
      </c>
    </row>
    <row r="39" spans="1:1" x14ac:dyDescent="0.25">
      <c r="A39" t="s">
        <v>61</v>
      </c>
    </row>
    <row r="40" spans="1:1" x14ac:dyDescent="0.25">
      <c r="A40" t="s">
        <v>62</v>
      </c>
    </row>
    <row r="41" spans="1:1" x14ac:dyDescent="0.25">
      <c r="A41" t="s">
        <v>63</v>
      </c>
    </row>
    <row r="42" spans="1:1" x14ac:dyDescent="0.25">
      <c r="A42" t="s">
        <v>66</v>
      </c>
    </row>
    <row r="43" spans="1:1" x14ac:dyDescent="0.25">
      <c r="A43" t="s">
        <v>67</v>
      </c>
    </row>
    <row r="44" spans="1:1" x14ac:dyDescent="0.25">
      <c r="A44" t="s">
        <v>68</v>
      </c>
    </row>
    <row r="45" spans="1:1" x14ac:dyDescent="0.25">
      <c r="A45" t="s">
        <v>69</v>
      </c>
    </row>
    <row r="46" spans="1:1" x14ac:dyDescent="0.25">
      <c r="A46" t="s">
        <v>70</v>
      </c>
    </row>
    <row r="47" spans="1:1" x14ac:dyDescent="0.25">
      <c r="A47" t="s">
        <v>3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C1:P75"/>
  <sheetViews>
    <sheetView workbookViewId="0" showGridLines="0" zoomScale="70" zoomScaleNormal="70">
      <selection activeCell="I11" sqref="I11"/>
    </sheetView>
  </sheetViews>
  <sheetFormatPr defaultRowHeight="14.5" outlineLevelRow="0" outlineLevelCol="0" x14ac:dyDescent="0.35" customHeight="1"/>
  <cols>
    <col min="2" max="2" width="17.54296875" customWidth="1"/>
    <col min="3" max="3" width="31.45312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x14ac:dyDescent="0.25"/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_xlfn.XMATCH($D$3,'7. Prev_Frecuencia Comedor'!6:6,0)+2</f>
        <v>6</v>
      </c>
      <c r="H4" s="319">
        <f>_xlfn.XMATCH($E$3,'7. Prev_Frecuencia Comedor'!6:6,0)+2</f>
        <v>147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5" t="s">
        <v>8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14</v>
      </c>
      <c r="O9">
        <v>14</v>
      </c>
    </row>
    <row r="10" ht="31" customHeight="1" spans="3:15" x14ac:dyDescent="0.25">
      <c r="C10" s="320" t="s">
        <v>191</v>
      </c>
      <c r="D10" s="321">
        <f t="array" ref="D10">_xlfn.LET(
    _xlpm.Fila,$F10,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18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26</v>
      </c>
      <c r="O11">
        <v>30</v>
      </c>
    </row>
    <row r="12" ht="19.5" customHeight="1" spans="3:6" x14ac:dyDescent="0.25">
      <c r="C12" s="322" t="s">
        <v>111</v>
      </c>
      <c r="D12" s="321">
        <f t="array" ref="D12">_xlfn.LET(
    _xlpm.Fila,$F12,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37</v>
      </c>
    </row>
    <row r="13" ht="31" customHeight="1" spans="3:16" x14ac:dyDescent="0.25">
      <c r="C13" s="322" t="s">
        <v>154</v>
      </c>
      <c r="D13" s="321">
        <f t="array" ref="D13">_xlfn.LET(
    _xlpm.Fila,$F13,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48</v>
      </c>
      <c r="N13" s="344"/>
      <c r="P13" s="344"/>
    </row>
    <row r="14" ht="15.5" customHeight="1" spans="3:6" x14ac:dyDescent="0.25">
      <c r="C14" s="322" t="s">
        <v>214</v>
      </c>
      <c r="D14" s="321">
        <f t="array" ref="D14">_xlfn.LET(
    _xlpm.Fila,$F14,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53</v>
      </c>
    </row>
    <row r="15" ht="15.5" customHeight="1" spans="3:6" x14ac:dyDescent="0.25">
      <c r="C15" s="299" t="s">
        <v>158</v>
      </c>
      <c r="D15" s="321">
        <f t="array" ref="D15">_xlfn.LET(
    _xlpm.Fila,$F15,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55</v>
      </c>
    </row>
    <row r="16" ht="15.5" customHeight="1" spans="3:6" x14ac:dyDescent="0.25">
      <c r="C16" s="323" t="s">
        <v>217</v>
      </c>
      <c r="D16" s="321">
        <f t="array" ref="D16">_xlfn.LET(
    _xlpm.Fila,$F16,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58</v>
      </c>
    </row>
    <row r="20" ht="35" customHeight="1" spans="3:5" x14ac:dyDescent="0.25">
      <c r="C20" s="300" t="s">
        <v>250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36.5" customHeight="1" spans="3:6" x14ac:dyDescent="0.25">
      <c r="C22" s="324" t="s">
        <v>183</v>
      </c>
      <c r="D22" s="321">
        <f t="array" ref="D22">_xlfn.LET(
    _xlpm.Fila,$F22,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25" t="s">
        <v>184</v>
      </c>
      <c r="D23" s="321">
        <f t="array" ref="D23">_xlfn.LET(
    _xlpm.Fila,$F23,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25" t="s">
        <v>185</v>
      </c>
      <c r="D24" s="321">
        <f t="array" ref="D24">_xlfn.LET(
    _xlpm.Fila,$F24,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21.5" customHeight="1" spans="3:6" x14ac:dyDescent="0.25">
      <c r="C25" s="325" t="s">
        <v>186</v>
      </c>
      <c r="D25" s="321">
        <f t="array" ref="D25">_xlfn.LET(
    _xlpm.Fila,$F25,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26" t="s">
        <v>187</v>
      </c>
      <c r="D26" s="321">
        <f t="array" ref="D26">_xlfn.LET(
    _xlpm.Fila,$F26,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21" customHeight="1" spans="3:5" x14ac:dyDescent="0.25">
      <c r="C27" s="307" t="s">
        <v>188</v>
      </c>
      <c r="D27" s="308"/>
      <c r="E27" s="309"/>
    </row>
    <row r="28" ht="31.5" customHeight="1" spans="3:6" x14ac:dyDescent="0.25">
      <c r="C28" s="345" t="s">
        <v>189</v>
      </c>
      <c r="D28" s="321">
        <f t="array" ref="D28">_xlfn.LET(
    _xlpm.Fila,$F28,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8" s="298" t="str">
        <f t="array" ref="E28">_xlfn.IFS(D28&gt;=91.5%,"MENSUAL",D28&gt;=75%,"QUINCENAL",D28&lt;75%,"SEMANAL")</f>
        <v>SEMANAL</v>
      </c>
      <c r="F28">
        <v>14</v>
      </c>
    </row>
    <row r="29" ht="41.5" customHeight="1" spans="3:6" x14ac:dyDescent="0.25">
      <c r="C29" s="318" t="s">
        <v>190</v>
      </c>
      <c r="D29" s="321">
        <f t="array" ref="D29">_xlfn.LET(
    _xlpm.Fila,$F29,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29" s="298" t="str">
        <f t="array" ref="E29">_xlfn.IFS(D29&gt;=91.5%,"MENSUAL",D29&gt;=75%,"QUINCENAL",D29&lt;75%,"SEMANAL")</f>
        <v>SEMANAL</v>
      </c>
      <c r="F29">
        <v>15</v>
      </c>
    </row>
    <row r="30" ht="35" customHeight="1" spans="3:6" x14ac:dyDescent="0.25">
      <c r="C30" s="346" t="s">
        <v>91</v>
      </c>
      <c r="D30" s="321">
        <f t="array" ref="D30">_xlfn.LET(
    _xlpm.Fila,$F30,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0" s="298" t="str">
        <f t="array" ref="E30">_xlfn.IFS(D30&gt;=91.5%,"MENSUAL",D30&gt;=75%,"QUINCENAL",D30&lt;75%,"SEMANAL")</f>
        <v>SEMANAL</v>
      </c>
      <c r="F30">
        <v>16</v>
      </c>
    </row>
    <row r="31" ht="29.5" customHeight="1" spans="3:5" x14ac:dyDescent="0.25">
      <c r="C31" s="307" t="s">
        <v>191</v>
      </c>
      <c r="D31" s="308"/>
      <c r="E31" s="309"/>
    </row>
    <row r="32" ht="56" customHeight="1" spans="3:6" x14ac:dyDescent="0.25">
      <c r="C32" s="318" t="s">
        <v>192</v>
      </c>
      <c r="D32" s="321">
        <f t="array" ref="D32">_xlfn.LET(
    _xlpm.Fila,$F32,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64.5" customHeight="1" spans="3:6" x14ac:dyDescent="0.25">
      <c r="C33" s="318" t="s">
        <v>193</v>
      </c>
      <c r="D33" s="321">
        <f t="array" ref="D33">_xlfn.LET(
    _xlpm.Fila,$F33,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34.5" customHeight="1" spans="3:6" x14ac:dyDescent="0.25">
      <c r="C34" s="318" t="s">
        <v>143</v>
      </c>
      <c r="D34" s="321">
        <f t="array" ref="D34">_xlfn.LET(
    _xlpm.Fila,$F34,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4" s="311" t="str">
        <f t="array" ref="E34">_xlfn.IFS(D34&gt;=91.5%,"MENSUAL",D34&gt;=75%,"QUINCENAL",D34&lt;75%,"SEMANAL")</f>
        <v>SEMANAL</v>
      </c>
      <c r="F34">
        <v>21</v>
      </c>
    </row>
    <row r="35" ht="25.5" customHeight="1" spans="3:6" x14ac:dyDescent="0.25">
      <c r="C35" s="318" t="s">
        <v>96</v>
      </c>
      <c r="D35" s="321">
        <f t="array" ref="D35">_xlfn.LET(
    _xlpm.Fila,$F35,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45.5" customHeight="1" spans="3:6" x14ac:dyDescent="0.25">
      <c r="C36" s="318" t="s">
        <v>97</v>
      </c>
      <c r="D36" s="321">
        <f t="array" ref="D36">_xlfn.LET(
    _xlpm.Fila,$F36,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47.5" customHeight="1" spans="3:6" x14ac:dyDescent="0.25">
      <c r="C37" s="318" t="s">
        <v>144</v>
      </c>
      <c r="D37" s="321">
        <f t="array" ref="D37">_xlfn.LET(
    _xlpm.Fila,$F37,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49.5" customHeight="1" spans="3:6" x14ac:dyDescent="0.25">
      <c r="C38" s="318" t="s">
        <v>194</v>
      </c>
      <c r="D38" s="321">
        <f t="array" ref="D38">_xlfn.LET(
    _xlpm.Fila,$F38,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33" customHeight="1" spans="3:5" x14ac:dyDescent="0.25">
      <c r="C39" s="313" t="s">
        <v>105</v>
      </c>
      <c r="D39" s="314"/>
      <c r="E39" s="315"/>
    </row>
    <row r="40" ht="21.5" customHeight="1" spans="3:6" x14ac:dyDescent="0.25">
      <c r="C40" s="318" t="s">
        <v>195</v>
      </c>
      <c r="D40" s="321">
        <f t="array" ref="D40">_xlfn.LET(
    _xlpm.Fila,$F40,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31.5" customHeight="1" spans="3:6" x14ac:dyDescent="0.25">
      <c r="C41" s="318" t="s">
        <v>196</v>
      </c>
      <c r="D41" s="321">
        <f t="array" ref="D41">_xlfn.LET(
    _xlpm.Fila,$F41,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20" customHeight="1" spans="3:6" x14ac:dyDescent="0.25">
      <c r="C42" s="165" t="s">
        <v>197</v>
      </c>
      <c r="D42" s="321">
        <f t="array" ref="D42">_xlfn.LET(
    _xlpm.Fila,$F42,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20" customHeight="1" spans="3:6" x14ac:dyDescent="0.25">
      <c r="C43" s="165" t="s">
        <v>198</v>
      </c>
      <c r="D43" s="321">
        <f t="array" ref="D43">_xlfn.LET(
    _xlpm.Fila,$F43,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21.5" customHeight="1" spans="3:6" x14ac:dyDescent="0.25">
      <c r="C44" s="318" t="s">
        <v>108</v>
      </c>
      <c r="D44" s="321">
        <f t="array" ref="D44">_xlfn.LET(
    _xlpm.Fila,$F44,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21.5" customHeight="1" spans="3:6" x14ac:dyDescent="0.25">
      <c r="C45" s="318" t="s">
        <v>199</v>
      </c>
      <c r="D45" s="321">
        <f t="array" ref="D45">_xlfn.LET(
    _xlpm.Fila,$F45,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32</v>
      </c>
    </row>
    <row r="46" ht="21.5" customHeight="1" spans="3:6" x14ac:dyDescent="0.25">
      <c r="C46" s="318" t="s">
        <v>200</v>
      </c>
      <c r="D46" s="321">
        <f t="array" ref="D46">_xlfn.LET(
    _xlpm.Fila,$F46,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21.5" customHeight="1" spans="3:6" x14ac:dyDescent="0.25">
      <c r="C47" s="318" t="s">
        <v>201</v>
      </c>
      <c r="D47" s="321">
        <f t="array" ref="D47">_xlfn.LET(
    _xlpm.Fila,$F47,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7" s="311" t="str">
        <f t="array" ref="E47">_xlfn.IFS(D47&gt;=91.5%,"MENSUAL",D47&gt;=75%,"QUINCENAL",D47&lt;75%,"SEMANAL")</f>
        <v>SEMANAL</v>
      </c>
      <c r="F47">
        <v>34</v>
      </c>
    </row>
    <row r="48" ht="21.5" customHeight="1" spans="3:6" x14ac:dyDescent="0.25">
      <c r="C48" s="347" t="s">
        <v>202</v>
      </c>
      <c r="D48" s="321">
        <f t="array" ref="D48">_xlfn.LET(
    _xlpm.Fila,$F48,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31.5" customHeight="1" spans="3:6" x14ac:dyDescent="0.25">
      <c r="C49" s="347" t="s">
        <v>203</v>
      </c>
      <c r="D49" s="321">
        <f t="array" ref="D49">_xlfn.LET(
    _xlpm.Fila,$F49,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36</v>
      </c>
    </row>
    <row r="50" ht="19.5" customHeight="1" spans="3:6" x14ac:dyDescent="0.25">
      <c r="C50" s="313" t="s">
        <v>111</v>
      </c>
      <c r="D50" s="314"/>
      <c r="E50" s="315"/>
      <c r="F50">
        <v>37</v>
      </c>
    </row>
    <row r="51" ht="61.5" customHeight="1" spans="3:6" x14ac:dyDescent="0.25">
      <c r="C51" s="318" t="s">
        <v>204</v>
      </c>
      <c r="D51" s="321">
        <f t="array" ref="D51">_xlfn.LET(
    _xlpm.Fila,$F51,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31.5" customHeight="1" spans="3:6" x14ac:dyDescent="0.25">
      <c r="C52" s="318" t="s">
        <v>205</v>
      </c>
      <c r="D52" s="321">
        <f t="array" ref="D52">_xlfn.LET(
    _xlpm.Fila,$F52,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31.5" customHeight="1" spans="3:6" x14ac:dyDescent="0.25">
      <c r="C53" s="318" t="s">
        <v>206</v>
      </c>
      <c r="D53" s="321">
        <f t="array" ref="D53">_xlfn.LET(
    _xlpm.Fila,$F53,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40</v>
      </c>
    </row>
    <row r="54" ht="34.5" customHeight="1" spans="3:6" x14ac:dyDescent="0.25">
      <c r="C54" s="318" t="s">
        <v>207</v>
      </c>
      <c r="D54" s="321">
        <f t="array" ref="D54">_xlfn.LET(
    _xlpm.Fila,$F54,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50" customHeight="1" spans="3:6" x14ac:dyDescent="0.25">
      <c r="C55" s="347" t="s">
        <v>208</v>
      </c>
      <c r="D55" s="321">
        <f t="array" ref="D55">_xlfn.LET(
    _xlpm.Fila,$F55,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1.5" customHeight="1" spans="3:6" x14ac:dyDescent="0.25">
      <c r="C56" s="318" t="s">
        <v>118</v>
      </c>
      <c r="D56" s="321">
        <f t="array" ref="D56">_xlfn.LET(
    _xlpm.Fila,$F56,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43</v>
      </c>
    </row>
    <row r="57" ht="31.5" customHeight="1" spans="3:6" x14ac:dyDescent="0.25">
      <c r="C57" s="318" t="s">
        <v>209</v>
      </c>
      <c r="D57" s="321">
        <f t="array" ref="D57">_xlfn.LET(
    _xlpm.Fila,$F57,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21.5" customHeight="1" spans="3:6" x14ac:dyDescent="0.25">
      <c r="C58" s="318" t="s">
        <v>153</v>
      </c>
      <c r="D58" s="321">
        <f t="array" ref="D58">_xlfn.LET(
    _xlpm.Fila,$F58,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31.5" customHeight="1" spans="3:6" x14ac:dyDescent="0.25">
      <c r="C59" s="347" t="s">
        <v>119</v>
      </c>
      <c r="D59" s="321">
        <f t="array" ref="D59">_xlfn.LET(
    _xlpm.Fila,$F59,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31.5" customHeight="1" spans="3:6" x14ac:dyDescent="0.25">
      <c r="C60" s="347" t="s">
        <v>210</v>
      </c>
      <c r="D60" s="321">
        <f t="array" ref="D60">_xlfn.LET(
    _xlpm.Fila,$F60,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44.5" customHeight="1" spans="3:6" x14ac:dyDescent="0.25">
      <c r="C61" s="313" t="s">
        <v>122</v>
      </c>
      <c r="D61" s="314"/>
      <c r="E61" s="315"/>
      <c r="F61">
        <v>48</v>
      </c>
    </row>
    <row r="62" ht="31.5" customHeight="1" spans="3:6" x14ac:dyDescent="0.25">
      <c r="C62" s="317" t="s">
        <v>211</v>
      </c>
      <c r="D62" s="321">
        <f t="array" ref="D62">_xlfn.LET(
    _xlpm.Fila,$F62,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21.5" customHeight="1" spans="3:6" x14ac:dyDescent="0.25">
      <c r="C63" s="318" t="s">
        <v>124</v>
      </c>
      <c r="D63" s="321">
        <f t="array" ref="D63">_xlfn.LET(
    _xlpm.Fila,$F63,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41.5" customHeight="1" spans="3:6" x14ac:dyDescent="0.25">
      <c r="C64" s="318" t="s">
        <v>212</v>
      </c>
      <c r="D64" s="321">
        <f t="array" ref="D64">_xlfn.LET(
    _xlpm.Fila,$F64,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41.5" customHeight="1" spans="3:6" x14ac:dyDescent="0.25">
      <c r="C65" s="318" t="s">
        <v>213</v>
      </c>
      <c r="D65" s="321">
        <f t="array" ref="D65">_xlfn.LET(
    _xlpm.Fila,$F65,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24.5" customHeight="1" spans="3:6" x14ac:dyDescent="0.25">
      <c r="C66" s="313" t="s">
        <v>214</v>
      </c>
      <c r="D66" s="314"/>
      <c r="E66" s="315"/>
      <c r="F66">
        <v>53</v>
      </c>
    </row>
    <row r="67" ht="36.5" customHeight="1" spans="3:6" x14ac:dyDescent="0.25">
      <c r="C67" s="316" t="s">
        <v>215</v>
      </c>
      <c r="D67" s="321">
        <f t="array" ref="D67">_xlfn.LET(
    _xlpm.Fila,$F67,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24" customHeight="1" spans="3:6" x14ac:dyDescent="0.25">
      <c r="C68" s="313" t="s">
        <v>158</v>
      </c>
      <c r="D68" s="314"/>
      <c r="E68" s="315"/>
      <c r="F68">
        <v>55</v>
      </c>
    </row>
    <row r="69" ht="59" customHeight="1" spans="3:6" x14ac:dyDescent="0.25">
      <c r="C69" s="316" t="s">
        <v>216</v>
      </c>
      <c r="D69" s="321">
        <f t="array" ref="D69">_xlfn.LET(
    _xlpm.Fila,$F69,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52.5" customHeight="1" spans="3:6" x14ac:dyDescent="0.25">
      <c r="C70" s="318" t="s">
        <v>84</v>
      </c>
      <c r="D70" s="321">
        <f t="array" ref="D70">_xlfn.LET(
    _xlpm.Fila,$F70,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57</v>
      </c>
    </row>
    <row r="71" ht="24" customHeight="1" spans="3:6" x14ac:dyDescent="0.25">
      <c r="C71" s="348" t="s">
        <v>217</v>
      </c>
      <c r="D71" s="349"/>
      <c r="E71" s="350"/>
      <c r="F71">
        <v>58</v>
      </c>
    </row>
    <row r="72" ht="35" customHeight="1" spans="3:6" x14ac:dyDescent="0.25">
      <c r="C72" s="165" t="s">
        <v>218</v>
      </c>
      <c r="D72" s="321">
        <f t="array" ref="D72">_xlfn.LET(
    _xlpm.Fila,$F72,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42.5" customHeight="1" spans="3:6" x14ac:dyDescent="0.25">
      <c r="C73" s="318" t="s">
        <v>103</v>
      </c>
      <c r="D73" s="321">
        <f t="array" ref="D73">_xlfn.LET(
    _xlpm.Fila,$F73,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3" s="311" t="str">
        <f t="array" ref="E73">_xlfn.IFS(D73&gt;=91.5%,"MENSUAL",D73&gt;=75%,"QUINCENAL",D73&lt;75%,"SEMANAL")</f>
        <v>SEMANAL</v>
      </c>
      <c r="F73">
        <v>60</v>
      </c>
    </row>
    <row r="74" ht="43.5" customHeight="1" spans="3:6" x14ac:dyDescent="0.25">
      <c r="C74" s="318" t="s">
        <v>219</v>
      </c>
      <c r="D74" s="321">
        <f t="array" ref="D74">_xlfn.LET(
    _xlpm.Fila,$F74,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  <row r="75" ht="50" customHeight="1" spans="3:6" x14ac:dyDescent="0.25">
      <c r="C75" s="318" t="s">
        <v>117</v>
      </c>
      <c r="D75" s="321">
        <f t="array" ref="D75">_xlfn.LET(
    _xlpm.Fila,$F75,
    _xlpm.ColIni,$G$4,
    _xlpm.ColFin,$H$4,
    _xlpm.Datos,INDEX('7. Prev_Frecuencia Comedor'!$A$1:$ES$63,_xlpm.Fila,_xlfn.SEQUENCE(1,(_xlpm.ColFin-_xlpm.ColIni)/3+1,_xlpm.ColIni,3)),
    IFERROR(AVERAGE(_xlfn._xlws.FILTER(_xlpm.Datos,(_xlpm.Datos&lt;&gt;"")*(_xlpm.Datos&lt;&gt;0))),0)
)</f>
        <v>0</v>
      </c>
      <c r="E75" s="311" t="str">
        <f t="array" ref="E75">_xlfn.IFS(D75&gt;=91.5%,"MENSUAL",D75&gt;=75%,"QUINCENAL",D75&lt;75%,"SEMANAL")</f>
        <v>SEMANAL</v>
      </c>
      <c r="F75">
        <v>62</v>
      </c>
    </row>
  </sheetData>
  <mergeCells count="10">
    <mergeCell ref="C20:E20"/>
    <mergeCell ref="C21:E21"/>
    <mergeCell ref="C27:E27"/>
    <mergeCell ref="C31:E31"/>
    <mergeCell ref="C39:E39"/>
    <mergeCell ref="C50:E50"/>
    <mergeCell ref="C61:E61"/>
    <mergeCell ref="C66:E66"/>
    <mergeCell ref="C68:E68"/>
    <mergeCell ref="C71:E71"/>
  </mergeCells>
  <conditionalFormatting sqref="E8:E16">
    <cfRule type="containsText" dxfId="97" priority="31">
      <formula>NOT(ISERROR(SEARCH("QUINCENAL",E8)))</formula>
    </cfRule>
    <cfRule type="containsText" dxfId="98" priority="32">
      <formula>NOT(ISERROR(SEARCH("MENSUAL",E8)))</formula>
    </cfRule>
    <cfRule type="containsText" dxfId="99" priority="33">
      <formula>NOT(ISERROR(SEARCH("SEMANAL",E8)))</formula>
    </cfRule>
  </conditionalFormatting>
  <conditionalFormatting sqref="E22:E26">
    <cfRule type="containsText" dxfId="100" priority="25">
      <formula>NOT(ISERROR(SEARCH("QUINCENAL",E22)))</formula>
    </cfRule>
    <cfRule type="containsText" dxfId="101" priority="26">
      <formula>NOT(ISERROR(SEARCH("MENSUAL",E22)))</formula>
    </cfRule>
    <cfRule type="containsText" dxfId="102" priority="27">
      <formula>NOT(ISERROR(SEARCH("SEMANAL",E22)))</formula>
    </cfRule>
  </conditionalFormatting>
  <conditionalFormatting sqref="E28:E30">
    <cfRule type="containsText" dxfId="103" priority="22">
      <formula>NOT(ISERROR(SEARCH("QUINCENAL",E28)))</formula>
    </cfRule>
    <cfRule type="containsText" dxfId="104" priority="23">
      <formula>NOT(ISERROR(SEARCH("MENSUAL",E28)))</formula>
    </cfRule>
    <cfRule type="containsText" dxfId="105" priority="24">
      <formula>NOT(ISERROR(SEARCH("SEMANAL",E28)))</formula>
    </cfRule>
  </conditionalFormatting>
  <conditionalFormatting sqref="E32:E38">
    <cfRule type="containsText" dxfId="106" priority="19">
      <formula>NOT(ISERROR(SEARCH("QUINCENAL",E32)))</formula>
    </cfRule>
    <cfRule type="containsText" dxfId="107" priority="20">
      <formula>NOT(ISERROR(SEARCH("MENSUAL",E32)))</formula>
    </cfRule>
    <cfRule type="containsText" dxfId="108" priority="21">
      <formula>NOT(ISERROR(SEARCH("SEMANAL",E32)))</formula>
    </cfRule>
  </conditionalFormatting>
  <conditionalFormatting sqref="E40:E49">
    <cfRule type="containsText" dxfId="109" priority="16">
      <formula>NOT(ISERROR(SEARCH("QUINCENAL",E40)))</formula>
    </cfRule>
    <cfRule type="containsText" dxfId="110" priority="17">
      <formula>NOT(ISERROR(SEARCH("MENSUAL",E40)))</formula>
    </cfRule>
    <cfRule type="containsText" dxfId="111" priority="18">
      <formula>NOT(ISERROR(SEARCH("SEMANAL",E40)))</formula>
    </cfRule>
  </conditionalFormatting>
  <conditionalFormatting sqref="E51:E60">
    <cfRule type="containsText" dxfId="112" priority="13">
      <formula>NOT(ISERROR(SEARCH("QUINCENAL",E51)))</formula>
    </cfRule>
    <cfRule type="containsText" dxfId="113" priority="14">
      <formula>NOT(ISERROR(SEARCH("MENSUAL",E51)))</formula>
    </cfRule>
    <cfRule type="containsText" dxfId="114" priority="15">
      <formula>NOT(ISERROR(SEARCH("SEMANAL",E51)))</formula>
    </cfRule>
  </conditionalFormatting>
  <conditionalFormatting sqref="E62:E65">
    <cfRule type="containsText" dxfId="115" priority="10">
      <formula>NOT(ISERROR(SEARCH("QUINCENAL",E62)))</formula>
    </cfRule>
    <cfRule type="containsText" dxfId="116" priority="11">
      <formula>NOT(ISERROR(SEARCH("MENSUAL",E62)))</formula>
    </cfRule>
    <cfRule type="containsText" dxfId="117" priority="12">
      <formula>NOT(ISERROR(SEARCH("SEMANAL",E62)))</formula>
    </cfRule>
  </conditionalFormatting>
  <conditionalFormatting sqref="E67">
    <cfRule type="containsText" dxfId="118" priority="1">
      <formula>NOT(ISERROR(SEARCH("QUINCENAL",E67)))</formula>
    </cfRule>
    <cfRule type="containsText" dxfId="119" priority="2">
      <formula>NOT(ISERROR(SEARCH("MENSUAL",E67)))</formula>
    </cfRule>
    <cfRule type="containsText" dxfId="120" priority="3">
      <formula>NOT(ISERROR(SEARCH("SEMANAL",E67)))</formula>
    </cfRule>
  </conditionalFormatting>
  <conditionalFormatting sqref="E69:E70">
    <cfRule type="containsText" dxfId="121" priority="7">
      <formula>NOT(ISERROR(SEARCH("QUINCENAL",E69)))</formula>
    </cfRule>
    <cfRule type="containsText" dxfId="122" priority="8">
      <formula>NOT(ISERROR(SEARCH("MENSUAL",E69)))</formula>
    </cfRule>
    <cfRule type="containsText" dxfId="123" priority="9">
      <formula>NOT(ISERROR(SEARCH("SEMANAL",E69)))</formula>
    </cfRule>
  </conditionalFormatting>
  <conditionalFormatting sqref="E72:E75">
    <cfRule type="containsText" dxfId="124" priority="4">
      <formula>NOT(ISERROR(SEARCH("QUINCENAL",E72)))</formula>
    </cfRule>
    <cfRule type="containsText" dxfId="125" priority="5">
      <formula>NOT(ISERROR(SEARCH("MENSUAL",E72)))</formula>
    </cfRule>
    <cfRule type="containsText" dxfId="126" priority="6">
      <formula>NOT(ISERROR(SEARCH("SEMANAL",E72)))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A1:N70"/>
  <sheetViews>
    <sheetView workbookViewId="0" showGridLines="0" zoomScale="50" zoomScaleNormal="50">
      <selection activeCell="K11" sqref="K11"/>
    </sheetView>
  </sheetViews>
  <sheetFormatPr defaultRowHeight="14.5" outlineLevelRow="0" outlineLevelCol="0" x14ac:dyDescent="0.35" customHeight="1"/>
  <cols>
    <col min="1" max="1" width="13.26953125" customWidth="1"/>
    <col min="2" max="2" width="26.08984375" customWidth="1"/>
    <col min="3" max="3" width="41.1796875" customWidth="1"/>
    <col min="4" max="4" width="21.26953125" customWidth="1"/>
    <col min="5" max="5" width="27.6328125" customWidth="1"/>
    <col min="6" max="6" width="10.90625" hidden="1" customWidth="1"/>
    <col min="7" max="7" width="15" hidden="1" customWidth="1"/>
    <col min="8" max="8" width="17" hidden="1" customWidth="1"/>
    <col min="11" max="11" width="29.6328125" customWidth="1"/>
    <col min="12" max="12" width="12.1796875" customWidth="1"/>
    <col min="13" max="13" width="14.1796875" customWidth="1"/>
    <col min="14" max="14" width="13.81640625" customWidth="1"/>
  </cols>
  <sheetData>
    <row r="1" ht="29" customHeight="1" spans="2:2" x14ac:dyDescent="0.25">
      <c r="B1" s="287" t="s">
        <v>240</v>
      </c>
    </row>
    <row r="2" ht="15" customHeight="1" spans="7:8" x14ac:dyDescent="0.25">
      <c r="G2" t="s">
        <v>2</v>
      </c>
      <c r="H2" t="s">
        <v>3</v>
      </c>
    </row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_xlfn.XMATCH($D$3,'1. Prev_Frecuencias almacén'!6:6,0)+2</f>
        <v>6</v>
      </c>
      <c r="H4" s="291">
        <f>_xlfn.XMATCH($E$3,'1. Prev_Frecuencias almacén'!6:6,0)+2</f>
        <v>147</v>
      </c>
      <c r="L4" s="225">
        <v>2</v>
      </c>
      <c r="M4" s="225" t="s">
        <v>82</v>
      </c>
      <c r="N4" s="109" t="s">
        <v>83</v>
      </c>
    </row>
    <row r="5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4" t="s">
        <v>10</v>
      </c>
      <c r="D7" s="295" t="s">
        <v>243</v>
      </c>
      <c r="E7" s="295" t="s">
        <v>244</v>
      </c>
    </row>
    <row r="8" ht="15.5" customHeight="1" spans="3:6" x14ac:dyDescent="0.25">
      <c r="C8" s="296" t="s">
        <v>73</v>
      </c>
      <c r="D8" s="297">
        <f t="array" ref="D8">_xlfn.LET(
    _xlpm.Fila,$F8,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</row>
    <row r="9" ht="24.5" customHeight="1" spans="3:8" x14ac:dyDescent="0.25">
      <c r="C9" s="299" t="s">
        <v>89</v>
      </c>
      <c r="D9" s="297">
        <f t="array" ref="D9">_xlfn.LET(
    _xlpm.Fila,$F9,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14</v>
      </c>
      <c r="H9" s="228"/>
    </row>
    <row r="10" ht="15.5" customHeight="1" spans="3:8" x14ac:dyDescent="0.25">
      <c r="C10" s="299" t="s">
        <v>93</v>
      </c>
      <c r="D10" s="297">
        <f t="array" ref="D10">_xlfn.LET(
    _xlpm.Fila,$F10,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18</v>
      </c>
      <c r="H10" s="228"/>
    </row>
    <row r="11" ht="32.5" customHeight="1" spans="3:8" x14ac:dyDescent="0.25">
      <c r="C11" s="299" t="s">
        <v>105</v>
      </c>
      <c r="D11" s="297">
        <f t="array" ref="D11">_xlfn.LET(
    _xlpm.Fila,$F11,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30</v>
      </c>
      <c r="H11" s="228"/>
    </row>
    <row r="12" ht="19.5" customHeight="1" spans="3:6" x14ac:dyDescent="0.25">
      <c r="C12" s="299" t="s">
        <v>111</v>
      </c>
      <c r="D12" s="297">
        <f t="array" ref="D12">_xlfn.LET(
    _xlpm.Fila,$F12,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36</v>
      </c>
    </row>
    <row r="13" ht="31" customHeight="1" spans="3:6" x14ac:dyDescent="0.25">
      <c r="C13" s="299" t="s">
        <v>154</v>
      </c>
      <c r="D13" s="297">
        <f t="array" ref="D13">_xlfn.LET(
    _xlpm.Fila,$F13,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47</v>
      </c>
    </row>
    <row r="14" ht="15.5" customHeight="1" spans="3:6" x14ac:dyDescent="0.25">
      <c r="C14" s="299" t="s">
        <v>128</v>
      </c>
      <c r="D14" s="297">
        <f t="array" ref="D14">_xlfn.LET(
    _xlpm.Fila,$F14,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53</v>
      </c>
    </row>
    <row r="15" ht="15.5" customHeight="1" spans="3:6" x14ac:dyDescent="0.25">
      <c r="C15" s="299" t="s">
        <v>130</v>
      </c>
      <c r="D15" s="297">
        <f t="array" ref="D15">_xlfn.LET(
    _xlpm.Fila,$F15,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55</v>
      </c>
    </row>
    <row r="19" ht="35" customHeight="1" spans="3:5" x14ac:dyDescent="0.25">
      <c r="C19" s="300" t="s">
        <v>245</v>
      </c>
      <c r="D19" s="301"/>
      <c r="E19" s="302"/>
    </row>
    <row r="20" ht="31" customHeight="1" spans="3:5" x14ac:dyDescent="0.25">
      <c r="C20" s="303" t="s">
        <v>73</v>
      </c>
      <c r="D20" s="304"/>
      <c r="E20" s="305"/>
    </row>
    <row r="21" ht="42.5" customHeight="1" spans="3:6" x14ac:dyDescent="0.25">
      <c r="C21" s="88" t="s">
        <v>78</v>
      </c>
      <c r="D21" s="297">
        <f t="array" ref="D21">_xlfn.LET(
    _xlpm.Fila,$F21,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1" s="306" t="str">
        <f t="array" ref="E21">_xlfn.IFS(D21&gt;=91.5%,"MENSUAL",D21&gt;=75%,"QUINCENAL",D21&lt;75%,"SEMANAL")</f>
        <v>SEMANAL</v>
      </c>
      <c r="F21">
        <v>9</v>
      </c>
    </row>
    <row r="22" ht="33" customHeight="1" spans="3:6" x14ac:dyDescent="0.25">
      <c r="C22" s="100" t="s">
        <v>81</v>
      </c>
      <c r="D22" s="297">
        <f t="array" ref="D22">_xlfn.LET(
    _xlpm.Fila,$F22,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10</v>
      </c>
    </row>
    <row r="23" ht="45.5" customHeight="1" spans="3:6" x14ac:dyDescent="0.25">
      <c r="C23" s="100" t="s">
        <v>84</v>
      </c>
      <c r="D23" s="297">
        <f t="array" ref="D23">_xlfn.LET(
    _xlpm.Fila,$F23,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11</v>
      </c>
    </row>
    <row r="24" ht="35" customHeight="1" spans="3:6" x14ac:dyDescent="0.25">
      <c r="C24" s="100" t="s">
        <v>87</v>
      </c>
      <c r="D24" s="297">
        <f t="array" ref="D24">_xlfn.LET(
    _xlpm.Fila,$F24,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12</v>
      </c>
    </row>
    <row r="25" ht="46" customHeight="1" spans="3:6" x14ac:dyDescent="0.25">
      <c r="C25" s="115" t="s">
        <v>88</v>
      </c>
      <c r="D25" s="297">
        <f t="array" ref="D25">_xlfn.LET(
    _xlpm.Fila,$F25,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13</v>
      </c>
    </row>
    <row r="26" ht="21" customHeight="1" spans="3:5" x14ac:dyDescent="0.25">
      <c r="C26" s="307" t="s">
        <v>188</v>
      </c>
      <c r="D26" s="308"/>
      <c r="E26" s="309"/>
    </row>
    <row r="27" ht="38.5" customHeight="1" spans="3:6" x14ac:dyDescent="0.25">
      <c r="C27" s="100" t="s">
        <v>90</v>
      </c>
      <c r="D27" s="297">
        <f t="array" ref="D27">_xlfn.LET(
    _xlpm.Fila,$F27,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7" s="298" t="str">
        <f t="array" ref="E27">_xlfn.IFS(D27&gt;=91.5%,"MENSUAL",D27&gt;=75%,"QUINCENAL",D27&lt;75%,"SEMANAL")</f>
        <v>SEMANAL</v>
      </c>
      <c r="F27">
        <v>15</v>
      </c>
    </row>
    <row r="28" ht="24" customHeight="1" spans="3:6" x14ac:dyDescent="0.25">
      <c r="C28" s="100" t="s">
        <v>91</v>
      </c>
      <c r="D28" s="297">
        <f t="array" ref="D28">_xlfn.LET(
    _xlpm.Fila,$F28,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8" s="298" t="str">
        <f t="array" ref="E28">_xlfn.IFS(D28&gt;=91.5%,"MENSUAL",D28&gt;=75%,"QUINCENAL",D28&lt;75%,"SEMANAL")</f>
        <v>SEMANAL</v>
      </c>
      <c r="F28">
        <v>16</v>
      </c>
    </row>
    <row r="29" ht="42.5" customHeight="1" spans="3:6" x14ac:dyDescent="0.25">
      <c r="C29" s="134" t="s">
        <v>92</v>
      </c>
      <c r="D29" s="297">
        <f t="array" ref="D29">_xlfn.LET(
    _xlpm.Fila,$F29,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29" s="298" t="str">
        <f t="array" ref="E29">_xlfn.IFS(D29&gt;=91.5%,"MENSUAL",D29&gt;=75%,"QUINCENAL",D29&lt;75%,"SEMANAL")</f>
        <v>SEMANAL</v>
      </c>
      <c r="F29">
        <v>17</v>
      </c>
    </row>
    <row r="30" ht="29.5" customHeight="1" spans="1:5" x14ac:dyDescent="0.25">
      <c r="A30" s="310"/>
      <c r="C30" s="307" t="s">
        <v>191</v>
      </c>
      <c r="D30" s="308"/>
      <c r="E30" s="309"/>
    </row>
    <row r="31" ht="56" customHeight="1" spans="3:6" x14ac:dyDescent="0.25">
      <c r="C31" s="88" t="s">
        <v>94</v>
      </c>
      <c r="D31" s="297">
        <f t="array" ref="D31">_xlfn.LET(
    _xlpm.Fila,$F31,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1" s="311" t="str">
        <f t="array" ref="E31">_xlfn.IFS(D31&gt;=91.5%,"MENSUAL",D31&gt;=75%,"QUINCENAL",D31&lt;75%,"SEMANAL")</f>
        <v>SEMANAL</v>
      </c>
      <c r="F31">
        <v>19</v>
      </c>
    </row>
    <row r="32" ht="64.5" customHeight="1" spans="3:6" x14ac:dyDescent="0.25">
      <c r="C32" s="100" t="s">
        <v>95</v>
      </c>
      <c r="D32" s="297">
        <f t="array" ref="D32">_xlfn.LET(
    _xlpm.Fila,$F32,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20</v>
      </c>
    </row>
    <row r="33" ht="34.5" customHeight="1" spans="3:6" x14ac:dyDescent="0.25">
      <c r="C33" s="100" t="s">
        <v>96</v>
      </c>
      <c r="D33" s="297">
        <f t="array" ref="D33">_xlfn.LET(
    _xlpm.Fila,$F33,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21</v>
      </c>
    </row>
    <row r="34" ht="37" customHeight="1" spans="3:6" x14ac:dyDescent="0.25">
      <c r="C34" s="100" t="s">
        <v>97</v>
      </c>
      <c r="D34" s="297">
        <f t="array" ref="D34">_xlfn.LET(
    _xlpm.Fila,$F34,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4" s="311" t="str">
        <f t="array" ref="E34">_xlfn.IFS(D34&gt;=91.5%,"MENSUAL",D34&gt;=75%,"QUINCENAL",D34&lt;75%,"SEMANAL")</f>
        <v>SEMANAL</v>
      </c>
      <c r="F34">
        <v>22</v>
      </c>
    </row>
    <row r="35" ht="45.5" customHeight="1" spans="1:6" x14ac:dyDescent="0.25">
      <c r="A35" s="310"/>
      <c r="C35" s="100" t="s">
        <v>98</v>
      </c>
      <c r="D35" s="297">
        <f t="array" ref="D35">_xlfn.LET(
    _xlpm.Fila,$F35,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23</v>
      </c>
    </row>
    <row r="36" ht="47.5" customHeight="1" spans="1:6" x14ac:dyDescent="0.25">
      <c r="A36" s="312"/>
      <c r="C36" s="100" t="s">
        <v>99</v>
      </c>
      <c r="D36" s="297">
        <f t="array" ref="D36">_xlfn.LET(
    _xlpm.Fila,$F36,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24</v>
      </c>
    </row>
    <row r="37" ht="49.5" customHeight="1" spans="3:6" x14ac:dyDescent="0.25">
      <c r="C37" s="100" t="s">
        <v>100</v>
      </c>
      <c r="D37" s="297">
        <f t="array" ref="D37">_xlfn.LET(
    _xlpm.Fila,$F37,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25</v>
      </c>
    </row>
    <row r="38" ht="49.5" customHeight="1" spans="3:6" x14ac:dyDescent="0.25">
      <c r="C38" s="100" t="s">
        <v>101</v>
      </c>
      <c r="D38" s="297">
        <f t="array" ref="D38">_xlfn.LET(
    _xlpm.Fila,$F38,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26</v>
      </c>
    </row>
    <row r="39" ht="49.5" customHeight="1" spans="3:6" x14ac:dyDescent="0.25">
      <c r="C39" s="100" t="s">
        <v>102</v>
      </c>
      <c r="D39" s="297">
        <f t="array" ref="D39">_xlfn.LET(
    _xlpm.Fila,$F39,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27</v>
      </c>
    </row>
    <row r="40" ht="49.5" customHeight="1" spans="3:6" x14ac:dyDescent="0.25">
      <c r="C40" s="100" t="s">
        <v>103</v>
      </c>
      <c r="D40" s="297">
        <f t="array" ref="D40">_xlfn.LET(
    _xlpm.Fila,$F40,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28</v>
      </c>
    </row>
    <row r="41" ht="49.5" customHeight="1" spans="3:6" x14ac:dyDescent="0.25">
      <c r="C41" s="115" t="s">
        <v>104</v>
      </c>
      <c r="D41" s="297">
        <f t="array" ref="D41">_xlfn.LET(
    _xlpm.Fila,$F41,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29</v>
      </c>
    </row>
    <row r="42" ht="33" customHeight="1" spans="1:5" x14ac:dyDescent="0.25">
      <c r="A42" s="310"/>
      <c r="C42" s="313" t="s">
        <v>105</v>
      </c>
      <c r="D42" s="314"/>
      <c r="E42" s="315"/>
    </row>
    <row r="43" ht="18.5" customHeight="1" spans="1:6" x14ac:dyDescent="0.25">
      <c r="A43" s="310"/>
      <c r="C43" s="88" t="s">
        <v>106</v>
      </c>
      <c r="D43" s="297">
        <f t="array" ref="D43">_xlfn.LET(
    _xlpm.Fila,$F43,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31</v>
      </c>
    </row>
    <row r="44" ht="28.5" customHeight="1" spans="3:6" x14ac:dyDescent="0.25">
      <c r="C44" s="100" t="s">
        <v>107</v>
      </c>
      <c r="D44" s="297">
        <f t="array" ref="D44">_xlfn.LET(
    _xlpm.Fila,$F44,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32</v>
      </c>
    </row>
    <row r="45" ht="24" customHeight="1" spans="3:6" x14ac:dyDescent="0.25">
      <c r="C45" s="100" t="s">
        <v>108</v>
      </c>
      <c r="D45" s="297">
        <f t="array" ref="D45">_xlfn.LET(
    _xlpm.Fila,$F45,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33</v>
      </c>
    </row>
    <row r="46" ht="26" customHeight="1" spans="3:6" x14ac:dyDescent="0.25">
      <c r="C46" s="100" t="s">
        <v>109</v>
      </c>
      <c r="D46" s="297">
        <f t="array" ref="D46">_xlfn.LET(
    _xlpm.Fila,$F46,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34</v>
      </c>
    </row>
    <row r="47" ht="38" customHeight="1" spans="3:6" x14ac:dyDescent="0.25">
      <c r="C47" s="115" t="s">
        <v>110</v>
      </c>
      <c r="D47" s="297">
        <f t="array" ref="D47">_xlfn.LET(
    _xlpm.Fila,$F47,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7" s="311" t="str">
        <f t="array" ref="E47">_xlfn.IFS(D47&gt;=91.5%,"MENSUAL",D47&gt;=75%,"QUINCENAL",D47&lt;75%,"SEMANAL")</f>
        <v>SEMANAL</v>
      </c>
      <c r="F47">
        <v>35</v>
      </c>
    </row>
    <row r="48" ht="19.5" customHeight="1" spans="3:5" x14ac:dyDescent="0.25">
      <c r="C48" s="313" t="s">
        <v>111</v>
      </c>
      <c r="D48" s="314"/>
      <c r="E48" s="315"/>
    </row>
    <row r="49" ht="24.5" customHeight="1" spans="1:6" x14ac:dyDescent="0.25">
      <c r="A49" s="310"/>
      <c r="C49" s="139" t="s">
        <v>112</v>
      </c>
      <c r="D49" s="297">
        <f t="array" ref="D49">_xlfn.LET(
    _xlpm.Fila,$F49,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37</v>
      </c>
    </row>
    <row r="50" ht="31.5" customHeight="1" spans="1:6" x14ac:dyDescent="0.25">
      <c r="A50" s="310"/>
      <c r="C50" s="100" t="s">
        <v>113</v>
      </c>
      <c r="D50" s="297">
        <f t="array" ref="D50">_xlfn.LET(
    _xlpm.Fila,$F50,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38</v>
      </c>
    </row>
    <row r="51" ht="35.5" customHeight="1" spans="3:6" x14ac:dyDescent="0.25">
      <c r="C51" s="140" t="s">
        <v>114</v>
      </c>
      <c r="D51" s="297">
        <f t="array" ref="D51">_xlfn.LET(
    _xlpm.Fila,$F51,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39</v>
      </c>
    </row>
    <row r="52" ht="26" customHeight="1" spans="3:6" x14ac:dyDescent="0.25">
      <c r="C52" s="100" t="s">
        <v>115</v>
      </c>
      <c r="D52" s="297">
        <f t="array" ref="D52">_xlfn.LET(
    _xlpm.Fila,$F52,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40</v>
      </c>
    </row>
    <row r="53" ht="28.5" customHeight="1" spans="3:6" x14ac:dyDescent="0.25">
      <c r="C53" s="100" t="s">
        <v>116</v>
      </c>
      <c r="D53" s="297">
        <f t="array" ref="D53">_xlfn.LET(
    _xlpm.Fila,$F53,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41</v>
      </c>
    </row>
    <row r="54" ht="30" customHeight="1" spans="3:6" x14ac:dyDescent="0.25">
      <c r="C54" s="140" t="s">
        <v>117</v>
      </c>
      <c r="D54" s="297">
        <f t="array" ref="D54">_xlfn.LET(
    _xlpm.Fila,$F54,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42</v>
      </c>
    </row>
    <row r="55" ht="18" customHeight="1" spans="3:6" x14ac:dyDescent="0.25">
      <c r="C55" s="100" t="s">
        <v>118</v>
      </c>
      <c r="D55" s="297">
        <f t="array" ref="D55">_xlfn.LET(
    _xlpm.Fila,$F55,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43</v>
      </c>
    </row>
    <row r="56" ht="33" customHeight="1" spans="1:6" x14ac:dyDescent="0.25">
      <c r="A56" s="310"/>
      <c r="C56" s="141" t="s">
        <v>119</v>
      </c>
      <c r="D56" s="297">
        <f t="array" ref="D56">_xlfn.LET(
    _xlpm.Fila,$F56,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44</v>
      </c>
    </row>
    <row r="57" ht="24" customHeight="1" spans="3:6" x14ac:dyDescent="0.25">
      <c r="C57" s="100" t="s">
        <v>120</v>
      </c>
      <c r="D57" s="297">
        <f t="array" ref="D57">_xlfn.LET(
    _xlpm.Fila,$F57,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45</v>
      </c>
    </row>
    <row r="58" ht="26" customHeight="1" spans="3:6" x14ac:dyDescent="0.25">
      <c r="C58" s="100" t="s">
        <v>121</v>
      </c>
      <c r="D58" s="297">
        <f t="array" ref="D58">_xlfn.LET(
    _xlpm.Fila,$F58,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46</v>
      </c>
    </row>
    <row r="59" ht="44.5" customHeight="1" spans="3:5" x14ac:dyDescent="0.25">
      <c r="C59" s="313" t="s">
        <v>122</v>
      </c>
      <c r="D59" s="314"/>
      <c r="E59" s="315"/>
    </row>
    <row r="60" ht="31.5" customHeight="1" spans="3:6" x14ac:dyDescent="0.25">
      <c r="C60" s="142" t="s">
        <v>123</v>
      </c>
      <c r="D60" s="297">
        <f t="array" ref="D60">_xlfn.LET(
    _xlpm.Fila,$F60,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48</v>
      </c>
    </row>
    <row r="61" ht="21.5" customHeight="1" spans="3:6" x14ac:dyDescent="0.25">
      <c r="C61" s="100" t="s">
        <v>124</v>
      </c>
      <c r="D61" s="297">
        <f t="array" ref="D61">_xlfn.LET(
    _xlpm.Fila,$F61,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1" s="311" t="str">
        <f t="array" ref="E61">_xlfn.IFS(D61&gt;=91.5%,"MENSUAL",D61&gt;=75%,"QUINCENAL",D61&lt;75%,"SEMANAL")</f>
        <v>SEMANAL</v>
      </c>
      <c r="F61">
        <v>49</v>
      </c>
    </row>
    <row r="62" ht="21.5" customHeight="1" spans="3:6" x14ac:dyDescent="0.25">
      <c r="C62" s="100" t="s">
        <v>125</v>
      </c>
      <c r="D62" s="297">
        <f t="array" ref="D62">_xlfn.LET(
    _xlpm.Fila,$F62,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50</v>
      </c>
    </row>
    <row r="63" ht="21.5" customHeight="1" spans="3:6" x14ac:dyDescent="0.25">
      <c r="C63" s="100" t="s">
        <v>126</v>
      </c>
      <c r="D63" s="297">
        <f t="array" ref="D63">_xlfn.LET(
    _xlpm.Fila,$F63,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51</v>
      </c>
    </row>
    <row r="64" ht="21.5" customHeight="1" spans="3:6" x14ac:dyDescent="0.25">
      <c r="C64" s="143" t="s">
        <v>127</v>
      </c>
      <c r="D64" s="297">
        <f t="array" ref="D64">_xlfn.LET(
    _xlpm.Fila,$F64,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52</v>
      </c>
    </row>
    <row r="65" ht="24.5" customHeight="1" spans="3:5" x14ac:dyDescent="0.25">
      <c r="C65" s="313" t="s">
        <v>214</v>
      </c>
      <c r="D65" s="314"/>
      <c r="E65" s="315"/>
    </row>
    <row r="66" ht="27" customHeight="1" spans="3:6" x14ac:dyDescent="0.25">
      <c r="C66" s="316" t="s">
        <v>246</v>
      </c>
      <c r="D66" s="297">
        <f t="array" ref="D66">_xlfn.LET(
    _xlpm.Fila,$F66,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6" s="311" t="str">
        <f t="array" ref="E66">_xlfn.IFS(D66&gt;=91.5%,"MENSUAL",D66&gt;=75%,"QUINCENAL",D66&lt;75%,"SEMANAL")</f>
        <v>SEMANAL</v>
      </c>
      <c r="F66">
        <v>54</v>
      </c>
    </row>
    <row r="67" ht="20" customHeight="1" spans="3:5" x14ac:dyDescent="0.25">
      <c r="C67" s="313" t="s">
        <v>130</v>
      </c>
      <c r="D67" s="314"/>
      <c r="E67" s="315"/>
    </row>
    <row r="68" ht="15.5" customHeight="1" spans="3:6" x14ac:dyDescent="0.25">
      <c r="C68" s="317" t="s">
        <v>131</v>
      </c>
      <c r="D68" s="297">
        <f t="array" ref="D68">_xlfn.LET(
    _xlpm.Fila,$F68,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8" s="311" t="str">
        <f t="array" ref="E68">_xlfn.IFS(D68&gt;=91.5%,"MENSUAL",D68&gt;=75%,"QUINCENAL",D68&lt;75%,"SEMANAL")</f>
        <v>SEMANAL</v>
      </c>
      <c r="F68">
        <v>56</v>
      </c>
    </row>
    <row r="69" ht="21.5" customHeight="1" spans="3:6" x14ac:dyDescent="0.25">
      <c r="C69" s="317" t="s">
        <v>132</v>
      </c>
      <c r="D69" s="297">
        <f t="array" ref="D69">_xlfn.LET(
    _xlpm.Fila,$F69,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57</v>
      </c>
    </row>
    <row r="70" ht="21.5" customHeight="1" spans="3:6" x14ac:dyDescent="0.25">
      <c r="C70" s="318" t="s">
        <v>133</v>
      </c>
      <c r="D70" s="297">
        <f t="array" ref="D70">_xlfn.LET(
    _xlpm.Fila,$F70,
    _xlpm.ColIni,$G$4,
    _xlpm.ColFin,$H$4,
    _xlpm.Datos,INDEX('1. Prev_Frecuencias almacén'!$A$1:$ES$58,_xlpm.Fila,_xlfn.SEQUENCE(1,(_xlpm.ColFin-_xlpm.ColIni)/3+1,_xlpm.ColIni,3)),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58</v>
      </c>
    </row>
  </sheetData>
  <mergeCells count="9">
    <mergeCell ref="C19:E19"/>
    <mergeCell ref="C20:E20"/>
    <mergeCell ref="C26:E26"/>
    <mergeCell ref="C30:E30"/>
    <mergeCell ref="C42:E42"/>
    <mergeCell ref="C48:E48"/>
    <mergeCell ref="C59:E59"/>
    <mergeCell ref="C65:E65"/>
    <mergeCell ref="C67:E67"/>
  </mergeCells>
  <conditionalFormatting sqref="E8:E15">
    <cfRule type="containsText" dxfId="21" priority="3">
      <formula>NOT(ISERROR(SEARCH("SEMANAL",E8)))</formula>
    </cfRule>
  </conditionalFormatting>
  <conditionalFormatting sqref="E8:E15">
    <cfRule type="containsText" dxfId="22" priority="1">
      <formula>NOT(ISERROR(SEARCH("QUINCENAL",E8)))</formula>
    </cfRule>
    <cfRule type="containsText" dxfId="23" priority="2">
      <formula>NOT(ISERROR(SEARCH("MENSUAL",E8)))</formula>
    </cfRule>
  </conditionalFormatting>
  <conditionalFormatting sqref="E9:E15">
    <cfRule type="containsText" dxfId="24" priority="36">
      <formula>NOT(ISERROR(SEARCH("SEMANAL",E9)))</formula>
    </cfRule>
  </conditionalFormatting>
  <conditionalFormatting sqref="E21:E25">
    <cfRule type="containsText" dxfId="25" priority="28">
      <formula>NOT(ISERROR(SEARCH("QUINCENAL",E21)))</formula>
    </cfRule>
    <cfRule type="containsText" dxfId="26" priority="29">
      <formula>NOT(ISERROR(SEARCH("MENSUAL",E21)))</formula>
    </cfRule>
    <cfRule type="containsText" dxfId="27" priority="30">
      <formula>NOT(ISERROR(SEARCH("SEMANAL",E21)))</formula>
    </cfRule>
  </conditionalFormatting>
  <conditionalFormatting sqref="E27:E29">
    <cfRule type="containsText" dxfId="28" priority="25">
      <formula>NOT(ISERROR(SEARCH("QUINCENAL",E27)))</formula>
    </cfRule>
    <cfRule type="containsText" dxfId="29" priority="26">
      <formula>NOT(ISERROR(SEARCH("MENSUAL",E27)))</formula>
    </cfRule>
    <cfRule type="containsText" dxfId="30" priority="27">
      <formula>NOT(ISERROR(SEARCH("SEMANAL",E27)))</formula>
    </cfRule>
  </conditionalFormatting>
  <conditionalFormatting sqref="E31:E41">
    <cfRule type="containsText" dxfId="31" priority="22">
      <formula>NOT(ISERROR(SEARCH("QUINCENAL",E31)))</formula>
    </cfRule>
    <cfRule type="containsText" dxfId="32" priority="23">
      <formula>NOT(ISERROR(SEARCH("MENSUAL",E31)))</formula>
    </cfRule>
    <cfRule type="containsText" dxfId="33" priority="24">
      <formula>NOT(ISERROR(SEARCH("SEMANAL",E31)))</formula>
    </cfRule>
  </conditionalFormatting>
  <conditionalFormatting sqref="E43:E47">
    <cfRule type="containsText" dxfId="34" priority="19">
      <formula>NOT(ISERROR(SEARCH("QUINCENAL",E43)))</formula>
    </cfRule>
    <cfRule type="containsText" dxfId="35" priority="20">
      <formula>NOT(ISERROR(SEARCH("MENSUAL",E43)))</formula>
    </cfRule>
    <cfRule type="containsText" dxfId="36" priority="21">
      <formula>NOT(ISERROR(SEARCH("SEMANAL",E43)))</formula>
    </cfRule>
  </conditionalFormatting>
  <conditionalFormatting sqref="E49:E58">
    <cfRule type="containsText" dxfId="37" priority="16">
      <formula>NOT(ISERROR(SEARCH("QUINCENAL",E49)))</formula>
    </cfRule>
    <cfRule type="containsText" dxfId="38" priority="17">
      <formula>NOT(ISERROR(SEARCH("MENSUAL",E49)))</formula>
    </cfRule>
    <cfRule type="containsText" dxfId="39" priority="18">
      <formula>NOT(ISERROR(SEARCH("SEMANAL",E49)))</formula>
    </cfRule>
  </conditionalFormatting>
  <conditionalFormatting sqref="E60:E64">
    <cfRule type="containsText" dxfId="40" priority="13">
      <formula>NOT(ISERROR(SEARCH("QUINCENAL",E60)))</formula>
    </cfRule>
    <cfRule type="containsText" dxfId="41" priority="14">
      <formula>NOT(ISERROR(SEARCH("MENSUAL",E60)))</formula>
    </cfRule>
    <cfRule type="containsText" dxfId="42" priority="15">
      <formula>NOT(ISERROR(SEARCH("SEMANAL",E60)))</formula>
    </cfRule>
  </conditionalFormatting>
  <conditionalFormatting sqref="E66">
    <cfRule type="containsText" dxfId="43" priority="4">
      <formula>NOT(ISERROR(SEARCH("QUINCENAL",E66)))</formula>
    </cfRule>
    <cfRule type="containsText" dxfId="44" priority="5">
      <formula>NOT(ISERROR(SEARCH("MENSUAL",E66)))</formula>
    </cfRule>
    <cfRule type="containsText" dxfId="45" priority="6">
      <formula>NOT(ISERROR(SEARCH("SEMANAL",E66)))</formula>
    </cfRule>
  </conditionalFormatting>
  <conditionalFormatting sqref="E68:E70">
    <cfRule type="containsText" dxfId="46" priority="10">
      <formula>NOT(ISERROR(SEARCH("QUINCENAL",E68)))</formula>
    </cfRule>
    <cfRule type="containsText" dxfId="47" priority="11">
      <formula>NOT(ISERROR(SEARCH("MENSUAL",E68)))</formula>
    </cfRule>
    <cfRule type="containsText" dxfId="48" priority="12">
      <formula>NOT(ISERROR(SEARCH("SEMANAL",E68)))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3"/>
  <tableParts count="1">
    <tablePart r:id="rId4"/>
  </tableParts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102"/>
  <sheetViews>
    <sheetView workbookViewId="0" zoomScale="50" zoomScaleNormal="50">
      <pane xSplit="1" topLeftCell="B1" activePane="topRight" state="frozen"/>
      <selection pane="topRight" activeCell="C9" sqref="C9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134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AVERAGE(E9:E16)</f>
        <v>0</v>
      </c>
      <c r="F8" s="80"/>
      <c r="G8" s="83"/>
      <c r="H8" s="82">
        <f>AVERAGE(H9:H16)</f>
        <v>0</v>
      </c>
      <c r="I8" s="80"/>
      <c r="J8" s="83"/>
      <c r="K8" s="82">
        <f>AVERAGE(K9:K16)</f>
        <v>0</v>
      </c>
      <c r="L8" s="80"/>
      <c r="M8" s="83"/>
      <c r="N8" s="82">
        <f>AVERAGE(N9:N16)</f>
        <v>0</v>
      </c>
      <c r="O8" s="80"/>
      <c r="P8" s="83"/>
      <c r="Q8" s="82">
        <f>AVERAGE(Q9:Q16)</f>
        <v>0</v>
      </c>
      <c r="R8" s="80"/>
      <c r="S8" s="83"/>
      <c r="T8" s="82">
        <f>AVERAGE(T9:T16)</f>
        <v>0</v>
      </c>
      <c r="U8" s="80"/>
      <c r="V8" s="83"/>
      <c r="W8" s="82">
        <f>AVERAGE(W9:W16)</f>
        <v>0</v>
      </c>
      <c r="X8" s="80"/>
      <c r="Y8" s="83"/>
      <c r="Z8" s="82">
        <f>AVERAGE(Z9:Z16)</f>
        <v>0</v>
      </c>
      <c r="AA8" s="80"/>
      <c r="AB8" s="83"/>
      <c r="AC8" s="82">
        <f>AVERAGE(AC9:AC16)</f>
        <v>0</v>
      </c>
      <c r="AD8" s="80"/>
      <c r="AE8" s="83"/>
      <c r="AF8" s="82">
        <f>AVERAGE(AF9:AF16)</f>
        <v>0</v>
      </c>
      <c r="AG8" s="80"/>
      <c r="AH8" s="83"/>
      <c r="AI8" s="82">
        <f>AVERAGE(AI9:AI16)</f>
        <v>0</v>
      </c>
      <c r="AJ8" s="80"/>
      <c r="AK8" s="83"/>
      <c r="AL8" s="82">
        <f>AVERAGE(AL9:AL16)</f>
        <v>0</v>
      </c>
      <c r="AM8" s="80"/>
      <c r="AN8" s="83"/>
      <c r="AO8" s="82">
        <f>AVERAGE(AO9:AO16)</f>
        <v>0</v>
      </c>
      <c r="AP8" s="80"/>
      <c r="AQ8" s="83"/>
      <c r="AR8" s="82">
        <f>AVERAGE(AR9:AR16)</f>
        <v>0</v>
      </c>
      <c r="AS8" s="80"/>
      <c r="AT8" s="83"/>
      <c r="AU8" s="82">
        <f>AVERAGE(AU9:AU16)</f>
        <v>0</v>
      </c>
      <c r="AV8" s="80"/>
      <c r="AW8" s="83"/>
      <c r="AX8" s="82">
        <f>AVERAGE(AX9:AX16)</f>
        <v>0</v>
      </c>
      <c r="AY8" s="80"/>
      <c r="AZ8" s="83"/>
      <c r="BA8" s="82">
        <f>AVERAGE(BA9:BA16)</f>
        <v>0</v>
      </c>
      <c r="BB8" s="80"/>
      <c r="BC8" s="83"/>
      <c r="BD8" s="82">
        <f>AVERAGE(BD9:BD16)</f>
        <v>0</v>
      </c>
      <c r="BE8" s="80"/>
      <c r="BF8" s="83"/>
      <c r="BG8" s="82">
        <f>AVERAGE(BG9:BG16)</f>
        <v>0</v>
      </c>
      <c r="BH8" s="80"/>
      <c r="BI8" s="83"/>
      <c r="BJ8" s="82">
        <f>AVERAGE(BJ9:BJ16)</f>
        <v>0</v>
      </c>
      <c r="BK8" s="80"/>
      <c r="BL8" s="83"/>
      <c r="BM8" s="82">
        <f>AVERAGE(BM9:BM16)</f>
        <v>0</v>
      </c>
      <c r="BN8" s="80"/>
      <c r="BO8" s="83"/>
      <c r="BP8" s="82">
        <f>AVERAGE(BP9:BP16)</f>
        <v>0</v>
      </c>
      <c r="BQ8" s="80"/>
      <c r="BR8" s="83"/>
      <c r="BS8" s="82">
        <f>AVERAGE(BS9:BS16)</f>
        <v>0</v>
      </c>
      <c r="BT8" s="80"/>
      <c r="BU8" s="83"/>
      <c r="BV8" s="82">
        <f>AVERAGE(BV9:BV16)</f>
        <v>0</v>
      </c>
      <c r="BW8" s="80"/>
      <c r="BX8" s="83"/>
      <c r="BY8" s="82">
        <f>AVERAGE(BY9:BY16)</f>
        <v>0</v>
      </c>
      <c r="BZ8" s="80"/>
      <c r="CA8" s="83"/>
      <c r="CB8" s="82">
        <f>AVERAGE(CB9:CB16)</f>
        <v>0</v>
      </c>
      <c r="CC8" s="80"/>
      <c r="CD8" s="83"/>
      <c r="CE8" s="82">
        <f>AVERAGE(CE9:CE16)</f>
        <v>0</v>
      </c>
      <c r="CF8" s="80"/>
      <c r="CG8" s="83"/>
      <c r="CH8" s="82">
        <f>AVERAGE(CH9:CH16)</f>
        <v>0</v>
      </c>
      <c r="CI8" s="80"/>
      <c r="CJ8" s="83"/>
      <c r="CK8" s="82">
        <f>AVERAGE(CK9:CK16)</f>
        <v>0</v>
      </c>
      <c r="CL8" s="80"/>
      <c r="CM8" s="83"/>
      <c r="CN8" s="82">
        <f>AVERAGE(CN9:CN16)</f>
        <v>0</v>
      </c>
      <c r="CO8" s="80"/>
      <c r="CP8" s="83"/>
      <c r="CQ8" s="82">
        <f>AVERAGE(CQ9:CQ16)</f>
        <v>0</v>
      </c>
      <c r="CR8" s="80"/>
      <c r="CS8" s="83"/>
      <c r="CT8" s="82">
        <f>AVERAGE(CT9:CT16)</f>
        <v>0</v>
      </c>
      <c r="CU8" s="80"/>
      <c r="CV8" s="83"/>
      <c r="CW8" s="82">
        <f>AVERAGE(CW9:CW16)</f>
        <v>0</v>
      </c>
      <c r="CX8" s="80"/>
      <c r="CY8" s="83"/>
      <c r="CZ8" s="82">
        <f>AVERAGE(CZ9:CZ16)</f>
        <v>0</v>
      </c>
      <c r="DA8" s="80"/>
      <c r="DB8" s="83"/>
      <c r="DC8" s="82">
        <f>AVERAGE(DC9:DC16)</f>
        <v>0</v>
      </c>
      <c r="DD8" s="80"/>
      <c r="DE8" s="83"/>
      <c r="DF8" s="82">
        <f>AVERAGE(DF9:DF16)</f>
        <v>0</v>
      </c>
      <c r="DG8" s="80"/>
      <c r="DH8" s="83"/>
      <c r="DI8" s="82">
        <f>AVERAGE(DI9:DI16)</f>
        <v>0</v>
      </c>
      <c r="DJ8" s="80"/>
      <c r="DK8" s="83"/>
      <c r="DL8" s="82">
        <f>AVERAGE(DL9:DL16)</f>
        <v>0</v>
      </c>
      <c r="DM8" s="80"/>
      <c r="DN8" s="83"/>
      <c r="DO8" s="82">
        <f>AVERAGE(DO9:DO16)</f>
        <v>0</v>
      </c>
      <c r="DP8" s="80"/>
      <c r="DQ8" s="83"/>
      <c r="DR8" s="82">
        <f>AVERAGE(DR9:DR16)</f>
        <v>0</v>
      </c>
      <c r="DS8" s="80"/>
      <c r="DT8" s="83"/>
      <c r="DU8" s="82">
        <f>AVERAGE(DU9:DU16)</f>
        <v>0</v>
      </c>
      <c r="DV8" s="80"/>
      <c r="DW8" s="83"/>
      <c r="DX8" s="82">
        <f>AVERAGE(DX9:DX16)</f>
        <v>0</v>
      </c>
      <c r="DY8" s="80"/>
      <c r="DZ8" s="83"/>
      <c r="EA8" s="82">
        <f>AVERAGE(EA9:EA16)</f>
        <v>0</v>
      </c>
      <c r="EB8" s="80"/>
      <c r="EC8" s="83"/>
      <c r="ED8" s="82">
        <f>AVERAGE(ED9:ED16)</f>
        <v>0</v>
      </c>
      <c r="EE8" s="80"/>
      <c r="EF8" s="83"/>
      <c r="EG8" s="82">
        <f>AVERAGE(EG9:EG16)</f>
        <v>0</v>
      </c>
      <c r="EH8" s="80"/>
      <c r="EI8" s="83"/>
      <c r="EJ8" s="82">
        <f>AVERAGE(EJ9:EJ16)</f>
        <v>0</v>
      </c>
      <c r="EK8" s="80"/>
      <c r="EL8" s="83"/>
      <c r="EM8" s="82">
        <f>AVERAGE(EM9:EM16)</f>
        <v>0</v>
      </c>
      <c r="EN8" s="80"/>
      <c r="EO8" s="83"/>
      <c r="EP8" s="82">
        <f>AVERAGE(EP9:EP16)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90"/>
      <c r="D9" s="91">
        <v>5</v>
      </c>
      <c r="E9" s="92">
        <f>C9/D9</f>
        <v>0</v>
      </c>
      <c r="F9" s="90"/>
      <c r="G9" s="91">
        <v>5</v>
      </c>
      <c r="H9" s="92">
        <f>F9/G9</f>
        <v>0</v>
      </c>
      <c r="I9" s="93"/>
      <c r="J9" s="91">
        <v>5</v>
      </c>
      <c r="K9" s="92">
        <f>I9/J9</f>
        <v>0</v>
      </c>
      <c r="L9" s="93"/>
      <c r="M9" s="91">
        <v>5</v>
      </c>
      <c r="N9" s="92">
        <f>L9/M9</f>
        <v>0</v>
      </c>
      <c r="O9" s="94"/>
      <c r="P9" s="95">
        <v>5</v>
      </c>
      <c r="Q9" s="92">
        <f>O9/P9</f>
        <v>0</v>
      </c>
      <c r="R9" s="90"/>
      <c r="S9" s="95">
        <v>5</v>
      </c>
      <c r="T9" s="92">
        <f>R9/S9</f>
        <v>0</v>
      </c>
      <c r="U9" s="90"/>
      <c r="V9" s="95">
        <v>5</v>
      </c>
      <c r="W9" s="92">
        <f>U9/V9</f>
        <v>0</v>
      </c>
      <c r="X9" s="90"/>
      <c r="Y9" s="95">
        <v>5</v>
      </c>
      <c r="Z9" s="92">
        <f>X9/Y9</f>
        <v>0</v>
      </c>
      <c r="AA9" s="94"/>
      <c r="AB9" s="95">
        <v>5</v>
      </c>
      <c r="AC9" s="92">
        <f>AA9/AB9</f>
        <v>0</v>
      </c>
      <c r="AD9" s="94"/>
      <c r="AE9" s="95">
        <v>5</v>
      </c>
      <c r="AF9" s="92">
        <f>AD9/AE9</f>
        <v>0</v>
      </c>
      <c r="AG9" s="94"/>
      <c r="AH9" s="95">
        <v>5</v>
      </c>
      <c r="AI9" s="92">
        <f>AG9/AH9</f>
        <v>0</v>
      </c>
      <c r="AJ9" s="94"/>
      <c r="AK9" s="95">
        <v>5</v>
      </c>
      <c r="AL9" s="92">
        <f>AJ9/AK9</f>
        <v>0</v>
      </c>
      <c r="AM9" s="90"/>
      <c r="AN9" s="96">
        <v>5</v>
      </c>
      <c r="AO9" s="92">
        <f>AM9/AN9</f>
        <v>0</v>
      </c>
      <c r="AP9" s="90"/>
      <c r="AQ9" s="96">
        <v>5</v>
      </c>
      <c r="AR9" s="92">
        <f>AP9/AQ9</f>
        <v>0</v>
      </c>
      <c r="AS9" s="90"/>
      <c r="AT9" s="96">
        <v>5</v>
      </c>
      <c r="AU9" s="92">
        <f>AS9/AT9</f>
        <v>0</v>
      </c>
      <c r="AV9" s="90"/>
      <c r="AW9" s="96">
        <v>5</v>
      </c>
      <c r="AX9" s="92">
        <f>AV9/AW9</f>
        <v>0</v>
      </c>
      <c r="AY9" s="90"/>
      <c r="AZ9" s="96">
        <v>5</v>
      </c>
      <c r="BA9" s="92">
        <f>AY9/AZ9</f>
        <v>0</v>
      </c>
      <c r="BB9" s="90"/>
      <c r="BC9" s="96">
        <v>5</v>
      </c>
      <c r="BD9" s="92">
        <f>BB9/BC9</f>
        <v>0</v>
      </c>
      <c r="BE9" s="90"/>
      <c r="BF9" s="96">
        <v>5</v>
      </c>
      <c r="BG9" s="92">
        <f>BE9/BF9</f>
        <v>0</v>
      </c>
      <c r="BH9" s="90"/>
      <c r="BI9" s="96">
        <v>5</v>
      </c>
      <c r="BJ9" s="92">
        <f>BH9/BI9</f>
        <v>0</v>
      </c>
      <c r="BK9" s="90"/>
      <c r="BL9" s="96">
        <v>5</v>
      </c>
      <c r="BM9" s="92">
        <f>BK9/BL9</f>
        <v>0</v>
      </c>
      <c r="BN9" s="90"/>
      <c r="BO9" s="96">
        <v>5</v>
      </c>
      <c r="BP9" s="92">
        <f>BN9/BO9</f>
        <v>0</v>
      </c>
      <c r="BQ9" s="90"/>
      <c r="BR9" s="96">
        <v>5</v>
      </c>
      <c r="BS9" s="92">
        <f>BQ9/BR9</f>
        <v>0</v>
      </c>
      <c r="BT9" s="90"/>
      <c r="BU9" s="96">
        <v>5</v>
      </c>
      <c r="BV9" s="92">
        <f>BT9/BU9</f>
        <v>0</v>
      </c>
      <c r="BW9" s="90"/>
      <c r="BX9" s="96">
        <v>5</v>
      </c>
      <c r="BY9" s="92">
        <f>BW9/BX9</f>
        <v>0</v>
      </c>
      <c r="BZ9" s="90"/>
      <c r="CA9" s="96">
        <v>5</v>
      </c>
      <c r="CB9" s="92">
        <f>BZ9/CA9</f>
        <v>0</v>
      </c>
      <c r="CC9" s="90"/>
      <c r="CD9" s="96">
        <v>5</v>
      </c>
      <c r="CE9" s="92">
        <f>CC9/CD9</f>
        <v>0</v>
      </c>
      <c r="CF9" s="90"/>
      <c r="CG9" s="96">
        <v>5</v>
      </c>
      <c r="CH9" s="92">
        <f>CF9/CG9</f>
        <v>0</v>
      </c>
      <c r="CI9" s="90"/>
      <c r="CJ9" s="96">
        <v>5</v>
      </c>
      <c r="CK9" s="92">
        <f>CI9/CJ9</f>
        <v>0</v>
      </c>
      <c r="CL9" s="90"/>
      <c r="CM9" s="96">
        <v>5</v>
      </c>
      <c r="CN9" s="92">
        <f>CL9/CM9</f>
        <v>0</v>
      </c>
      <c r="CO9" s="90"/>
      <c r="CP9" s="96">
        <v>5</v>
      </c>
      <c r="CQ9" s="92">
        <f>CO9/CP9</f>
        <v>0</v>
      </c>
      <c r="CR9" s="90"/>
      <c r="CS9" s="96">
        <v>5</v>
      </c>
      <c r="CT9" s="92">
        <f>CR9/CS9</f>
        <v>0</v>
      </c>
      <c r="CU9" s="90"/>
      <c r="CV9" s="96">
        <v>5</v>
      </c>
      <c r="CW9" s="92">
        <f>CU9/CV9</f>
        <v>0</v>
      </c>
      <c r="CX9" s="90"/>
      <c r="CY9" s="96">
        <v>5</v>
      </c>
      <c r="CZ9" s="92">
        <f>CX9/CY9</f>
        <v>0</v>
      </c>
      <c r="DA9" s="90"/>
      <c r="DB9" s="96">
        <v>5</v>
      </c>
      <c r="DC9" s="92">
        <f>DA9/DB9</f>
        <v>0</v>
      </c>
      <c r="DD9" s="90"/>
      <c r="DE9" s="96">
        <v>5</v>
      </c>
      <c r="DF9" s="92">
        <f>DD9/DE9</f>
        <v>0</v>
      </c>
      <c r="DG9" s="90"/>
      <c r="DH9" s="96">
        <v>5</v>
      </c>
      <c r="DI9" s="92">
        <f>DG9/DH9</f>
        <v>0</v>
      </c>
      <c r="DJ9" s="90"/>
      <c r="DK9" s="96">
        <v>5</v>
      </c>
      <c r="DL9" s="92">
        <f>DJ9/DK9</f>
        <v>0</v>
      </c>
      <c r="DM9" s="90"/>
      <c r="DN9" s="96">
        <v>5</v>
      </c>
      <c r="DO9" s="92">
        <f>DM9/DN9</f>
        <v>0</v>
      </c>
      <c r="DP9" s="90"/>
      <c r="DQ9" s="96">
        <v>5</v>
      </c>
      <c r="DR9" s="92">
        <f>DP9/DQ9</f>
        <v>0</v>
      </c>
      <c r="DS9" s="90"/>
      <c r="DT9" s="96">
        <v>5</v>
      </c>
      <c r="DU9" s="92">
        <f>DS9/DT9</f>
        <v>0</v>
      </c>
      <c r="DV9" s="90"/>
      <c r="DW9" s="96">
        <v>5</v>
      </c>
      <c r="DX9" s="92">
        <f>DV9/DW9</f>
        <v>0</v>
      </c>
      <c r="DY9" s="90"/>
      <c r="DZ9" s="96">
        <v>5</v>
      </c>
      <c r="EA9" s="92">
        <f>DY9/DZ9</f>
        <v>0</v>
      </c>
      <c r="EB9" s="90"/>
      <c r="EC9" s="96">
        <v>5</v>
      </c>
      <c r="ED9" s="92">
        <f>EB9/EC9</f>
        <v>0</v>
      </c>
      <c r="EE9" s="90"/>
      <c r="EF9" s="96">
        <v>5</v>
      </c>
      <c r="EG9" s="92">
        <f>EE9/EF9</f>
        <v>0</v>
      </c>
      <c r="EH9" s="90"/>
      <c r="EI9" s="96">
        <v>5</v>
      </c>
      <c r="EJ9" s="92">
        <f>EH9/EI9</f>
        <v>0</v>
      </c>
      <c r="EK9" s="90"/>
      <c r="EL9" s="96">
        <v>5</v>
      </c>
      <c r="EM9" s="92">
        <f>EK9/EL9</f>
        <v>0</v>
      </c>
      <c r="EN9" s="90"/>
      <c r="EO9" s="96">
        <v>5</v>
      </c>
      <c r="EP9" s="92">
        <f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ref="E10" si="0">C10/D10</f>
        <v>0</v>
      </c>
      <c r="F10" s="102"/>
      <c r="G10" s="103">
        <v>5</v>
      </c>
      <c r="H10" s="104">
        <f t="shared" ref="H10" si="1">F10/G10</f>
        <v>0</v>
      </c>
      <c r="I10" s="105"/>
      <c r="J10" s="103">
        <v>5</v>
      </c>
      <c r="K10" s="104">
        <f t="shared" ref="K10" si="2">I10/J10</f>
        <v>0</v>
      </c>
      <c r="L10" s="105"/>
      <c r="M10" s="103">
        <v>5</v>
      </c>
      <c r="N10" s="104">
        <f t="shared" ref="N10" si="3">L10/M10</f>
        <v>0</v>
      </c>
      <c r="O10" s="106"/>
      <c r="P10" s="107">
        <v>5</v>
      </c>
      <c r="Q10" s="104">
        <f t="shared" ref="Q10" si="4">O10/P10</f>
        <v>0</v>
      </c>
      <c r="R10" s="102"/>
      <c r="S10" s="107">
        <v>5</v>
      </c>
      <c r="T10" s="104">
        <f t="shared" ref="T10" si="5">R10/S10</f>
        <v>0</v>
      </c>
      <c r="U10" s="102"/>
      <c r="V10" s="107">
        <v>5</v>
      </c>
      <c r="W10" s="104">
        <f t="shared" ref="W10" si="6">U10/V10</f>
        <v>0</v>
      </c>
      <c r="X10" s="102"/>
      <c r="Y10" s="107">
        <v>5</v>
      </c>
      <c r="Z10" s="104">
        <f t="shared" ref="Z10" si="7">X10/Y10</f>
        <v>0</v>
      </c>
      <c r="AA10" s="106"/>
      <c r="AB10" s="107">
        <v>5</v>
      </c>
      <c r="AC10" s="104">
        <f t="shared" ref="AC10" si="8">AA10/AB10</f>
        <v>0</v>
      </c>
      <c r="AD10" s="106"/>
      <c r="AE10" s="107">
        <v>5</v>
      </c>
      <c r="AF10" s="104">
        <f t="shared" ref="AF10" si="9">AD10/AE10</f>
        <v>0</v>
      </c>
      <c r="AG10" s="106"/>
      <c r="AH10" s="107">
        <v>5</v>
      </c>
      <c r="AI10" s="104">
        <f t="shared" ref="AI10" si="10">AG10/AH10</f>
        <v>0</v>
      </c>
      <c r="AJ10" s="106"/>
      <c r="AK10" s="107">
        <v>5</v>
      </c>
      <c r="AL10" s="104">
        <f t="shared" ref="AL10" si="11">AJ10/AK10</f>
        <v>0</v>
      </c>
      <c r="AM10" s="102"/>
      <c r="AN10" s="1">
        <v>5</v>
      </c>
      <c r="AO10" s="104">
        <f t="shared" ref="AO10" si="12">AM10/AN10</f>
        <v>0</v>
      </c>
      <c r="AP10" s="102"/>
      <c r="AQ10" s="1">
        <v>5</v>
      </c>
      <c r="AR10" s="104">
        <f t="shared" ref="AR10" si="13">AP10/AQ10</f>
        <v>0</v>
      </c>
      <c r="AS10" s="102"/>
      <c r="AT10" s="1">
        <v>5</v>
      </c>
      <c r="AU10" s="104">
        <f t="shared" ref="AU10" si="14">AS10/AT10</f>
        <v>0</v>
      </c>
      <c r="AV10" s="102"/>
      <c r="AW10" s="1">
        <v>5</v>
      </c>
      <c r="AX10" s="104">
        <f t="shared" ref="AX10" si="15">AV10/AW10</f>
        <v>0</v>
      </c>
      <c r="AY10" s="102"/>
      <c r="AZ10" s="1">
        <v>5</v>
      </c>
      <c r="BA10" s="104">
        <f t="shared" ref="BA10" si="16">AY10/AZ10</f>
        <v>0</v>
      </c>
      <c r="BB10" s="102"/>
      <c r="BC10" s="1">
        <v>5</v>
      </c>
      <c r="BD10" s="104">
        <f t="shared" ref="BD10" si="17">BB10/BC10</f>
        <v>0</v>
      </c>
      <c r="BE10" s="102"/>
      <c r="BF10" s="1">
        <v>5</v>
      </c>
      <c r="BG10" s="104">
        <f t="shared" ref="BG10" si="18">BE10/BF10</f>
        <v>0</v>
      </c>
      <c r="BH10" s="102"/>
      <c r="BI10" s="1">
        <v>5</v>
      </c>
      <c r="BJ10" s="104">
        <f t="shared" ref="BJ10" si="19">BH10/BI10</f>
        <v>0</v>
      </c>
      <c r="BK10" s="102"/>
      <c r="BL10" s="1">
        <v>5</v>
      </c>
      <c r="BM10" s="104">
        <f t="shared" ref="BM10" si="20">BK10/BL10</f>
        <v>0</v>
      </c>
      <c r="BN10" s="102"/>
      <c r="BO10" s="1">
        <v>5</v>
      </c>
      <c r="BP10" s="104">
        <f t="shared" ref="BP10" si="21">BN10/BO10</f>
        <v>0</v>
      </c>
      <c r="BQ10" s="102"/>
      <c r="BR10" s="1">
        <v>5</v>
      </c>
      <c r="BS10" s="104">
        <f t="shared" ref="BS10" si="22">BQ10/BR10</f>
        <v>0</v>
      </c>
      <c r="BT10" s="102"/>
      <c r="BU10" s="1">
        <v>5</v>
      </c>
      <c r="BV10" s="104">
        <f t="shared" ref="BV10" si="23">BT10/BU10</f>
        <v>0</v>
      </c>
      <c r="BW10" s="102"/>
      <c r="BX10" s="1">
        <v>5</v>
      </c>
      <c r="BY10" s="104">
        <f t="shared" ref="BY10" si="24">BW10/BX10</f>
        <v>0</v>
      </c>
      <c r="BZ10" s="102"/>
      <c r="CA10" s="1">
        <v>5</v>
      </c>
      <c r="CB10" s="104">
        <f t="shared" ref="CB10" si="25">BZ10/CA10</f>
        <v>0</v>
      </c>
      <c r="CC10" s="102"/>
      <c r="CD10" s="1">
        <v>5</v>
      </c>
      <c r="CE10" s="104">
        <f t="shared" ref="CE10" si="26">CC10/CD10</f>
        <v>0</v>
      </c>
      <c r="CF10" s="102"/>
      <c r="CG10" s="1">
        <v>5</v>
      </c>
      <c r="CH10" s="104">
        <f t="shared" ref="CH10" si="27">CF10/CG10</f>
        <v>0</v>
      </c>
      <c r="CI10" s="102"/>
      <c r="CJ10" s="1">
        <v>5</v>
      </c>
      <c r="CK10" s="104">
        <f t="shared" ref="CK10" si="28">CI10/CJ10</f>
        <v>0</v>
      </c>
      <c r="CL10" s="102"/>
      <c r="CM10" s="1">
        <v>5</v>
      </c>
      <c r="CN10" s="104">
        <f t="shared" ref="CN10" si="29">CL10/CM10</f>
        <v>0</v>
      </c>
      <c r="CO10" s="102"/>
      <c r="CP10" s="1">
        <v>5</v>
      </c>
      <c r="CQ10" s="104">
        <f t="shared" ref="CQ10" si="30">CO10/CP10</f>
        <v>0</v>
      </c>
      <c r="CR10" s="102"/>
      <c r="CS10" s="1">
        <v>5</v>
      </c>
      <c r="CT10" s="104">
        <f t="shared" ref="CT10" si="31">CR10/CS10</f>
        <v>0</v>
      </c>
      <c r="CU10" s="102"/>
      <c r="CV10" s="1">
        <v>5</v>
      </c>
      <c r="CW10" s="104">
        <f t="shared" ref="CW10" si="32">CU10/CV10</f>
        <v>0</v>
      </c>
      <c r="CX10" s="102"/>
      <c r="CY10" s="1">
        <v>5</v>
      </c>
      <c r="CZ10" s="104">
        <f t="shared" ref="CZ10" si="33">CX10/CY10</f>
        <v>0</v>
      </c>
      <c r="DA10" s="102"/>
      <c r="DB10" s="1">
        <v>5</v>
      </c>
      <c r="DC10" s="104">
        <f t="shared" ref="DC10" si="34">DA10/DB10</f>
        <v>0</v>
      </c>
      <c r="DD10" s="102"/>
      <c r="DE10" s="1">
        <v>5</v>
      </c>
      <c r="DF10" s="104">
        <f t="shared" ref="DF10" si="35">DD10/DE10</f>
        <v>0</v>
      </c>
      <c r="DG10" s="102"/>
      <c r="DH10" s="1">
        <v>5</v>
      </c>
      <c r="DI10" s="104">
        <f t="shared" ref="DI10" si="36">DG10/DH10</f>
        <v>0</v>
      </c>
      <c r="DJ10" s="102"/>
      <c r="DK10" s="1">
        <v>5</v>
      </c>
      <c r="DL10" s="104">
        <f t="shared" ref="DL10" si="37">DJ10/DK10</f>
        <v>0</v>
      </c>
      <c r="DM10" s="102"/>
      <c r="DN10" s="1">
        <v>5</v>
      </c>
      <c r="DO10" s="104">
        <f t="shared" ref="DO10" si="38">DM10/DN10</f>
        <v>0</v>
      </c>
      <c r="DP10" s="102"/>
      <c r="DQ10" s="1">
        <v>5</v>
      </c>
      <c r="DR10" s="104">
        <f t="shared" ref="DR10" si="39">DP10/DQ10</f>
        <v>0</v>
      </c>
      <c r="DS10" s="102"/>
      <c r="DT10" s="1">
        <v>5</v>
      </c>
      <c r="DU10" s="104">
        <f t="shared" ref="DU10" si="40">DS10/DT10</f>
        <v>0</v>
      </c>
      <c r="DV10" s="102"/>
      <c r="DW10" s="1">
        <v>5</v>
      </c>
      <c r="DX10" s="104">
        <f t="shared" ref="DX10" si="41">DV10/DW10</f>
        <v>0</v>
      </c>
      <c r="DY10" s="102"/>
      <c r="DZ10" s="1">
        <v>5</v>
      </c>
      <c r="EA10" s="104">
        <f t="shared" ref="EA10" si="42">DY10/DZ10</f>
        <v>0</v>
      </c>
      <c r="EB10" s="102"/>
      <c r="EC10" s="1">
        <v>5</v>
      </c>
      <c r="ED10" s="104">
        <f t="shared" ref="ED10" si="43">EB10/EC10</f>
        <v>0</v>
      </c>
      <c r="EE10" s="102"/>
      <c r="EF10" s="1">
        <v>5</v>
      </c>
      <c r="EG10" s="104">
        <f t="shared" ref="EG10" si="44">EE10/EF10</f>
        <v>0</v>
      </c>
      <c r="EH10" s="102"/>
      <c r="EI10" s="1">
        <v>5</v>
      </c>
      <c r="EJ10" s="104">
        <f t="shared" ref="EJ10" si="45">EH10/EI10</f>
        <v>0</v>
      </c>
      <c r="EK10" s="102"/>
      <c r="EL10" s="1">
        <v>5</v>
      </c>
      <c r="EM10" s="104">
        <f t="shared" ref="EM10" si="46">EK10/EL10</f>
        <v>0</v>
      </c>
      <c r="EN10" s="102"/>
      <c r="EO10" s="1">
        <v>5</v>
      </c>
      <c r="EP10" s="104">
        <f t="shared" ref="EP10" si="47">EN10/EO10</f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136</v>
      </c>
      <c r="B11" s="101"/>
      <c r="C11" s="90"/>
      <c r="D11" s="91">
        <v>5</v>
      </c>
      <c r="E11" s="92">
        <f>C11/D11</f>
        <v>0</v>
      </c>
      <c r="F11" s="90"/>
      <c r="G11" s="91">
        <v>5</v>
      </c>
      <c r="H11" s="92">
        <f>F11/G11</f>
        <v>0</v>
      </c>
      <c r="I11" s="93"/>
      <c r="J11" s="91">
        <v>5</v>
      </c>
      <c r="K11" s="92">
        <f>I11/J11</f>
        <v>0</v>
      </c>
      <c r="L11" s="93"/>
      <c r="M11" s="91">
        <v>5</v>
      </c>
      <c r="N11" s="92">
        <f>L11/M11</f>
        <v>0</v>
      </c>
      <c r="O11" s="94"/>
      <c r="P11" s="95">
        <v>5</v>
      </c>
      <c r="Q11" s="92">
        <f>O11/P11</f>
        <v>0</v>
      </c>
      <c r="R11" s="90"/>
      <c r="S11" s="95">
        <v>5</v>
      </c>
      <c r="T11" s="92">
        <f>R11/S11</f>
        <v>0</v>
      </c>
      <c r="U11" s="90"/>
      <c r="V11" s="95">
        <v>5</v>
      </c>
      <c r="W11" s="92">
        <f>U11/V11</f>
        <v>0</v>
      </c>
      <c r="X11" s="90"/>
      <c r="Y11" s="95">
        <v>5</v>
      </c>
      <c r="Z11" s="92">
        <f>X11/Y11</f>
        <v>0</v>
      </c>
      <c r="AA11" s="94"/>
      <c r="AB11" s="95">
        <v>5</v>
      </c>
      <c r="AC11" s="92">
        <f>AA11/AB11</f>
        <v>0</v>
      </c>
      <c r="AD11" s="94"/>
      <c r="AE11" s="95">
        <v>5</v>
      </c>
      <c r="AF11" s="92">
        <f>AD11/AE11</f>
        <v>0</v>
      </c>
      <c r="AG11" s="94"/>
      <c r="AH11" s="95">
        <v>5</v>
      </c>
      <c r="AI11" s="92">
        <f>AG11/AH11</f>
        <v>0</v>
      </c>
      <c r="AJ11" s="94"/>
      <c r="AK11" s="95">
        <v>5</v>
      </c>
      <c r="AL11" s="92">
        <f>AJ11/AK11</f>
        <v>0</v>
      </c>
      <c r="AM11" s="90"/>
      <c r="AN11" s="96">
        <v>5</v>
      </c>
      <c r="AO11" s="92">
        <f>AM11/AN11</f>
        <v>0</v>
      </c>
      <c r="AP11" s="90"/>
      <c r="AQ11" s="96">
        <v>5</v>
      </c>
      <c r="AR11" s="92">
        <f>AP11/AQ11</f>
        <v>0</v>
      </c>
      <c r="AS11" s="90"/>
      <c r="AT11" s="96">
        <v>5</v>
      </c>
      <c r="AU11" s="92">
        <f>AS11/AT11</f>
        <v>0</v>
      </c>
      <c r="AV11" s="90"/>
      <c r="AW11" s="96">
        <v>5</v>
      </c>
      <c r="AX11" s="92">
        <f>AV11/AW11</f>
        <v>0</v>
      </c>
      <c r="AY11" s="90"/>
      <c r="AZ11" s="96">
        <v>5</v>
      </c>
      <c r="BA11" s="92">
        <f>AY11/AZ11</f>
        <v>0</v>
      </c>
      <c r="BB11" s="90"/>
      <c r="BC11" s="96">
        <v>5</v>
      </c>
      <c r="BD11" s="92">
        <f>BB11/BC11</f>
        <v>0</v>
      </c>
      <c r="BE11" s="90"/>
      <c r="BF11" s="96">
        <v>5</v>
      </c>
      <c r="BG11" s="92">
        <f>BE11/BF11</f>
        <v>0</v>
      </c>
      <c r="BH11" s="90"/>
      <c r="BI11" s="96">
        <v>5</v>
      </c>
      <c r="BJ11" s="92">
        <f>BH11/BI11</f>
        <v>0</v>
      </c>
      <c r="BK11" s="90"/>
      <c r="BL11" s="96">
        <v>5</v>
      </c>
      <c r="BM11" s="92">
        <f>BK11/BL11</f>
        <v>0</v>
      </c>
      <c r="BN11" s="90"/>
      <c r="BO11" s="96">
        <v>5</v>
      </c>
      <c r="BP11" s="92">
        <f>BN11/BO11</f>
        <v>0</v>
      </c>
      <c r="BQ11" s="90"/>
      <c r="BR11" s="96">
        <v>5</v>
      </c>
      <c r="BS11" s="92">
        <f>BQ11/BR11</f>
        <v>0</v>
      </c>
      <c r="BT11" s="90"/>
      <c r="BU11" s="96">
        <v>5</v>
      </c>
      <c r="BV11" s="92">
        <f>BT11/BU11</f>
        <v>0</v>
      </c>
      <c r="BW11" s="90"/>
      <c r="BX11" s="96">
        <v>5</v>
      </c>
      <c r="BY11" s="92">
        <f>BW11/BX11</f>
        <v>0</v>
      </c>
      <c r="BZ11" s="90"/>
      <c r="CA11" s="96">
        <v>5</v>
      </c>
      <c r="CB11" s="92">
        <f>BZ11/CA11</f>
        <v>0</v>
      </c>
      <c r="CC11" s="90"/>
      <c r="CD11" s="96">
        <v>5</v>
      </c>
      <c r="CE11" s="92">
        <f>CC11/CD11</f>
        <v>0</v>
      </c>
      <c r="CF11" s="90"/>
      <c r="CG11" s="96">
        <v>5</v>
      </c>
      <c r="CH11" s="92">
        <f>CF11/CG11</f>
        <v>0</v>
      </c>
      <c r="CI11" s="90"/>
      <c r="CJ11" s="96">
        <v>5</v>
      </c>
      <c r="CK11" s="92">
        <f>CI11/CJ11</f>
        <v>0</v>
      </c>
      <c r="CL11" s="90"/>
      <c r="CM11" s="96">
        <v>5</v>
      </c>
      <c r="CN11" s="92">
        <f>CL11/CM11</f>
        <v>0</v>
      </c>
      <c r="CO11" s="90"/>
      <c r="CP11" s="96">
        <v>5</v>
      </c>
      <c r="CQ11" s="92">
        <f>CO11/CP11</f>
        <v>0</v>
      </c>
      <c r="CR11" s="90"/>
      <c r="CS11" s="96">
        <v>5</v>
      </c>
      <c r="CT11" s="92">
        <f>CR11/CS11</f>
        <v>0</v>
      </c>
      <c r="CU11" s="90"/>
      <c r="CV11" s="96">
        <v>5</v>
      </c>
      <c r="CW11" s="92">
        <f>CU11/CV11</f>
        <v>0</v>
      </c>
      <c r="CX11" s="90"/>
      <c r="CY11" s="96">
        <v>5</v>
      </c>
      <c r="CZ11" s="92">
        <f>CX11/CY11</f>
        <v>0</v>
      </c>
      <c r="DA11" s="90"/>
      <c r="DB11" s="96">
        <v>5</v>
      </c>
      <c r="DC11" s="92">
        <f>DA11/DB11</f>
        <v>0</v>
      </c>
      <c r="DD11" s="90"/>
      <c r="DE11" s="96">
        <v>5</v>
      </c>
      <c r="DF11" s="92">
        <f>DD11/DE11</f>
        <v>0</v>
      </c>
      <c r="DG11" s="90"/>
      <c r="DH11" s="96">
        <v>5</v>
      </c>
      <c r="DI11" s="92">
        <f>DG11/DH11</f>
        <v>0</v>
      </c>
      <c r="DJ11" s="90"/>
      <c r="DK11" s="96">
        <v>5</v>
      </c>
      <c r="DL11" s="92">
        <f>DJ11/DK11</f>
        <v>0</v>
      </c>
      <c r="DM11" s="90"/>
      <c r="DN11" s="96">
        <v>5</v>
      </c>
      <c r="DO11" s="92">
        <f>DM11/DN11</f>
        <v>0</v>
      </c>
      <c r="DP11" s="90"/>
      <c r="DQ11" s="96">
        <v>5</v>
      </c>
      <c r="DR11" s="92">
        <f>DP11/DQ11</f>
        <v>0</v>
      </c>
      <c r="DS11" s="90"/>
      <c r="DT11" s="96">
        <v>5</v>
      </c>
      <c r="DU11" s="92">
        <f>DS11/DT11</f>
        <v>0</v>
      </c>
      <c r="DV11" s="90"/>
      <c r="DW11" s="96">
        <v>5</v>
      </c>
      <c r="DX11" s="92">
        <f>DV11/DW11</f>
        <v>0</v>
      </c>
      <c r="DY11" s="90"/>
      <c r="DZ11" s="96">
        <v>5</v>
      </c>
      <c r="EA11" s="92">
        <f>DY11/DZ11</f>
        <v>0</v>
      </c>
      <c r="EB11" s="90"/>
      <c r="EC11" s="96">
        <v>5</v>
      </c>
      <c r="ED11" s="92">
        <f>EB11/EC11</f>
        <v>0</v>
      </c>
      <c r="EE11" s="90"/>
      <c r="EF11" s="96">
        <v>5</v>
      </c>
      <c r="EG11" s="92">
        <f>EE11/EF11</f>
        <v>0</v>
      </c>
      <c r="EH11" s="90"/>
      <c r="EI11" s="96">
        <v>5</v>
      </c>
      <c r="EJ11" s="92">
        <f>EH11/EI11</f>
        <v>0</v>
      </c>
      <c r="EK11" s="90"/>
      <c r="EL11" s="96">
        <v>5</v>
      </c>
      <c r="EM11" s="92">
        <f>EK11/EL11</f>
        <v>0</v>
      </c>
      <c r="EN11" s="90"/>
      <c r="EO11" s="96">
        <v>5</v>
      </c>
      <c r="EP11" s="92">
        <f>EN11/EO11</f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ref="E12" si="48">C12/D12</f>
        <v>0</v>
      </c>
      <c r="F12" s="102"/>
      <c r="G12" s="103">
        <v>5</v>
      </c>
      <c r="H12" s="104">
        <f t="shared" ref="H12" si="49">F12/G12</f>
        <v>0</v>
      </c>
      <c r="I12" s="105"/>
      <c r="J12" s="103">
        <v>5</v>
      </c>
      <c r="K12" s="104">
        <f t="shared" ref="K12" si="50">I12/J12</f>
        <v>0</v>
      </c>
      <c r="L12" s="105"/>
      <c r="M12" s="103">
        <v>5</v>
      </c>
      <c r="N12" s="104">
        <f t="shared" ref="N12" si="51">L12/M12</f>
        <v>0</v>
      </c>
      <c r="O12" s="106"/>
      <c r="P12" s="107">
        <v>5</v>
      </c>
      <c r="Q12" s="104">
        <f t="shared" ref="Q12" si="52">O12/P12</f>
        <v>0</v>
      </c>
      <c r="R12" s="102"/>
      <c r="S12" s="107">
        <v>5</v>
      </c>
      <c r="T12" s="104">
        <f t="shared" ref="T12" si="53">R12/S12</f>
        <v>0</v>
      </c>
      <c r="U12" s="102"/>
      <c r="V12" s="107">
        <v>5</v>
      </c>
      <c r="W12" s="104">
        <f t="shared" ref="W12" si="54">U12/V12</f>
        <v>0</v>
      </c>
      <c r="X12" s="102"/>
      <c r="Y12" s="107">
        <v>5</v>
      </c>
      <c r="Z12" s="104">
        <f t="shared" ref="Z12" si="55">X12/Y12</f>
        <v>0</v>
      </c>
      <c r="AA12" s="106"/>
      <c r="AB12" s="107">
        <v>5</v>
      </c>
      <c r="AC12" s="104">
        <f t="shared" ref="AC12" si="56">AA12/AB12</f>
        <v>0</v>
      </c>
      <c r="AD12" s="106"/>
      <c r="AE12" s="107">
        <v>5</v>
      </c>
      <c r="AF12" s="104">
        <f t="shared" ref="AF12" si="57">AD12/AE12</f>
        <v>0</v>
      </c>
      <c r="AG12" s="106"/>
      <c r="AH12" s="107">
        <v>5</v>
      </c>
      <c r="AI12" s="104">
        <f t="shared" ref="AI12" si="58">AG12/AH12</f>
        <v>0</v>
      </c>
      <c r="AJ12" s="106"/>
      <c r="AK12" s="107">
        <v>5</v>
      </c>
      <c r="AL12" s="104">
        <f t="shared" ref="AL12" si="59">AJ12/AK12</f>
        <v>0</v>
      </c>
      <c r="AM12" s="102"/>
      <c r="AN12" s="1">
        <v>5</v>
      </c>
      <c r="AO12" s="104">
        <f t="shared" ref="AO12" si="60">AM12/AN12</f>
        <v>0</v>
      </c>
      <c r="AP12" s="102"/>
      <c r="AQ12" s="1">
        <v>5</v>
      </c>
      <c r="AR12" s="104">
        <f t="shared" ref="AR12" si="61">AP12/AQ12</f>
        <v>0</v>
      </c>
      <c r="AS12" s="102"/>
      <c r="AT12" s="1">
        <v>5</v>
      </c>
      <c r="AU12" s="104">
        <f t="shared" ref="AU12" si="62">AS12/AT12</f>
        <v>0</v>
      </c>
      <c r="AV12" s="102"/>
      <c r="AW12" s="1">
        <v>5</v>
      </c>
      <c r="AX12" s="104">
        <f t="shared" ref="AX12" si="63">AV12/AW12</f>
        <v>0</v>
      </c>
      <c r="AY12" s="102"/>
      <c r="AZ12" s="1">
        <v>5</v>
      </c>
      <c r="BA12" s="104">
        <f t="shared" ref="BA12" si="64">AY12/AZ12</f>
        <v>0</v>
      </c>
      <c r="BB12" s="102"/>
      <c r="BC12" s="1">
        <v>5</v>
      </c>
      <c r="BD12" s="104">
        <f t="shared" ref="BD12" si="65">BB12/BC12</f>
        <v>0</v>
      </c>
      <c r="BE12" s="102"/>
      <c r="BF12" s="1">
        <v>5</v>
      </c>
      <c r="BG12" s="104">
        <f t="shared" ref="BG12" si="66">BE12/BF12</f>
        <v>0</v>
      </c>
      <c r="BH12" s="102"/>
      <c r="BI12" s="1">
        <v>5</v>
      </c>
      <c r="BJ12" s="104">
        <f t="shared" ref="BJ12" si="67">BH12/BI12</f>
        <v>0</v>
      </c>
      <c r="BK12" s="102"/>
      <c r="BL12" s="1">
        <v>5</v>
      </c>
      <c r="BM12" s="104">
        <f t="shared" ref="BM12" si="68">BK12/BL12</f>
        <v>0</v>
      </c>
      <c r="BN12" s="102"/>
      <c r="BO12" s="1">
        <v>5</v>
      </c>
      <c r="BP12" s="104">
        <f t="shared" ref="BP12" si="69">BN12/BO12</f>
        <v>0</v>
      </c>
      <c r="BQ12" s="102"/>
      <c r="BR12" s="1">
        <v>5</v>
      </c>
      <c r="BS12" s="104">
        <f t="shared" ref="BS12" si="70">BQ12/BR12</f>
        <v>0</v>
      </c>
      <c r="BT12" s="102"/>
      <c r="BU12" s="1">
        <v>5</v>
      </c>
      <c r="BV12" s="104">
        <f t="shared" ref="BV12" si="71">BT12/BU12</f>
        <v>0</v>
      </c>
      <c r="BW12" s="102"/>
      <c r="BX12" s="1">
        <v>5</v>
      </c>
      <c r="BY12" s="104">
        <f t="shared" ref="BY12" si="72">BW12/BX12</f>
        <v>0</v>
      </c>
      <c r="BZ12" s="102"/>
      <c r="CA12" s="1">
        <v>5</v>
      </c>
      <c r="CB12" s="104">
        <f t="shared" ref="CB12" si="73">BZ12/CA12</f>
        <v>0</v>
      </c>
      <c r="CC12" s="102"/>
      <c r="CD12" s="1">
        <v>5</v>
      </c>
      <c r="CE12" s="104">
        <f t="shared" ref="CE12" si="74">CC12/CD12</f>
        <v>0</v>
      </c>
      <c r="CF12" s="102"/>
      <c r="CG12" s="1">
        <v>5</v>
      </c>
      <c r="CH12" s="104">
        <f t="shared" ref="CH12" si="75">CF12/CG12</f>
        <v>0</v>
      </c>
      <c r="CI12" s="102"/>
      <c r="CJ12" s="1">
        <v>5</v>
      </c>
      <c r="CK12" s="104">
        <f t="shared" ref="CK12" si="76">CI12/CJ12</f>
        <v>0</v>
      </c>
      <c r="CL12" s="102"/>
      <c r="CM12" s="1">
        <v>5</v>
      </c>
      <c r="CN12" s="104">
        <f t="shared" ref="CN12" si="77">CL12/CM12</f>
        <v>0</v>
      </c>
      <c r="CO12" s="102"/>
      <c r="CP12" s="1">
        <v>5</v>
      </c>
      <c r="CQ12" s="104">
        <f t="shared" ref="CQ12" si="78">CO12/CP12</f>
        <v>0</v>
      </c>
      <c r="CR12" s="102"/>
      <c r="CS12" s="1">
        <v>5</v>
      </c>
      <c r="CT12" s="104">
        <f t="shared" ref="CT12" si="79">CR12/CS12</f>
        <v>0</v>
      </c>
      <c r="CU12" s="102"/>
      <c r="CV12" s="1">
        <v>5</v>
      </c>
      <c r="CW12" s="104">
        <f t="shared" ref="CW12" si="80">CU12/CV12</f>
        <v>0</v>
      </c>
      <c r="CX12" s="102"/>
      <c r="CY12" s="1">
        <v>5</v>
      </c>
      <c r="CZ12" s="104">
        <f t="shared" ref="CZ12" si="81">CX12/CY12</f>
        <v>0</v>
      </c>
      <c r="DA12" s="102"/>
      <c r="DB12" s="1">
        <v>5</v>
      </c>
      <c r="DC12" s="104">
        <f t="shared" ref="DC12" si="82">DA12/DB12</f>
        <v>0</v>
      </c>
      <c r="DD12" s="102"/>
      <c r="DE12" s="1">
        <v>5</v>
      </c>
      <c r="DF12" s="104">
        <f t="shared" ref="DF12" si="83">DD12/DE12</f>
        <v>0</v>
      </c>
      <c r="DG12" s="102"/>
      <c r="DH12" s="1">
        <v>5</v>
      </c>
      <c r="DI12" s="104">
        <f t="shared" ref="DI12" si="84">DG12/DH12</f>
        <v>0</v>
      </c>
      <c r="DJ12" s="102"/>
      <c r="DK12" s="1">
        <v>5</v>
      </c>
      <c r="DL12" s="104">
        <f t="shared" ref="DL12" si="85">DJ12/DK12</f>
        <v>0</v>
      </c>
      <c r="DM12" s="102"/>
      <c r="DN12" s="1">
        <v>5</v>
      </c>
      <c r="DO12" s="104">
        <f t="shared" ref="DO12" si="86">DM12/DN12</f>
        <v>0</v>
      </c>
      <c r="DP12" s="102"/>
      <c r="DQ12" s="1">
        <v>5</v>
      </c>
      <c r="DR12" s="104">
        <f t="shared" ref="DR12" si="87">DP12/DQ12</f>
        <v>0</v>
      </c>
      <c r="DS12" s="102"/>
      <c r="DT12" s="1">
        <v>5</v>
      </c>
      <c r="DU12" s="104">
        <f t="shared" ref="DU12" si="88">DS12/DT12</f>
        <v>0</v>
      </c>
      <c r="DV12" s="102"/>
      <c r="DW12" s="1">
        <v>5</v>
      </c>
      <c r="DX12" s="104">
        <f t="shared" ref="DX12" si="89">DV12/DW12</f>
        <v>0</v>
      </c>
      <c r="DY12" s="102"/>
      <c r="DZ12" s="1">
        <v>5</v>
      </c>
      <c r="EA12" s="104">
        <f t="shared" ref="EA12" si="90">DY12/DZ12</f>
        <v>0</v>
      </c>
      <c r="EB12" s="102"/>
      <c r="EC12" s="1">
        <v>5</v>
      </c>
      <c r="ED12" s="104">
        <f t="shared" ref="ED12" si="91">EB12/EC12</f>
        <v>0</v>
      </c>
      <c r="EE12" s="102"/>
      <c r="EF12" s="1">
        <v>5</v>
      </c>
      <c r="EG12" s="104">
        <f t="shared" ref="EG12" si="92">EE12/EF12</f>
        <v>0</v>
      </c>
      <c r="EH12" s="102"/>
      <c r="EI12" s="1">
        <v>5</v>
      </c>
      <c r="EJ12" s="104">
        <f t="shared" ref="EJ12" si="93">EH12/EI12</f>
        <v>0</v>
      </c>
      <c r="EK12" s="102"/>
      <c r="EL12" s="1">
        <v>5</v>
      </c>
      <c r="EM12" s="104">
        <f t="shared" ref="EM12" si="94">EK12/EL12</f>
        <v>0</v>
      </c>
      <c r="EN12" s="102"/>
      <c r="EO12" s="1">
        <v>5</v>
      </c>
      <c r="EP12" s="104">
        <f t="shared" ref="EP12" si="95">EN12/EO12</f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90"/>
      <c r="D13" s="91">
        <v>5</v>
      </c>
      <c r="E13" s="92">
        <f>C13/D13</f>
        <v>0</v>
      </c>
      <c r="F13" s="90"/>
      <c r="G13" s="91">
        <v>5</v>
      </c>
      <c r="H13" s="92">
        <f>F13/G13</f>
        <v>0</v>
      </c>
      <c r="I13" s="93"/>
      <c r="J13" s="91">
        <v>5</v>
      </c>
      <c r="K13" s="92">
        <f>I13/J13</f>
        <v>0</v>
      </c>
      <c r="L13" s="93"/>
      <c r="M13" s="91">
        <v>5</v>
      </c>
      <c r="N13" s="92">
        <f>L13/M13</f>
        <v>0</v>
      </c>
      <c r="O13" s="94"/>
      <c r="P13" s="95">
        <v>5</v>
      </c>
      <c r="Q13" s="92">
        <f>O13/P13</f>
        <v>0</v>
      </c>
      <c r="R13" s="90"/>
      <c r="S13" s="95">
        <v>5</v>
      </c>
      <c r="T13" s="92">
        <f>R13/S13</f>
        <v>0</v>
      </c>
      <c r="U13" s="90"/>
      <c r="V13" s="95">
        <v>5</v>
      </c>
      <c r="W13" s="92">
        <f>U13/V13</f>
        <v>0</v>
      </c>
      <c r="X13" s="90"/>
      <c r="Y13" s="95">
        <v>5</v>
      </c>
      <c r="Z13" s="92">
        <f>X13/Y13</f>
        <v>0</v>
      </c>
      <c r="AA13" s="94"/>
      <c r="AB13" s="95">
        <v>5</v>
      </c>
      <c r="AC13" s="92">
        <f>AA13/AB13</f>
        <v>0</v>
      </c>
      <c r="AD13" s="94"/>
      <c r="AE13" s="95">
        <v>5</v>
      </c>
      <c r="AF13" s="92">
        <f>AD13/AE13</f>
        <v>0</v>
      </c>
      <c r="AG13" s="94"/>
      <c r="AH13" s="95">
        <v>5</v>
      </c>
      <c r="AI13" s="92">
        <f>AG13/AH13</f>
        <v>0</v>
      </c>
      <c r="AJ13" s="94"/>
      <c r="AK13" s="95">
        <v>5</v>
      </c>
      <c r="AL13" s="92">
        <f>AJ13/AK13</f>
        <v>0</v>
      </c>
      <c r="AM13" s="90"/>
      <c r="AN13" s="96">
        <v>5</v>
      </c>
      <c r="AO13" s="92">
        <f>AM13/AN13</f>
        <v>0</v>
      </c>
      <c r="AP13" s="90"/>
      <c r="AQ13" s="96">
        <v>5</v>
      </c>
      <c r="AR13" s="92">
        <f>AP13/AQ13</f>
        <v>0</v>
      </c>
      <c r="AS13" s="90"/>
      <c r="AT13" s="96">
        <v>5</v>
      </c>
      <c r="AU13" s="92">
        <f>AS13/AT13</f>
        <v>0</v>
      </c>
      <c r="AV13" s="90"/>
      <c r="AW13" s="96">
        <v>5</v>
      </c>
      <c r="AX13" s="92">
        <f>AV13/AW13</f>
        <v>0</v>
      </c>
      <c r="AY13" s="90"/>
      <c r="AZ13" s="96">
        <v>5</v>
      </c>
      <c r="BA13" s="92">
        <f>AY13/AZ13</f>
        <v>0</v>
      </c>
      <c r="BB13" s="90"/>
      <c r="BC13" s="96">
        <v>5</v>
      </c>
      <c r="BD13" s="92">
        <f>BB13/BC13</f>
        <v>0</v>
      </c>
      <c r="BE13" s="90"/>
      <c r="BF13" s="96">
        <v>5</v>
      </c>
      <c r="BG13" s="92">
        <f>BE13/BF13</f>
        <v>0</v>
      </c>
      <c r="BH13" s="90"/>
      <c r="BI13" s="96">
        <v>5</v>
      </c>
      <c r="BJ13" s="92">
        <f>BH13/BI13</f>
        <v>0</v>
      </c>
      <c r="BK13" s="90"/>
      <c r="BL13" s="96">
        <v>5</v>
      </c>
      <c r="BM13" s="92">
        <f>BK13/BL13</f>
        <v>0</v>
      </c>
      <c r="BN13" s="90"/>
      <c r="BO13" s="96">
        <v>5</v>
      </c>
      <c r="BP13" s="92">
        <f>BN13/BO13</f>
        <v>0</v>
      </c>
      <c r="BQ13" s="90"/>
      <c r="BR13" s="96">
        <v>5</v>
      </c>
      <c r="BS13" s="92">
        <f>BQ13/BR13</f>
        <v>0</v>
      </c>
      <c r="BT13" s="90"/>
      <c r="BU13" s="96">
        <v>5</v>
      </c>
      <c r="BV13" s="92">
        <f>BT13/BU13</f>
        <v>0</v>
      </c>
      <c r="BW13" s="90"/>
      <c r="BX13" s="96">
        <v>5</v>
      </c>
      <c r="BY13" s="92">
        <f>BW13/BX13</f>
        <v>0</v>
      </c>
      <c r="BZ13" s="90"/>
      <c r="CA13" s="96">
        <v>5</v>
      </c>
      <c r="CB13" s="92">
        <f>BZ13/CA13</f>
        <v>0</v>
      </c>
      <c r="CC13" s="90"/>
      <c r="CD13" s="96">
        <v>5</v>
      </c>
      <c r="CE13" s="92">
        <f>CC13/CD13</f>
        <v>0</v>
      </c>
      <c r="CF13" s="90"/>
      <c r="CG13" s="96">
        <v>5</v>
      </c>
      <c r="CH13" s="92">
        <f>CF13/CG13</f>
        <v>0</v>
      </c>
      <c r="CI13" s="90"/>
      <c r="CJ13" s="96">
        <v>5</v>
      </c>
      <c r="CK13" s="92">
        <f>CI13/CJ13</f>
        <v>0</v>
      </c>
      <c r="CL13" s="90"/>
      <c r="CM13" s="96">
        <v>5</v>
      </c>
      <c r="CN13" s="92">
        <f>CL13/CM13</f>
        <v>0</v>
      </c>
      <c r="CO13" s="90"/>
      <c r="CP13" s="96">
        <v>5</v>
      </c>
      <c r="CQ13" s="92">
        <f>CO13/CP13</f>
        <v>0</v>
      </c>
      <c r="CR13" s="90"/>
      <c r="CS13" s="96">
        <v>5</v>
      </c>
      <c r="CT13" s="92">
        <f>CR13/CS13</f>
        <v>0</v>
      </c>
      <c r="CU13" s="90"/>
      <c r="CV13" s="96">
        <v>5</v>
      </c>
      <c r="CW13" s="92">
        <f>CU13/CV13</f>
        <v>0</v>
      </c>
      <c r="CX13" s="90"/>
      <c r="CY13" s="96">
        <v>5</v>
      </c>
      <c r="CZ13" s="92">
        <f>CX13/CY13</f>
        <v>0</v>
      </c>
      <c r="DA13" s="90"/>
      <c r="DB13" s="96">
        <v>5</v>
      </c>
      <c r="DC13" s="92">
        <f>DA13/DB13</f>
        <v>0</v>
      </c>
      <c r="DD13" s="90"/>
      <c r="DE13" s="96">
        <v>5</v>
      </c>
      <c r="DF13" s="92">
        <f>DD13/DE13</f>
        <v>0</v>
      </c>
      <c r="DG13" s="90"/>
      <c r="DH13" s="96">
        <v>5</v>
      </c>
      <c r="DI13" s="92">
        <f>DG13/DH13</f>
        <v>0</v>
      </c>
      <c r="DJ13" s="90"/>
      <c r="DK13" s="96">
        <v>5</v>
      </c>
      <c r="DL13" s="92">
        <f>DJ13/DK13</f>
        <v>0</v>
      </c>
      <c r="DM13" s="90"/>
      <c r="DN13" s="96">
        <v>5</v>
      </c>
      <c r="DO13" s="92">
        <f>DM13/DN13</f>
        <v>0</v>
      </c>
      <c r="DP13" s="90"/>
      <c r="DQ13" s="96">
        <v>5</v>
      </c>
      <c r="DR13" s="92">
        <f>DP13/DQ13</f>
        <v>0</v>
      </c>
      <c r="DS13" s="90"/>
      <c r="DT13" s="96">
        <v>5</v>
      </c>
      <c r="DU13" s="92">
        <f>DS13/DT13</f>
        <v>0</v>
      </c>
      <c r="DV13" s="90"/>
      <c r="DW13" s="96">
        <v>5</v>
      </c>
      <c r="DX13" s="92">
        <f>DV13/DW13</f>
        <v>0</v>
      </c>
      <c r="DY13" s="90"/>
      <c r="DZ13" s="96">
        <v>5</v>
      </c>
      <c r="EA13" s="92">
        <f>DY13/DZ13</f>
        <v>0</v>
      </c>
      <c r="EB13" s="90"/>
      <c r="EC13" s="96">
        <v>5</v>
      </c>
      <c r="ED13" s="92">
        <f>EB13/EC13</f>
        <v>0</v>
      </c>
      <c r="EE13" s="90"/>
      <c r="EF13" s="96">
        <v>5</v>
      </c>
      <c r="EG13" s="92">
        <f>EE13/EF13</f>
        <v>0</v>
      </c>
      <c r="EH13" s="90"/>
      <c r="EI13" s="96">
        <v>5</v>
      </c>
      <c r="EJ13" s="92">
        <f>EH13/EI13</f>
        <v>0</v>
      </c>
      <c r="EK13" s="90"/>
      <c r="EL13" s="96">
        <v>5</v>
      </c>
      <c r="EM13" s="92">
        <f>EK13/EL13</f>
        <v>0</v>
      </c>
      <c r="EN13" s="90"/>
      <c r="EO13" s="96">
        <v>5</v>
      </c>
      <c r="EP13" s="92">
        <f>EN13/EO13</f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84</v>
      </c>
      <c r="B14" s="101"/>
      <c r="C14" s="102"/>
      <c r="D14" s="103">
        <v>5</v>
      </c>
      <c r="E14" s="104">
        <f t="shared" ref="E14" si="96">C14/D14</f>
        <v>0</v>
      </c>
      <c r="F14" s="102"/>
      <c r="G14" s="103">
        <v>5</v>
      </c>
      <c r="H14" s="104">
        <f t="shared" ref="H14" si="97">F14/G14</f>
        <v>0</v>
      </c>
      <c r="I14" s="105"/>
      <c r="J14" s="103">
        <v>5</v>
      </c>
      <c r="K14" s="104">
        <f t="shared" ref="K14" si="98">I14/J14</f>
        <v>0</v>
      </c>
      <c r="L14" s="105"/>
      <c r="M14" s="103">
        <v>5</v>
      </c>
      <c r="N14" s="104">
        <f t="shared" ref="N14" si="99">L14/M14</f>
        <v>0</v>
      </c>
      <c r="O14" s="106"/>
      <c r="P14" s="107">
        <v>5</v>
      </c>
      <c r="Q14" s="104">
        <f t="shared" ref="Q14" si="100">O14/P14</f>
        <v>0</v>
      </c>
      <c r="R14" s="102"/>
      <c r="S14" s="107">
        <v>5</v>
      </c>
      <c r="T14" s="104">
        <f t="shared" ref="T14" si="101">R14/S14</f>
        <v>0</v>
      </c>
      <c r="U14" s="102"/>
      <c r="V14" s="107">
        <v>5</v>
      </c>
      <c r="W14" s="104">
        <f t="shared" ref="W14" si="102">U14/V14</f>
        <v>0</v>
      </c>
      <c r="X14" s="102"/>
      <c r="Y14" s="107">
        <v>5</v>
      </c>
      <c r="Z14" s="104">
        <f t="shared" ref="Z14" si="103">X14/Y14</f>
        <v>0</v>
      </c>
      <c r="AA14" s="106"/>
      <c r="AB14" s="107">
        <v>5</v>
      </c>
      <c r="AC14" s="104">
        <f t="shared" ref="AC14" si="104">AA14/AB14</f>
        <v>0</v>
      </c>
      <c r="AD14" s="106"/>
      <c r="AE14" s="107">
        <v>5</v>
      </c>
      <c r="AF14" s="104">
        <f t="shared" ref="AF14" si="105">AD14/AE14</f>
        <v>0</v>
      </c>
      <c r="AG14" s="106"/>
      <c r="AH14" s="107">
        <v>5</v>
      </c>
      <c r="AI14" s="104">
        <f t="shared" ref="AI14" si="106">AG14/AH14</f>
        <v>0</v>
      </c>
      <c r="AJ14" s="106"/>
      <c r="AK14" s="107">
        <v>5</v>
      </c>
      <c r="AL14" s="104">
        <f t="shared" ref="AL14" si="107">AJ14/AK14</f>
        <v>0</v>
      </c>
      <c r="AM14" s="102"/>
      <c r="AN14" s="1">
        <v>5</v>
      </c>
      <c r="AO14" s="104">
        <f t="shared" ref="AO14" si="108">AM14/AN14</f>
        <v>0</v>
      </c>
      <c r="AP14" s="102"/>
      <c r="AQ14" s="1">
        <v>5</v>
      </c>
      <c r="AR14" s="104">
        <f t="shared" ref="AR14" si="109">AP14/AQ14</f>
        <v>0</v>
      </c>
      <c r="AS14" s="102"/>
      <c r="AT14" s="1">
        <v>5</v>
      </c>
      <c r="AU14" s="104">
        <f t="shared" ref="AU14" si="110">AS14/AT14</f>
        <v>0</v>
      </c>
      <c r="AV14" s="102"/>
      <c r="AW14" s="1">
        <v>5</v>
      </c>
      <c r="AX14" s="104">
        <f t="shared" ref="AX14" si="111">AV14/AW14</f>
        <v>0</v>
      </c>
      <c r="AY14" s="102"/>
      <c r="AZ14" s="1">
        <v>5</v>
      </c>
      <c r="BA14" s="104">
        <f t="shared" ref="BA14" si="112">AY14/AZ14</f>
        <v>0</v>
      </c>
      <c r="BB14" s="102"/>
      <c r="BC14" s="1">
        <v>5</v>
      </c>
      <c r="BD14" s="104">
        <f t="shared" ref="BD14" si="113">BB14/BC14</f>
        <v>0</v>
      </c>
      <c r="BE14" s="102"/>
      <c r="BF14" s="1">
        <v>5</v>
      </c>
      <c r="BG14" s="104">
        <f t="shared" ref="BG14" si="114">BE14/BF14</f>
        <v>0</v>
      </c>
      <c r="BH14" s="102"/>
      <c r="BI14" s="1">
        <v>5</v>
      </c>
      <c r="BJ14" s="104">
        <f t="shared" ref="BJ14" si="115">BH14/BI14</f>
        <v>0</v>
      </c>
      <c r="BK14" s="102"/>
      <c r="BL14" s="1">
        <v>5</v>
      </c>
      <c r="BM14" s="104">
        <f t="shared" ref="BM14" si="116">BK14/BL14</f>
        <v>0</v>
      </c>
      <c r="BN14" s="102"/>
      <c r="BO14" s="1">
        <v>5</v>
      </c>
      <c r="BP14" s="104">
        <f t="shared" ref="BP14" si="117">BN14/BO14</f>
        <v>0</v>
      </c>
      <c r="BQ14" s="102"/>
      <c r="BR14" s="1">
        <v>5</v>
      </c>
      <c r="BS14" s="104">
        <f t="shared" ref="BS14" si="118">BQ14/BR14</f>
        <v>0</v>
      </c>
      <c r="BT14" s="102"/>
      <c r="BU14" s="1">
        <v>5</v>
      </c>
      <c r="BV14" s="104">
        <f t="shared" ref="BV14" si="119">BT14/BU14</f>
        <v>0</v>
      </c>
      <c r="BW14" s="102"/>
      <c r="BX14" s="1">
        <v>5</v>
      </c>
      <c r="BY14" s="104">
        <f t="shared" ref="BY14" si="120">BW14/BX14</f>
        <v>0</v>
      </c>
      <c r="BZ14" s="102"/>
      <c r="CA14" s="1">
        <v>5</v>
      </c>
      <c r="CB14" s="104">
        <f t="shared" ref="CB14" si="121">BZ14/CA14</f>
        <v>0</v>
      </c>
      <c r="CC14" s="102"/>
      <c r="CD14" s="1">
        <v>5</v>
      </c>
      <c r="CE14" s="104">
        <f t="shared" ref="CE14" si="122">CC14/CD14</f>
        <v>0</v>
      </c>
      <c r="CF14" s="102"/>
      <c r="CG14" s="1">
        <v>5</v>
      </c>
      <c r="CH14" s="104">
        <f t="shared" ref="CH14" si="123">CF14/CG14</f>
        <v>0</v>
      </c>
      <c r="CI14" s="102"/>
      <c r="CJ14" s="1">
        <v>5</v>
      </c>
      <c r="CK14" s="104">
        <f t="shared" ref="CK14" si="124">CI14/CJ14</f>
        <v>0</v>
      </c>
      <c r="CL14" s="102"/>
      <c r="CM14" s="1">
        <v>5</v>
      </c>
      <c r="CN14" s="104">
        <f t="shared" ref="CN14" si="125">CL14/CM14</f>
        <v>0</v>
      </c>
      <c r="CO14" s="102"/>
      <c r="CP14" s="1">
        <v>5</v>
      </c>
      <c r="CQ14" s="104">
        <f t="shared" ref="CQ14" si="126">CO14/CP14</f>
        <v>0</v>
      </c>
      <c r="CR14" s="102"/>
      <c r="CS14" s="1">
        <v>5</v>
      </c>
      <c r="CT14" s="104">
        <f t="shared" ref="CT14" si="127">CR14/CS14</f>
        <v>0</v>
      </c>
      <c r="CU14" s="102"/>
      <c r="CV14" s="1">
        <v>5</v>
      </c>
      <c r="CW14" s="104">
        <f t="shared" ref="CW14" si="128">CU14/CV14</f>
        <v>0</v>
      </c>
      <c r="CX14" s="102"/>
      <c r="CY14" s="1">
        <v>5</v>
      </c>
      <c r="CZ14" s="104">
        <f t="shared" ref="CZ14" si="129">CX14/CY14</f>
        <v>0</v>
      </c>
      <c r="DA14" s="102"/>
      <c r="DB14" s="1">
        <v>5</v>
      </c>
      <c r="DC14" s="104">
        <f t="shared" ref="DC14" si="130">DA14/DB14</f>
        <v>0</v>
      </c>
      <c r="DD14" s="102"/>
      <c r="DE14" s="1">
        <v>5</v>
      </c>
      <c r="DF14" s="104">
        <f t="shared" ref="DF14" si="131">DD14/DE14</f>
        <v>0</v>
      </c>
      <c r="DG14" s="102"/>
      <c r="DH14" s="1">
        <v>5</v>
      </c>
      <c r="DI14" s="104">
        <f t="shared" ref="DI14" si="132">DG14/DH14</f>
        <v>0</v>
      </c>
      <c r="DJ14" s="102"/>
      <c r="DK14" s="1">
        <v>5</v>
      </c>
      <c r="DL14" s="104">
        <f t="shared" ref="DL14" si="133">DJ14/DK14</f>
        <v>0</v>
      </c>
      <c r="DM14" s="102"/>
      <c r="DN14" s="1">
        <v>5</v>
      </c>
      <c r="DO14" s="104">
        <f t="shared" ref="DO14" si="134">DM14/DN14</f>
        <v>0</v>
      </c>
      <c r="DP14" s="102"/>
      <c r="DQ14" s="1">
        <v>5</v>
      </c>
      <c r="DR14" s="104">
        <f t="shared" ref="DR14" si="135">DP14/DQ14</f>
        <v>0</v>
      </c>
      <c r="DS14" s="102"/>
      <c r="DT14" s="1">
        <v>5</v>
      </c>
      <c r="DU14" s="104">
        <f t="shared" ref="DU14" si="136">DS14/DT14</f>
        <v>0</v>
      </c>
      <c r="DV14" s="102"/>
      <c r="DW14" s="1">
        <v>5</v>
      </c>
      <c r="DX14" s="104">
        <f t="shared" ref="DX14" si="137">DV14/DW14</f>
        <v>0</v>
      </c>
      <c r="DY14" s="102"/>
      <c r="DZ14" s="1">
        <v>5</v>
      </c>
      <c r="EA14" s="104">
        <f t="shared" ref="EA14" si="138">DY14/DZ14</f>
        <v>0</v>
      </c>
      <c r="EB14" s="102"/>
      <c r="EC14" s="1">
        <v>5</v>
      </c>
      <c r="ED14" s="104">
        <f t="shared" ref="ED14" si="139">EB14/EC14</f>
        <v>0</v>
      </c>
      <c r="EE14" s="102"/>
      <c r="EF14" s="1">
        <v>5</v>
      </c>
      <c r="EG14" s="104">
        <f t="shared" ref="EG14" si="140">EE14/EF14</f>
        <v>0</v>
      </c>
      <c r="EH14" s="102"/>
      <c r="EI14" s="1">
        <v>5</v>
      </c>
      <c r="EJ14" s="104">
        <f t="shared" ref="EJ14" si="141">EH14/EI14</f>
        <v>0</v>
      </c>
      <c r="EK14" s="102"/>
      <c r="EL14" s="1">
        <v>5</v>
      </c>
      <c r="EM14" s="104">
        <f t="shared" ref="EM14" si="142">EK14/EL14</f>
        <v>0</v>
      </c>
      <c r="EN14" s="102"/>
      <c r="EO14" s="1">
        <v>5</v>
      </c>
      <c r="EP14" s="104">
        <f t="shared" ref="EP14" si="143">EN14/EO14</f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46" customHeight="1" spans="1:148" x14ac:dyDescent="0.25">
      <c r="A15" s="100" t="s">
        <v>87</v>
      </c>
      <c r="B15" s="101"/>
      <c r="C15" s="90"/>
      <c r="D15" s="91">
        <v>5</v>
      </c>
      <c r="E15" s="92">
        <f>C15/D15</f>
        <v>0</v>
      </c>
      <c r="F15" s="90"/>
      <c r="G15" s="91">
        <v>5</v>
      </c>
      <c r="H15" s="92">
        <f>F15/G15</f>
        <v>0</v>
      </c>
      <c r="I15" s="93"/>
      <c r="J15" s="91">
        <v>5</v>
      </c>
      <c r="K15" s="92">
        <f>I15/J15</f>
        <v>0</v>
      </c>
      <c r="L15" s="93"/>
      <c r="M15" s="91">
        <v>5</v>
      </c>
      <c r="N15" s="92">
        <f>L15/M15</f>
        <v>0</v>
      </c>
      <c r="O15" s="94"/>
      <c r="P15" s="95">
        <v>5</v>
      </c>
      <c r="Q15" s="92">
        <f>O15/P15</f>
        <v>0</v>
      </c>
      <c r="R15" s="90"/>
      <c r="S15" s="95">
        <v>5</v>
      </c>
      <c r="T15" s="92">
        <f>R15/S15</f>
        <v>0</v>
      </c>
      <c r="U15" s="90"/>
      <c r="V15" s="95">
        <v>5</v>
      </c>
      <c r="W15" s="92">
        <f>U15/V15</f>
        <v>0</v>
      </c>
      <c r="X15" s="90"/>
      <c r="Y15" s="95">
        <v>5</v>
      </c>
      <c r="Z15" s="92">
        <f>X15/Y15</f>
        <v>0</v>
      </c>
      <c r="AA15" s="94"/>
      <c r="AB15" s="95">
        <v>5</v>
      </c>
      <c r="AC15" s="92">
        <f>AA15/AB15</f>
        <v>0</v>
      </c>
      <c r="AD15" s="94"/>
      <c r="AE15" s="95">
        <v>5</v>
      </c>
      <c r="AF15" s="92">
        <f>AD15/AE15</f>
        <v>0</v>
      </c>
      <c r="AG15" s="94"/>
      <c r="AH15" s="95">
        <v>5</v>
      </c>
      <c r="AI15" s="92">
        <f>AG15/AH15</f>
        <v>0</v>
      </c>
      <c r="AJ15" s="94"/>
      <c r="AK15" s="95">
        <v>5</v>
      </c>
      <c r="AL15" s="92">
        <f>AJ15/AK15</f>
        <v>0</v>
      </c>
      <c r="AM15" s="90"/>
      <c r="AN15" s="96">
        <v>5</v>
      </c>
      <c r="AO15" s="92">
        <f>AM15/AN15</f>
        <v>0</v>
      </c>
      <c r="AP15" s="90"/>
      <c r="AQ15" s="96">
        <v>5</v>
      </c>
      <c r="AR15" s="92">
        <f>AP15/AQ15</f>
        <v>0</v>
      </c>
      <c r="AS15" s="90"/>
      <c r="AT15" s="96">
        <v>5</v>
      </c>
      <c r="AU15" s="92">
        <f>AS15/AT15</f>
        <v>0</v>
      </c>
      <c r="AV15" s="90"/>
      <c r="AW15" s="96">
        <v>5</v>
      </c>
      <c r="AX15" s="92">
        <f>AV15/AW15</f>
        <v>0</v>
      </c>
      <c r="AY15" s="90"/>
      <c r="AZ15" s="96">
        <v>5</v>
      </c>
      <c r="BA15" s="92">
        <f>AY15/AZ15</f>
        <v>0</v>
      </c>
      <c r="BB15" s="90"/>
      <c r="BC15" s="96">
        <v>5</v>
      </c>
      <c r="BD15" s="92">
        <f>BB15/BC15</f>
        <v>0</v>
      </c>
      <c r="BE15" s="90"/>
      <c r="BF15" s="96">
        <v>5</v>
      </c>
      <c r="BG15" s="92">
        <f>BE15/BF15</f>
        <v>0</v>
      </c>
      <c r="BH15" s="90"/>
      <c r="BI15" s="96">
        <v>5</v>
      </c>
      <c r="BJ15" s="92">
        <f>BH15/BI15</f>
        <v>0</v>
      </c>
      <c r="BK15" s="90"/>
      <c r="BL15" s="96">
        <v>5</v>
      </c>
      <c r="BM15" s="92">
        <f>BK15/BL15</f>
        <v>0</v>
      </c>
      <c r="BN15" s="90"/>
      <c r="BO15" s="96">
        <v>5</v>
      </c>
      <c r="BP15" s="92">
        <f>BN15/BO15</f>
        <v>0</v>
      </c>
      <c r="BQ15" s="90"/>
      <c r="BR15" s="96">
        <v>5</v>
      </c>
      <c r="BS15" s="92">
        <f>BQ15/BR15</f>
        <v>0</v>
      </c>
      <c r="BT15" s="90"/>
      <c r="BU15" s="96">
        <v>5</v>
      </c>
      <c r="BV15" s="92">
        <f>BT15/BU15</f>
        <v>0</v>
      </c>
      <c r="BW15" s="90"/>
      <c r="BX15" s="96">
        <v>5</v>
      </c>
      <c r="BY15" s="92">
        <f>BW15/BX15</f>
        <v>0</v>
      </c>
      <c r="BZ15" s="90"/>
      <c r="CA15" s="96">
        <v>5</v>
      </c>
      <c r="CB15" s="92">
        <f>BZ15/CA15</f>
        <v>0</v>
      </c>
      <c r="CC15" s="90"/>
      <c r="CD15" s="96">
        <v>5</v>
      </c>
      <c r="CE15" s="92">
        <f>CC15/CD15</f>
        <v>0</v>
      </c>
      <c r="CF15" s="90"/>
      <c r="CG15" s="96">
        <v>5</v>
      </c>
      <c r="CH15" s="92">
        <f>CF15/CG15</f>
        <v>0</v>
      </c>
      <c r="CI15" s="90"/>
      <c r="CJ15" s="96">
        <v>5</v>
      </c>
      <c r="CK15" s="92">
        <f>CI15/CJ15</f>
        <v>0</v>
      </c>
      <c r="CL15" s="90"/>
      <c r="CM15" s="96">
        <v>5</v>
      </c>
      <c r="CN15" s="92">
        <f>CL15/CM15</f>
        <v>0</v>
      </c>
      <c r="CO15" s="90"/>
      <c r="CP15" s="96">
        <v>5</v>
      </c>
      <c r="CQ15" s="92">
        <f>CO15/CP15</f>
        <v>0</v>
      </c>
      <c r="CR15" s="90"/>
      <c r="CS15" s="96">
        <v>5</v>
      </c>
      <c r="CT15" s="92">
        <f>CR15/CS15</f>
        <v>0</v>
      </c>
      <c r="CU15" s="90"/>
      <c r="CV15" s="96">
        <v>5</v>
      </c>
      <c r="CW15" s="92">
        <f>CU15/CV15</f>
        <v>0</v>
      </c>
      <c r="CX15" s="90"/>
      <c r="CY15" s="96">
        <v>5</v>
      </c>
      <c r="CZ15" s="92">
        <f>CX15/CY15</f>
        <v>0</v>
      </c>
      <c r="DA15" s="90"/>
      <c r="DB15" s="96">
        <v>5</v>
      </c>
      <c r="DC15" s="92">
        <f>DA15/DB15</f>
        <v>0</v>
      </c>
      <c r="DD15" s="90"/>
      <c r="DE15" s="96">
        <v>5</v>
      </c>
      <c r="DF15" s="92">
        <f>DD15/DE15</f>
        <v>0</v>
      </c>
      <c r="DG15" s="90"/>
      <c r="DH15" s="96">
        <v>5</v>
      </c>
      <c r="DI15" s="92">
        <f>DG15/DH15</f>
        <v>0</v>
      </c>
      <c r="DJ15" s="90"/>
      <c r="DK15" s="96">
        <v>5</v>
      </c>
      <c r="DL15" s="92">
        <f>DJ15/DK15</f>
        <v>0</v>
      </c>
      <c r="DM15" s="90"/>
      <c r="DN15" s="96">
        <v>5</v>
      </c>
      <c r="DO15" s="92">
        <f>DM15/DN15</f>
        <v>0</v>
      </c>
      <c r="DP15" s="90"/>
      <c r="DQ15" s="96">
        <v>5</v>
      </c>
      <c r="DR15" s="92">
        <f>DP15/DQ15</f>
        <v>0</v>
      </c>
      <c r="DS15" s="90"/>
      <c r="DT15" s="96">
        <v>5</v>
      </c>
      <c r="DU15" s="92">
        <f>DS15/DT15</f>
        <v>0</v>
      </c>
      <c r="DV15" s="90"/>
      <c r="DW15" s="96">
        <v>5</v>
      </c>
      <c r="DX15" s="92">
        <f>DV15/DW15</f>
        <v>0</v>
      </c>
      <c r="DY15" s="90"/>
      <c r="DZ15" s="96">
        <v>5</v>
      </c>
      <c r="EA15" s="92">
        <f>DY15/DZ15</f>
        <v>0</v>
      </c>
      <c r="EB15" s="90"/>
      <c r="EC15" s="96">
        <v>5</v>
      </c>
      <c r="ED15" s="92">
        <f>EB15/EC15</f>
        <v>0</v>
      </c>
      <c r="EE15" s="90"/>
      <c r="EF15" s="96">
        <v>5</v>
      </c>
      <c r="EG15" s="92">
        <f>EE15/EF15</f>
        <v>0</v>
      </c>
      <c r="EH15" s="90"/>
      <c r="EI15" s="96">
        <v>5</v>
      </c>
      <c r="EJ15" s="92">
        <f>EH15/EI15</f>
        <v>0</v>
      </c>
      <c r="EK15" s="90"/>
      <c r="EL15" s="96">
        <v>5</v>
      </c>
      <c r="EM15" s="92">
        <f>EK15/EL15</f>
        <v>0</v>
      </c>
      <c r="EN15" s="90"/>
      <c r="EO15" s="96">
        <v>5</v>
      </c>
      <c r="EP15" s="92">
        <f>EN15/EO15</f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30" customHeight="1" spans="1:148" x14ac:dyDescent="0.25">
      <c r="A16" s="115" t="s">
        <v>139</v>
      </c>
      <c r="B16" s="101"/>
      <c r="C16" s="102"/>
      <c r="D16" s="103">
        <v>5</v>
      </c>
      <c r="E16" s="104">
        <f t="shared" ref="E16" si="144">C16/D16</f>
        <v>0</v>
      </c>
      <c r="F16" s="102"/>
      <c r="G16" s="103">
        <v>5</v>
      </c>
      <c r="H16" s="104">
        <f t="shared" ref="H16" si="145">F16/G16</f>
        <v>0</v>
      </c>
      <c r="I16" s="105"/>
      <c r="J16" s="103">
        <v>5</v>
      </c>
      <c r="K16" s="104">
        <f t="shared" ref="K16" si="146">I16/J16</f>
        <v>0</v>
      </c>
      <c r="L16" s="105"/>
      <c r="M16" s="103">
        <v>5</v>
      </c>
      <c r="N16" s="104">
        <f t="shared" ref="N16" si="147">L16/M16</f>
        <v>0</v>
      </c>
      <c r="O16" s="106"/>
      <c r="P16" s="107">
        <v>5</v>
      </c>
      <c r="Q16" s="104">
        <f t="shared" ref="Q16" si="148">O16/P16</f>
        <v>0</v>
      </c>
      <c r="R16" s="102"/>
      <c r="S16" s="107">
        <v>5</v>
      </c>
      <c r="T16" s="104">
        <f t="shared" ref="T16" si="149">R16/S16</f>
        <v>0</v>
      </c>
      <c r="U16" s="102"/>
      <c r="V16" s="107">
        <v>5</v>
      </c>
      <c r="W16" s="104">
        <f t="shared" ref="W16" si="150">U16/V16</f>
        <v>0</v>
      </c>
      <c r="X16" s="102"/>
      <c r="Y16" s="107">
        <v>5</v>
      </c>
      <c r="Z16" s="104">
        <f t="shared" ref="Z16" si="151">X16/Y16</f>
        <v>0</v>
      </c>
      <c r="AA16" s="106"/>
      <c r="AB16" s="107">
        <v>5</v>
      </c>
      <c r="AC16" s="104">
        <f t="shared" ref="AC16" si="152">AA16/AB16</f>
        <v>0</v>
      </c>
      <c r="AD16" s="106"/>
      <c r="AE16" s="107">
        <v>5</v>
      </c>
      <c r="AF16" s="104">
        <f t="shared" ref="AF16" si="153">AD16/AE16</f>
        <v>0</v>
      </c>
      <c r="AG16" s="106"/>
      <c r="AH16" s="107">
        <v>5</v>
      </c>
      <c r="AI16" s="104">
        <f t="shared" ref="AI16" si="154">AG16/AH16</f>
        <v>0</v>
      </c>
      <c r="AJ16" s="106"/>
      <c r="AK16" s="107">
        <v>5</v>
      </c>
      <c r="AL16" s="104">
        <f t="shared" ref="AL16" si="155">AJ16/AK16</f>
        <v>0</v>
      </c>
      <c r="AM16" s="102"/>
      <c r="AN16" s="1">
        <v>5</v>
      </c>
      <c r="AO16" s="104">
        <f t="shared" ref="AO16" si="156">AM16/AN16</f>
        <v>0</v>
      </c>
      <c r="AP16" s="102"/>
      <c r="AQ16" s="1">
        <v>5</v>
      </c>
      <c r="AR16" s="104">
        <f t="shared" ref="AR16" si="157">AP16/AQ16</f>
        <v>0</v>
      </c>
      <c r="AS16" s="102"/>
      <c r="AT16" s="1">
        <v>5</v>
      </c>
      <c r="AU16" s="104">
        <f t="shared" ref="AU16" si="158">AS16/AT16</f>
        <v>0</v>
      </c>
      <c r="AV16" s="102"/>
      <c r="AW16" s="1">
        <v>5</v>
      </c>
      <c r="AX16" s="104">
        <f t="shared" ref="AX16" si="159">AV16/AW16</f>
        <v>0</v>
      </c>
      <c r="AY16" s="102"/>
      <c r="AZ16" s="1">
        <v>5</v>
      </c>
      <c r="BA16" s="104">
        <f t="shared" ref="BA16" si="160">AY16/AZ16</f>
        <v>0</v>
      </c>
      <c r="BB16" s="102"/>
      <c r="BC16" s="1">
        <v>5</v>
      </c>
      <c r="BD16" s="104">
        <f t="shared" ref="BD16" si="161">BB16/BC16</f>
        <v>0</v>
      </c>
      <c r="BE16" s="102"/>
      <c r="BF16" s="1">
        <v>5</v>
      </c>
      <c r="BG16" s="104">
        <f t="shared" ref="BG16" si="162">BE16/BF16</f>
        <v>0</v>
      </c>
      <c r="BH16" s="102"/>
      <c r="BI16" s="1">
        <v>5</v>
      </c>
      <c r="BJ16" s="104">
        <f t="shared" ref="BJ16" si="163">BH16/BI16</f>
        <v>0</v>
      </c>
      <c r="BK16" s="102"/>
      <c r="BL16" s="1">
        <v>5</v>
      </c>
      <c r="BM16" s="104">
        <f t="shared" ref="BM16" si="164">BK16/BL16</f>
        <v>0</v>
      </c>
      <c r="BN16" s="102"/>
      <c r="BO16" s="1">
        <v>5</v>
      </c>
      <c r="BP16" s="104">
        <f t="shared" ref="BP16" si="165">BN16/BO16</f>
        <v>0</v>
      </c>
      <c r="BQ16" s="102"/>
      <c r="BR16" s="1">
        <v>5</v>
      </c>
      <c r="BS16" s="104">
        <f t="shared" ref="BS16" si="166">BQ16/BR16</f>
        <v>0</v>
      </c>
      <c r="BT16" s="102"/>
      <c r="BU16" s="1">
        <v>5</v>
      </c>
      <c r="BV16" s="104">
        <f t="shared" ref="BV16" si="167">BT16/BU16</f>
        <v>0</v>
      </c>
      <c r="BW16" s="102"/>
      <c r="BX16" s="1">
        <v>5</v>
      </c>
      <c r="BY16" s="104">
        <f t="shared" ref="BY16" si="168">BW16/BX16</f>
        <v>0</v>
      </c>
      <c r="BZ16" s="102"/>
      <c r="CA16" s="1">
        <v>5</v>
      </c>
      <c r="CB16" s="104">
        <f t="shared" ref="CB16" si="169">BZ16/CA16</f>
        <v>0</v>
      </c>
      <c r="CC16" s="102"/>
      <c r="CD16" s="1">
        <v>5</v>
      </c>
      <c r="CE16" s="104">
        <f t="shared" ref="CE16" si="170">CC16/CD16</f>
        <v>0</v>
      </c>
      <c r="CF16" s="102"/>
      <c r="CG16" s="1">
        <v>5</v>
      </c>
      <c r="CH16" s="104">
        <f t="shared" ref="CH16" si="171">CF16/CG16</f>
        <v>0</v>
      </c>
      <c r="CI16" s="102"/>
      <c r="CJ16" s="1">
        <v>5</v>
      </c>
      <c r="CK16" s="104">
        <f t="shared" ref="CK16" si="172">CI16/CJ16</f>
        <v>0</v>
      </c>
      <c r="CL16" s="102"/>
      <c r="CM16" s="1">
        <v>5</v>
      </c>
      <c r="CN16" s="104">
        <f t="shared" ref="CN16" si="173">CL16/CM16</f>
        <v>0</v>
      </c>
      <c r="CO16" s="102"/>
      <c r="CP16" s="1">
        <v>5</v>
      </c>
      <c r="CQ16" s="104">
        <f t="shared" ref="CQ16" si="174">CO16/CP16</f>
        <v>0</v>
      </c>
      <c r="CR16" s="102"/>
      <c r="CS16" s="1">
        <v>5</v>
      </c>
      <c r="CT16" s="104">
        <f t="shared" ref="CT16" si="175">CR16/CS16</f>
        <v>0</v>
      </c>
      <c r="CU16" s="102"/>
      <c r="CV16" s="1">
        <v>5</v>
      </c>
      <c r="CW16" s="104">
        <f t="shared" ref="CW16" si="176">CU16/CV16</f>
        <v>0</v>
      </c>
      <c r="CX16" s="102"/>
      <c r="CY16" s="1">
        <v>5</v>
      </c>
      <c r="CZ16" s="104">
        <f t="shared" ref="CZ16" si="177">CX16/CY16</f>
        <v>0</v>
      </c>
      <c r="DA16" s="102"/>
      <c r="DB16" s="1">
        <v>5</v>
      </c>
      <c r="DC16" s="104">
        <f t="shared" ref="DC16" si="178">DA16/DB16</f>
        <v>0</v>
      </c>
      <c r="DD16" s="102"/>
      <c r="DE16" s="1">
        <v>5</v>
      </c>
      <c r="DF16" s="104">
        <f t="shared" ref="DF16" si="179">DD16/DE16</f>
        <v>0</v>
      </c>
      <c r="DG16" s="102"/>
      <c r="DH16" s="1">
        <v>5</v>
      </c>
      <c r="DI16" s="104">
        <f t="shared" ref="DI16" si="180">DG16/DH16</f>
        <v>0</v>
      </c>
      <c r="DJ16" s="102"/>
      <c r="DK16" s="1">
        <v>5</v>
      </c>
      <c r="DL16" s="104">
        <f t="shared" ref="DL16" si="181">DJ16/DK16</f>
        <v>0</v>
      </c>
      <c r="DM16" s="102"/>
      <c r="DN16" s="1">
        <v>5</v>
      </c>
      <c r="DO16" s="104">
        <f t="shared" ref="DO16" si="182">DM16/DN16</f>
        <v>0</v>
      </c>
      <c r="DP16" s="102"/>
      <c r="DQ16" s="1">
        <v>5</v>
      </c>
      <c r="DR16" s="104">
        <f t="shared" ref="DR16" si="183">DP16/DQ16</f>
        <v>0</v>
      </c>
      <c r="DS16" s="102"/>
      <c r="DT16" s="1">
        <v>5</v>
      </c>
      <c r="DU16" s="104">
        <f t="shared" ref="DU16" si="184">DS16/DT16</f>
        <v>0</v>
      </c>
      <c r="DV16" s="102"/>
      <c r="DW16" s="1">
        <v>5</v>
      </c>
      <c r="DX16" s="104">
        <f t="shared" ref="DX16" si="185">DV16/DW16</f>
        <v>0</v>
      </c>
      <c r="DY16" s="102"/>
      <c r="DZ16" s="1">
        <v>5</v>
      </c>
      <c r="EA16" s="104">
        <f t="shared" ref="EA16" si="186">DY16/DZ16</f>
        <v>0</v>
      </c>
      <c r="EB16" s="102"/>
      <c r="EC16" s="1">
        <v>5</v>
      </c>
      <c r="ED16" s="104">
        <f t="shared" ref="ED16" si="187">EB16/EC16</f>
        <v>0</v>
      </c>
      <c r="EE16" s="102"/>
      <c r="EF16" s="1">
        <v>5</v>
      </c>
      <c r="EG16" s="104">
        <f t="shared" ref="EG16" si="188">EE16/EF16</f>
        <v>0</v>
      </c>
      <c r="EH16" s="102"/>
      <c r="EI16" s="1">
        <v>5</v>
      </c>
      <c r="EJ16" s="104">
        <f t="shared" ref="EJ16" si="189">EH16/EI16</f>
        <v>0</v>
      </c>
      <c r="EK16" s="102"/>
      <c r="EL16" s="1">
        <v>5</v>
      </c>
      <c r="EM16" s="104">
        <f t="shared" ref="EM16" si="190">EK16/EL16</f>
        <v>0</v>
      </c>
      <c r="EN16" s="102"/>
      <c r="EO16" s="1">
        <v>5</v>
      </c>
      <c r="EP16" s="104">
        <f t="shared" ref="EP16" si="191">EN16/EO16</f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16" customHeight="1" spans="1:148" x14ac:dyDescent="0.25">
      <c r="A17" s="163" t="s">
        <v>89</v>
      </c>
      <c r="B17" s="125"/>
      <c r="C17" s="126"/>
      <c r="D17" s="127"/>
      <c r="E17" s="82">
        <f>AVERAGE(E18:E20)</f>
        <v>0</v>
      </c>
      <c r="F17" s="126"/>
      <c r="G17" s="127"/>
      <c r="H17" s="82">
        <f>AVERAGE(H18:H20)</f>
        <v>0</v>
      </c>
      <c r="I17" s="126"/>
      <c r="J17" s="127"/>
      <c r="K17" s="82">
        <f>AVERAGE(K18:K20)</f>
        <v>0</v>
      </c>
      <c r="L17" s="126"/>
      <c r="M17" s="127"/>
      <c r="N17" s="82">
        <f>AVERAGE(N18:N20)</f>
        <v>0</v>
      </c>
      <c r="O17" s="126"/>
      <c r="P17" s="127"/>
      <c r="Q17" s="82">
        <f>AVERAGE(Q18:Q20)</f>
        <v>0</v>
      </c>
      <c r="R17" s="126"/>
      <c r="S17" s="127"/>
      <c r="T17" s="82">
        <f>AVERAGE(T18:T20)</f>
        <v>0</v>
      </c>
      <c r="U17" s="126"/>
      <c r="V17" s="127"/>
      <c r="W17" s="82">
        <f>AVERAGE(W18:W20)</f>
        <v>0</v>
      </c>
      <c r="X17" s="126"/>
      <c r="Y17" s="127"/>
      <c r="Z17" s="82">
        <f>AVERAGE(Z18:Z20)</f>
        <v>0</v>
      </c>
      <c r="AA17" s="126"/>
      <c r="AB17" s="127"/>
      <c r="AC17" s="82">
        <f>AVERAGE(AC18:AC20)</f>
        <v>0</v>
      </c>
      <c r="AD17" s="126"/>
      <c r="AE17" s="127"/>
      <c r="AF17" s="82">
        <f>AVERAGE(AF18:AF20)</f>
        <v>0</v>
      </c>
      <c r="AG17" s="126"/>
      <c r="AH17" s="127"/>
      <c r="AI17" s="82">
        <f>AVERAGE(AI18:AI20)</f>
        <v>0</v>
      </c>
      <c r="AJ17" s="126"/>
      <c r="AK17" s="127"/>
      <c r="AL17" s="82">
        <f>AVERAGE(AL18:AL20)</f>
        <v>0</v>
      </c>
      <c r="AM17" s="128"/>
      <c r="AN17" s="127"/>
      <c r="AO17" s="82">
        <f>AVERAGE(AO18:AO20)</f>
        <v>0</v>
      </c>
      <c r="AP17" s="128"/>
      <c r="AQ17" s="129"/>
      <c r="AR17" s="82">
        <f>AVERAGE(AR18:AR20)</f>
        <v>0</v>
      </c>
      <c r="AS17" s="130"/>
      <c r="AT17" s="129"/>
      <c r="AU17" s="82">
        <f>AVERAGE(AU18:AU20)</f>
        <v>0</v>
      </c>
      <c r="AV17" s="128"/>
      <c r="AW17" s="127"/>
      <c r="AX17" s="82">
        <f>AVERAGE(AX18:AX20)</f>
        <v>0</v>
      </c>
      <c r="AY17" s="131"/>
      <c r="AZ17" s="132"/>
      <c r="BA17" s="82">
        <f>AVERAGE(BA18:BA20)</f>
        <v>0</v>
      </c>
      <c r="BB17" s="128"/>
      <c r="BC17" s="132"/>
      <c r="BD17" s="82">
        <f>AVERAGE(BD18:BD20)</f>
        <v>0</v>
      </c>
      <c r="BE17" s="128"/>
      <c r="BF17" s="132"/>
      <c r="BG17" s="82">
        <f>AVERAGE(BG18:BG20)</f>
        <v>0</v>
      </c>
      <c r="BH17" s="128"/>
      <c r="BI17" s="132"/>
      <c r="BJ17" s="82">
        <f>AVERAGE(BJ18:BJ20)</f>
        <v>0</v>
      </c>
      <c r="BK17" s="128"/>
      <c r="BL17" s="132"/>
      <c r="BM17" s="82">
        <f>AVERAGE(BM18:BM20)</f>
        <v>0</v>
      </c>
      <c r="BN17" s="128"/>
      <c r="BO17" s="132"/>
      <c r="BP17" s="82">
        <f>AVERAGE(BP18:BP20)</f>
        <v>0</v>
      </c>
      <c r="BQ17" s="128"/>
      <c r="BR17" s="132"/>
      <c r="BS17" s="82">
        <f>AVERAGE(BS18:BS20)</f>
        <v>0</v>
      </c>
      <c r="BT17" s="128"/>
      <c r="BU17" s="132"/>
      <c r="BV17" s="82">
        <f>AVERAGE(BV18:BV20)</f>
        <v>0</v>
      </c>
      <c r="BW17" s="128"/>
      <c r="BX17" s="132"/>
      <c r="BY17" s="82">
        <f>AVERAGE(BY18:BY20)</f>
        <v>0</v>
      </c>
      <c r="BZ17" s="126"/>
      <c r="CA17" s="127"/>
      <c r="CB17" s="82">
        <f>AVERAGE(CB18:CB20)</f>
        <v>0</v>
      </c>
      <c r="CC17" s="126"/>
      <c r="CD17" s="127"/>
      <c r="CE17" s="82">
        <f>AVERAGE(CE18:CE20)</f>
        <v>0</v>
      </c>
      <c r="CF17" s="126"/>
      <c r="CG17" s="127"/>
      <c r="CH17" s="82">
        <f>AVERAGE(CH18:CH20)</f>
        <v>0</v>
      </c>
      <c r="CI17" s="126"/>
      <c r="CJ17" s="127"/>
      <c r="CK17" s="82">
        <f>AVERAGE(CK18:CK20)</f>
        <v>0</v>
      </c>
      <c r="CL17" s="126"/>
      <c r="CM17" s="127"/>
      <c r="CN17" s="82">
        <f>AVERAGE(CN18:CN20)</f>
        <v>0</v>
      </c>
      <c r="CO17" s="126"/>
      <c r="CP17" s="127"/>
      <c r="CQ17" s="82">
        <f>AVERAGE(CQ18:CQ20)</f>
        <v>0</v>
      </c>
      <c r="CR17" s="126"/>
      <c r="CS17" s="127"/>
      <c r="CT17" s="82">
        <f>AVERAGE(CT18:CT20)</f>
        <v>0</v>
      </c>
      <c r="CU17" s="126"/>
      <c r="CV17" s="127"/>
      <c r="CW17" s="82">
        <f>AVERAGE(CW18:CW20)</f>
        <v>0</v>
      </c>
      <c r="CX17" s="126"/>
      <c r="CY17" s="127"/>
      <c r="CZ17" s="82">
        <f>AVERAGE(CZ18:CZ20)</f>
        <v>0</v>
      </c>
      <c r="DA17" s="126"/>
      <c r="DB17" s="127"/>
      <c r="DC17" s="82">
        <f>AVERAGE(DC18:DC20)</f>
        <v>0</v>
      </c>
      <c r="DD17" s="126"/>
      <c r="DE17" s="127"/>
      <c r="DF17" s="82">
        <f>AVERAGE(DF18:DF20)</f>
        <v>0</v>
      </c>
      <c r="DG17" s="126"/>
      <c r="DH17" s="127"/>
      <c r="DI17" s="82">
        <f>AVERAGE(DI18:DI20)</f>
        <v>0</v>
      </c>
      <c r="DJ17" s="126"/>
      <c r="DK17" s="127"/>
      <c r="DL17" s="82">
        <f>AVERAGE(DL18:DL20)</f>
        <v>0</v>
      </c>
      <c r="DM17" s="126"/>
      <c r="DN17" s="127"/>
      <c r="DO17" s="82">
        <f>AVERAGE(DO18:DO20)</f>
        <v>0</v>
      </c>
      <c r="DP17" s="126"/>
      <c r="DQ17" s="127"/>
      <c r="DR17" s="82">
        <f>AVERAGE(DR18:DR20)</f>
        <v>0</v>
      </c>
      <c r="DS17" s="126"/>
      <c r="DT17" s="127"/>
      <c r="DU17" s="82">
        <f>AVERAGE(DU18:DU20)</f>
        <v>0</v>
      </c>
      <c r="DV17" s="126"/>
      <c r="DW17" s="127"/>
      <c r="DX17" s="82">
        <f>AVERAGE(DX18:DX20)</f>
        <v>0</v>
      </c>
      <c r="DY17" s="126"/>
      <c r="DZ17" s="127"/>
      <c r="EA17" s="82">
        <f>AVERAGE(EA18:EA20)</f>
        <v>0</v>
      </c>
      <c r="EB17" s="126"/>
      <c r="EC17" s="127"/>
      <c r="ED17" s="82">
        <f>AVERAGE(ED18:ED20)</f>
        <v>0</v>
      </c>
      <c r="EE17" s="126"/>
      <c r="EF17" s="127"/>
      <c r="EG17" s="82">
        <f>AVERAGE(EG18:EG20)</f>
        <v>0</v>
      </c>
      <c r="EH17" s="126"/>
      <c r="EI17" s="127"/>
      <c r="EJ17" s="82">
        <f>AVERAGE(EJ18:EJ20)</f>
        <v>0</v>
      </c>
      <c r="EK17" s="126"/>
      <c r="EL17" s="127"/>
      <c r="EM17" s="82">
        <f>AVERAGE(EM18:EM20)</f>
        <v>0</v>
      </c>
      <c r="EN17" s="126"/>
      <c r="EO17" s="127"/>
      <c r="EP17" s="82">
        <f>AVERAGE(EP18:EP20)</f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27" customHeight="1" spans="1:148" x14ac:dyDescent="0.25">
      <c r="A18" s="164" t="s">
        <v>140</v>
      </c>
      <c r="B18" s="101"/>
      <c r="C18" s="90"/>
      <c r="D18" s="91">
        <v>5</v>
      </c>
      <c r="E18" s="92">
        <f>C18/D18</f>
        <v>0</v>
      </c>
      <c r="F18" s="90"/>
      <c r="G18" s="91">
        <v>5</v>
      </c>
      <c r="H18" s="92">
        <f>F18/G18</f>
        <v>0</v>
      </c>
      <c r="I18" s="93"/>
      <c r="J18" s="91">
        <v>5</v>
      </c>
      <c r="K18" s="92">
        <f>I18/J18</f>
        <v>0</v>
      </c>
      <c r="L18" s="93"/>
      <c r="M18" s="91">
        <v>5</v>
      </c>
      <c r="N18" s="92">
        <f>L18/M18</f>
        <v>0</v>
      </c>
      <c r="O18" s="94"/>
      <c r="P18" s="95">
        <v>5</v>
      </c>
      <c r="Q18" s="92">
        <f>O18/P18</f>
        <v>0</v>
      </c>
      <c r="R18" s="90"/>
      <c r="S18" s="95">
        <v>5</v>
      </c>
      <c r="T18" s="92">
        <f>R18/S18</f>
        <v>0</v>
      </c>
      <c r="U18" s="90"/>
      <c r="V18" s="95">
        <v>5</v>
      </c>
      <c r="W18" s="92">
        <f>U18/V18</f>
        <v>0</v>
      </c>
      <c r="X18" s="90"/>
      <c r="Y18" s="95">
        <v>5</v>
      </c>
      <c r="Z18" s="92">
        <f>X18/Y18</f>
        <v>0</v>
      </c>
      <c r="AA18" s="94"/>
      <c r="AB18" s="95">
        <v>5</v>
      </c>
      <c r="AC18" s="92">
        <f>AA18/AB18</f>
        <v>0</v>
      </c>
      <c r="AD18" s="94"/>
      <c r="AE18" s="95">
        <v>5</v>
      </c>
      <c r="AF18" s="92">
        <f>AD18/AE18</f>
        <v>0</v>
      </c>
      <c r="AG18" s="94"/>
      <c r="AH18" s="95">
        <v>5</v>
      </c>
      <c r="AI18" s="92">
        <f>AG18/AH18</f>
        <v>0</v>
      </c>
      <c r="AJ18" s="94"/>
      <c r="AK18" s="95">
        <v>5</v>
      </c>
      <c r="AL18" s="92">
        <f>AJ18/AK18</f>
        <v>0</v>
      </c>
      <c r="AM18" s="90"/>
      <c r="AN18" s="96">
        <v>5</v>
      </c>
      <c r="AO18" s="92">
        <f>AM18/AN18</f>
        <v>0</v>
      </c>
      <c r="AP18" s="90"/>
      <c r="AQ18" s="96">
        <v>5</v>
      </c>
      <c r="AR18" s="92">
        <f>AP18/AQ18</f>
        <v>0</v>
      </c>
      <c r="AS18" s="90"/>
      <c r="AT18" s="96">
        <v>5</v>
      </c>
      <c r="AU18" s="92">
        <f>AS18/AT18</f>
        <v>0</v>
      </c>
      <c r="AV18" s="90"/>
      <c r="AW18" s="96">
        <v>5</v>
      </c>
      <c r="AX18" s="92">
        <f>AV18/AW18</f>
        <v>0</v>
      </c>
      <c r="AY18" s="90"/>
      <c r="AZ18" s="96">
        <v>5</v>
      </c>
      <c r="BA18" s="92">
        <f>AY18/AZ18</f>
        <v>0</v>
      </c>
      <c r="BB18" s="90"/>
      <c r="BC18" s="96">
        <v>5</v>
      </c>
      <c r="BD18" s="92">
        <f>BB18/BC18</f>
        <v>0</v>
      </c>
      <c r="BE18" s="90"/>
      <c r="BF18" s="96">
        <v>5</v>
      </c>
      <c r="BG18" s="92">
        <f>BE18/BF18</f>
        <v>0</v>
      </c>
      <c r="BH18" s="90"/>
      <c r="BI18" s="96">
        <v>5</v>
      </c>
      <c r="BJ18" s="92">
        <f>BH18/BI18</f>
        <v>0</v>
      </c>
      <c r="BK18" s="90"/>
      <c r="BL18" s="96">
        <v>5</v>
      </c>
      <c r="BM18" s="92">
        <f>BK18/BL18</f>
        <v>0</v>
      </c>
      <c r="BN18" s="90"/>
      <c r="BO18" s="96">
        <v>5</v>
      </c>
      <c r="BP18" s="92">
        <f>BN18/BO18</f>
        <v>0</v>
      </c>
      <c r="BQ18" s="90"/>
      <c r="BR18" s="96">
        <v>5</v>
      </c>
      <c r="BS18" s="92">
        <f>BQ18/BR18</f>
        <v>0</v>
      </c>
      <c r="BT18" s="90"/>
      <c r="BU18" s="96">
        <v>5</v>
      </c>
      <c r="BV18" s="92">
        <f>BT18/BU18</f>
        <v>0</v>
      </c>
      <c r="BW18" s="90"/>
      <c r="BX18" s="96">
        <v>5</v>
      </c>
      <c r="BY18" s="92">
        <f>BW18/BX18</f>
        <v>0</v>
      </c>
      <c r="BZ18" s="90"/>
      <c r="CA18" s="96">
        <v>5</v>
      </c>
      <c r="CB18" s="92">
        <f>BZ18/CA18</f>
        <v>0</v>
      </c>
      <c r="CC18" s="90"/>
      <c r="CD18" s="96">
        <v>5</v>
      </c>
      <c r="CE18" s="92">
        <f>CC18/CD18</f>
        <v>0</v>
      </c>
      <c r="CF18" s="90"/>
      <c r="CG18" s="96">
        <v>5</v>
      </c>
      <c r="CH18" s="92">
        <f>CF18/CG18</f>
        <v>0</v>
      </c>
      <c r="CI18" s="90"/>
      <c r="CJ18" s="96">
        <v>5</v>
      </c>
      <c r="CK18" s="92">
        <f>CI18/CJ18</f>
        <v>0</v>
      </c>
      <c r="CL18" s="90"/>
      <c r="CM18" s="96">
        <v>5</v>
      </c>
      <c r="CN18" s="92">
        <f>CL18/CM18</f>
        <v>0</v>
      </c>
      <c r="CO18" s="90"/>
      <c r="CP18" s="96">
        <v>5</v>
      </c>
      <c r="CQ18" s="92">
        <f>CO18/CP18</f>
        <v>0</v>
      </c>
      <c r="CR18" s="90"/>
      <c r="CS18" s="96">
        <v>5</v>
      </c>
      <c r="CT18" s="92">
        <f>CR18/CS18</f>
        <v>0</v>
      </c>
      <c r="CU18" s="90"/>
      <c r="CV18" s="96">
        <v>5</v>
      </c>
      <c r="CW18" s="92">
        <f>CU18/CV18</f>
        <v>0</v>
      </c>
      <c r="CX18" s="90"/>
      <c r="CY18" s="96">
        <v>5</v>
      </c>
      <c r="CZ18" s="92">
        <f>CX18/CY18</f>
        <v>0</v>
      </c>
      <c r="DA18" s="90"/>
      <c r="DB18" s="96">
        <v>5</v>
      </c>
      <c r="DC18" s="92">
        <f>DA18/DB18</f>
        <v>0</v>
      </c>
      <c r="DD18" s="90"/>
      <c r="DE18" s="96">
        <v>5</v>
      </c>
      <c r="DF18" s="92">
        <f>DD18/DE18</f>
        <v>0</v>
      </c>
      <c r="DG18" s="90"/>
      <c r="DH18" s="96">
        <v>5</v>
      </c>
      <c r="DI18" s="92">
        <f>DG18/DH18</f>
        <v>0</v>
      </c>
      <c r="DJ18" s="90"/>
      <c r="DK18" s="96">
        <v>5</v>
      </c>
      <c r="DL18" s="92">
        <f>DJ18/DK18</f>
        <v>0</v>
      </c>
      <c r="DM18" s="90"/>
      <c r="DN18" s="96">
        <v>5</v>
      </c>
      <c r="DO18" s="92">
        <f>DM18/DN18</f>
        <v>0</v>
      </c>
      <c r="DP18" s="90"/>
      <c r="DQ18" s="96">
        <v>5</v>
      </c>
      <c r="DR18" s="92">
        <f>DP18/DQ18</f>
        <v>0</v>
      </c>
      <c r="DS18" s="90"/>
      <c r="DT18" s="96">
        <v>5</v>
      </c>
      <c r="DU18" s="92">
        <f>DS18/DT18</f>
        <v>0</v>
      </c>
      <c r="DV18" s="90"/>
      <c r="DW18" s="96">
        <v>5</v>
      </c>
      <c r="DX18" s="92">
        <f>DV18/DW18</f>
        <v>0</v>
      </c>
      <c r="DY18" s="90"/>
      <c r="DZ18" s="96">
        <v>5</v>
      </c>
      <c r="EA18" s="92">
        <f>DY18/DZ18</f>
        <v>0</v>
      </c>
      <c r="EB18" s="90"/>
      <c r="EC18" s="96">
        <v>5</v>
      </c>
      <c r="ED18" s="92">
        <f>EB18/EC18</f>
        <v>0</v>
      </c>
      <c r="EE18" s="90"/>
      <c r="EF18" s="96">
        <v>5</v>
      </c>
      <c r="EG18" s="92">
        <f>EE18/EF18</f>
        <v>0</v>
      </c>
      <c r="EH18" s="90"/>
      <c r="EI18" s="96">
        <v>5</v>
      </c>
      <c r="EJ18" s="92">
        <f>EH18/EI18</f>
        <v>0</v>
      </c>
      <c r="EK18" s="90"/>
      <c r="EL18" s="96">
        <v>5</v>
      </c>
      <c r="EM18" s="92">
        <f>EK18/EL18</f>
        <v>0</v>
      </c>
      <c r="EN18" s="90"/>
      <c r="EO18" s="96">
        <v>5</v>
      </c>
      <c r="EP18" s="92">
        <f>EN18/EO18</f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40.5" customHeight="1" spans="1:148" x14ac:dyDescent="0.25">
      <c r="A19" s="165" t="s">
        <v>141</v>
      </c>
      <c r="B19" s="166"/>
      <c r="C19" s="102"/>
      <c r="D19" s="103">
        <v>5</v>
      </c>
      <c r="E19" s="104">
        <f t="shared" ref="E19:E20" si="192">C19/D19</f>
        <v>0</v>
      </c>
      <c r="F19" s="102"/>
      <c r="G19" s="103">
        <v>5</v>
      </c>
      <c r="H19" s="104">
        <f t="shared" ref="H19:H20" si="193">F19/G19</f>
        <v>0</v>
      </c>
      <c r="I19" s="105"/>
      <c r="J19" s="103">
        <v>5</v>
      </c>
      <c r="K19" s="104">
        <f t="shared" ref="K19:K20" si="194">I19/J19</f>
        <v>0</v>
      </c>
      <c r="L19" s="105"/>
      <c r="M19" s="103">
        <v>5</v>
      </c>
      <c r="N19" s="104">
        <f t="shared" ref="N19:N20" si="195">L19/M19</f>
        <v>0</v>
      </c>
      <c r="O19" s="106"/>
      <c r="P19" s="107">
        <v>5</v>
      </c>
      <c r="Q19" s="104">
        <f t="shared" ref="Q19:Q20" si="196">O19/P19</f>
        <v>0</v>
      </c>
      <c r="R19" s="102"/>
      <c r="S19" s="107">
        <v>5</v>
      </c>
      <c r="T19" s="104">
        <f t="shared" ref="T19:T20" si="197">R19/S19</f>
        <v>0</v>
      </c>
      <c r="U19" s="102"/>
      <c r="V19" s="107">
        <v>5</v>
      </c>
      <c r="W19" s="104">
        <f t="shared" ref="W19:W20" si="198">U19/V19</f>
        <v>0</v>
      </c>
      <c r="X19" s="102"/>
      <c r="Y19" s="107">
        <v>5</v>
      </c>
      <c r="Z19" s="104">
        <f t="shared" ref="Z19:Z20" si="199">X19/Y19</f>
        <v>0</v>
      </c>
      <c r="AA19" s="106"/>
      <c r="AB19" s="107">
        <v>5</v>
      </c>
      <c r="AC19" s="104">
        <f t="shared" ref="AC19:AC20" si="200">AA19/AB19</f>
        <v>0</v>
      </c>
      <c r="AD19" s="106"/>
      <c r="AE19" s="107">
        <v>5</v>
      </c>
      <c r="AF19" s="104">
        <f t="shared" ref="AF19:AF20" si="201">AD19/AE19</f>
        <v>0</v>
      </c>
      <c r="AG19" s="106"/>
      <c r="AH19" s="107">
        <v>5</v>
      </c>
      <c r="AI19" s="104">
        <f t="shared" ref="AI19:AI20" si="202">AG19/AH19</f>
        <v>0</v>
      </c>
      <c r="AJ19" s="106"/>
      <c r="AK19" s="107">
        <v>5</v>
      </c>
      <c r="AL19" s="104">
        <f t="shared" ref="AL19:AL20" si="203">AJ19/AK19</f>
        <v>0</v>
      </c>
      <c r="AM19" s="102"/>
      <c r="AN19" s="1">
        <v>5</v>
      </c>
      <c r="AO19" s="104">
        <f t="shared" ref="AO19:AO20" si="204">AM19/AN19</f>
        <v>0</v>
      </c>
      <c r="AP19" s="102"/>
      <c r="AQ19" s="1">
        <v>5</v>
      </c>
      <c r="AR19" s="104">
        <f t="shared" ref="AR19:AR20" si="205">AP19/AQ19</f>
        <v>0</v>
      </c>
      <c r="AS19" s="102"/>
      <c r="AT19" s="1">
        <v>5</v>
      </c>
      <c r="AU19" s="104">
        <f t="shared" ref="AU19:AU20" si="206">AS19/AT19</f>
        <v>0</v>
      </c>
      <c r="AV19" s="102"/>
      <c r="AW19" s="1">
        <v>5</v>
      </c>
      <c r="AX19" s="104">
        <f t="shared" ref="AX19:AX20" si="207">AV19/AW19</f>
        <v>0</v>
      </c>
      <c r="AY19" s="102"/>
      <c r="AZ19" s="1">
        <v>5</v>
      </c>
      <c r="BA19" s="104">
        <f t="shared" ref="BA19:BA20" si="208">AY19/AZ19</f>
        <v>0</v>
      </c>
      <c r="BB19" s="102"/>
      <c r="BC19" s="1">
        <v>5</v>
      </c>
      <c r="BD19" s="104">
        <f t="shared" ref="BD19:BD20" si="209">BB19/BC19</f>
        <v>0</v>
      </c>
      <c r="BE19" s="102"/>
      <c r="BF19" s="1">
        <v>5</v>
      </c>
      <c r="BG19" s="104">
        <f t="shared" ref="BG19:BG20" si="210">BE19/BF19</f>
        <v>0</v>
      </c>
      <c r="BH19" s="102"/>
      <c r="BI19" s="1">
        <v>5</v>
      </c>
      <c r="BJ19" s="104">
        <f t="shared" ref="BJ19:BJ20" si="211">BH19/BI19</f>
        <v>0</v>
      </c>
      <c r="BK19" s="102"/>
      <c r="BL19" s="1">
        <v>5</v>
      </c>
      <c r="BM19" s="104">
        <f t="shared" ref="BM19:BM20" si="212">BK19/BL19</f>
        <v>0</v>
      </c>
      <c r="BN19" s="102"/>
      <c r="BO19" s="1">
        <v>5</v>
      </c>
      <c r="BP19" s="104">
        <f t="shared" ref="BP19:BP20" si="213">BN19/BO19</f>
        <v>0</v>
      </c>
      <c r="BQ19" s="102"/>
      <c r="BR19" s="1">
        <v>5</v>
      </c>
      <c r="BS19" s="104">
        <f t="shared" ref="BS19:BS20" si="214">BQ19/BR19</f>
        <v>0</v>
      </c>
      <c r="BT19" s="102"/>
      <c r="BU19" s="1">
        <v>5</v>
      </c>
      <c r="BV19" s="104">
        <f t="shared" ref="BV19:BV20" si="215">BT19/BU19</f>
        <v>0</v>
      </c>
      <c r="BW19" s="102"/>
      <c r="BX19" s="1">
        <v>5</v>
      </c>
      <c r="BY19" s="104">
        <f t="shared" ref="BY19:BY20" si="216">BW19/BX19</f>
        <v>0</v>
      </c>
      <c r="BZ19" s="102"/>
      <c r="CA19" s="1">
        <v>5</v>
      </c>
      <c r="CB19" s="104">
        <f t="shared" ref="CB19:CB20" si="217">BZ19/CA19</f>
        <v>0</v>
      </c>
      <c r="CC19" s="102"/>
      <c r="CD19" s="1">
        <v>5</v>
      </c>
      <c r="CE19" s="104">
        <f t="shared" ref="CE19:CE20" si="218">CC19/CD19</f>
        <v>0</v>
      </c>
      <c r="CF19" s="102"/>
      <c r="CG19" s="1">
        <v>5</v>
      </c>
      <c r="CH19" s="104">
        <f t="shared" ref="CH19:CH20" si="219">CF19/CG19</f>
        <v>0</v>
      </c>
      <c r="CI19" s="102"/>
      <c r="CJ19" s="1">
        <v>5</v>
      </c>
      <c r="CK19" s="104">
        <f t="shared" ref="CK19:CK20" si="220">CI19/CJ19</f>
        <v>0</v>
      </c>
      <c r="CL19" s="102"/>
      <c r="CM19" s="1">
        <v>5</v>
      </c>
      <c r="CN19" s="104">
        <f t="shared" ref="CN19:CN20" si="221">CL19/CM19</f>
        <v>0</v>
      </c>
      <c r="CO19" s="102"/>
      <c r="CP19" s="1">
        <v>5</v>
      </c>
      <c r="CQ19" s="104">
        <f t="shared" ref="CQ19:CQ20" si="222">CO19/CP19</f>
        <v>0</v>
      </c>
      <c r="CR19" s="102"/>
      <c r="CS19" s="1">
        <v>5</v>
      </c>
      <c r="CT19" s="104">
        <f t="shared" ref="CT19:CT20" si="223">CR19/CS19</f>
        <v>0</v>
      </c>
      <c r="CU19" s="102"/>
      <c r="CV19" s="1">
        <v>5</v>
      </c>
      <c r="CW19" s="104">
        <f t="shared" ref="CW19:CW20" si="224">CU19/CV19</f>
        <v>0</v>
      </c>
      <c r="CX19" s="102"/>
      <c r="CY19" s="1">
        <v>5</v>
      </c>
      <c r="CZ19" s="104">
        <f t="shared" ref="CZ19:CZ20" si="225">CX19/CY19</f>
        <v>0</v>
      </c>
      <c r="DA19" s="102"/>
      <c r="DB19" s="1">
        <v>5</v>
      </c>
      <c r="DC19" s="104">
        <f t="shared" ref="DC19:DC20" si="226">DA19/DB19</f>
        <v>0</v>
      </c>
      <c r="DD19" s="102"/>
      <c r="DE19" s="1">
        <v>5</v>
      </c>
      <c r="DF19" s="104">
        <f t="shared" ref="DF19:DF20" si="227">DD19/DE19</f>
        <v>0</v>
      </c>
      <c r="DG19" s="102"/>
      <c r="DH19" s="1">
        <v>5</v>
      </c>
      <c r="DI19" s="104">
        <f t="shared" ref="DI19:DI20" si="228">DG19/DH19</f>
        <v>0</v>
      </c>
      <c r="DJ19" s="102"/>
      <c r="DK19" s="1">
        <v>5</v>
      </c>
      <c r="DL19" s="104">
        <f t="shared" ref="DL19:DL20" si="229">DJ19/DK19</f>
        <v>0</v>
      </c>
      <c r="DM19" s="102"/>
      <c r="DN19" s="1">
        <v>5</v>
      </c>
      <c r="DO19" s="104">
        <f t="shared" ref="DO19:DO20" si="230">DM19/DN19</f>
        <v>0</v>
      </c>
      <c r="DP19" s="102"/>
      <c r="DQ19" s="1">
        <v>5</v>
      </c>
      <c r="DR19" s="104">
        <f t="shared" ref="DR19:DR20" si="231">DP19/DQ19</f>
        <v>0</v>
      </c>
      <c r="DS19" s="102"/>
      <c r="DT19" s="1">
        <v>5</v>
      </c>
      <c r="DU19" s="104">
        <f t="shared" ref="DU19:DU20" si="232">DS19/DT19</f>
        <v>0</v>
      </c>
      <c r="DV19" s="102"/>
      <c r="DW19" s="1">
        <v>5</v>
      </c>
      <c r="DX19" s="104">
        <f t="shared" ref="DX19:DX20" si="233">DV19/DW19</f>
        <v>0</v>
      </c>
      <c r="DY19" s="102"/>
      <c r="DZ19" s="1">
        <v>5</v>
      </c>
      <c r="EA19" s="104">
        <f t="shared" ref="EA19:EA20" si="234">DY19/DZ19</f>
        <v>0</v>
      </c>
      <c r="EB19" s="102"/>
      <c r="EC19" s="1">
        <v>5</v>
      </c>
      <c r="ED19" s="104">
        <f t="shared" ref="ED19:ED20" si="235">EB19/EC19</f>
        <v>0</v>
      </c>
      <c r="EE19" s="102"/>
      <c r="EF19" s="1">
        <v>5</v>
      </c>
      <c r="EG19" s="104">
        <f t="shared" ref="EG19:EG20" si="236">EE19/EF19</f>
        <v>0</v>
      </c>
      <c r="EH19" s="102"/>
      <c r="EI19" s="1">
        <v>5</v>
      </c>
      <c r="EJ19" s="104">
        <f t="shared" ref="EJ19:EJ20" si="237">EH19/EI19</f>
        <v>0</v>
      </c>
      <c r="EK19" s="102"/>
      <c r="EL19" s="1">
        <v>5</v>
      </c>
      <c r="EM19" s="104">
        <f t="shared" ref="EM19:EM20" si="238">EK19/EL19</f>
        <v>0</v>
      </c>
      <c r="EN19" s="102"/>
      <c r="EO19" s="1">
        <v>5</v>
      </c>
      <c r="EP19" s="104">
        <f t="shared" ref="EP19:EP20" si="239">EN19/EO19</f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32" customHeight="1" spans="1:148" x14ac:dyDescent="0.25">
      <c r="A20" s="167" t="s">
        <v>91</v>
      </c>
      <c r="B20" s="133"/>
      <c r="C20" s="102"/>
      <c r="D20" s="103">
        <v>5</v>
      </c>
      <c r="E20" s="104">
        <f t="shared" si="192"/>
        <v>0</v>
      </c>
      <c r="F20" s="102"/>
      <c r="G20" s="103">
        <v>5</v>
      </c>
      <c r="H20" s="104">
        <f t="shared" si="193"/>
        <v>0</v>
      </c>
      <c r="I20" s="105"/>
      <c r="J20" s="103">
        <v>5</v>
      </c>
      <c r="K20" s="104">
        <f t="shared" si="194"/>
        <v>0</v>
      </c>
      <c r="L20" s="105"/>
      <c r="M20" s="103">
        <v>5</v>
      </c>
      <c r="N20" s="104">
        <f t="shared" si="195"/>
        <v>0</v>
      </c>
      <c r="O20" s="106"/>
      <c r="P20" s="107">
        <v>5</v>
      </c>
      <c r="Q20" s="104">
        <f t="shared" si="196"/>
        <v>0</v>
      </c>
      <c r="R20" s="102"/>
      <c r="S20" s="107">
        <v>5</v>
      </c>
      <c r="T20" s="104">
        <f t="shared" si="197"/>
        <v>0</v>
      </c>
      <c r="U20" s="102"/>
      <c r="V20" s="107">
        <v>5</v>
      </c>
      <c r="W20" s="104">
        <f t="shared" si="198"/>
        <v>0</v>
      </c>
      <c r="X20" s="102"/>
      <c r="Y20" s="107">
        <v>5</v>
      </c>
      <c r="Z20" s="104">
        <f t="shared" si="199"/>
        <v>0</v>
      </c>
      <c r="AA20" s="106"/>
      <c r="AB20" s="107">
        <v>5</v>
      </c>
      <c r="AC20" s="104">
        <f t="shared" si="200"/>
        <v>0</v>
      </c>
      <c r="AD20" s="106"/>
      <c r="AE20" s="107">
        <v>5</v>
      </c>
      <c r="AF20" s="104">
        <f t="shared" si="201"/>
        <v>0</v>
      </c>
      <c r="AG20" s="106"/>
      <c r="AH20" s="107">
        <v>5</v>
      </c>
      <c r="AI20" s="104">
        <f t="shared" si="202"/>
        <v>0</v>
      </c>
      <c r="AJ20" s="106"/>
      <c r="AK20" s="107">
        <v>5</v>
      </c>
      <c r="AL20" s="104">
        <f t="shared" si="203"/>
        <v>0</v>
      </c>
      <c r="AM20" s="102"/>
      <c r="AN20" s="1">
        <v>5</v>
      </c>
      <c r="AO20" s="104">
        <f t="shared" si="204"/>
        <v>0</v>
      </c>
      <c r="AP20" s="102"/>
      <c r="AQ20" s="1">
        <v>5</v>
      </c>
      <c r="AR20" s="104">
        <f t="shared" si="205"/>
        <v>0</v>
      </c>
      <c r="AS20" s="102"/>
      <c r="AT20" s="1">
        <v>5</v>
      </c>
      <c r="AU20" s="104">
        <f t="shared" si="206"/>
        <v>0</v>
      </c>
      <c r="AV20" s="102"/>
      <c r="AW20" s="1">
        <v>5</v>
      </c>
      <c r="AX20" s="104">
        <f t="shared" si="207"/>
        <v>0</v>
      </c>
      <c r="AY20" s="102"/>
      <c r="AZ20" s="1">
        <v>5</v>
      </c>
      <c r="BA20" s="104">
        <f t="shared" si="208"/>
        <v>0</v>
      </c>
      <c r="BB20" s="102"/>
      <c r="BC20" s="1">
        <v>5</v>
      </c>
      <c r="BD20" s="104">
        <f t="shared" si="209"/>
        <v>0</v>
      </c>
      <c r="BE20" s="102"/>
      <c r="BF20" s="1">
        <v>5</v>
      </c>
      <c r="BG20" s="104">
        <f t="shared" si="210"/>
        <v>0</v>
      </c>
      <c r="BH20" s="102"/>
      <c r="BI20" s="1">
        <v>5</v>
      </c>
      <c r="BJ20" s="104">
        <f t="shared" si="211"/>
        <v>0</v>
      </c>
      <c r="BK20" s="102"/>
      <c r="BL20" s="1">
        <v>5</v>
      </c>
      <c r="BM20" s="104">
        <f t="shared" si="212"/>
        <v>0</v>
      </c>
      <c r="BN20" s="102"/>
      <c r="BO20" s="1">
        <v>5</v>
      </c>
      <c r="BP20" s="104">
        <f t="shared" si="213"/>
        <v>0</v>
      </c>
      <c r="BQ20" s="102"/>
      <c r="BR20" s="1">
        <v>5</v>
      </c>
      <c r="BS20" s="104">
        <f t="shared" si="214"/>
        <v>0</v>
      </c>
      <c r="BT20" s="102"/>
      <c r="BU20" s="1">
        <v>5</v>
      </c>
      <c r="BV20" s="104">
        <f t="shared" si="215"/>
        <v>0</v>
      </c>
      <c r="BW20" s="102"/>
      <c r="BX20" s="1">
        <v>5</v>
      </c>
      <c r="BY20" s="104">
        <f t="shared" si="216"/>
        <v>0</v>
      </c>
      <c r="BZ20" s="102"/>
      <c r="CA20" s="1">
        <v>5</v>
      </c>
      <c r="CB20" s="104">
        <f t="shared" si="217"/>
        <v>0</v>
      </c>
      <c r="CC20" s="102"/>
      <c r="CD20" s="1">
        <v>5</v>
      </c>
      <c r="CE20" s="104">
        <f t="shared" si="218"/>
        <v>0</v>
      </c>
      <c r="CF20" s="102"/>
      <c r="CG20" s="1">
        <v>5</v>
      </c>
      <c r="CH20" s="104">
        <f t="shared" si="219"/>
        <v>0</v>
      </c>
      <c r="CI20" s="102"/>
      <c r="CJ20" s="1">
        <v>5</v>
      </c>
      <c r="CK20" s="104">
        <f t="shared" si="220"/>
        <v>0</v>
      </c>
      <c r="CL20" s="102"/>
      <c r="CM20" s="1">
        <v>5</v>
      </c>
      <c r="CN20" s="104">
        <f t="shared" si="221"/>
        <v>0</v>
      </c>
      <c r="CO20" s="102"/>
      <c r="CP20" s="1">
        <v>5</v>
      </c>
      <c r="CQ20" s="104">
        <f t="shared" si="222"/>
        <v>0</v>
      </c>
      <c r="CR20" s="102"/>
      <c r="CS20" s="1">
        <v>5</v>
      </c>
      <c r="CT20" s="104">
        <f t="shared" si="223"/>
        <v>0</v>
      </c>
      <c r="CU20" s="102"/>
      <c r="CV20" s="1">
        <v>5</v>
      </c>
      <c r="CW20" s="104">
        <f t="shared" si="224"/>
        <v>0</v>
      </c>
      <c r="CX20" s="102"/>
      <c r="CY20" s="1">
        <v>5</v>
      </c>
      <c r="CZ20" s="104">
        <f t="shared" si="225"/>
        <v>0</v>
      </c>
      <c r="DA20" s="102"/>
      <c r="DB20" s="1">
        <v>5</v>
      </c>
      <c r="DC20" s="104">
        <f t="shared" si="226"/>
        <v>0</v>
      </c>
      <c r="DD20" s="102"/>
      <c r="DE20" s="1">
        <v>5</v>
      </c>
      <c r="DF20" s="104">
        <f t="shared" si="227"/>
        <v>0</v>
      </c>
      <c r="DG20" s="102"/>
      <c r="DH20" s="1">
        <v>5</v>
      </c>
      <c r="DI20" s="104">
        <f t="shared" si="228"/>
        <v>0</v>
      </c>
      <c r="DJ20" s="102"/>
      <c r="DK20" s="1">
        <v>5</v>
      </c>
      <c r="DL20" s="104">
        <f t="shared" si="229"/>
        <v>0</v>
      </c>
      <c r="DM20" s="102"/>
      <c r="DN20" s="1">
        <v>5</v>
      </c>
      <c r="DO20" s="104">
        <f t="shared" si="230"/>
        <v>0</v>
      </c>
      <c r="DP20" s="102"/>
      <c r="DQ20" s="1">
        <v>5</v>
      </c>
      <c r="DR20" s="104">
        <f t="shared" si="231"/>
        <v>0</v>
      </c>
      <c r="DS20" s="102"/>
      <c r="DT20" s="1">
        <v>5</v>
      </c>
      <c r="DU20" s="104">
        <f t="shared" si="232"/>
        <v>0</v>
      </c>
      <c r="DV20" s="102"/>
      <c r="DW20" s="1">
        <v>5</v>
      </c>
      <c r="DX20" s="104">
        <f t="shared" si="233"/>
        <v>0</v>
      </c>
      <c r="DY20" s="102"/>
      <c r="DZ20" s="1">
        <v>5</v>
      </c>
      <c r="EA20" s="104">
        <f t="shared" si="234"/>
        <v>0</v>
      </c>
      <c r="EB20" s="102"/>
      <c r="EC20" s="1">
        <v>5</v>
      </c>
      <c r="ED20" s="104">
        <f t="shared" si="235"/>
        <v>0</v>
      </c>
      <c r="EE20" s="102"/>
      <c r="EF20" s="1">
        <v>5</v>
      </c>
      <c r="EG20" s="104">
        <f t="shared" si="236"/>
        <v>0</v>
      </c>
      <c r="EH20" s="102"/>
      <c r="EI20" s="1">
        <v>5</v>
      </c>
      <c r="EJ20" s="104">
        <f t="shared" si="237"/>
        <v>0</v>
      </c>
      <c r="EK20" s="102"/>
      <c r="EL20" s="1">
        <v>5</v>
      </c>
      <c r="EM20" s="104">
        <f t="shared" si="238"/>
        <v>0</v>
      </c>
      <c r="EN20" s="102"/>
      <c r="EO20" s="1">
        <v>5</v>
      </c>
      <c r="EP20" s="104">
        <f t="shared" si="239"/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16" customHeight="1" spans="1:148" x14ac:dyDescent="0.25">
      <c r="A21" s="163" t="s">
        <v>93</v>
      </c>
      <c r="B21" s="125"/>
      <c r="C21" s="126"/>
      <c r="D21" s="127"/>
      <c r="E21" s="82">
        <f>AVERAGE(E22:E33)</f>
        <v>0</v>
      </c>
      <c r="F21" s="126"/>
      <c r="G21" s="127"/>
      <c r="H21" s="82">
        <f>AVERAGE(H22:H33)</f>
        <v>0</v>
      </c>
      <c r="I21" s="126"/>
      <c r="J21" s="127"/>
      <c r="K21" s="82">
        <f>AVERAGE(K22:K33)</f>
        <v>0</v>
      </c>
      <c r="L21" s="126"/>
      <c r="M21" s="127"/>
      <c r="N21" s="82">
        <f>AVERAGE(N22:N33)</f>
        <v>0</v>
      </c>
      <c r="O21" s="126"/>
      <c r="P21" s="127"/>
      <c r="Q21" s="82">
        <f>AVERAGE(Q22:Q33)</f>
        <v>0</v>
      </c>
      <c r="R21" s="126"/>
      <c r="S21" s="127"/>
      <c r="T21" s="82">
        <f>AVERAGE(T22:T33)</f>
        <v>0</v>
      </c>
      <c r="U21" s="126"/>
      <c r="V21" s="127"/>
      <c r="W21" s="82">
        <f>AVERAGE(W22:W33)</f>
        <v>0</v>
      </c>
      <c r="X21" s="126"/>
      <c r="Y21" s="127"/>
      <c r="Z21" s="82">
        <f>AVERAGE(Z22:Z33)</f>
        <v>0</v>
      </c>
      <c r="AA21" s="126"/>
      <c r="AB21" s="127"/>
      <c r="AC21" s="82">
        <f>AVERAGE(AC22:AC33)</f>
        <v>0</v>
      </c>
      <c r="AD21" s="126"/>
      <c r="AE21" s="127"/>
      <c r="AF21" s="82">
        <f>AVERAGE(AF22:AF33)</f>
        <v>0</v>
      </c>
      <c r="AG21" s="126"/>
      <c r="AH21" s="127"/>
      <c r="AI21" s="82">
        <f>AVERAGE(AI22:AI33)</f>
        <v>0</v>
      </c>
      <c r="AJ21" s="126"/>
      <c r="AK21" s="127"/>
      <c r="AL21" s="82">
        <f>AVERAGE(AL22:AL33)</f>
        <v>0</v>
      </c>
      <c r="AM21" s="128"/>
      <c r="AN21" s="127"/>
      <c r="AO21" s="82">
        <f>AVERAGE(AO22:AO33)</f>
        <v>0</v>
      </c>
      <c r="AP21" s="128"/>
      <c r="AQ21" s="129"/>
      <c r="AR21" s="82">
        <f>AVERAGE(AR22:AR33)</f>
        <v>0</v>
      </c>
      <c r="AS21" s="130"/>
      <c r="AT21" s="129"/>
      <c r="AU21" s="82">
        <f>AVERAGE(AU22:AU33)</f>
        <v>0</v>
      </c>
      <c r="AV21" s="128"/>
      <c r="AW21" s="127"/>
      <c r="AX21" s="82">
        <f>AVERAGE(AX22:AX33)</f>
        <v>0</v>
      </c>
      <c r="AY21" s="131"/>
      <c r="AZ21" s="132"/>
      <c r="BA21" s="82">
        <f>AVERAGE(BA22:BA33)</f>
        <v>0</v>
      </c>
      <c r="BB21" s="128"/>
      <c r="BC21" s="132"/>
      <c r="BD21" s="82">
        <f>AVERAGE(BD22:BD33)</f>
        <v>0</v>
      </c>
      <c r="BE21" s="128"/>
      <c r="BF21" s="132"/>
      <c r="BG21" s="82">
        <f>AVERAGE(BG22:BG33)</f>
        <v>0</v>
      </c>
      <c r="BH21" s="128"/>
      <c r="BI21" s="132"/>
      <c r="BJ21" s="82">
        <f>AVERAGE(BJ22:BJ33)</f>
        <v>0</v>
      </c>
      <c r="BK21" s="128"/>
      <c r="BL21" s="132"/>
      <c r="BM21" s="82">
        <f>AVERAGE(BM22:BM33)</f>
        <v>0</v>
      </c>
      <c r="BN21" s="128"/>
      <c r="BO21" s="132"/>
      <c r="BP21" s="82">
        <f>AVERAGE(BP22:BP33)</f>
        <v>0</v>
      </c>
      <c r="BQ21" s="128"/>
      <c r="BR21" s="132"/>
      <c r="BS21" s="82">
        <f>AVERAGE(BS22:BS33)</f>
        <v>0</v>
      </c>
      <c r="BT21" s="128"/>
      <c r="BU21" s="132"/>
      <c r="BV21" s="82">
        <f>AVERAGE(BV22:BV33)</f>
        <v>0</v>
      </c>
      <c r="BW21" s="128"/>
      <c r="BX21" s="132"/>
      <c r="BY21" s="82">
        <f>AVERAGE(BY22:BY33)</f>
        <v>0</v>
      </c>
      <c r="BZ21" s="126"/>
      <c r="CA21" s="127"/>
      <c r="CB21" s="82">
        <f>AVERAGE(CB22:CB33)</f>
        <v>0</v>
      </c>
      <c r="CC21" s="126"/>
      <c r="CD21" s="127"/>
      <c r="CE21" s="82">
        <f>AVERAGE(CE22:CE33)</f>
        <v>0</v>
      </c>
      <c r="CF21" s="126"/>
      <c r="CG21" s="127"/>
      <c r="CH21" s="82">
        <f>AVERAGE(CH22:CH33)</f>
        <v>0</v>
      </c>
      <c r="CI21" s="126"/>
      <c r="CJ21" s="127"/>
      <c r="CK21" s="82">
        <f>AVERAGE(CK22:CK33)</f>
        <v>0</v>
      </c>
      <c r="CL21" s="126"/>
      <c r="CM21" s="127"/>
      <c r="CN21" s="82">
        <f>AVERAGE(CN22:CN33)</f>
        <v>0</v>
      </c>
      <c r="CO21" s="126"/>
      <c r="CP21" s="127"/>
      <c r="CQ21" s="82">
        <f>AVERAGE(CQ22:CQ33)</f>
        <v>0</v>
      </c>
      <c r="CR21" s="126"/>
      <c r="CS21" s="127"/>
      <c r="CT21" s="82">
        <f>AVERAGE(CT22:CT33)</f>
        <v>0</v>
      </c>
      <c r="CU21" s="126"/>
      <c r="CV21" s="127"/>
      <c r="CW21" s="82">
        <f>AVERAGE(CW22:CW33)</f>
        <v>0</v>
      </c>
      <c r="CX21" s="126"/>
      <c r="CY21" s="127"/>
      <c r="CZ21" s="82">
        <f>AVERAGE(CZ22:CZ33)</f>
        <v>0</v>
      </c>
      <c r="DA21" s="126"/>
      <c r="DB21" s="127"/>
      <c r="DC21" s="82">
        <f>AVERAGE(DC22:DC33)</f>
        <v>0</v>
      </c>
      <c r="DD21" s="126"/>
      <c r="DE21" s="127"/>
      <c r="DF21" s="82">
        <f>AVERAGE(DF22:DF33)</f>
        <v>0</v>
      </c>
      <c r="DG21" s="126"/>
      <c r="DH21" s="127"/>
      <c r="DI21" s="82">
        <f>AVERAGE(DI22:DI33)</f>
        <v>0</v>
      </c>
      <c r="DJ21" s="126"/>
      <c r="DK21" s="127"/>
      <c r="DL21" s="82">
        <f>AVERAGE(DL22:DL33)</f>
        <v>0</v>
      </c>
      <c r="DM21" s="126"/>
      <c r="DN21" s="127"/>
      <c r="DO21" s="82">
        <f>AVERAGE(DO22:DO33)</f>
        <v>0</v>
      </c>
      <c r="DP21" s="126"/>
      <c r="DQ21" s="127"/>
      <c r="DR21" s="82">
        <f>AVERAGE(DR22:DR33)</f>
        <v>0</v>
      </c>
      <c r="DS21" s="126"/>
      <c r="DT21" s="127"/>
      <c r="DU21" s="82">
        <f>AVERAGE(DU22:DU33)</f>
        <v>0</v>
      </c>
      <c r="DV21" s="126"/>
      <c r="DW21" s="127"/>
      <c r="DX21" s="82">
        <f>AVERAGE(DX22:DX33)</f>
        <v>0</v>
      </c>
      <c r="DY21" s="126"/>
      <c r="DZ21" s="127"/>
      <c r="EA21" s="82">
        <f>AVERAGE(EA22:EA33)</f>
        <v>0</v>
      </c>
      <c r="EB21" s="126"/>
      <c r="EC21" s="127"/>
      <c r="ED21" s="82">
        <f>AVERAGE(ED22:ED33)</f>
        <v>0</v>
      </c>
      <c r="EE21" s="126"/>
      <c r="EF21" s="127"/>
      <c r="EG21" s="82">
        <f>AVERAGE(EG22:EG33)</f>
        <v>0</v>
      </c>
      <c r="EH21" s="126"/>
      <c r="EI21" s="127"/>
      <c r="EJ21" s="82">
        <f>AVERAGE(EJ22:EJ33)</f>
        <v>0</v>
      </c>
      <c r="EK21" s="126"/>
      <c r="EL21" s="127"/>
      <c r="EM21" s="82">
        <f>AVERAGE(EM22:EM33)</f>
        <v>0</v>
      </c>
      <c r="EN21" s="126"/>
      <c r="EO21" s="127"/>
      <c r="EP21" s="82">
        <f>AVERAGE(EP22:EP33)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9.5" customHeight="1" spans="1:148" x14ac:dyDescent="0.25">
      <c r="A22" s="168" t="s">
        <v>94</v>
      </c>
      <c r="B22" s="101"/>
      <c r="C22" s="90"/>
      <c r="D22" s="91">
        <v>5</v>
      </c>
      <c r="E22" s="92">
        <f>C22/D22</f>
        <v>0</v>
      </c>
      <c r="F22" s="90"/>
      <c r="G22" s="91">
        <v>5</v>
      </c>
      <c r="H22" s="92">
        <f>F22/G22</f>
        <v>0</v>
      </c>
      <c r="I22" s="93"/>
      <c r="J22" s="91">
        <v>5</v>
      </c>
      <c r="K22" s="92">
        <f>I22/J22</f>
        <v>0</v>
      </c>
      <c r="L22" s="93"/>
      <c r="M22" s="91">
        <v>5</v>
      </c>
      <c r="N22" s="92">
        <f>L22/M22</f>
        <v>0</v>
      </c>
      <c r="O22" s="94"/>
      <c r="P22" s="95">
        <v>5</v>
      </c>
      <c r="Q22" s="92">
        <f>O22/P22</f>
        <v>0</v>
      </c>
      <c r="R22" s="90"/>
      <c r="S22" s="95">
        <v>5</v>
      </c>
      <c r="T22" s="92">
        <f>R22/S22</f>
        <v>0</v>
      </c>
      <c r="U22" s="90"/>
      <c r="V22" s="95">
        <v>5</v>
      </c>
      <c r="W22" s="92">
        <f>U22/V22</f>
        <v>0</v>
      </c>
      <c r="X22" s="90"/>
      <c r="Y22" s="95">
        <v>5</v>
      </c>
      <c r="Z22" s="92">
        <f>X22/Y22</f>
        <v>0</v>
      </c>
      <c r="AA22" s="94"/>
      <c r="AB22" s="95">
        <v>5</v>
      </c>
      <c r="AC22" s="92">
        <f>AA22/AB22</f>
        <v>0</v>
      </c>
      <c r="AD22" s="94"/>
      <c r="AE22" s="95">
        <v>5</v>
      </c>
      <c r="AF22" s="92">
        <f>AD22/AE22</f>
        <v>0</v>
      </c>
      <c r="AG22" s="94"/>
      <c r="AH22" s="95">
        <v>5</v>
      </c>
      <c r="AI22" s="92">
        <f>AG22/AH22</f>
        <v>0</v>
      </c>
      <c r="AJ22" s="94"/>
      <c r="AK22" s="95">
        <v>5</v>
      </c>
      <c r="AL22" s="92">
        <f>AJ22/AK22</f>
        <v>0</v>
      </c>
      <c r="AM22" s="90"/>
      <c r="AN22" s="96">
        <v>5</v>
      </c>
      <c r="AO22" s="92">
        <f>AM22/AN22</f>
        <v>0</v>
      </c>
      <c r="AP22" s="90"/>
      <c r="AQ22" s="96">
        <v>5</v>
      </c>
      <c r="AR22" s="92">
        <f>AP22/AQ22</f>
        <v>0</v>
      </c>
      <c r="AS22" s="90"/>
      <c r="AT22" s="96">
        <v>5</v>
      </c>
      <c r="AU22" s="92">
        <f>AS22/AT22</f>
        <v>0</v>
      </c>
      <c r="AV22" s="90"/>
      <c r="AW22" s="96">
        <v>5</v>
      </c>
      <c r="AX22" s="92">
        <f>AV22/AW22</f>
        <v>0</v>
      </c>
      <c r="AY22" s="90"/>
      <c r="AZ22" s="96">
        <v>5</v>
      </c>
      <c r="BA22" s="92">
        <f>AY22/AZ22</f>
        <v>0</v>
      </c>
      <c r="BB22" s="90"/>
      <c r="BC22" s="96">
        <v>5</v>
      </c>
      <c r="BD22" s="92">
        <f>BB22/BC22</f>
        <v>0</v>
      </c>
      <c r="BE22" s="90"/>
      <c r="BF22" s="96">
        <v>5</v>
      </c>
      <c r="BG22" s="92">
        <f>BE22/BF22</f>
        <v>0</v>
      </c>
      <c r="BH22" s="90"/>
      <c r="BI22" s="96">
        <v>5</v>
      </c>
      <c r="BJ22" s="92">
        <f>BH22/BI22</f>
        <v>0</v>
      </c>
      <c r="BK22" s="90"/>
      <c r="BL22" s="96">
        <v>5</v>
      </c>
      <c r="BM22" s="92">
        <f>BK22/BL22</f>
        <v>0</v>
      </c>
      <c r="BN22" s="90"/>
      <c r="BO22" s="96">
        <v>5</v>
      </c>
      <c r="BP22" s="92">
        <f>BN22/BO22</f>
        <v>0</v>
      </c>
      <c r="BQ22" s="90"/>
      <c r="BR22" s="96">
        <v>5</v>
      </c>
      <c r="BS22" s="92">
        <f>BQ22/BR22</f>
        <v>0</v>
      </c>
      <c r="BT22" s="90"/>
      <c r="BU22" s="96">
        <v>5</v>
      </c>
      <c r="BV22" s="92">
        <f>BT22/BU22</f>
        <v>0</v>
      </c>
      <c r="BW22" s="90"/>
      <c r="BX22" s="96">
        <v>5</v>
      </c>
      <c r="BY22" s="92">
        <f>BW22/BX22</f>
        <v>0</v>
      </c>
      <c r="BZ22" s="90"/>
      <c r="CA22" s="96">
        <v>5</v>
      </c>
      <c r="CB22" s="92">
        <f>BZ22/CA22</f>
        <v>0</v>
      </c>
      <c r="CC22" s="90"/>
      <c r="CD22" s="96">
        <v>5</v>
      </c>
      <c r="CE22" s="92">
        <f>CC22/CD22</f>
        <v>0</v>
      </c>
      <c r="CF22" s="90"/>
      <c r="CG22" s="96">
        <v>5</v>
      </c>
      <c r="CH22" s="92">
        <f>CF22/CG22</f>
        <v>0</v>
      </c>
      <c r="CI22" s="90"/>
      <c r="CJ22" s="96">
        <v>5</v>
      </c>
      <c r="CK22" s="92">
        <f>CI22/CJ22</f>
        <v>0</v>
      </c>
      <c r="CL22" s="90"/>
      <c r="CM22" s="96">
        <v>5</v>
      </c>
      <c r="CN22" s="92">
        <f>CL22/CM22</f>
        <v>0</v>
      </c>
      <c r="CO22" s="90"/>
      <c r="CP22" s="96">
        <v>5</v>
      </c>
      <c r="CQ22" s="92">
        <f>CO22/CP22</f>
        <v>0</v>
      </c>
      <c r="CR22" s="90"/>
      <c r="CS22" s="96">
        <v>5</v>
      </c>
      <c r="CT22" s="92">
        <f>CR22/CS22</f>
        <v>0</v>
      </c>
      <c r="CU22" s="90"/>
      <c r="CV22" s="96">
        <v>5</v>
      </c>
      <c r="CW22" s="92">
        <f>CU22/CV22</f>
        <v>0</v>
      </c>
      <c r="CX22" s="90"/>
      <c r="CY22" s="96">
        <v>5</v>
      </c>
      <c r="CZ22" s="92">
        <f>CX22/CY22</f>
        <v>0</v>
      </c>
      <c r="DA22" s="90"/>
      <c r="DB22" s="96">
        <v>5</v>
      </c>
      <c r="DC22" s="92">
        <f>DA22/DB22</f>
        <v>0</v>
      </c>
      <c r="DD22" s="90"/>
      <c r="DE22" s="96">
        <v>5</v>
      </c>
      <c r="DF22" s="92">
        <f>DD22/DE22</f>
        <v>0</v>
      </c>
      <c r="DG22" s="90"/>
      <c r="DH22" s="96">
        <v>5</v>
      </c>
      <c r="DI22" s="92">
        <f>DG22/DH22</f>
        <v>0</v>
      </c>
      <c r="DJ22" s="90"/>
      <c r="DK22" s="96">
        <v>5</v>
      </c>
      <c r="DL22" s="92">
        <f>DJ22/DK22</f>
        <v>0</v>
      </c>
      <c r="DM22" s="90"/>
      <c r="DN22" s="96">
        <v>5</v>
      </c>
      <c r="DO22" s="92">
        <f>DM22/DN22</f>
        <v>0</v>
      </c>
      <c r="DP22" s="90"/>
      <c r="DQ22" s="96">
        <v>5</v>
      </c>
      <c r="DR22" s="92">
        <f>DP22/DQ22</f>
        <v>0</v>
      </c>
      <c r="DS22" s="90"/>
      <c r="DT22" s="96">
        <v>5</v>
      </c>
      <c r="DU22" s="92">
        <f>DS22/DT22</f>
        <v>0</v>
      </c>
      <c r="DV22" s="90"/>
      <c r="DW22" s="96">
        <v>5</v>
      </c>
      <c r="DX22" s="92">
        <f>DV22/DW22</f>
        <v>0</v>
      </c>
      <c r="DY22" s="90"/>
      <c r="DZ22" s="96">
        <v>5</v>
      </c>
      <c r="EA22" s="92">
        <f>DY22/DZ22</f>
        <v>0</v>
      </c>
      <c r="EB22" s="90"/>
      <c r="EC22" s="96">
        <v>5</v>
      </c>
      <c r="ED22" s="92">
        <f>EB22/EC22</f>
        <v>0</v>
      </c>
      <c r="EE22" s="90"/>
      <c r="EF22" s="96">
        <v>5</v>
      </c>
      <c r="EG22" s="92">
        <f>EE22/EF22</f>
        <v>0</v>
      </c>
      <c r="EH22" s="90"/>
      <c r="EI22" s="96">
        <v>5</v>
      </c>
      <c r="EJ22" s="92">
        <f>EH22/EI22</f>
        <v>0</v>
      </c>
      <c r="EK22" s="90"/>
      <c r="EL22" s="96">
        <v>5</v>
      </c>
      <c r="EM22" s="92">
        <f>EK22/EL22</f>
        <v>0</v>
      </c>
      <c r="EN22" s="90"/>
      <c r="EO22" s="96">
        <v>5</v>
      </c>
      <c r="EP22" s="92">
        <f>EN22/EO22</f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26" customHeight="1" spans="1:148" x14ac:dyDescent="0.25">
      <c r="A23" s="169" t="s">
        <v>142</v>
      </c>
      <c r="B23" s="101"/>
      <c r="C23" s="102"/>
      <c r="D23" s="103">
        <v>5</v>
      </c>
      <c r="E23" s="104">
        <f t="shared" ref="E23" si="240">C23/D23</f>
        <v>0</v>
      </c>
      <c r="F23" s="102"/>
      <c r="G23" s="103">
        <v>5</v>
      </c>
      <c r="H23" s="104">
        <f t="shared" ref="H23" si="241">F23/G23</f>
        <v>0</v>
      </c>
      <c r="I23" s="105"/>
      <c r="J23" s="103">
        <v>5</v>
      </c>
      <c r="K23" s="104">
        <f t="shared" ref="K23" si="242">I23/J23</f>
        <v>0</v>
      </c>
      <c r="L23" s="105"/>
      <c r="M23" s="103">
        <v>5</v>
      </c>
      <c r="N23" s="104">
        <f t="shared" ref="N23" si="243">L23/M23</f>
        <v>0</v>
      </c>
      <c r="O23" s="106"/>
      <c r="P23" s="107">
        <v>5</v>
      </c>
      <c r="Q23" s="104">
        <f t="shared" ref="Q23" si="244">O23/P23</f>
        <v>0</v>
      </c>
      <c r="R23" s="102"/>
      <c r="S23" s="107">
        <v>5</v>
      </c>
      <c r="T23" s="104">
        <f t="shared" ref="T23" si="245">R23/S23</f>
        <v>0</v>
      </c>
      <c r="U23" s="102"/>
      <c r="V23" s="107">
        <v>5</v>
      </c>
      <c r="W23" s="104">
        <f t="shared" ref="W23" si="246">U23/V23</f>
        <v>0</v>
      </c>
      <c r="X23" s="102"/>
      <c r="Y23" s="107">
        <v>5</v>
      </c>
      <c r="Z23" s="104">
        <f t="shared" ref="Z23" si="247">X23/Y23</f>
        <v>0</v>
      </c>
      <c r="AA23" s="106"/>
      <c r="AB23" s="107">
        <v>5</v>
      </c>
      <c r="AC23" s="104">
        <f t="shared" ref="AC23" si="248">AA23/AB23</f>
        <v>0</v>
      </c>
      <c r="AD23" s="106"/>
      <c r="AE23" s="107">
        <v>5</v>
      </c>
      <c r="AF23" s="104">
        <f t="shared" ref="AF23" si="249">AD23/AE23</f>
        <v>0</v>
      </c>
      <c r="AG23" s="106"/>
      <c r="AH23" s="107">
        <v>5</v>
      </c>
      <c r="AI23" s="104">
        <f t="shared" ref="AI23" si="250">AG23/AH23</f>
        <v>0</v>
      </c>
      <c r="AJ23" s="106"/>
      <c r="AK23" s="107">
        <v>5</v>
      </c>
      <c r="AL23" s="104">
        <f t="shared" ref="AL23" si="251">AJ23/AK23</f>
        <v>0</v>
      </c>
      <c r="AM23" s="102"/>
      <c r="AN23" s="1">
        <v>5</v>
      </c>
      <c r="AO23" s="104">
        <f t="shared" ref="AO23" si="252">AM23/AN23</f>
        <v>0</v>
      </c>
      <c r="AP23" s="102"/>
      <c r="AQ23" s="1">
        <v>5</v>
      </c>
      <c r="AR23" s="104">
        <f t="shared" ref="AR23" si="253">AP23/AQ23</f>
        <v>0</v>
      </c>
      <c r="AS23" s="102"/>
      <c r="AT23" s="1">
        <v>5</v>
      </c>
      <c r="AU23" s="104">
        <f t="shared" ref="AU23" si="254">AS23/AT23</f>
        <v>0</v>
      </c>
      <c r="AV23" s="102"/>
      <c r="AW23" s="1">
        <v>5</v>
      </c>
      <c r="AX23" s="104">
        <f t="shared" ref="AX23" si="255">AV23/AW23</f>
        <v>0</v>
      </c>
      <c r="AY23" s="102"/>
      <c r="AZ23" s="1">
        <v>5</v>
      </c>
      <c r="BA23" s="104">
        <f t="shared" ref="BA23" si="256">AY23/AZ23</f>
        <v>0</v>
      </c>
      <c r="BB23" s="102"/>
      <c r="BC23" s="1">
        <v>5</v>
      </c>
      <c r="BD23" s="104">
        <f t="shared" ref="BD23" si="257">BB23/BC23</f>
        <v>0</v>
      </c>
      <c r="BE23" s="102"/>
      <c r="BF23" s="1">
        <v>5</v>
      </c>
      <c r="BG23" s="104">
        <f t="shared" ref="BG23" si="258">BE23/BF23</f>
        <v>0</v>
      </c>
      <c r="BH23" s="102"/>
      <c r="BI23" s="1">
        <v>5</v>
      </c>
      <c r="BJ23" s="104">
        <f t="shared" ref="BJ23" si="259">BH23/BI23</f>
        <v>0</v>
      </c>
      <c r="BK23" s="102"/>
      <c r="BL23" s="1">
        <v>5</v>
      </c>
      <c r="BM23" s="104">
        <f t="shared" ref="BM23" si="260">BK23/BL23</f>
        <v>0</v>
      </c>
      <c r="BN23" s="102"/>
      <c r="BO23" s="1">
        <v>5</v>
      </c>
      <c r="BP23" s="104">
        <f t="shared" ref="BP23" si="261">BN23/BO23</f>
        <v>0</v>
      </c>
      <c r="BQ23" s="102"/>
      <c r="BR23" s="1">
        <v>5</v>
      </c>
      <c r="BS23" s="104">
        <f t="shared" ref="BS23" si="262">BQ23/BR23</f>
        <v>0</v>
      </c>
      <c r="BT23" s="102"/>
      <c r="BU23" s="1">
        <v>5</v>
      </c>
      <c r="BV23" s="104">
        <f t="shared" ref="BV23" si="263">BT23/BU23</f>
        <v>0</v>
      </c>
      <c r="BW23" s="102"/>
      <c r="BX23" s="1">
        <v>5</v>
      </c>
      <c r="BY23" s="104">
        <f t="shared" ref="BY23" si="264">BW23/BX23</f>
        <v>0</v>
      </c>
      <c r="BZ23" s="102"/>
      <c r="CA23" s="1">
        <v>5</v>
      </c>
      <c r="CB23" s="104">
        <f t="shared" ref="CB23" si="265">BZ23/CA23</f>
        <v>0</v>
      </c>
      <c r="CC23" s="102"/>
      <c r="CD23" s="1">
        <v>5</v>
      </c>
      <c r="CE23" s="104">
        <f t="shared" ref="CE23" si="266">CC23/CD23</f>
        <v>0</v>
      </c>
      <c r="CF23" s="102"/>
      <c r="CG23" s="1">
        <v>5</v>
      </c>
      <c r="CH23" s="104">
        <f t="shared" ref="CH23" si="267">CF23/CG23</f>
        <v>0</v>
      </c>
      <c r="CI23" s="102"/>
      <c r="CJ23" s="1">
        <v>5</v>
      </c>
      <c r="CK23" s="104">
        <f t="shared" ref="CK23" si="268">CI23/CJ23</f>
        <v>0</v>
      </c>
      <c r="CL23" s="102"/>
      <c r="CM23" s="1">
        <v>5</v>
      </c>
      <c r="CN23" s="104">
        <f t="shared" ref="CN23" si="269">CL23/CM23</f>
        <v>0</v>
      </c>
      <c r="CO23" s="102"/>
      <c r="CP23" s="1">
        <v>5</v>
      </c>
      <c r="CQ23" s="104">
        <f t="shared" ref="CQ23" si="270">CO23/CP23</f>
        <v>0</v>
      </c>
      <c r="CR23" s="102"/>
      <c r="CS23" s="1">
        <v>5</v>
      </c>
      <c r="CT23" s="104">
        <f t="shared" ref="CT23" si="271">CR23/CS23</f>
        <v>0</v>
      </c>
      <c r="CU23" s="102"/>
      <c r="CV23" s="1">
        <v>5</v>
      </c>
      <c r="CW23" s="104">
        <f t="shared" ref="CW23" si="272">CU23/CV23</f>
        <v>0</v>
      </c>
      <c r="CX23" s="102"/>
      <c r="CY23" s="1">
        <v>5</v>
      </c>
      <c r="CZ23" s="104">
        <f t="shared" ref="CZ23" si="273">CX23/CY23</f>
        <v>0</v>
      </c>
      <c r="DA23" s="102"/>
      <c r="DB23" s="1">
        <v>5</v>
      </c>
      <c r="DC23" s="104">
        <f t="shared" ref="DC23" si="274">DA23/DB23</f>
        <v>0</v>
      </c>
      <c r="DD23" s="102"/>
      <c r="DE23" s="1">
        <v>5</v>
      </c>
      <c r="DF23" s="104">
        <f t="shared" ref="DF23" si="275">DD23/DE23</f>
        <v>0</v>
      </c>
      <c r="DG23" s="102"/>
      <c r="DH23" s="1">
        <v>5</v>
      </c>
      <c r="DI23" s="104">
        <f t="shared" ref="DI23" si="276">DG23/DH23</f>
        <v>0</v>
      </c>
      <c r="DJ23" s="102"/>
      <c r="DK23" s="1">
        <v>5</v>
      </c>
      <c r="DL23" s="104">
        <f t="shared" ref="DL23" si="277">DJ23/DK23</f>
        <v>0</v>
      </c>
      <c r="DM23" s="102"/>
      <c r="DN23" s="1">
        <v>5</v>
      </c>
      <c r="DO23" s="104">
        <f t="shared" ref="DO23" si="278">DM23/DN23</f>
        <v>0</v>
      </c>
      <c r="DP23" s="102"/>
      <c r="DQ23" s="1">
        <v>5</v>
      </c>
      <c r="DR23" s="104">
        <f t="shared" ref="DR23" si="279">DP23/DQ23</f>
        <v>0</v>
      </c>
      <c r="DS23" s="102"/>
      <c r="DT23" s="1">
        <v>5</v>
      </c>
      <c r="DU23" s="104">
        <f t="shared" ref="DU23" si="280">DS23/DT23</f>
        <v>0</v>
      </c>
      <c r="DV23" s="102"/>
      <c r="DW23" s="1">
        <v>5</v>
      </c>
      <c r="DX23" s="104">
        <f t="shared" ref="DX23" si="281">DV23/DW23</f>
        <v>0</v>
      </c>
      <c r="DY23" s="102"/>
      <c r="DZ23" s="1">
        <v>5</v>
      </c>
      <c r="EA23" s="104">
        <f t="shared" ref="EA23" si="282">DY23/DZ23</f>
        <v>0</v>
      </c>
      <c r="EB23" s="102"/>
      <c r="EC23" s="1">
        <v>5</v>
      </c>
      <c r="ED23" s="104">
        <f t="shared" ref="ED23" si="283">EB23/EC23</f>
        <v>0</v>
      </c>
      <c r="EE23" s="102"/>
      <c r="EF23" s="1">
        <v>5</v>
      </c>
      <c r="EG23" s="104">
        <f t="shared" ref="EG23" si="284">EE23/EF23</f>
        <v>0</v>
      </c>
      <c r="EH23" s="102"/>
      <c r="EI23" s="1">
        <v>5</v>
      </c>
      <c r="EJ23" s="104">
        <f t="shared" ref="EJ23" si="285">EH23/EI23</f>
        <v>0</v>
      </c>
      <c r="EK23" s="102"/>
      <c r="EL23" s="1">
        <v>5</v>
      </c>
      <c r="EM23" s="104">
        <f t="shared" ref="EM23" si="286">EK23/EL23</f>
        <v>0</v>
      </c>
      <c r="EN23" s="102"/>
      <c r="EO23" s="1">
        <v>5</v>
      </c>
      <c r="EP23" s="104">
        <f t="shared" ref="EP23" si="287">EN23/EO23</f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69" t="s">
        <v>143</v>
      </c>
      <c r="B24" s="101"/>
      <c r="C24" s="90"/>
      <c r="D24" s="91">
        <v>5</v>
      </c>
      <c r="E24" s="92">
        <f>C24/D24</f>
        <v>0</v>
      </c>
      <c r="F24" s="90"/>
      <c r="G24" s="91">
        <v>5</v>
      </c>
      <c r="H24" s="92">
        <f>F24/G24</f>
        <v>0</v>
      </c>
      <c r="I24" s="93"/>
      <c r="J24" s="91">
        <v>5</v>
      </c>
      <c r="K24" s="92">
        <f>I24/J24</f>
        <v>0</v>
      </c>
      <c r="L24" s="93"/>
      <c r="M24" s="91">
        <v>5</v>
      </c>
      <c r="N24" s="92">
        <f>L24/M24</f>
        <v>0</v>
      </c>
      <c r="O24" s="94"/>
      <c r="P24" s="95">
        <v>5</v>
      </c>
      <c r="Q24" s="92">
        <f>O24/P24</f>
        <v>0</v>
      </c>
      <c r="R24" s="90"/>
      <c r="S24" s="95">
        <v>5</v>
      </c>
      <c r="T24" s="92">
        <f>R24/S24</f>
        <v>0</v>
      </c>
      <c r="U24" s="90"/>
      <c r="V24" s="95">
        <v>5</v>
      </c>
      <c r="W24" s="92">
        <f>U24/V24</f>
        <v>0</v>
      </c>
      <c r="X24" s="90"/>
      <c r="Y24" s="95">
        <v>5</v>
      </c>
      <c r="Z24" s="92">
        <f>X24/Y24</f>
        <v>0</v>
      </c>
      <c r="AA24" s="94"/>
      <c r="AB24" s="95">
        <v>5</v>
      </c>
      <c r="AC24" s="92">
        <f>AA24/AB24</f>
        <v>0</v>
      </c>
      <c r="AD24" s="94"/>
      <c r="AE24" s="95">
        <v>5</v>
      </c>
      <c r="AF24" s="92">
        <f>AD24/AE24</f>
        <v>0</v>
      </c>
      <c r="AG24" s="94"/>
      <c r="AH24" s="95">
        <v>5</v>
      </c>
      <c r="AI24" s="92">
        <f>AG24/AH24</f>
        <v>0</v>
      </c>
      <c r="AJ24" s="94"/>
      <c r="AK24" s="95">
        <v>5</v>
      </c>
      <c r="AL24" s="92">
        <f>AJ24/AK24</f>
        <v>0</v>
      </c>
      <c r="AM24" s="90"/>
      <c r="AN24" s="96">
        <v>5</v>
      </c>
      <c r="AO24" s="92">
        <f>AM24/AN24</f>
        <v>0</v>
      </c>
      <c r="AP24" s="90"/>
      <c r="AQ24" s="96">
        <v>5</v>
      </c>
      <c r="AR24" s="92">
        <f>AP24/AQ24</f>
        <v>0</v>
      </c>
      <c r="AS24" s="90"/>
      <c r="AT24" s="96">
        <v>5</v>
      </c>
      <c r="AU24" s="92">
        <f>AS24/AT24</f>
        <v>0</v>
      </c>
      <c r="AV24" s="90"/>
      <c r="AW24" s="96">
        <v>5</v>
      </c>
      <c r="AX24" s="92">
        <f>AV24/AW24</f>
        <v>0</v>
      </c>
      <c r="AY24" s="90"/>
      <c r="AZ24" s="96">
        <v>5</v>
      </c>
      <c r="BA24" s="92">
        <f>AY24/AZ24</f>
        <v>0</v>
      </c>
      <c r="BB24" s="90"/>
      <c r="BC24" s="96">
        <v>5</v>
      </c>
      <c r="BD24" s="92">
        <f>BB24/BC24</f>
        <v>0</v>
      </c>
      <c r="BE24" s="90"/>
      <c r="BF24" s="96">
        <v>5</v>
      </c>
      <c r="BG24" s="92">
        <f>BE24/BF24</f>
        <v>0</v>
      </c>
      <c r="BH24" s="90"/>
      <c r="BI24" s="96">
        <v>5</v>
      </c>
      <c r="BJ24" s="92">
        <f>BH24/BI24</f>
        <v>0</v>
      </c>
      <c r="BK24" s="90"/>
      <c r="BL24" s="96">
        <v>5</v>
      </c>
      <c r="BM24" s="92">
        <f>BK24/BL24</f>
        <v>0</v>
      </c>
      <c r="BN24" s="90"/>
      <c r="BO24" s="96">
        <v>5</v>
      </c>
      <c r="BP24" s="92">
        <f>BN24/BO24</f>
        <v>0</v>
      </c>
      <c r="BQ24" s="90"/>
      <c r="BR24" s="96">
        <v>5</v>
      </c>
      <c r="BS24" s="92">
        <f>BQ24/BR24</f>
        <v>0</v>
      </c>
      <c r="BT24" s="90"/>
      <c r="BU24" s="96">
        <v>5</v>
      </c>
      <c r="BV24" s="92">
        <f>BT24/BU24</f>
        <v>0</v>
      </c>
      <c r="BW24" s="90"/>
      <c r="BX24" s="96">
        <v>5</v>
      </c>
      <c r="BY24" s="92">
        <f>BW24/BX24</f>
        <v>0</v>
      </c>
      <c r="BZ24" s="90"/>
      <c r="CA24" s="96">
        <v>5</v>
      </c>
      <c r="CB24" s="92">
        <f>BZ24/CA24</f>
        <v>0</v>
      </c>
      <c r="CC24" s="90"/>
      <c r="CD24" s="96">
        <v>5</v>
      </c>
      <c r="CE24" s="92">
        <f>CC24/CD24</f>
        <v>0</v>
      </c>
      <c r="CF24" s="90"/>
      <c r="CG24" s="96">
        <v>5</v>
      </c>
      <c r="CH24" s="92">
        <f>CF24/CG24</f>
        <v>0</v>
      </c>
      <c r="CI24" s="90"/>
      <c r="CJ24" s="96">
        <v>5</v>
      </c>
      <c r="CK24" s="92">
        <f>CI24/CJ24</f>
        <v>0</v>
      </c>
      <c r="CL24" s="90"/>
      <c r="CM24" s="96">
        <v>5</v>
      </c>
      <c r="CN24" s="92">
        <f>CL24/CM24</f>
        <v>0</v>
      </c>
      <c r="CO24" s="90"/>
      <c r="CP24" s="96">
        <v>5</v>
      </c>
      <c r="CQ24" s="92">
        <f>CO24/CP24</f>
        <v>0</v>
      </c>
      <c r="CR24" s="90"/>
      <c r="CS24" s="96">
        <v>5</v>
      </c>
      <c r="CT24" s="92">
        <f>CR24/CS24</f>
        <v>0</v>
      </c>
      <c r="CU24" s="90"/>
      <c r="CV24" s="96">
        <v>5</v>
      </c>
      <c r="CW24" s="92">
        <f>CU24/CV24</f>
        <v>0</v>
      </c>
      <c r="CX24" s="90"/>
      <c r="CY24" s="96">
        <v>5</v>
      </c>
      <c r="CZ24" s="92">
        <f>CX24/CY24</f>
        <v>0</v>
      </c>
      <c r="DA24" s="90"/>
      <c r="DB24" s="96">
        <v>5</v>
      </c>
      <c r="DC24" s="92">
        <f>DA24/DB24</f>
        <v>0</v>
      </c>
      <c r="DD24" s="90"/>
      <c r="DE24" s="96">
        <v>5</v>
      </c>
      <c r="DF24" s="92">
        <f>DD24/DE24</f>
        <v>0</v>
      </c>
      <c r="DG24" s="90"/>
      <c r="DH24" s="96">
        <v>5</v>
      </c>
      <c r="DI24" s="92">
        <f>DG24/DH24</f>
        <v>0</v>
      </c>
      <c r="DJ24" s="90"/>
      <c r="DK24" s="96">
        <v>5</v>
      </c>
      <c r="DL24" s="92">
        <f>DJ24/DK24</f>
        <v>0</v>
      </c>
      <c r="DM24" s="90"/>
      <c r="DN24" s="96">
        <v>5</v>
      </c>
      <c r="DO24" s="92">
        <f>DM24/DN24</f>
        <v>0</v>
      </c>
      <c r="DP24" s="90"/>
      <c r="DQ24" s="96">
        <v>5</v>
      </c>
      <c r="DR24" s="92">
        <f>DP24/DQ24</f>
        <v>0</v>
      </c>
      <c r="DS24" s="90"/>
      <c r="DT24" s="96">
        <v>5</v>
      </c>
      <c r="DU24" s="92">
        <f>DS24/DT24</f>
        <v>0</v>
      </c>
      <c r="DV24" s="90"/>
      <c r="DW24" s="96">
        <v>5</v>
      </c>
      <c r="DX24" s="92">
        <f>DV24/DW24</f>
        <v>0</v>
      </c>
      <c r="DY24" s="90"/>
      <c r="DZ24" s="96">
        <v>5</v>
      </c>
      <c r="EA24" s="92">
        <f>DY24/DZ24</f>
        <v>0</v>
      </c>
      <c r="EB24" s="90"/>
      <c r="EC24" s="96">
        <v>5</v>
      </c>
      <c r="ED24" s="92">
        <f>EB24/EC24</f>
        <v>0</v>
      </c>
      <c r="EE24" s="90"/>
      <c r="EF24" s="96">
        <v>5</v>
      </c>
      <c r="EG24" s="92">
        <f>EE24/EF24</f>
        <v>0</v>
      </c>
      <c r="EH24" s="90"/>
      <c r="EI24" s="96">
        <v>5</v>
      </c>
      <c r="EJ24" s="92">
        <f>EH24/EI24</f>
        <v>0</v>
      </c>
      <c r="EK24" s="90"/>
      <c r="EL24" s="96">
        <v>5</v>
      </c>
      <c r="EM24" s="92">
        <f>EK24/EL24</f>
        <v>0</v>
      </c>
      <c r="EN24" s="90"/>
      <c r="EO24" s="96">
        <v>5</v>
      </c>
      <c r="EP24" s="92">
        <f>EN24/EO24</f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16" customHeight="1" spans="1:148" x14ac:dyDescent="0.25">
      <c r="A25" s="169" t="s">
        <v>96</v>
      </c>
      <c r="B25" s="101"/>
      <c r="C25" s="102"/>
      <c r="D25" s="103">
        <v>5</v>
      </c>
      <c r="E25" s="104">
        <f t="shared" ref="E25" si="288">C25/D25</f>
        <v>0</v>
      </c>
      <c r="F25" s="102"/>
      <c r="G25" s="103">
        <v>5</v>
      </c>
      <c r="H25" s="104">
        <f t="shared" ref="H25" si="289">F25/G25</f>
        <v>0</v>
      </c>
      <c r="I25" s="105"/>
      <c r="J25" s="103">
        <v>5</v>
      </c>
      <c r="K25" s="104">
        <f t="shared" ref="K25" si="290">I25/J25</f>
        <v>0</v>
      </c>
      <c r="L25" s="105"/>
      <c r="M25" s="103">
        <v>5</v>
      </c>
      <c r="N25" s="104">
        <f t="shared" ref="N25" si="291">L25/M25</f>
        <v>0</v>
      </c>
      <c r="O25" s="106"/>
      <c r="P25" s="107">
        <v>5</v>
      </c>
      <c r="Q25" s="104">
        <f t="shared" ref="Q25" si="292">O25/P25</f>
        <v>0</v>
      </c>
      <c r="R25" s="102"/>
      <c r="S25" s="107">
        <v>5</v>
      </c>
      <c r="T25" s="104">
        <f t="shared" ref="T25" si="293">R25/S25</f>
        <v>0</v>
      </c>
      <c r="U25" s="102"/>
      <c r="V25" s="107">
        <v>5</v>
      </c>
      <c r="W25" s="104">
        <f t="shared" ref="W25" si="294">U25/V25</f>
        <v>0</v>
      </c>
      <c r="X25" s="102"/>
      <c r="Y25" s="107">
        <v>5</v>
      </c>
      <c r="Z25" s="104">
        <f t="shared" ref="Z25" si="295">X25/Y25</f>
        <v>0</v>
      </c>
      <c r="AA25" s="106"/>
      <c r="AB25" s="107">
        <v>5</v>
      </c>
      <c r="AC25" s="104">
        <f t="shared" ref="AC25" si="296">AA25/AB25</f>
        <v>0</v>
      </c>
      <c r="AD25" s="106"/>
      <c r="AE25" s="107">
        <v>5</v>
      </c>
      <c r="AF25" s="104">
        <f t="shared" ref="AF25" si="297">AD25/AE25</f>
        <v>0</v>
      </c>
      <c r="AG25" s="106"/>
      <c r="AH25" s="107">
        <v>5</v>
      </c>
      <c r="AI25" s="104">
        <f t="shared" ref="AI25" si="298">AG25/AH25</f>
        <v>0</v>
      </c>
      <c r="AJ25" s="106"/>
      <c r="AK25" s="107">
        <v>5</v>
      </c>
      <c r="AL25" s="104">
        <f t="shared" ref="AL25" si="299">AJ25/AK25</f>
        <v>0</v>
      </c>
      <c r="AM25" s="102"/>
      <c r="AN25" s="1">
        <v>5</v>
      </c>
      <c r="AO25" s="104">
        <f t="shared" ref="AO25" si="300">AM25/AN25</f>
        <v>0</v>
      </c>
      <c r="AP25" s="102"/>
      <c r="AQ25" s="1">
        <v>5</v>
      </c>
      <c r="AR25" s="104">
        <f t="shared" ref="AR25" si="301">AP25/AQ25</f>
        <v>0</v>
      </c>
      <c r="AS25" s="102"/>
      <c r="AT25" s="1">
        <v>5</v>
      </c>
      <c r="AU25" s="104">
        <f t="shared" ref="AU25" si="302">AS25/AT25</f>
        <v>0</v>
      </c>
      <c r="AV25" s="102"/>
      <c r="AW25" s="1">
        <v>5</v>
      </c>
      <c r="AX25" s="104">
        <f t="shared" ref="AX25" si="303">AV25/AW25</f>
        <v>0</v>
      </c>
      <c r="AY25" s="102"/>
      <c r="AZ25" s="1">
        <v>5</v>
      </c>
      <c r="BA25" s="104">
        <f t="shared" ref="BA25" si="304">AY25/AZ25</f>
        <v>0</v>
      </c>
      <c r="BB25" s="102"/>
      <c r="BC25" s="1">
        <v>5</v>
      </c>
      <c r="BD25" s="104">
        <f t="shared" ref="BD25" si="305">BB25/BC25</f>
        <v>0</v>
      </c>
      <c r="BE25" s="102"/>
      <c r="BF25" s="1">
        <v>5</v>
      </c>
      <c r="BG25" s="104">
        <f t="shared" ref="BG25" si="306">BE25/BF25</f>
        <v>0</v>
      </c>
      <c r="BH25" s="102"/>
      <c r="BI25" s="1">
        <v>5</v>
      </c>
      <c r="BJ25" s="104">
        <f t="shared" ref="BJ25" si="307">BH25/BI25</f>
        <v>0</v>
      </c>
      <c r="BK25" s="102"/>
      <c r="BL25" s="1">
        <v>5</v>
      </c>
      <c r="BM25" s="104">
        <f t="shared" ref="BM25" si="308">BK25/BL25</f>
        <v>0</v>
      </c>
      <c r="BN25" s="102"/>
      <c r="BO25" s="1">
        <v>5</v>
      </c>
      <c r="BP25" s="104">
        <f t="shared" ref="BP25" si="309">BN25/BO25</f>
        <v>0</v>
      </c>
      <c r="BQ25" s="102"/>
      <c r="BR25" s="1">
        <v>5</v>
      </c>
      <c r="BS25" s="104">
        <f t="shared" ref="BS25" si="310">BQ25/BR25</f>
        <v>0</v>
      </c>
      <c r="BT25" s="102"/>
      <c r="BU25" s="1">
        <v>5</v>
      </c>
      <c r="BV25" s="104">
        <f t="shared" ref="BV25" si="311">BT25/BU25</f>
        <v>0</v>
      </c>
      <c r="BW25" s="102"/>
      <c r="BX25" s="1">
        <v>5</v>
      </c>
      <c r="BY25" s="104">
        <f t="shared" ref="BY25" si="312">BW25/BX25</f>
        <v>0</v>
      </c>
      <c r="BZ25" s="102"/>
      <c r="CA25" s="1">
        <v>5</v>
      </c>
      <c r="CB25" s="104">
        <f t="shared" ref="CB25" si="313">BZ25/CA25</f>
        <v>0</v>
      </c>
      <c r="CC25" s="102"/>
      <c r="CD25" s="1">
        <v>5</v>
      </c>
      <c r="CE25" s="104">
        <f t="shared" ref="CE25" si="314">CC25/CD25</f>
        <v>0</v>
      </c>
      <c r="CF25" s="102"/>
      <c r="CG25" s="1">
        <v>5</v>
      </c>
      <c r="CH25" s="104">
        <f t="shared" ref="CH25" si="315">CF25/CG25</f>
        <v>0</v>
      </c>
      <c r="CI25" s="102"/>
      <c r="CJ25" s="1">
        <v>5</v>
      </c>
      <c r="CK25" s="104">
        <f t="shared" ref="CK25" si="316">CI25/CJ25</f>
        <v>0</v>
      </c>
      <c r="CL25" s="102"/>
      <c r="CM25" s="1">
        <v>5</v>
      </c>
      <c r="CN25" s="104">
        <f t="shared" ref="CN25" si="317">CL25/CM25</f>
        <v>0</v>
      </c>
      <c r="CO25" s="102"/>
      <c r="CP25" s="1">
        <v>5</v>
      </c>
      <c r="CQ25" s="104">
        <f t="shared" ref="CQ25" si="318">CO25/CP25</f>
        <v>0</v>
      </c>
      <c r="CR25" s="102"/>
      <c r="CS25" s="1">
        <v>5</v>
      </c>
      <c r="CT25" s="104">
        <f t="shared" ref="CT25" si="319">CR25/CS25</f>
        <v>0</v>
      </c>
      <c r="CU25" s="102"/>
      <c r="CV25" s="1">
        <v>5</v>
      </c>
      <c r="CW25" s="104">
        <f t="shared" ref="CW25" si="320">CU25/CV25</f>
        <v>0</v>
      </c>
      <c r="CX25" s="102"/>
      <c r="CY25" s="1">
        <v>5</v>
      </c>
      <c r="CZ25" s="104">
        <f t="shared" ref="CZ25" si="321">CX25/CY25</f>
        <v>0</v>
      </c>
      <c r="DA25" s="102"/>
      <c r="DB25" s="1">
        <v>5</v>
      </c>
      <c r="DC25" s="104">
        <f t="shared" ref="DC25" si="322">DA25/DB25</f>
        <v>0</v>
      </c>
      <c r="DD25" s="102"/>
      <c r="DE25" s="1">
        <v>5</v>
      </c>
      <c r="DF25" s="104">
        <f t="shared" ref="DF25" si="323">DD25/DE25</f>
        <v>0</v>
      </c>
      <c r="DG25" s="102"/>
      <c r="DH25" s="1">
        <v>5</v>
      </c>
      <c r="DI25" s="104">
        <f t="shared" ref="DI25" si="324">DG25/DH25</f>
        <v>0</v>
      </c>
      <c r="DJ25" s="102"/>
      <c r="DK25" s="1">
        <v>5</v>
      </c>
      <c r="DL25" s="104">
        <f t="shared" ref="DL25" si="325">DJ25/DK25</f>
        <v>0</v>
      </c>
      <c r="DM25" s="102"/>
      <c r="DN25" s="1">
        <v>5</v>
      </c>
      <c r="DO25" s="104">
        <f t="shared" ref="DO25" si="326">DM25/DN25</f>
        <v>0</v>
      </c>
      <c r="DP25" s="102"/>
      <c r="DQ25" s="1">
        <v>5</v>
      </c>
      <c r="DR25" s="104">
        <f t="shared" ref="DR25" si="327">DP25/DQ25</f>
        <v>0</v>
      </c>
      <c r="DS25" s="102"/>
      <c r="DT25" s="1">
        <v>5</v>
      </c>
      <c r="DU25" s="104">
        <f t="shared" ref="DU25" si="328">DS25/DT25</f>
        <v>0</v>
      </c>
      <c r="DV25" s="102"/>
      <c r="DW25" s="1">
        <v>5</v>
      </c>
      <c r="DX25" s="104">
        <f t="shared" ref="DX25" si="329">DV25/DW25</f>
        <v>0</v>
      </c>
      <c r="DY25" s="102"/>
      <c r="DZ25" s="1">
        <v>5</v>
      </c>
      <c r="EA25" s="104">
        <f t="shared" ref="EA25" si="330">DY25/DZ25</f>
        <v>0</v>
      </c>
      <c r="EB25" s="102"/>
      <c r="EC25" s="1">
        <v>5</v>
      </c>
      <c r="ED25" s="104">
        <f t="shared" ref="ED25" si="331">EB25/EC25</f>
        <v>0</v>
      </c>
      <c r="EE25" s="102"/>
      <c r="EF25" s="1">
        <v>5</v>
      </c>
      <c r="EG25" s="104">
        <f t="shared" ref="EG25" si="332">EE25/EF25</f>
        <v>0</v>
      </c>
      <c r="EH25" s="102"/>
      <c r="EI25" s="1">
        <v>5</v>
      </c>
      <c r="EJ25" s="104">
        <f t="shared" ref="EJ25" si="333">EH25/EI25</f>
        <v>0</v>
      </c>
      <c r="EK25" s="102"/>
      <c r="EL25" s="1">
        <v>5</v>
      </c>
      <c r="EM25" s="104">
        <f t="shared" ref="EM25" si="334">EK25/EL25</f>
        <v>0</v>
      </c>
      <c r="EN25" s="102"/>
      <c r="EO25" s="1">
        <v>5</v>
      </c>
      <c r="EP25" s="104">
        <f t="shared" ref="EP25" si="335">EN25/EO25</f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3.5" customHeight="1" spans="1:148" x14ac:dyDescent="0.25">
      <c r="A26" s="169" t="s">
        <v>97</v>
      </c>
      <c r="B26" s="101"/>
      <c r="C26" s="90"/>
      <c r="D26" s="91">
        <v>5</v>
      </c>
      <c r="E26" s="92">
        <f>C26/D26</f>
        <v>0</v>
      </c>
      <c r="F26" s="90"/>
      <c r="G26" s="91">
        <v>5</v>
      </c>
      <c r="H26" s="92">
        <f>F26/G26</f>
        <v>0</v>
      </c>
      <c r="I26" s="93"/>
      <c r="J26" s="91">
        <v>5</v>
      </c>
      <c r="K26" s="92">
        <f>I26/J26</f>
        <v>0</v>
      </c>
      <c r="L26" s="93"/>
      <c r="M26" s="91">
        <v>5</v>
      </c>
      <c r="N26" s="92">
        <f>L26/M26</f>
        <v>0</v>
      </c>
      <c r="O26" s="94"/>
      <c r="P26" s="95">
        <v>5</v>
      </c>
      <c r="Q26" s="92">
        <f>O26/P26</f>
        <v>0</v>
      </c>
      <c r="R26" s="90"/>
      <c r="S26" s="95">
        <v>5</v>
      </c>
      <c r="T26" s="92">
        <f>R26/S26</f>
        <v>0</v>
      </c>
      <c r="U26" s="90"/>
      <c r="V26" s="95">
        <v>5</v>
      </c>
      <c r="W26" s="92">
        <f>U26/V26</f>
        <v>0</v>
      </c>
      <c r="X26" s="90"/>
      <c r="Y26" s="95">
        <v>5</v>
      </c>
      <c r="Z26" s="92">
        <f>X26/Y26</f>
        <v>0</v>
      </c>
      <c r="AA26" s="94"/>
      <c r="AB26" s="95">
        <v>5</v>
      </c>
      <c r="AC26" s="92">
        <f>AA26/AB26</f>
        <v>0</v>
      </c>
      <c r="AD26" s="94"/>
      <c r="AE26" s="95">
        <v>5</v>
      </c>
      <c r="AF26" s="92">
        <f>AD26/AE26</f>
        <v>0</v>
      </c>
      <c r="AG26" s="94"/>
      <c r="AH26" s="95">
        <v>5</v>
      </c>
      <c r="AI26" s="92">
        <f>AG26/AH26</f>
        <v>0</v>
      </c>
      <c r="AJ26" s="94"/>
      <c r="AK26" s="95">
        <v>5</v>
      </c>
      <c r="AL26" s="92">
        <f>AJ26/AK26</f>
        <v>0</v>
      </c>
      <c r="AM26" s="90"/>
      <c r="AN26" s="96">
        <v>5</v>
      </c>
      <c r="AO26" s="92">
        <f>AM26/AN26</f>
        <v>0</v>
      </c>
      <c r="AP26" s="90"/>
      <c r="AQ26" s="96">
        <v>5</v>
      </c>
      <c r="AR26" s="92">
        <f>AP26/AQ26</f>
        <v>0</v>
      </c>
      <c r="AS26" s="90"/>
      <c r="AT26" s="96">
        <v>5</v>
      </c>
      <c r="AU26" s="92">
        <f>AS26/AT26</f>
        <v>0</v>
      </c>
      <c r="AV26" s="90"/>
      <c r="AW26" s="96">
        <v>5</v>
      </c>
      <c r="AX26" s="92">
        <f>AV26/AW26</f>
        <v>0</v>
      </c>
      <c r="AY26" s="90"/>
      <c r="AZ26" s="96">
        <v>5</v>
      </c>
      <c r="BA26" s="92">
        <f>AY26/AZ26</f>
        <v>0</v>
      </c>
      <c r="BB26" s="90"/>
      <c r="BC26" s="96">
        <v>5</v>
      </c>
      <c r="BD26" s="92">
        <f>BB26/BC26</f>
        <v>0</v>
      </c>
      <c r="BE26" s="90"/>
      <c r="BF26" s="96">
        <v>5</v>
      </c>
      <c r="BG26" s="92">
        <f>BE26/BF26</f>
        <v>0</v>
      </c>
      <c r="BH26" s="90"/>
      <c r="BI26" s="96">
        <v>5</v>
      </c>
      <c r="BJ26" s="92">
        <f>BH26/BI26</f>
        <v>0</v>
      </c>
      <c r="BK26" s="90"/>
      <c r="BL26" s="96">
        <v>5</v>
      </c>
      <c r="BM26" s="92">
        <f>BK26/BL26</f>
        <v>0</v>
      </c>
      <c r="BN26" s="90"/>
      <c r="BO26" s="96">
        <v>5</v>
      </c>
      <c r="BP26" s="92">
        <f>BN26/BO26</f>
        <v>0</v>
      </c>
      <c r="BQ26" s="90"/>
      <c r="BR26" s="96">
        <v>5</v>
      </c>
      <c r="BS26" s="92">
        <f>BQ26/BR26</f>
        <v>0</v>
      </c>
      <c r="BT26" s="90"/>
      <c r="BU26" s="96">
        <v>5</v>
      </c>
      <c r="BV26" s="92">
        <f>BT26/BU26</f>
        <v>0</v>
      </c>
      <c r="BW26" s="90"/>
      <c r="BX26" s="96">
        <v>5</v>
      </c>
      <c r="BY26" s="92">
        <f>BW26/BX26</f>
        <v>0</v>
      </c>
      <c r="BZ26" s="90"/>
      <c r="CA26" s="96">
        <v>5</v>
      </c>
      <c r="CB26" s="92">
        <f>BZ26/CA26</f>
        <v>0</v>
      </c>
      <c r="CC26" s="90"/>
      <c r="CD26" s="96">
        <v>5</v>
      </c>
      <c r="CE26" s="92">
        <f>CC26/CD26</f>
        <v>0</v>
      </c>
      <c r="CF26" s="90"/>
      <c r="CG26" s="96">
        <v>5</v>
      </c>
      <c r="CH26" s="92">
        <f>CF26/CG26</f>
        <v>0</v>
      </c>
      <c r="CI26" s="90"/>
      <c r="CJ26" s="96">
        <v>5</v>
      </c>
      <c r="CK26" s="92">
        <f>CI26/CJ26</f>
        <v>0</v>
      </c>
      <c r="CL26" s="90"/>
      <c r="CM26" s="96">
        <v>5</v>
      </c>
      <c r="CN26" s="92">
        <f>CL26/CM26</f>
        <v>0</v>
      </c>
      <c r="CO26" s="90"/>
      <c r="CP26" s="96">
        <v>5</v>
      </c>
      <c r="CQ26" s="92">
        <f>CO26/CP26</f>
        <v>0</v>
      </c>
      <c r="CR26" s="90"/>
      <c r="CS26" s="96">
        <v>5</v>
      </c>
      <c r="CT26" s="92">
        <f>CR26/CS26</f>
        <v>0</v>
      </c>
      <c r="CU26" s="90"/>
      <c r="CV26" s="96">
        <v>5</v>
      </c>
      <c r="CW26" s="92">
        <f>CU26/CV26</f>
        <v>0</v>
      </c>
      <c r="CX26" s="90"/>
      <c r="CY26" s="96">
        <v>5</v>
      </c>
      <c r="CZ26" s="92">
        <f>CX26/CY26</f>
        <v>0</v>
      </c>
      <c r="DA26" s="90"/>
      <c r="DB26" s="96">
        <v>5</v>
      </c>
      <c r="DC26" s="92">
        <f>DA26/DB26</f>
        <v>0</v>
      </c>
      <c r="DD26" s="90"/>
      <c r="DE26" s="96">
        <v>5</v>
      </c>
      <c r="DF26" s="92">
        <f>DD26/DE26</f>
        <v>0</v>
      </c>
      <c r="DG26" s="90"/>
      <c r="DH26" s="96">
        <v>5</v>
      </c>
      <c r="DI26" s="92">
        <f>DG26/DH26</f>
        <v>0</v>
      </c>
      <c r="DJ26" s="90"/>
      <c r="DK26" s="96">
        <v>5</v>
      </c>
      <c r="DL26" s="92">
        <f>DJ26/DK26</f>
        <v>0</v>
      </c>
      <c r="DM26" s="90"/>
      <c r="DN26" s="96">
        <v>5</v>
      </c>
      <c r="DO26" s="92">
        <f>DM26/DN26</f>
        <v>0</v>
      </c>
      <c r="DP26" s="90"/>
      <c r="DQ26" s="96">
        <v>5</v>
      </c>
      <c r="DR26" s="92">
        <f>DP26/DQ26</f>
        <v>0</v>
      </c>
      <c r="DS26" s="90"/>
      <c r="DT26" s="96">
        <v>5</v>
      </c>
      <c r="DU26" s="92">
        <f>DS26/DT26</f>
        <v>0</v>
      </c>
      <c r="DV26" s="90"/>
      <c r="DW26" s="96">
        <v>5</v>
      </c>
      <c r="DX26" s="92">
        <f>DV26/DW26</f>
        <v>0</v>
      </c>
      <c r="DY26" s="90"/>
      <c r="DZ26" s="96">
        <v>5</v>
      </c>
      <c r="EA26" s="92">
        <f>DY26/DZ26</f>
        <v>0</v>
      </c>
      <c r="EB26" s="90"/>
      <c r="EC26" s="96">
        <v>5</v>
      </c>
      <c r="ED26" s="92">
        <f>EB26/EC26</f>
        <v>0</v>
      </c>
      <c r="EE26" s="90"/>
      <c r="EF26" s="96">
        <v>5</v>
      </c>
      <c r="EG26" s="92">
        <f>EE26/EF26</f>
        <v>0</v>
      </c>
      <c r="EH26" s="90"/>
      <c r="EI26" s="96">
        <v>5</v>
      </c>
      <c r="EJ26" s="92">
        <f>EH26/EI26</f>
        <v>0</v>
      </c>
      <c r="EK26" s="90"/>
      <c r="EL26" s="96">
        <v>5</v>
      </c>
      <c r="EM26" s="92">
        <f>EK26/EL26</f>
        <v>0</v>
      </c>
      <c r="EN26" s="90"/>
      <c r="EO26" s="96">
        <v>5</v>
      </c>
      <c r="EP26" s="92">
        <f>EN26/EO26</f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25" customHeight="1" spans="1:148" x14ac:dyDescent="0.25">
      <c r="A27" s="169" t="s">
        <v>144</v>
      </c>
      <c r="B27" s="101"/>
      <c r="C27" s="102"/>
      <c r="D27" s="103">
        <v>5</v>
      </c>
      <c r="E27" s="104">
        <f t="shared" ref="E27" si="336">C27/D27</f>
        <v>0</v>
      </c>
      <c r="F27" s="102"/>
      <c r="G27" s="103">
        <v>5</v>
      </c>
      <c r="H27" s="104">
        <f t="shared" ref="H27" si="337">F27/G27</f>
        <v>0</v>
      </c>
      <c r="I27" s="105"/>
      <c r="J27" s="103">
        <v>5</v>
      </c>
      <c r="K27" s="104">
        <f t="shared" ref="K27" si="338">I27/J27</f>
        <v>0</v>
      </c>
      <c r="L27" s="105"/>
      <c r="M27" s="103">
        <v>5</v>
      </c>
      <c r="N27" s="104">
        <f t="shared" ref="N27" si="339">L27/M27</f>
        <v>0</v>
      </c>
      <c r="O27" s="106"/>
      <c r="P27" s="107">
        <v>5</v>
      </c>
      <c r="Q27" s="104">
        <f t="shared" ref="Q27" si="340">O27/P27</f>
        <v>0</v>
      </c>
      <c r="R27" s="102"/>
      <c r="S27" s="107">
        <v>5</v>
      </c>
      <c r="T27" s="104">
        <f t="shared" ref="T27" si="341">R27/S27</f>
        <v>0</v>
      </c>
      <c r="U27" s="102"/>
      <c r="V27" s="107">
        <v>5</v>
      </c>
      <c r="W27" s="104">
        <f t="shared" ref="W27" si="342">U27/V27</f>
        <v>0</v>
      </c>
      <c r="X27" s="102"/>
      <c r="Y27" s="107">
        <v>5</v>
      </c>
      <c r="Z27" s="104">
        <f t="shared" ref="Z27" si="343">X27/Y27</f>
        <v>0</v>
      </c>
      <c r="AA27" s="106"/>
      <c r="AB27" s="107">
        <v>5</v>
      </c>
      <c r="AC27" s="104">
        <f t="shared" ref="AC27" si="344">AA27/AB27</f>
        <v>0</v>
      </c>
      <c r="AD27" s="106"/>
      <c r="AE27" s="107">
        <v>5</v>
      </c>
      <c r="AF27" s="104">
        <f t="shared" ref="AF27" si="345">AD27/AE27</f>
        <v>0</v>
      </c>
      <c r="AG27" s="106"/>
      <c r="AH27" s="107">
        <v>5</v>
      </c>
      <c r="AI27" s="104">
        <f t="shared" ref="AI27" si="346">AG27/AH27</f>
        <v>0</v>
      </c>
      <c r="AJ27" s="106"/>
      <c r="AK27" s="107">
        <v>5</v>
      </c>
      <c r="AL27" s="104">
        <f t="shared" ref="AL27" si="347">AJ27/AK27</f>
        <v>0</v>
      </c>
      <c r="AM27" s="102"/>
      <c r="AN27" s="1">
        <v>5</v>
      </c>
      <c r="AO27" s="104">
        <f t="shared" ref="AO27" si="348">AM27/AN27</f>
        <v>0</v>
      </c>
      <c r="AP27" s="102"/>
      <c r="AQ27" s="1">
        <v>5</v>
      </c>
      <c r="AR27" s="104">
        <f t="shared" ref="AR27" si="349">AP27/AQ27</f>
        <v>0</v>
      </c>
      <c r="AS27" s="102"/>
      <c r="AT27" s="1">
        <v>5</v>
      </c>
      <c r="AU27" s="104">
        <f t="shared" ref="AU27" si="350">AS27/AT27</f>
        <v>0</v>
      </c>
      <c r="AV27" s="102"/>
      <c r="AW27" s="1">
        <v>5</v>
      </c>
      <c r="AX27" s="104">
        <f t="shared" ref="AX27" si="351">AV27/AW27</f>
        <v>0</v>
      </c>
      <c r="AY27" s="102"/>
      <c r="AZ27" s="1">
        <v>5</v>
      </c>
      <c r="BA27" s="104">
        <f t="shared" ref="BA27" si="352">AY27/AZ27</f>
        <v>0</v>
      </c>
      <c r="BB27" s="102"/>
      <c r="BC27" s="1">
        <v>5</v>
      </c>
      <c r="BD27" s="104">
        <f t="shared" ref="BD27" si="353">BB27/BC27</f>
        <v>0</v>
      </c>
      <c r="BE27" s="102"/>
      <c r="BF27" s="1">
        <v>5</v>
      </c>
      <c r="BG27" s="104">
        <f t="shared" ref="BG27" si="354">BE27/BF27</f>
        <v>0</v>
      </c>
      <c r="BH27" s="102"/>
      <c r="BI27" s="1">
        <v>5</v>
      </c>
      <c r="BJ27" s="104">
        <f t="shared" ref="BJ27" si="355">BH27/BI27</f>
        <v>0</v>
      </c>
      <c r="BK27" s="102"/>
      <c r="BL27" s="1">
        <v>5</v>
      </c>
      <c r="BM27" s="104">
        <f t="shared" ref="BM27" si="356">BK27/BL27</f>
        <v>0</v>
      </c>
      <c r="BN27" s="102"/>
      <c r="BO27" s="1">
        <v>5</v>
      </c>
      <c r="BP27" s="104">
        <f t="shared" ref="BP27" si="357">BN27/BO27</f>
        <v>0</v>
      </c>
      <c r="BQ27" s="102"/>
      <c r="BR27" s="1">
        <v>5</v>
      </c>
      <c r="BS27" s="104">
        <f t="shared" ref="BS27" si="358">BQ27/BR27</f>
        <v>0</v>
      </c>
      <c r="BT27" s="102"/>
      <c r="BU27" s="1">
        <v>5</v>
      </c>
      <c r="BV27" s="104">
        <f t="shared" ref="BV27" si="359">BT27/BU27</f>
        <v>0</v>
      </c>
      <c r="BW27" s="102"/>
      <c r="BX27" s="1">
        <v>5</v>
      </c>
      <c r="BY27" s="104">
        <f t="shared" ref="BY27" si="360">BW27/BX27</f>
        <v>0</v>
      </c>
      <c r="BZ27" s="102"/>
      <c r="CA27" s="1">
        <v>5</v>
      </c>
      <c r="CB27" s="104">
        <f t="shared" ref="CB27" si="361">BZ27/CA27</f>
        <v>0</v>
      </c>
      <c r="CC27" s="102"/>
      <c r="CD27" s="1">
        <v>5</v>
      </c>
      <c r="CE27" s="104">
        <f t="shared" ref="CE27" si="362">CC27/CD27</f>
        <v>0</v>
      </c>
      <c r="CF27" s="102"/>
      <c r="CG27" s="1">
        <v>5</v>
      </c>
      <c r="CH27" s="104">
        <f t="shared" ref="CH27" si="363">CF27/CG27</f>
        <v>0</v>
      </c>
      <c r="CI27" s="102"/>
      <c r="CJ27" s="1">
        <v>5</v>
      </c>
      <c r="CK27" s="104">
        <f t="shared" ref="CK27" si="364">CI27/CJ27</f>
        <v>0</v>
      </c>
      <c r="CL27" s="102"/>
      <c r="CM27" s="1">
        <v>5</v>
      </c>
      <c r="CN27" s="104">
        <f t="shared" ref="CN27" si="365">CL27/CM27</f>
        <v>0</v>
      </c>
      <c r="CO27" s="102"/>
      <c r="CP27" s="1">
        <v>5</v>
      </c>
      <c r="CQ27" s="104">
        <f t="shared" ref="CQ27" si="366">CO27/CP27</f>
        <v>0</v>
      </c>
      <c r="CR27" s="102"/>
      <c r="CS27" s="1">
        <v>5</v>
      </c>
      <c r="CT27" s="104">
        <f t="shared" ref="CT27" si="367">CR27/CS27</f>
        <v>0</v>
      </c>
      <c r="CU27" s="102"/>
      <c r="CV27" s="1">
        <v>5</v>
      </c>
      <c r="CW27" s="104">
        <f t="shared" ref="CW27" si="368">CU27/CV27</f>
        <v>0</v>
      </c>
      <c r="CX27" s="102"/>
      <c r="CY27" s="1">
        <v>5</v>
      </c>
      <c r="CZ27" s="104">
        <f t="shared" ref="CZ27" si="369">CX27/CY27</f>
        <v>0</v>
      </c>
      <c r="DA27" s="102"/>
      <c r="DB27" s="1">
        <v>5</v>
      </c>
      <c r="DC27" s="104">
        <f t="shared" ref="DC27" si="370">DA27/DB27</f>
        <v>0</v>
      </c>
      <c r="DD27" s="102"/>
      <c r="DE27" s="1">
        <v>5</v>
      </c>
      <c r="DF27" s="104">
        <f t="shared" ref="DF27" si="371">DD27/DE27</f>
        <v>0</v>
      </c>
      <c r="DG27" s="102"/>
      <c r="DH27" s="1">
        <v>5</v>
      </c>
      <c r="DI27" s="104">
        <f t="shared" ref="DI27" si="372">DG27/DH27</f>
        <v>0</v>
      </c>
      <c r="DJ27" s="102"/>
      <c r="DK27" s="1">
        <v>5</v>
      </c>
      <c r="DL27" s="104">
        <f t="shared" ref="DL27" si="373">DJ27/DK27</f>
        <v>0</v>
      </c>
      <c r="DM27" s="102"/>
      <c r="DN27" s="1">
        <v>5</v>
      </c>
      <c r="DO27" s="104">
        <f t="shared" ref="DO27" si="374">DM27/DN27</f>
        <v>0</v>
      </c>
      <c r="DP27" s="102"/>
      <c r="DQ27" s="1">
        <v>5</v>
      </c>
      <c r="DR27" s="104">
        <f t="shared" ref="DR27" si="375">DP27/DQ27</f>
        <v>0</v>
      </c>
      <c r="DS27" s="102"/>
      <c r="DT27" s="1">
        <v>5</v>
      </c>
      <c r="DU27" s="104">
        <f t="shared" ref="DU27" si="376">DS27/DT27</f>
        <v>0</v>
      </c>
      <c r="DV27" s="102"/>
      <c r="DW27" s="1">
        <v>5</v>
      </c>
      <c r="DX27" s="104">
        <f t="shared" ref="DX27" si="377">DV27/DW27</f>
        <v>0</v>
      </c>
      <c r="DY27" s="102"/>
      <c r="DZ27" s="1">
        <v>5</v>
      </c>
      <c r="EA27" s="104">
        <f t="shared" ref="EA27" si="378">DY27/DZ27</f>
        <v>0</v>
      </c>
      <c r="EB27" s="102"/>
      <c r="EC27" s="1">
        <v>5</v>
      </c>
      <c r="ED27" s="104">
        <f t="shared" ref="ED27" si="379">EB27/EC27</f>
        <v>0</v>
      </c>
      <c r="EE27" s="102"/>
      <c r="EF27" s="1">
        <v>5</v>
      </c>
      <c r="EG27" s="104">
        <f t="shared" ref="EG27" si="380">EE27/EF27</f>
        <v>0</v>
      </c>
      <c r="EH27" s="102"/>
      <c r="EI27" s="1">
        <v>5</v>
      </c>
      <c r="EJ27" s="104">
        <f t="shared" ref="EJ27" si="381">EH27/EI27</f>
        <v>0</v>
      </c>
      <c r="EK27" s="102"/>
      <c r="EL27" s="1">
        <v>5</v>
      </c>
      <c r="EM27" s="104">
        <f t="shared" ref="EM27" si="382">EK27/EL27</f>
        <v>0</v>
      </c>
      <c r="EN27" s="102"/>
      <c r="EO27" s="1">
        <v>5</v>
      </c>
      <c r="EP27" s="104">
        <f t="shared" ref="EP27" si="383">EN27/EO27</f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16" customHeight="1" spans="1:148" x14ac:dyDescent="0.25">
      <c r="A28" s="169" t="s">
        <v>99</v>
      </c>
      <c r="B28" s="101"/>
      <c r="C28" s="90"/>
      <c r="D28" s="91">
        <v>5</v>
      </c>
      <c r="E28" s="92">
        <f>C28/D28</f>
        <v>0</v>
      </c>
      <c r="F28" s="90"/>
      <c r="G28" s="91">
        <v>5</v>
      </c>
      <c r="H28" s="92">
        <f>F28/G28</f>
        <v>0</v>
      </c>
      <c r="I28" s="93"/>
      <c r="J28" s="91">
        <v>5</v>
      </c>
      <c r="K28" s="92">
        <f>I28/J28</f>
        <v>0</v>
      </c>
      <c r="L28" s="93"/>
      <c r="M28" s="91">
        <v>5</v>
      </c>
      <c r="N28" s="92">
        <f>L28/M28</f>
        <v>0</v>
      </c>
      <c r="O28" s="94"/>
      <c r="P28" s="95">
        <v>5</v>
      </c>
      <c r="Q28" s="92">
        <f>O28/P28</f>
        <v>0</v>
      </c>
      <c r="R28" s="90"/>
      <c r="S28" s="95">
        <v>5</v>
      </c>
      <c r="T28" s="92">
        <f>R28/S28</f>
        <v>0</v>
      </c>
      <c r="U28" s="90"/>
      <c r="V28" s="95">
        <v>5</v>
      </c>
      <c r="W28" s="92">
        <f>U28/V28</f>
        <v>0</v>
      </c>
      <c r="X28" s="90"/>
      <c r="Y28" s="95">
        <v>5</v>
      </c>
      <c r="Z28" s="92">
        <f>X28/Y28</f>
        <v>0</v>
      </c>
      <c r="AA28" s="94"/>
      <c r="AB28" s="95">
        <v>5</v>
      </c>
      <c r="AC28" s="92">
        <f>AA28/AB28</f>
        <v>0</v>
      </c>
      <c r="AD28" s="94"/>
      <c r="AE28" s="95">
        <v>5</v>
      </c>
      <c r="AF28" s="92">
        <f>AD28/AE28</f>
        <v>0</v>
      </c>
      <c r="AG28" s="94"/>
      <c r="AH28" s="95">
        <v>5</v>
      </c>
      <c r="AI28" s="92">
        <f>AG28/AH28</f>
        <v>0</v>
      </c>
      <c r="AJ28" s="94"/>
      <c r="AK28" s="95">
        <v>5</v>
      </c>
      <c r="AL28" s="92">
        <f>AJ28/AK28</f>
        <v>0</v>
      </c>
      <c r="AM28" s="90"/>
      <c r="AN28" s="96">
        <v>5</v>
      </c>
      <c r="AO28" s="92">
        <f>AM28/AN28</f>
        <v>0</v>
      </c>
      <c r="AP28" s="90"/>
      <c r="AQ28" s="96">
        <v>5</v>
      </c>
      <c r="AR28" s="92">
        <f>AP28/AQ28</f>
        <v>0</v>
      </c>
      <c r="AS28" s="90"/>
      <c r="AT28" s="96">
        <v>5</v>
      </c>
      <c r="AU28" s="92">
        <f>AS28/AT28</f>
        <v>0</v>
      </c>
      <c r="AV28" s="90"/>
      <c r="AW28" s="96">
        <v>5</v>
      </c>
      <c r="AX28" s="92">
        <f>AV28/AW28</f>
        <v>0</v>
      </c>
      <c r="AY28" s="90"/>
      <c r="AZ28" s="96">
        <v>5</v>
      </c>
      <c r="BA28" s="92">
        <f>AY28/AZ28</f>
        <v>0</v>
      </c>
      <c r="BB28" s="90"/>
      <c r="BC28" s="96">
        <v>5</v>
      </c>
      <c r="BD28" s="92">
        <f>BB28/BC28</f>
        <v>0</v>
      </c>
      <c r="BE28" s="90"/>
      <c r="BF28" s="96">
        <v>5</v>
      </c>
      <c r="BG28" s="92">
        <f>BE28/BF28</f>
        <v>0</v>
      </c>
      <c r="BH28" s="90"/>
      <c r="BI28" s="96">
        <v>5</v>
      </c>
      <c r="BJ28" s="92">
        <f>BH28/BI28</f>
        <v>0</v>
      </c>
      <c r="BK28" s="90"/>
      <c r="BL28" s="96">
        <v>5</v>
      </c>
      <c r="BM28" s="92">
        <f>BK28/BL28</f>
        <v>0</v>
      </c>
      <c r="BN28" s="90"/>
      <c r="BO28" s="96">
        <v>5</v>
      </c>
      <c r="BP28" s="92">
        <f>BN28/BO28</f>
        <v>0</v>
      </c>
      <c r="BQ28" s="90"/>
      <c r="BR28" s="96">
        <v>5</v>
      </c>
      <c r="BS28" s="92">
        <f>BQ28/BR28</f>
        <v>0</v>
      </c>
      <c r="BT28" s="90"/>
      <c r="BU28" s="96">
        <v>5</v>
      </c>
      <c r="BV28" s="92">
        <f>BT28/BU28</f>
        <v>0</v>
      </c>
      <c r="BW28" s="90"/>
      <c r="BX28" s="96">
        <v>5</v>
      </c>
      <c r="BY28" s="92">
        <f>BW28/BX28</f>
        <v>0</v>
      </c>
      <c r="BZ28" s="90"/>
      <c r="CA28" s="96">
        <v>5</v>
      </c>
      <c r="CB28" s="92">
        <f>BZ28/CA28</f>
        <v>0</v>
      </c>
      <c r="CC28" s="90"/>
      <c r="CD28" s="96">
        <v>5</v>
      </c>
      <c r="CE28" s="92">
        <f>CC28/CD28</f>
        <v>0</v>
      </c>
      <c r="CF28" s="90"/>
      <c r="CG28" s="96">
        <v>5</v>
      </c>
      <c r="CH28" s="92">
        <f>CF28/CG28</f>
        <v>0</v>
      </c>
      <c r="CI28" s="90"/>
      <c r="CJ28" s="96">
        <v>5</v>
      </c>
      <c r="CK28" s="92">
        <f>CI28/CJ28</f>
        <v>0</v>
      </c>
      <c r="CL28" s="90"/>
      <c r="CM28" s="96">
        <v>5</v>
      </c>
      <c r="CN28" s="92">
        <f>CL28/CM28</f>
        <v>0</v>
      </c>
      <c r="CO28" s="90"/>
      <c r="CP28" s="96">
        <v>5</v>
      </c>
      <c r="CQ28" s="92">
        <f>CO28/CP28</f>
        <v>0</v>
      </c>
      <c r="CR28" s="90"/>
      <c r="CS28" s="96">
        <v>5</v>
      </c>
      <c r="CT28" s="92">
        <f>CR28/CS28</f>
        <v>0</v>
      </c>
      <c r="CU28" s="90"/>
      <c r="CV28" s="96">
        <v>5</v>
      </c>
      <c r="CW28" s="92">
        <f>CU28/CV28</f>
        <v>0</v>
      </c>
      <c r="CX28" s="90"/>
      <c r="CY28" s="96">
        <v>5</v>
      </c>
      <c r="CZ28" s="92">
        <f>CX28/CY28</f>
        <v>0</v>
      </c>
      <c r="DA28" s="90"/>
      <c r="DB28" s="96">
        <v>5</v>
      </c>
      <c r="DC28" s="92">
        <f>DA28/DB28</f>
        <v>0</v>
      </c>
      <c r="DD28" s="90"/>
      <c r="DE28" s="96">
        <v>5</v>
      </c>
      <c r="DF28" s="92">
        <f>DD28/DE28</f>
        <v>0</v>
      </c>
      <c r="DG28" s="90"/>
      <c r="DH28" s="96">
        <v>5</v>
      </c>
      <c r="DI28" s="92">
        <f>DG28/DH28</f>
        <v>0</v>
      </c>
      <c r="DJ28" s="90"/>
      <c r="DK28" s="96">
        <v>5</v>
      </c>
      <c r="DL28" s="92">
        <f>DJ28/DK28</f>
        <v>0</v>
      </c>
      <c r="DM28" s="90"/>
      <c r="DN28" s="96">
        <v>5</v>
      </c>
      <c r="DO28" s="92">
        <f>DM28/DN28</f>
        <v>0</v>
      </c>
      <c r="DP28" s="90"/>
      <c r="DQ28" s="96">
        <v>5</v>
      </c>
      <c r="DR28" s="92">
        <f>DP28/DQ28</f>
        <v>0</v>
      </c>
      <c r="DS28" s="90"/>
      <c r="DT28" s="96">
        <v>5</v>
      </c>
      <c r="DU28" s="92">
        <f>DS28/DT28</f>
        <v>0</v>
      </c>
      <c r="DV28" s="90"/>
      <c r="DW28" s="96">
        <v>5</v>
      </c>
      <c r="DX28" s="92">
        <f>DV28/DW28</f>
        <v>0</v>
      </c>
      <c r="DY28" s="90"/>
      <c r="DZ28" s="96">
        <v>5</v>
      </c>
      <c r="EA28" s="92">
        <f>DY28/DZ28</f>
        <v>0</v>
      </c>
      <c r="EB28" s="90"/>
      <c r="EC28" s="96">
        <v>5</v>
      </c>
      <c r="ED28" s="92">
        <f>EB28/EC28</f>
        <v>0</v>
      </c>
      <c r="EE28" s="90"/>
      <c r="EF28" s="96">
        <v>5</v>
      </c>
      <c r="EG28" s="92">
        <f>EE28/EF28</f>
        <v>0</v>
      </c>
      <c r="EH28" s="90"/>
      <c r="EI28" s="96">
        <v>5</v>
      </c>
      <c r="EJ28" s="92">
        <f>EH28/EI28</f>
        <v>0</v>
      </c>
      <c r="EK28" s="90"/>
      <c r="EL28" s="96">
        <v>5</v>
      </c>
      <c r="EM28" s="92">
        <f>EK28/EL28</f>
        <v>0</v>
      </c>
      <c r="EN28" s="90"/>
      <c r="EO28" s="96">
        <v>5</v>
      </c>
      <c r="EP28" s="92">
        <f>EN28/EO28</f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24" customHeight="1" spans="1:148" x14ac:dyDescent="0.25">
      <c r="A29" s="169" t="s">
        <v>100</v>
      </c>
      <c r="B29" s="101"/>
      <c r="C29" s="102"/>
      <c r="D29" s="103">
        <v>5</v>
      </c>
      <c r="E29" s="104">
        <f t="shared" ref="E29" si="384">C29/D29</f>
        <v>0</v>
      </c>
      <c r="F29" s="102"/>
      <c r="G29" s="103">
        <v>5</v>
      </c>
      <c r="H29" s="104">
        <f t="shared" ref="H29" si="385">F29/G29</f>
        <v>0</v>
      </c>
      <c r="I29" s="105"/>
      <c r="J29" s="103">
        <v>5</v>
      </c>
      <c r="K29" s="104">
        <f t="shared" ref="K29" si="386">I29/J29</f>
        <v>0</v>
      </c>
      <c r="L29" s="105"/>
      <c r="M29" s="103">
        <v>5</v>
      </c>
      <c r="N29" s="104">
        <f t="shared" ref="N29" si="387">L29/M29</f>
        <v>0</v>
      </c>
      <c r="O29" s="106"/>
      <c r="P29" s="107">
        <v>5</v>
      </c>
      <c r="Q29" s="104">
        <f t="shared" ref="Q29" si="388">O29/P29</f>
        <v>0</v>
      </c>
      <c r="R29" s="102"/>
      <c r="S29" s="107">
        <v>5</v>
      </c>
      <c r="T29" s="104">
        <f t="shared" ref="T29" si="389">R29/S29</f>
        <v>0</v>
      </c>
      <c r="U29" s="102"/>
      <c r="V29" s="107">
        <v>5</v>
      </c>
      <c r="W29" s="104">
        <f t="shared" ref="W29" si="390">U29/V29</f>
        <v>0</v>
      </c>
      <c r="X29" s="102"/>
      <c r="Y29" s="107">
        <v>5</v>
      </c>
      <c r="Z29" s="104">
        <f t="shared" ref="Z29" si="391">X29/Y29</f>
        <v>0</v>
      </c>
      <c r="AA29" s="106"/>
      <c r="AB29" s="107">
        <v>5</v>
      </c>
      <c r="AC29" s="104">
        <f t="shared" ref="AC29" si="392">AA29/AB29</f>
        <v>0</v>
      </c>
      <c r="AD29" s="106"/>
      <c r="AE29" s="107">
        <v>5</v>
      </c>
      <c r="AF29" s="104">
        <f t="shared" ref="AF29" si="393">AD29/AE29</f>
        <v>0</v>
      </c>
      <c r="AG29" s="106"/>
      <c r="AH29" s="107">
        <v>5</v>
      </c>
      <c r="AI29" s="104">
        <f t="shared" ref="AI29" si="394">AG29/AH29</f>
        <v>0</v>
      </c>
      <c r="AJ29" s="106"/>
      <c r="AK29" s="107">
        <v>5</v>
      </c>
      <c r="AL29" s="104">
        <f t="shared" ref="AL29" si="395">AJ29/AK29</f>
        <v>0</v>
      </c>
      <c r="AM29" s="102"/>
      <c r="AN29" s="1">
        <v>5</v>
      </c>
      <c r="AO29" s="104">
        <f t="shared" ref="AO29" si="396">AM29/AN29</f>
        <v>0</v>
      </c>
      <c r="AP29" s="102"/>
      <c r="AQ29" s="1">
        <v>5</v>
      </c>
      <c r="AR29" s="104">
        <f t="shared" ref="AR29" si="397">AP29/AQ29</f>
        <v>0</v>
      </c>
      <c r="AS29" s="102"/>
      <c r="AT29" s="1">
        <v>5</v>
      </c>
      <c r="AU29" s="104">
        <f t="shared" ref="AU29" si="398">AS29/AT29</f>
        <v>0</v>
      </c>
      <c r="AV29" s="102"/>
      <c r="AW29" s="1">
        <v>5</v>
      </c>
      <c r="AX29" s="104">
        <f t="shared" ref="AX29" si="399">AV29/AW29</f>
        <v>0</v>
      </c>
      <c r="AY29" s="102"/>
      <c r="AZ29" s="1">
        <v>5</v>
      </c>
      <c r="BA29" s="104">
        <f t="shared" ref="BA29" si="400">AY29/AZ29</f>
        <v>0</v>
      </c>
      <c r="BB29" s="102"/>
      <c r="BC29" s="1">
        <v>5</v>
      </c>
      <c r="BD29" s="104">
        <f t="shared" ref="BD29" si="401">BB29/BC29</f>
        <v>0</v>
      </c>
      <c r="BE29" s="102"/>
      <c r="BF29" s="1">
        <v>5</v>
      </c>
      <c r="BG29" s="104">
        <f t="shared" ref="BG29" si="402">BE29/BF29</f>
        <v>0</v>
      </c>
      <c r="BH29" s="102"/>
      <c r="BI29" s="1">
        <v>5</v>
      </c>
      <c r="BJ29" s="104">
        <f t="shared" ref="BJ29" si="403">BH29/BI29</f>
        <v>0</v>
      </c>
      <c r="BK29" s="102"/>
      <c r="BL29" s="1">
        <v>5</v>
      </c>
      <c r="BM29" s="104">
        <f t="shared" ref="BM29" si="404">BK29/BL29</f>
        <v>0</v>
      </c>
      <c r="BN29" s="102"/>
      <c r="BO29" s="1">
        <v>5</v>
      </c>
      <c r="BP29" s="104">
        <f t="shared" ref="BP29" si="405">BN29/BO29</f>
        <v>0</v>
      </c>
      <c r="BQ29" s="102"/>
      <c r="BR29" s="1">
        <v>5</v>
      </c>
      <c r="BS29" s="104">
        <f t="shared" ref="BS29" si="406">BQ29/BR29</f>
        <v>0</v>
      </c>
      <c r="BT29" s="102"/>
      <c r="BU29" s="1">
        <v>5</v>
      </c>
      <c r="BV29" s="104">
        <f t="shared" ref="BV29" si="407">BT29/BU29</f>
        <v>0</v>
      </c>
      <c r="BW29" s="102"/>
      <c r="BX29" s="1">
        <v>5</v>
      </c>
      <c r="BY29" s="104">
        <f t="shared" ref="BY29" si="408">BW29/BX29</f>
        <v>0</v>
      </c>
      <c r="BZ29" s="102"/>
      <c r="CA29" s="1">
        <v>5</v>
      </c>
      <c r="CB29" s="104">
        <f t="shared" ref="CB29" si="409">BZ29/CA29</f>
        <v>0</v>
      </c>
      <c r="CC29" s="102"/>
      <c r="CD29" s="1">
        <v>5</v>
      </c>
      <c r="CE29" s="104">
        <f t="shared" ref="CE29" si="410">CC29/CD29</f>
        <v>0</v>
      </c>
      <c r="CF29" s="102"/>
      <c r="CG29" s="1">
        <v>5</v>
      </c>
      <c r="CH29" s="104">
        <f t="shared" ref="CH29" si="411">CF29/CG29</f>
        <v>0</v>
      </c>
      <c r="CI29" s="102"/>
      <c r="CJ29" s="1">
        <v>5</v>
      </c>
      <c r="CK29" s="104">
        <f t="shared" ref="CK29" si="412">CI29/CJ29</f>
        <v>0</v>
      </c>
      <c r="CL29" s="102"/>
      <c r="CM29" s="1">
        <v>5</v>
      </c>
      <c r="CN29" s="104">
        <f t="shared" ref="CN29" si="413">CL29/CM29</f>
        <v>0</v>
      </c>
      <c r="CO29" s="102"/>
      <c r="CP29" s="1">
        <v>5</v>
      </c>
      <c r="CQ29" s="104">
        <f t="shared" ref="CQ29" si="414">CO29/CP29</f>
        <v>0</v>
      </c>
      <c r="CR29" s="102"/>
      <c r="CS29" s="1">
        <v>5</v>
      </c>
      <c r="CT29" s="104">
        <f t="shared" ref="CT29" si="415">CR29/CS29</f>
        <v>0</v>
      </c>
      <c r="CU29" s="102"/>
      <c r="CV29" s="1">
        <v>5</v>
      </c>
      <c r="CW29" s="104">
        <f t="shared" ref="CW29" si="416">CU29/CV29</f>
        <v>0</v>
      </c>
      <c r="CX29" s="102"/>
      <c r="CY29" s="1">
        <v>5</v>
      </c>
      <c r="CZ29" s="104">
        <f t="shared" ref="CZ29" si="417">CX29/CY29</f>
        <v>0</v>
      </c>
      <c r="DA29" s="102"/>
      <c r="DB29" s="1">
        <v>5</v>
      </c>
      <c r="DC29" s="104">
        <f t="shared" ref="DC29" si="418">DA29/DB29</f>
        <v>0</v>
      </c>
      <c r="DD29" s="102"/>
      <c r="DE29" s="1">
        <v>5</v>
      </c>
      <c r="DF29" s="104">
        <f t="shared" ref="DF29" si="419">DD29/DE29</f>
        <v>0</v>
      </c>
      <c r="DG29" s="102"/>
      <c r="DH29" s="1">
        <v>5</v>
      </c>
      <c r="DI29" s="104">
        <f t="shared" ref="DI29" si="420">DG29/DH29</f>
        <v>0</v>
      </c>
      <c r="DJ29" s="102"/>
      <c r="DK29" s="1">
        <v>5</v>
      </c>
      <c r="DL29" s="104">
        <f t="shared" ref="DL29" si="421">DJ29/DK29</f>
        <v>0</v>
      </c>
      <c r="DM29" s="102"/>
      <c r="DN29" s="1">
        <v>5</v>
      </c>
      <c r="DO29" s="104">
        <f t="shared" ref="DO29" si="422">DM29/DN29</f>
        <v>0</v>
      </c>
      <c r="DP29" s="102"/>
      <c r="DQ29" s="1">
        <v>5</v>
      </c>
      <c r="DR29" s="104">
        <f t="shared" ref="DR29" si="423">DP29/DQ29</f>
        <v>0</v>
      </c>
      <c r="DS29" s="102"/>
      <c r="DT29" s="1">
        <v>5</v>
      </c>
      <c r="DU29" s="104">
        <f t="shared" ref="DU29" si="424">DS29/DT29</f>
        <v>0</v>
      </c>
      <c r="DV29" s="102"/>
      <c r="DW29" s="1">
        <v>5</v>
      </c>
      <c r="DX29" s="104">
        <f t="shared" ref="DX29" si="425">DV29/DW29</f>
        <v>0</v>
      </c>
      <c r="DY29" s="102"/>
      <c r="DZ29" s="1">
        <v>5</v>
      </c>
      <c r="EA29" s="104">
        <f t="shared" ref="EA29" si="426">DY29/DZ29</f>
        <v>0</v>
      </c>
      <c r="EB29" s="102"/>
      <c r="EC29" s="1">
        <v>5</v>
      </c>
      <c r="ED29" s="104">
        <f t="shared" ref="ED29" si="427">EB29/EC29</f>
        <v>0</v>
      </c>
      <c r="EE29" s="102"/>
      <c r="EF29" s="1">
        <v>5</v>
      </c>
      <c r="EG29" s="104">
        <f t="shared" ref="EG29" si="428">EE29/EF29</f>
        <v>0</v>
      </c>
      <c r="EH29" s="102"/>
      <c r="EI29" s="1">
        <v>5</v>
      </c>
      <c r="EJ29" s="104">
        <f t="shared" ref="EJ29" si="429">EH29/EI29</f>
        <v>0</v>
      </c>
      <c r="EK29" s="102"/>
      <c r="EL29" s="1">
        <v>5</v>
      </c>
      <c r="EM29" s="104">
        <f t="shared" ref="EM29" si="430">EK29/EL29</f>
        <v>0</v>
      </c>
      <c r="EN29" s="102"/>
      <c r="EO29" s="1">
        <v>5</v>
      </c>
      <c r="EP29" s="104">
        <f t="shared" ref="EP29" si="431">EN29/EO29</f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16" customHeight="1" spans="1:148" x14ac:dyDescent="0.25">
      <c r="A30" s="169" t="s">
        <v>101</v>
      </c>
      <c r="B30" s="101"/>
      <c r="C30" s="90"/>
      <c r="D30" s="91">
        <v>5</v>
      </c>
      <c r="E30" s="92">
        <f>C30/D30</f>
        <v>0</v>
      </c>
      <c r="F30" s="90"/>
      <c r="G30" s="91">
        <v>5</v>
      </c>
      <c r="H30" s="92">
        <f>F30/G30</f>
        <v>0</v>
      </c>
      <c r="I30" s="93"/>
      <c r="J30" s="91">
        <v>5</v>
      </c>
      <c r="K30" s="92">
        <f>I30/J30</f>
        <v>0</v>
      </c>
      <c r="L30" s="93"/>
      <c r="M30" s="91">
        <v>5</v>
      </c>
      <c r="N30" s="92">
        <f>L30/M30</f>
        <v>0</v>
      </c>
      <c r="O30" s="94"/>
      <c r="P30" s="95">
        <v>5</v>
      </c>
      <c r="Q30" s="92">
        <f>O30/P30</f>
        <v>0</v>
      </c>
      <c r="R30" s="90"/>
      <c r="S30" s="95">
        <v>5</v>
      </c>
      <c r="T30" s="92">
        <f>R30/S30</f>
        <v>0</v>
      </c>
      <c r="U30" s="90"/>
      <c r="V30" s="95">
        <v>5</v>
      </c>
      <c r="W30" s="92">
        <f>U30/V30</f>
        <v>0</v>
      </c>
      <c r="X30" s="90"/>
      <c r="Y30" s="95">
        <v>5</v>
      </c>
      <c r="Z30" s="92">
        <f>X30/Y30</f>
        <v>0</v>
      </c>
      <c r="AA30" s="94"/>
      <c r="AB30" s="95">
        <v>5</v>
      </c>
      <c r="AC30" s="92">
        <f>AA30/AB30</f>
        <v>0</v>
      </c>
      <c r="AD30" s="94"/>
      <c r="AE30" s="95">
        <v>5</v>
      </c>
      <c r="AF30" s="92">
        <f>AD30/AE30</f>
        <v>0</v>
      </c>
      <c r="AG30" s="94"/>
      <c r="AH30" s="95">
        <v>5</v>
      </c>
      <c r="AI30" s="92">
        <f>AG30/AH30</f>
        <v>0</v>
      </c>
      <c r="AJ30" s="94"/>
      <c r="AK30" s="95">
        <v>5</v>
      </c>
      <c r="AL30" s="92">
        <f>AJ30/AK30</f>
        <v>0</v>
      </c>
      <c r="AM30" s="90"/>
      <c r="AN30" s="96">
        <v>5</v>
      </c>
      <c r="AO30" s="92">
        <f>AM30/AN30</f>
        <v>0</v>
      </c>
      <c r="AP30" s="90"/>
      <c r="AQ30" s="96">
        <v>5</v>
      </c>
      <c r="AR30" s="92">
        <f>AP30/AQ30</f>
        <v>0</v>
      </c>
      <c r="AS30" s="90"/>
      <c r="AT30" s="96">
        <v>5</v>
      </c>
      <c r="AU30" s="92">
        <f>AS30/AT30</f>
        <v>0</v>
      </c>
      <c r="AV30" s="90"/>
      <c r="AW30" s="96">
        <v>5</v>
      </c>
      <c r="AX30" s="92">
        <f>AV30/AW30</f>
        <v>0</v>
      </c>
      <c r="AY30" s="90"/>
      <c r="AZ30" s="96">
        <v>5</v>
      </c>
      <c r="BA30" s="92">
        <f>AY30/AZ30</f>
        <v>0</v>
      </c>
      <c r="BB30" s="90"/>
      <c r="BC30" s="96">
        <v>5</v>
      </c>
      <c r="BD30" s="92">
        <f>BB30/BC30</f>
        <v>0</v>
      </c>
      <c r="BE30" s="90"/>
      <c r="BF30" s="96">
        <v>5</v>
      </c>
      <c r="BG30" s="92">
        <f>BE30/BF30</f>
        <v>0</v>
      </c>
      <c r="BH30" s="90"/>
      <c r="BI30" s="96">
        <v>5</v>
      </c>
      <c r="BJ30" s="92">
        <f>BH30/BI30</f>
        <v>0</v>
      </c>
      <c r="BK30" s="90"/>
      <c r="BL30" s="96">
        <v>5</v>
      </c>
      <c r="BM30" s="92">
        <f>BK30/BL30</f>
        <v>0</v>
      </c>
      <c r="BN30" s="90"/>
      <c r="BO30" s="96">
        <v>5</v>
      </c>
      <c r="BP30" s="92">
        <f>BN30/BO30</f>
        <v>0</v>
      </c>
      <c r="BQ30" s="90"/>
      <c r="BR30" s="96">
        <v>5</v>
      </c>
      <c r="BS30" s="92">
        <f>BQ30/BR30</f>
        <v>0</v>
      </c>
      <c r="BT30" s="90"/>
      <c r="BU30" s="96">
        <v>5</v>
      </c>
      <c r="BV30" s="92">
        <f>BT30/BU30</f>
        <v>0</v>
      </c>
      <c r="BW30" s="90"/>
      <c r="BX30" s="96">
        <v>5</v>
      </c>
      <c r="BY30" s="92">
        <f>BW30/BX30</f>
        <v>0</v>
      </c>
      <c r="BZ30" s="90"/>
      <c r="CA30" s="96">
        <v>5</v>
      </c>
      <c r="CB30" s="92">
        <f>BZ30/CA30</f>
        <v>0</v>
      </c>
      <c r="CC30" s="90"/>
      <c r="CD30" s="96">
        <v>5</v>
      </c>
      <c r="CE30" s="92">
        <f>CC30/CD30</f>
        <v>0</v>
      </c>
      <c r="CF30" s="90"/>
      <c r="CG30" s="96">
        <v>5</v>
      </c>
      <c r="CH30" s="92">
        <f>CF30/CG30</f>
        <v>0</v>
      </c>
      <c r="CI30" s="90"/>
      <c r="CJ30" s="96">
        <v>5</v>
      </c>
      <c r="CK30" s="92">
        <f>CI30/CJ30</f>
        <v>0</v>
      </c>
      <c r="CL30" s="90"/>
      <c r="CM30" s="96">
        <v>5</v>
      </c>
      <c r="CN30" s="92">
        <f>CL30/CM30</f>
        <v>0</v>
      </c>
      <c r="CO30" s="90"/>
      <c r="CP30" s="96">
        <v>5</v>
      </c>
      <c r="CQ30" s="92">
        <f>CO30/CP30</f>
        <v>0</v>
      </c>
      <c r="CR30" s="90"/>
      <c r="CS30" s="96">
        <v>5</v>
      </c>
      <c r="CT30" s="92">
        <f>CR30/CS30</f>
        <v>0</v>
      </c>
      <c r="CU30" s="90"/>
      <c r="CV30" s="96">
        <v>5</v>
      </c>
      <c r="CW30" s="92">
        <f>CU30/CV30</f>
        <v>0</v>
      </c>
      <c r="CX30" s="90"/>
      <c r="CY30" s="96">
        <v>5</v>
      </c>
      <c r="CZ30" s="92">
        <f>CX30/CY30</f>
        <v>0</v>
      </c>
      <c r="DA30" s="90"/>
      <c r="DB30" s="96">
        <v>5</v>
      </c>
      <c r="DC30" s="92">
        <f>DA30/DB30</f>
        <v>0</v>
      </c>
      <c r="DD30" s="90"/>
      <c r="DE30" s="96">
        <v>5</v>
      </c>
      <c r="DF30" s="92">
        <f>DD30/DE30</f>
        <v>0</v>
      </c>
      <c r="DG30" s="90"/>
      <c r="DH30" s="96">
        <v>5</v>
      </c>
      <c r="DI30" s="92">
        <f>DG30/DH30</f>
        <v>0</v>
      </c>
      <c r="DJ30" s="90"/>
      <c r="DK30" s="96">
        <v>5</v>
      </c>
      <c r="DL30" s="92">
        <f>DJ30/DK30</f>
        <v>0</v>
      </c>
      <c r="DM30" s="90"/>
      <c r="DN30" s="96">
        <v>5</v>
      </c>
      <c r="DO30" s="92">
        <f>DM30/DN30</f>
        <v>0</v>
      </c>
      <c r="DP30" s="90"/>
      <c r="DQ30" s="96">
        <v>5</v>
      </c>
      <c r="DR30" s="92">
        <f>DP30/DQ30</f>
        <v>0</v>
      </c>
      <c r="DS30" s="90"/>
      <c r="DT30" s="96">
        <v>5</v>
      </c>
      <c r="DU30" s="92">
        <f>DS30/DT30</f>
        <v>0</v>
      </c>
      <c r="DV30" s="90"/>
      <c r="DW30" s="96">
        <v>5</v>
      </c>
      <c r="DX30" s="92">
        <f>DV30/DW30</f>
        <v>0</v>
      </c>
      <c r="DY30" s="90"/>
      <c r="DZ30" s="96">
        <v>5</v>
      </c>
      <c r="EA30" s="92">
        <f>DY30/DZ30</f>
        <v>0</v>
      </c>
      <c r="EB30" s="90"/>
      <c r="EC30" s="96">
        <v>5</v>
      </c>
      <c r="ED30" s="92">
        <f>EB30/EC30</f>
        <v>0</v>
      </c>
      <c r="EE30" s="90"/>
      <c r="EF30" s="96">
        <v>5</v>
      </c>
      <c r="EG30" s="92">
        <f>EE30/EF30</f>
        <v>0</v>
      </c>
      <c r="EH30" s="90"/>
      <c r="EI30" s="96">
        <v>5</v>
      </c>
      <c r="EJ30" s="92">
        <f>EH30/EI30</f>
        <v>0</v>
      </c>
      <c r="EK30" s="90"/>
      <c r="EL30" s="96">
        <v>5</v>
      </c>
      <c r="EM30" s="92">
        <f>EK30/EL30</f>
        <v>0</v>
      </c>
      <c r="EN30" s="90"/>
      <c r="EO30" s="96">
        <v>5</v>
      </c>
      <c r="EP30" s="92">
        <f>EN30/EO30</f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6.5" customHeight="1" spans="1:148" x14ac:dyDescent="0.25">
      <c r="A31" s="170" t="s">
        <v>102</v>
      </c>
      <c r="B31" s="101"/>
      <c r="C31" s="102"/>
      <c r="D31" s="103">
        <v>5</v>
      </c>
      <c r="E31" s="104">
        <f t="shared" ref="E31" si="432">C31/D31</f>
        <v>0</v>
      </c>
      <c r="F31" s="102"/>
      <c r="G31" s="103">
        <v>5</v>
      </c>
      <c r="H31" s="104">
        <f t="shared" ref="H31" si="433">F31/G31</f>
        <v>0</v>
      </c>
      <c r="I31" s="105"/>
      <c r="J31" s="103">
        <v>5</v>
      </c>
      <c r="K31" s="104">
        <f t="shared" ref="K31" si="434">I31/J31</f>
        <v>0</v>
      </c>
      <c r="L31" s="105"/>
      <c r="M31" s="103">
        <v>5</v>
      </c>
      <c r="N31" s="104">
        <f t="shared" ref="N31" si="435">L31/M31</f>
        <v>0</v>
      </c>
      <c r="O31" s="106"/>
      <c r="P31" s="107">
        <v>5</v>
      </c>
      <c r="Q31" s="104">
        <f t="shared" ref="Q31" si="436">O31/P31</f>
        <v>0</v>
      </c>
      <c r="R31" s="102"/>
      <c r="S31" s="107">
        <v>5</v>
      </c>
      <c r="T31" s="104">
        <f t="shared" ref="T31" si="437">R31/S31</f>
        <v>0</v>
      </c>
      <c r="U31" s="102"/>
      <c r="V31" s="107">
        <v>5</v>
      </c>
      <c r="W31" s="104">
        <f t="shared" ref="W31" si="438">U31/V31</f>
        <v>0</v>
      </c>
      <c r="X31" s="102"/>
      <c r="Y31" s="107">
        <v>5</v>
      </c>
      <c r="Z31" s="104">
        <f t="shared" ref="Z31" si="439">X31/Y31</f>
        <v>0</v>
      </c>
      <c r="AA31" s="106"/>
      <c r="AB31" s="107">
        <v>5</v>
      </c>
      <c r="AC31" s="104">
        <f t="shared" ref="AC31" si="440">AA31/AB31</f>
        <v>0</v>
      </c>
      <c r="AD31" s="106"/>
      <c r="AE31" s="107">
        <v>5</v>
      </c>
      <c r="AF31" s="104">
        <f t="shared" ref="AF31" si="441">AD31/AE31</f>
        <v>0</v>
      </c>
      <c r="AG31" s="106"/>
      <c r="AH31" s="107">
        <v>5</v>
      </c>
      <c r="AI31" s="104">
        <f t="shared" ref="AI31" si="442">AG31/AH31</f>
        <v>0</v>
      </c>
      <c r="AJ31" s="106"/>
      <c r="AK31" s="107">
        <v>5</v>
      </c>
      <c r="AL31" s="104">
        <f t="shared" ref="AL31" si="443">AJ31/AK31</f>
        <v>0</v>
      </c>
      <c r="AM31" s="102"/>
      <c r="AN31" s="1">
        <v>5</v>
      </c>
      <c r="AO31" s="104">
        <f t="shared" ref="AO31" si="444">AM31/AN31</f>
        <v>0</v>
      </c>
      <c r="AP31" s="102"/>
      <c r="AQ31" s="1">
        <v>5</v>
      </c>
      <c r="AR31" s="104">
        <f t="shared" ref="AR31" si="445">AP31/AQ31</f>
        <v>0</v>
      </c>
      <c r="AS31" s="102"/>
      <c r="AT31" s="1">
        <v>5</v>
      </c>
      <c r="AU31" s="104">
        <f t="shared" ref="AU31" si="446">AS31/AT31</f>
        <v>0</v>
      </c>
      <c r="AV31" s="102"/>
      <c r="AW31" s="1">
        <v>5</v>
      </c>
      <c r="AX31" s="104">
        <f t="shared" ref="AX31" si="447">AV31/AW31</f>
        <v>0</v>
      </c>
      <c r="AY31" s="102"/>
      <c r="AZ31" s="1">
        <v>5</v>
      </c>
      <c r="BA31" s="104">
        <f t="shared" ref="BA31" si="448">AY31/AZ31</f>
        <v>0</v>
      </c>
      <c r="BB31" s="102"/>
      <c r="BC31" s="1">
        <v>5</v>
      </c>
      <c r="BD31" s="104">
        <f t="shared" ref="BD31" si="449">BB31/BC31</f>
        <v>0</v>
      </c>
      <c r="BE31" s="102"/>
      <c r="BF31" s="1">
        <v>5</v>
      </c>
      <c r="BG31" s="104">
        <f t="shared" ref="BG31" si="450">BE31/BF31</f>
        <v>0</v>
      </c>
      <c r="BH31" s="102"/>
      <c r="BI31" s="1">
        <v>5</v>
      </c>
      <c r="BJ31" s="104">
        <f t="shared" ref="BJ31" si="451">BH31/BI31</f>
        <v>0</v>
      </c>
      <c r="BK31" s="102"/>
      <c r="BL31" s="1">
        <v>5</v>
      </c>
      <c r="BM31" s="104">
        <f t="shared" ref="BM31" si="452">BK31/BL31</f>
        <v>0</v>
      </c>
      <c r="BN31" s="102"/>
      <c r="BO31" s="1">
        <v>5</v>
      </c>
      <c r="BP31" s="104">
        <f t="shared" ref="BP31" si="453">BN31/BO31</f>
        <v>0</v>
      </c>
      <c r="BQ31" s="102"/>
      <c r="BR31" s="1">
        <v>5</v>
      </c>
      <c r="BS31" s="104">
        <f t="shared" ref="BS31" si="454">BQ31/BR31</f>
        <v>0</v>
      </c>
      <c r="BT31" s="102"/>
      <c r="BU31" s="1">
        <v>5</v>
      </c>
      <c r="BV31" s="104">
        <f t="shared" ref="BV31" si="455">BT31/BU31</f>
        <v>0</v>
      </c>
      <c r="BW31" s="102"/>
      <c r="BX31" s="1">
        <v>5</v>
      </c>
      <c r="BY31" s="104">
        <f t="shared" ref="BY31" si="456">BW31/BX31</f>
        <v>0</v>
      </c>
      <c r="BZ31" s="102"/>
      <c r="CA31" s="1">
        <v>5</v>
      </c>
      <c r="CB31" s="104">
        <f t="shared" ref="CB31" si="457">BZ31/CA31</f>
        <v>0</v>
      </c>
      <c r="CC31" s="102"/>
      <c r="CD31" s="1">
        <v>5</v>
      </c>
      <c r="CE31" s="104">
        <f t="shared" ref="CE31" si="458">CC31/CD31</f>
        <v>0</v>
      </c>
      <c r="CF31" s="102"/>
      <c r="CG31" s="1">
        <v>5</v>
      </c>
      <c r="CH31" s="104">
        <f t="shared" ref="CH31" si="459">CF31/CG31</f>
        <v>0</v>
      </c>
      <c r="CI31" s="102"/>
      <c r="CJ31" s="1">
        <v>5</v>
      </c>
      <c r="CK31" s="104">
        <f t="shared" ref="CK31" si="460">CI31/CJ31</f>
        <v>0</v>
      </c>
      <c r="CL31" s="102"/>
      <c r="CM31" s="1">
        <v>5</v>
      </c>
      <c r="CN31" s="104">
        <f t="shared" ref="CN31" si="461">CL31/CM31</f>
        <v>0</v>
      </c>
      <c r="CO31" s="102"/>
      <c r="CP31" s="1">
        <v>5</v>
      </c>
      <c r="CQ31" s="104">
        <f t="shared" ref="CQ31" si="462">CO31/CP31</f>
        <v>0</v>
      </c>
      <c r="CR31" s="102"/>
      <c r="CS31" s="1">
        <v>5</v>
      </c>
      <c r="CT31" s="104">
        <f t="shared" ref="CT31" si="463">CR31/CS31</f>
        <v>0</v>
      </c>
      <c r="CU31" s="102"/>
      <c r="CV31" s="1">
        <v>5</v>
      </c>
      <c r="CW31" s="104">
        <f t="shared" ref="CW31" si="464">CU31/CV31</f>
        <v>0</v>
      </c>
      <c r="CX31" s="102"/>
      <c r="CY31" s="1">
        <v>5</v>
      </c>
      <c r="CZ31" s="104">
        <f t="shared" ref="CZ31" si="465">CX31/CY31</f>
        <v>0</v>
      </c>
      <c r="DA31" s="102"/>
      <c r="DB31" s="1">
        <v>5</v>
      </c>
      <c r="DC31" s="104">
        <f t="shared" ref="DC31" si="466">DA31/DB31</f>
        <v>0</v>
      </c>
      <c r="DD31" s="102"/>
      <c r="DE31" s="1">
        <v>5</v>
      </c>
      <c r="DF31" s="104">
        <f t="shared" ref="DF31" si="467">DD31/DE31</f>
        <v>0</v>
      </c>
      <c r="DG31" s="102"/>
      <c r="DH31" s="1">
        <v>5</v>
      </c>
      <c r="DI31" s="104">
        <f t="shared" ref="DI31" si="468">DG31/DH31</f>
        <v>0</v>
      </c>
      <c r="DJ31" s="102"/>
      <c r="DK31" s="1">
        <v>5</v>
      </c>
      <c r="DL31" s="104">
        <f t="shared" ref="DL31" si="469">DJ31/DK31</f>
        <v>0</v>
      </c>
      <c r="DM31" s="102"/>
      <c r="DN31" s="1">
        <v>5</v>
      </c>
      <c r="DO31" s="104">
        <f t="shared" ref="DO31" si="470">DM31/DN31</f>
        <v>0</v>
      </c>
      <c r="DP31" s="102"/>
      <c r="DQ31" s="1">
        <v>5</v>
      </c>
      <c r="DR31" s="104">
        <f t="shared" ref="DR31" si="471">DP31/DQ31</f>
        <v>0</v>
      </c>
      <c r="DS31" s="102"/>
      <c r="DT31" s="1">
        <v>5</v>
      </c>
      <c r="DU31" s="104">
        <f t="shared" ref="DU31" si="472">DS31/DT31</f>
        <v>0</v>
      </c>
      <c r="DV31" s="102"/>
      <c r="DW31" s="1">
        <v>5</v>
      </c>
      <c r="DX31" s="104">
        <f t="shared" ref="DX31" si="473">DV31/DW31</f>
        <v>0</v>
      </c>
      <c r="DY31" s="102"/>
      <c r="DZ31" s="1">
        <v>5</v>
      </c>
      <c r="EA31" s="104">
        <f t="shared" ref="EA31" si="474">DY31/DZ31</f>
        <v>0</v>
      </c>
      <c r="EB31" s="102"/>
      <c r="EC31" s="1">
        <v>5</v>
      </c>
      <c r="ED31" s="104">
        <f t="shared" ref="ED31" si="475">EB31/EC31</f>
        <v>0</v>
      </c>
      <c r="EE31" s="102"/>
      <c r="EF31" s="1">
        <v>5</v>
      </c>
      <c r="EG31" s="104">
        <f t="shared" ref="EG31" si="476">EE31/EF31</f>
        <v>0</v>
      </c>
      <c r="EH31" s="102"/>
      <c r="EI31" s="1">
        <v>5</v>
      </c>
      <c r="EJ31" s="104">
        <f t="shared" ref="EJ31" si="477">EH31/EI31</f>
        <v>0</v>
      </c>
      <c r="EK31" s="102"/>
      <c r="EL31" s="1">
        <v>5</v>
      </c>
      <c r="EM31" s="104">
        <f t="shared" ref="EM31" si="478">EK31/EL31</f>
        <v>0</v>
      </c>
      <c r="EN31" s="102"/>
      <c r="EO31" s="1">
        <v>5</v>
      </c>
      <c r="EP31" s="104">
        <f t="shared" ref="EP31" si="479">EN31/EO31</f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25.5" customHeight="1" spans="1:148" x14ac:dyDescent="0.25">
      <c r="A32" s="171" t="s">
        <v>103</v>
      </c>
      <c r="B32" s="101"/>
      <c r="C32" s="90"/>
      <c r="D32" s="91">
        <v>5</v>
      </c>
      <c r="E32" s="92">
        <f>C32/D32</f>
        <v>0</v>
      </c>
      <c r="F32" s="90"/>
      <c r="G32" s="91">
        <v>5</v>
      </c>
      <c r="H32" s="92">
        <f>F32/G32</f>
        <v>0</v>
      </c>
      <c r="I32" s="93"/>
      <c r="J32" s="91">
        <v>5</v>
      </c>
      <c r="K32" s="92">
        <f>I32/J32</f>
        <v>0</v>
      </c>
      <c r="L32" s="93"/>
      <c r="M32" s="91">
        <v>5</v>
      </c>
      <c r="N32" s="92">
        <f>L32/M32</f>
        <v>0</v>
      </c>
      <c r="O32" s="94"/>
      <c r="P32" s="95">
        <v>5</v>
      </c>
      <c r="Q32" s="92">
        <f>O32/P32</f>
        <v>0</v>
      </c>
      <c r="R32" s="90"/>
      <c r="S32" s="95">
        <v>5</v>
      </c>
      <c r="T32" s="92">
        <f>R32/S32</f>
        <v>0</v>
      </c>
      <c r="U32" s="90"/>
      <c r="V32" s="95">
        <v>5</v>
      </c>
      <c r="W32" s="92">
        <f>U32/V32</f>
        <v>0</v>
      </c>
      <c r="X32" s="90"/>
      <c r="Y32" s="95">
        <v>5</v>
      </c>
      <c r="Z32" s="92">
        <f>X32/Y32</f>
        <v>0</v>
      </c>
      <c r="AA32" s="94"/>
      <c r="AB32" s="95">
        <v>5</v>
      </c>
      <c r="AC32" s="92">
        <f>AA32/AB32</f>
        <v>0</v>
      </c>
      <c r="AD32" s="94"/>
      <c r="AE32" s="95">
        <v>5</v>
      </c>
      <c r="AF32" s="92">
        <f>AD32/AE32</f>
        <v>0</v>
      </c>
      <c r="AG32" s="94"/>
      <c r="AH32" s="95">
        <v>5</v>
      </c>
      <c r="AI32" s="92">
        <f>AG32/AH32</f>
        <v>0</v>
      </c>
      <c r="AJ32" s="94"/>
      <c r="AK32" s="95">
        <v>5</v>
      </c>
      <c r="AL32" s="92">
        <f>AJ32/AK32</f>
        <v>0</v>
      </c>
      <c r="AM32" s="90"/>
      <c r="AN32" s="96">
        <v>5</v>
      </c>
      <c r="AO32" s="92">
        <f>AM32/AN32</f>
        <v>0</v>
      </c>
      <c r="AP32" s="90"/>
      <c r="AQ32" s="96">
        <v>5</v>
      </c>
      <c r="AR32" s="92">
        <f>AP32/AQ32</f>
        <v>0</v>
      </c>
      <c r="AS32" s="90"/>
      <c r="AT32" s="96">
        <v>5</v>
      </c>
      <c r="AU32" s="92">
        <f>AS32/AT32</f>
        <v>0</v>
      </c>
      <c r="AV32" s="90"/>
      <c r="AW32" s="96">
        <v>5</v>
      </c>
      <c r="AX32" s="92">
        <f>AV32/AW32</f>
        <v>0</v>
      </c>
      <c r="AY32" s="90"/>
      <c r="AZ32" s="96">
        <v>5</v>
      </c>
      <c r="BA32" s="92">
        <f>AY32/AZ32</f>
        <v>0</v>
      </c>
      <c r="BB32" s="90"/>
      <c r="BC32" s="96">
        <v>5</v>
      </c>
      <c r="BD32" s="92">
        <f>BB32/BC32</f>
        <v>0</v>
      </c>
      <c r="BE32" s="90"/>
      <c r="BF32" s="96">
        <v>5</v>
      </c>
      <c r="BG32" s="92">
        <f>BE32/BF32</f>
        <v>0</v>
      </c>
      <c r="BH32" s="90"/>
      <c r="BI32" s="96">
        <v>5</v>
      </c>
      <c r="BJ32" s="92">
        <f>BH32/BI32</f>
        <v>0</v>
      </c>
      <c r="BK32" s="90"/>
      <c r="BL32" s="96">
        <v>5</v>
      </c>
      <c r="BM32" s="92">
        <f>BK32/BL32</f>
        <v>0</v>
      </c>
      <c r="BN32" s="90"/>
      <c r="BO32" s="96">
        <v>5</v>
      </c>
      <c r="BP32" s="92">
        <f>BN32/BO32</f>
        <v>0</v>
      </c>
      <c r="BQ32" s="90"/>
      <c r="BR32" s="96">
        <v>5</v>
      </c>
      <c r="BS32" s="92">
        <f>BQ32/BR32</f>
        <v>0</v>
      </c>
      <c r="BT32" s="90"/>
      <c r="BU32" s="96">
        <v>5</v>
      </c>
      <c r="BV32" s="92">
        <f>BT32/BU32</f>
        <v>0</v>
      </c>
      <c r="BW32" s="90"/>
      <c r="BX32" s="96">
        <v>5</v>
      </c>
      <c r="BY32" s="92">
        <f>BW32/BX32</f>
        <v>0</v>
      </c>
      <c r="BZ32" s="90"/>
      <c r="CA32" s="96">
        <v>5</v>
      </c>
      <c r="CB32" s="92">
        <f>BZ32/CA32</f>
        <v>0</v>
      </c>
      <c r="CC32" s="90"/>
      <c r="CD32" s="96">
        <v>5</v>
      </c>
      <c r="CE32" s="92">
        <f>CC32/CD32</f>
        <v>0</v>
      </c>
      <c r="CF32" s="90"/>
      <c r="CG32" s="96">
        <v>5</v>
      </c>
      <c r="CH32" s="92">
        <f>CF32/CG32</f>
        <v>0</v>
      </c>
      <c r="CI32" s="90"/>
      <c r="CJ32" s="96">
        <v>5</v>
      </c>
      <c r="CK32" s="92">
        <f>CI32/CJ32</f>
        <v>0</v>
      </c>
      <c r="CL32" s="90"/>
      <c r="CM32" s="96">
        <v>5</v>
      </c>
      <c r="CN32" s="92">
        <f>CL32/CM32</f>
        <v>0</v>
      </c>
      <c r="CO32" s="90"/>
      <c r="CP32" s="96">
        <v>5</v>
      </c>
      <c r="CQ32" s="92">
        <f>CO32/CP32</f>
        <v>0</v>
      </c>
      <c r="CR32" s="90"/>
      <c r="CS32" s="96">
        <v>5</v>
      </c>
      <c r="CT32" s="92">
        <f>CR32/CS32</f>
        <v>0</v>
      </c>
      <c r="CU32" s="90"/>
      <c r="CV32" s="96">
        <v>5</v>
      </c>
      <c r="CW32" s="92">
        <f>CU32/CV32</f>
        <v>0</v>
      </c>
      <c r="CX32" s="90"/>
      <c r="CY32" s="96">
        <v>5</v>
      </c>
      <c r="CZ32" s="92">
        <f>CX32/CY32</f>
        <v>0</v>
      </c>
      <c r="DA32" s="90"/>
      <c r="DB32" s="96">
        <v>5</v>
      </c>
      <c r="DC32" s="92">
        <f>DA32/DB32</f>
        <v>0</v>
      </c>
      <c r="DD32" s="90"/>
      <c r="DE32" s="96">
        <v>5</v>
      </c>
      <c r="DF32" s="92">
        <f>DD32/DE32</f>
        <v>0</v>
      </c>
      <c r="DG32" s="90"/>
      <c r="DH32" s="96">
        <v>5</v>
      </c>
      <c r="DI32" s="92">
        <f>DG32/DH32</f>
        <v>0</v>
      </c>
      <c r="DJ32" s="90"/>
      <c r="DK32" s="96">
        <v>5</v>
      </c>
      <c r="DL32" s="92">
        <f>DJ32/DK32</f>
        <v>0</v>
      </c>
      <c r="DM32" s="90"/>
      <c r="DN32" s="96">
        <v>5</v>
      </c>
      <c r="DO32" s="92">
        <f>DM32/DN32</f>
        <v>0</v>
      </c>
      <c r="DP32" s="90"/>
      <c r="DQ32" s="96">
        <v>5</v>
      </c>
      <c r="DR32" s="92">
        <f>DP32/DQ32</f>
        <v>0</v>
      </c>
      <c r="DS32" s="90"/>
      <c r="DT32" s="96">
        <v>5</v>
      </c>
      <c r="DU32" s="92">
        <f>DS32/DT32</f>
        <v>0</v>
      </c>
      <c r="DV32" s="90"/>
      <c r="DW32" s="96">
        <v>5</v>
      </c>
      <c r="DX32" s="92">
        <f>DV32/DW32</f>
        <v>0</v>
      </c>
      <c r="DY32" s="90"/>
      <c r="DZ32" s="96">
        <v>5</v>
      </c>
      <c r="EA32" s="92">
        <f>DY32/DZ32</f>
        <v>0</v>
      </c>
      <c r="EB32" s="90"/>
      <c r="EC32" s="96">
        <v>5</v>
      </c>
      <c r="ED32" s="92">
        <f>EB32/EC32</f>
        <v>0</v>
      </c>
      <c r="EE32" s="90"/>
      <c r="EF32" s="96">
        <v>5</v>
      </c>
      <c r="EG32" s="92">
        <f>EE32/EF32</f>
        <v>0</v>
      </c>
      <c r="EH32" s="90"/>
      <c r="EI32" s="96">
        <v>5</v>
      </c>
      <c r="EJ32" s="92">
        <f>EH32/EI32</f>
        <v>0</v>
      </c>
      <c r="EK32" s="90"/>
      <c r="EL32" s="96">
        <v>5</v>
      </c>
      <c r="EM32" s="92">
        <f>EK32/EL32</f>
        <v>0</v>
      </c>
      <c r="EN32" s="90"/>
      <c r="EO32" s="96">
        <v>5</v>
      </c>
      <c r="EP32" s="92">
        <f>EN32/EO32</f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28.5" customHeight="1" spans="1:148" x14ac:dyDescent="0.25">
      <c r="A33" s="170" t="s">
        <v>104</v>
      </c>
      <c r="B33" s="101"/>
      <c r="C33" s="102"/>
      <c r="D33" s="103">
        <v>5</v>
      </c>
      <c r="E33" s="104">
        <f t="shared" ref="E33" si="480">C33/D33</f>
        <v>0</v>
      </c>
      <c r="F33" s="102"/>
      <c r="G33" s="103">
        <v>5</v>
      </c>
      <c r="H33" s="104">
        <f t="shared" ref="H33" si="481">F33/G33</f>
        <v>0</v>
      </c>
      <c r="I33" s="105"/>
      <c r="J33" s="103">
        <v>5</v>
      </c>
      <c r="K33" s="104">
        <f t="shared" ref="K33" si="482">I33/J33</f>
        <v>0</v>
      </c>
      <c r="L33" s="105"/>
      <c r="M33" s="103">
        <v>5</v>
      </c>
      <c r="N33" s="104">
        <f t="shared" ref="N33" si="483">L33/M33</f>
        <v>0</v>
      </c>
      <c r="O33" s="106"/>
      <c r="P33" s="107">
        <v>5</v>
      </c>
      <c r="Q33" s="104">
        <f t="shared" ref="Q33" si="484">O33/P33</f>
        <v>0</v>
      </c>
      <c r="R33" s="102"/>
      <c r="S33" s="107">
        <v>5</v>
      </c>
      <c r="T33" s="104">
        <f t="shared" ref="T33" si="485">R33/S33</f>
        <v>0</v>
      </c>
      <c r="U33" s="102"/>
      <c r="V33" s="107">
        <v>5</v>
      </c>
      <c r="W33" s="104">
        <f t="shared" ref="W33" si="486">U33/V33</f>
        <v>0</v>
      </c>
      <c r="X33" s="102"/>
      <c r="Y33" s="107">
        <v>5</v>
      </c>
      <c r="Z33" s="104">
        <f t="shared" ref="Z33" si="487">X33/Y33</f>
        <v>0</v>
      </c>
      <c r="AA33" s="106"/>
      <c r="AB33" s="107">
        <v>5</v>
      </c>
      <c r="AC33" s="104">
        <f t="shared" ref="AC33" si="488">AA33/AB33</f>
        <v>0</v>
      </c>
      <c r="AD33" s="106"/>
      <c r="AE33" s="107">
        <v>5</v>
      </c>
      <c r="AF33" s="104">
        <f t="shared" ref="AF33" si="489">AD33/AE33</f>
        <v>0</v>
      </c>
      <c r="AG33" s="106"/>
      <c r="AH33" s="107">
        <v>5</v>
      </c>
      <c r="AI33" s="104">
        <f t="shared" ref="AI33" si="490">AG33/AH33</f>
        <v>0</v>
      </c>
      <c r="AJ33" s="106"/>
      <c r="AK33" s="107">
        <v>5</v>
      </c>
      <c r="AL33" s="104">
        <f t="shared" ref="AL33" si="491">AJ33/AK33</f>
        <v>0</v>
      </c>
      <c r="AM33" s="102"/>
      <c r="AN33" s="1">
        <v>5</v>
      </c>
      <c r="AO33" s="104">
        <f t="shared" ref="AO33" si="492">AM33/AN33</f>
        <v>0</v>
      </c>
      <c r="AP33" s="102"/>
      <c r="AQ33" s="1">
        <v>5</v>
      </c>
      <c r="AR33" s="104">
        <f t="shared" ref="AR33" si="493">AP33/AQ33</f>
        <v>0</v>
      </c>
      <c r="AS33" s="102"/>
      <c r="AT33" s="1">
        <v>5</v>
      </c>
      <c r="AU33" s="104">
        <f t="shared" ref="AU33" si="494">AS33/AT33</f>
        <v>0</v>
      </c>
      <c r="AV33" s="102"/>
      <c r="AW33" s="1">
        <v>5</v>
      </c>
      <c r="AX33" s="104">
        <f t="shared" ref="AX33" si="495">AV33/AW33</f>
        <v>0</v>
      </c>
      <c r="AY33" s="102"/>
      <c r="AZ33" s="1">
        <v>5</v>
      </c>
      <c r="BA33" s="104">
        <f t="shared" ref="BA33" si="496">AY33/AZ33</f>
        <v>0</v>
      </c>
      <c r="BB33" s="102"/>
      <c r="BC33" s="1">
        <v>5</v>
      </c>
      <c r="BD33" s="104">
        <f t="shared" ref="BD33" si="497">BB33/BC33</f>
        <v>0</v>
      </c>
      <c r="BE33" s="102"/>
      <c r="BF33" s="1">
        <v>5</v>
      </c>
      <c r="BG33" s="104">
        <f t="shared" ref="BG33" si="498">BE33/BF33</f>
        <v>0</v>
      </c>
      <c r="BH33" s="102"/>
      <c r="BI33" s="1">
        <v>5</v>
      </c>
      <c r="BJ33" s="104">
        <f t="shared" ref="BJ33" si="499">BH33/BI33</f>
        <v>0</v>
      </c>
      <c r="BK33" s="102"/>
      <c r="BL33" s="1">
        <v>5</v>
      </c>
      <c r="BM33" s="104">
        <f t="shared" ref="BM33" si="500">BK33/BL33</f>
        <v>0</v>
      </c>
      <c r="BN33" s="102"/>
      <c r="BO33" s="1">
        <v>5</v>
      </c>
      <c r="BP33" s="104">
        <f t="shared" ref="BP33" si="501">BN33/BO33</f>
        <v>0</v>
      </c>
      <c r="BQ33" s="102"/>
      <c r="BR33" s="1">
        <v>5</v>
      </c>
      <c r="BS33" s="104">
        <f t="shared" ref="BS33" si="502">BQ33/BR33</f>
        <v>0</v>
      </c>
      <c r="BT33" s="102"/>
      <c r="BU33" s="1">
        <v>5</v>
      </c>
      <c r="BV33" s="104">
        <f t="shared" ref="BV33" si="503">BT33/BU33</f>
        <v>0</v>
      </c>
      <c r="BW33" s="102"/>
      <c r="BX33" s="1">
        <v>5</v>
      </c>
      <c r="BY33" s="104">
        <f t="shared" ref="BY33" si="504">BW33/BX33</f>
        <v>0</v>
      </c>
      <c r="BZ33" s="102"/>
      <c r="CA33" s="1">
        <v>5</v>
      </c>
      <c r="CB33" s="104">
        <f t="shared" ref="CB33" si="505">BZ33/CA33</f>
        <v>0</v>
      </c>
      <c r="CC33" s="102"/>
      <c r="CD33" s="1">
        <v>5</v>
      </c>
      <c r="CE33" s="104">
        <f t="shared" ref="CE33" si="506">CC33/CD33</f>
        <v>0</v>
      </c>
      <c r="CF33" s="102"/>
      <c r="CG33" s="1">
        <v>5</v>
      </c>
      <c r="CH33" s="104">
        <f t="shared" ref="CH33" si="507">CF33/CG33</f>
        <v>0</v>
      </c>
      <c r="CI33" s="102"/>
      <c r="CJ33" s="1">
        <v>5</v>
      </c>
      <c r="CK33" s="104">
        <f t="shared" ref="CK33" si="508">CI33/CJ33</f>
        <v>0</v>
      </c>
      <c r="CL33" s="102"/>
      <c r="CM33" s="1">
        <v>5</v>
      </c>
      <c r="CN33" s="104">
        <f t="shared" ref="CN33" si="509">CL33/CM33</f>
        <v>0</v>
      </c>
      <c r="CO33" s="102"/>
      <c r="CP33" s="1">
        <v>5</v>
      </c>
      <c r="CQ33" s="104">
        <f t="shared" ref="CQ33" si="510">CO33/CP33</f>
        <v>0</v>
      </c>
      <c r="CR33" s="102"/>
      <c r="CS33" s="1">
        <v>5</v>
      </c>
      <c r="CT33" s="104">
        <f t="shared" ref="CT33" si="511">CR33/CS33</f>
        <v>0</v>
      </c>
      <c r="CU33" s="102"/>
      <c r="CV33" s="1">
        <v>5</v>
      </c>
      <c r="CW33" s="104">
        <f t="shared" ref="CW33" si="512">CU33/CV33</f>
        <v>0</v>
      </c>
      <c r="CX33" s="102"/>
      <c r="CY33" s="1">
        <v>5</v>
      </c>
      <c r="CZ33" s="104">
        <f t="shared" ref="CZ33" si="513">CX33/CY33</f>
        <v>0</v>
      </c>
      <c r="DA33" s="102"/>
      <c r="DB33" s="1">
        <v>5</v>
      </c>
      <c r="DC33" s="104">
        <f t="shared" ref="DC33" si="514">DA33/DB33</f>
        <v>0</v>
      </c>
      <c r="DD33" s="102"/>
      <c r="DE33" s="1">
        <v>5</v>
      </c>
      <c r="DF33" s="104">
        <f t="shared" ref="DF33" si="515">DD33/DE33</f>
        <v>0</v>
      </c>
      <c r="DG33" s="102"/>
      <c r="DH33" s="1">
        <v>5</v>
      </c>
      <c r="DI33" s="104">
        <f t="shared" ref="DI33" si="516">DG33/DH33</f>
        <v>0</v>
      </c>
      <c r="DJ33" s="102"/>
      <c r="DK33" s="1">
        <v>5</v>
      </c>
      <c r="DL33" s="104">
        <f t="shared" ref="DL33" si="517">DJ33/DK33</f>
        <v>0</v>
      </c>
      <c r="DM33" s="102"/>
      <c r="DN33" s="1">
        <v>5</v>
      </c>
      <c r="DO33" s="104">
        <f t="shared" ref="DO33" si="518">DM33/DN33</f>
        <v>0</v>
      </c>
      <c r="DP33" s="102"/>
      <c r="DQ33" s="1">
        <v>5</v>
      </c>
      <c r="DR33" s="104">
        <f t="shared" ref="DR33" si="519">DP33/DQ33</f>
        <v>0</v>
      </c>
      <c r="DS33" s="102"/>
      <c r="DT33" s="1">
        <v>5</v>
      </c>
      <c r="DU33" s="104">
        <f t="shared" ref="DU33" si="520">DS33/DT33</f>
        <v>0</v>
      </c>
      <c r="DV33" s="102"/>
      <c r="DW33" s="1">
        <v>5</v>
      </c>
      <c r="DX33" s="104">
        <f t="shared" ref="DX33" si="521">DV33/DW33</f>
        <v>0</v>
      </c>
      <c r="DY33" s="102"/>
      <c r="DZ33" s="1">
        <v>5</v>
      </c>
      <c r="EA33" s="104">
        <f t="shared" ref="EA33" si="522">DY33/DZ33</f>
        <v>0</v>
      </c>
      <c r="EB33" s="102"/>
      <c r="EC33" s="1">
        <v>5</v>
      </c>
      <c r="ED33" s="104">
        <f t="shared" ref="ED33" si="523">EB33/EC33</f>
        <v>0</v>
      </c>
      <c r="EE33" s="102"/>
      <c r="EF33" s="1">
        <v>5</v>
      </c>
      <c r="EG33" s="104">
        <f t="shared" ref="EG33" si="524">EE33/EF33</f>
        <v>0</v>
      </c>
      <c r="EH33" s="102"/>
      <c r="EI33" s="1">
        <v>5</v>
      </c>
      <c r="EJ33" s="104">
        <f t="shared" ref="EJ33" si="525">EH33/EI33</f>
        <v>0</v>
      </c>
      <c r="EK33" s="102"/>
      <c r="EL33" s="1">
        <v>5</v>
      </c>
      <c r="EM33" s="104">
        <f t="shared" ref="EM33" si="526">EK33/EL33</f>
        <v>0</v>
      </c>
      <c r="EN33" s="102"/>
      <c r="EO33" s="1">
        <v>5</v>
      </c>
      <c r="EP33" s="104">
        <f t="shared" ref="EP33" si="527">EN33/EO33</f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24" t="s">
        <v>105</v>
      </c>
      <c r="B34" s="125"/>
      <c r="C34" s="126"/>
      <c r="D34" s="127"/>
      <c r="E34" s="82">
        <f>AVERAGE(E35:E42)</f>
        <v>0</v>
      </c>
      <c r="F34" s="126"/>
      <c r="G34" s="127"/>
      <c r="H34" s="82">
        <f>AVERAGE(H35:H42)</f>
        <v>0</v>
      </c>
      <c r="I34" s="126"/>
      <c r="J34" s="127"/>
      <c r="K34" s="82">
        <f>AVERAGE(K35:K42)</f>
        <v>0</v>
      </c>
      <c r="L34" s="126"/>
      <c r="M34" s="127"/>
      <c r="N34" s="82">
        <f>AVERAGE(N35:N42)</f>
        <v>0</v>
      </c>
      <c r="O34" s="126"/>
      <c r="P34" s="127"/>
      <c r="Q34" s="82">
        <f>AVERAGE(Q35:Q42)</f>
        <v>0</v>
      </c>
      <c r="R34" s="126"/>
      <c r="S34" s="127"/>
      <c r="T34" s="82">
        <f>AVERAGE(T35:T42)</f>
        <v>0</v>
      </c>
      <c r="U34" s="126"/>
      <c r="V34" s="127"/>
      <c r="W34" s="82">
        <f>AVERAGE(W35:W42)</f>
        <v>0</v>
      </c>
      <c r="X34" s="126"/>
      <c r="Y34" s="127"/>
      <c r="Z34" s="82">
        <f>AVERAGE(Z35:Z42)</f>
        <v>0</v>
      </c>
      <c r="AA34" s="126"/>
      <c r="AB34" s="127"/>
      <c r="AC34" s="82">
        <f>AVERAGE(AC35:AC42)</f>
        <v>0</v>
      </c>
      <c r="AD34" s="126"/>
      <c r="AE34" s="127"/>
      <c r="AF34" s="82">
        <f>AVERAGE(AF35:AF42)</f>
        <v>0</v>
      </c>
      <c r="AG34" s="126"/>
      <c r="AH34" s="127"/>
      <c r="AI34" s="82">
        <f>AVERAGE(AI35:AI42)</f>
        <v>0</v>
      </c>
      <c r="AJ34" s="126"/>
      <c r="AK34" s="127"/>
      <c r="AL34" s="82">
        <f>AVERAGE(AL35:AL42)</f>
        <v>0</v>
      </c>
      <c r="AM34" s="126"/>
      <c r="AN34" s="136"/>
      <c r="AO34" s="82">
        <f>AVERAGE(AO35:AO42)</f>
        <v>0</v>
      </c>
      <c r="AP34" s="128"/>
      <c r="AQ34" s="129"/>
      <c r="AR34" s="82">
        <f>AVERAGE(AR35:AR42)</f>
        <v>0</v>
      </c>
      <c r="AS34" s="130"/>
      <c r="AT34" s="129"/>
      <c r="AU34" s="82">
        <f>AVERAGE(AU35:AU42)</f>
        <v>0</v>
      </c>
      <c r="AV34" s="126"/>
      <c r="AW34" s="136"/>
      <c r="AX34" s="82">
        <f>AVERAGE(AX35:AX42)</f>
        <v>0</v>
      </c>
      <c r="AY34" s="137"/>
      <c r="AZ34" s="138"/>
      <c r="BA34" s="82">
        <f>AVERAGE(BA35:BA42)</f>
        <v>0</v>
      </c>
      <c r="BB34" s="128"/>
      <c r="BC34" s="132"/>
      <c r="BD34" s="82">
        <f>AVERAGE(BD35:BD42)</f>
        <v>0</v>
      </c>
      <c r="BE34" s="128"/>
      <c r="BF34" s="132"/>
      <c r="BG34" s="82">
        <f>AVERAGE(BG35:BG42)</f>
        <v>0</v>
      </c>
      <c r="BH34" s="128"/>
      <c r="BI34" s="132"/>
      <c r="BJ34" s="82">
        <f>AVERAGE(BJ35:BJ42)</f>
        <v>0</v>
      </c>
      <c r="BK34" s="128"/>
      <c r="BL34" s="132"/>
      <c r="BM34" s="82">
        <f>AVERAGE(BM35:BM42)</f>
        <v>0</v>
      </c>
      <c r="BN34" s="128"/>
      <c r="BO34" s="132"/>
      <c r="BP34" s="82">
        <f>AVERAGE(BP35:BP42)</f>
        <v>0</v>
      </c>
      <c r="BQ34" s="128"/>
      <c r="BR34" s="132"/>
      <c r="BS34" s="82">
        <f>AVERAGE(BS35:BS42)</f>
        <v>0</v>
      </c>
      <c r="BT34" s="128"/>
      <c r="BU34" s="132"/>
      <c r="BV34" s="82">
        <f>AVERAGE(BV35:BV42)</f>
        <v>0</v>
      </c>
      <c r="BW34" s="128"/>
      <c r="BX34" s="132"/>
      <c r="BY34" s="82">
        <f>AVERAGE(BY35:BY42)</f>
        <v>0</v>
      </c>
      <c r="BZ34" s="126"/>
      <c r="CA34" s="127"/>
      <c r="CB34" s="82">
        <f>AVERAGE(CB35:CB42)</f>
        <v>0</v>
      </c>
      <c r="CC34" s="126"/>
      <c r="CD34" s="127"/>
      <c r="CE34" s="82">
        <f>AVERAGE(CE35:CE42)</f>
        <v>0</v>
      </c>
      <c r="CF34" s="126"/>
      <c r="CG34" s="127"/>
      <c r="CH34" s="82">
        <f>AVERAGE(CH35:CH42)</f>
        <v>0</v>
      </c>
      <c r="CI34" s="126"/>
      <c r="CJ34" s="127"/>
      <c r="CK34" s="82">
        <f>AVERAGE(CK35:CK42)</f>
        <v>0</v>
      </c>
      <c r="CL34" s="126"/>
      <c r="CM34" s="127"/>
      <c r="CN34" s="82">
        <f>AVERAGE(CN35:CN42)</f>
        <v>0</v>
      </c>
      <c r="CO34" s="126"/>
      <c r="CP34" s="127"/>
      <c r="CQ34" s="82">
        <f>AVERAGE(CQ35:CQ42)</f>
        <v>0</v>
      </c>
      <c r="CR34" s="126"/>
      <c r="CS34" s="127"/>
      <c r="CT34" s="82">
        <f>AVERAGE(CT35:CT42)</f>
        <v>0</v>
      </c>
      <c r="CU34" s="126"/>
      <c r="CV34" s="127"/>
      <c r="CW34" s="82">
        <f>AVERAGE(CW35:CW42)</f>
        <v>0</v>
      </c>
      <c r="CX34" s="126"/>
      <c r="CY34" s="127"/>
      <c r="CZ34" s="82">
        <f>AVERAGE(CZ35:CZ42)</f>
        <v>0</v>
      </c>
      <c r="DA34" s="126"/>
      <c r="DB34" s="127"/>
      <c r="DC34" s="82">
        <f>AVERAGE(DC35:DC42)</f>
        <v>0</v>
      </c>
      <c r="DD34" s="126"/>
      <c r="DE34" s="127"/>
      <c r="DF34" s="82">
        <f>AVERAGE(DF35:DF42)</f>
        <v>0</v>
      </c>
      <c r="DG34" s="126"/>
      <c r="DH34" s="127"/>
      <c r="DI34" s="82">
        <f>AVERAGE(DI35:DI42)</f>
        <v>0</v>
      </c>
      <c r="DJ34" s="126"/>
      <c r="DK34" s="127"/>
      <c r="DL34" s="82">
        <f>AVERAGE(DL35:DL42)</f>
        <v>0</v>
      </c>
      <c r="DM34" s="126"/>
      <c r="DN34" s="127"/>
      <c r="DO34" s="82">
        <f>AVERAGE(DO35:DO42)</f>
        <v>0</v>
      </c>
      <c r="DP34" s="126"/>
      <c r="DQ34" s="127"/>
      <c r="DR34" s="82">
        <f>AVERAGE(DR35:DR42)</f>
        <v>0</v>
      </c>
      <c r="DS34" s="126"/>
      <c r="DT34" s="127"/>
      <c r="DU34" s="82">
        <f>AVERAGE(DU35:DU42)</f>
        <v>0</v>
      </c>
      <c r="DV34" s="126"/>
      <c r="DW34" s="127"/>
      <c r="DX34" s="82">
        <f>AVERAGE(DX35:DX42)</f>
        <v>0</v>
      </c>
      <c r="DY34" s="126"/>
      <c r="DZ34" s="127"/>
      <c r="EA34" s="82">
        <f>AVERAGE(EA35:EA42)</f>
        <v>0</v>
      </c>
      <c r="EB34" s="126"/>
      <c r="EC34" s="127"/>
      <c r="ED34" s="82">
        <f>AVERAGE(ED35:ED42)</f>
        <v>0</v>
      </c>
      <c r="EE34" s="126"/>
      <c r="EF34" s="127"/>
      <c r="EG34" s="82">
        <f>AVERAGE(EG35:EG42)</f>
        <v>0</v>
      </c>
      <c r="EH34" s="126"/>
      <c r="EI34" s="127"/>
      <c r="EJ34" s="82">
        <f>AVERAGE(EJ35:EJ42)</f>
        <v>0</v>
      </c>
      <c r="EK34" s="126"/>
      <c r="EL34" s="127"/>
      <c r="EM34" s="82">
        <f>AVERAGE(EM35:EM42)</f>
        <v>0</v>
      </c>
      <c r="EN34" s="126"/>
      <c r="EO34" s="127"/>
      <c r="EP34" s="82">
        <f>AVERAGE(EP35:EP42)</f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16" customHeight="1" spans="1:148" x14ac:dyDescent="0.25">
      <c r="A35" s="168" t="s">
        <v>106</v>
      </c>
      <c r="B35" s="101"/>
      <c r="C35" s="90"/>
      <c r="D35" s="91">
        <v>5</v>
      </c>
      <c r="E35" s="92">
        <f>C35/D35</f>
        <v>0</v>
      </c>
      <c r="F35" s="90"/>
      <c r="G35" s="91">
        <v>5</v>
      </c>
      <c r="H35" s="92">
        <f>F35/G35</f>
        <v>0</v>
      </c>
      <c r="I35" s="93"/>
      <c r="J35" s="91">
        <v>5</v>
      </c>
      <c r="K35" s="92">
        <f>I35/J35</f>
        <v>0</v>
      </c>
      <c r="L35" s="93"/>
      <c r="M35" s="91">
        <v>5</v>
      </c>
      <c r="N35" s="92">
        <f>L35/M35</f>
        <v>0</v>
      </c>
      <c r="O35" s="94"/>
      <c r="P35" s="95">
        <v>5</v>
      </c>
      <c r="Q35" s="92">
        <f>O35/P35</f>
        <v>0</v>
      </c>
      <c r="R35" s="90"/>
      <c r="S35" s="95">
        <v>5</v>
      </c>
      <c r="T35" s="92">
        <f>R35/S35</f>
        <v>0</v>
      </c>
      <c r="U35" s="90"/>
      <c r="V35" s="95">
        <v>5</v>
      </c>
      <c r="W35" s="92">
        <f>U35/V35</f>
        <v>0</v>
      </c>
      <c r="X35" s="90"/>
      <c r="Y35" s="95">
        <v>5</v>
      </c>
      <c r="Z35" s="92">
        <f>X35/Y35</f>
        <v>0</v>
      </c>
      <c r="AA35" s="94"/>
      <c r="AB35" s="95">
        <v>5</v>
      </c>
      <c r="AC35" s="92">
        <f>AA35/AB35</f>
        <v>0</v>
      </c>
      <c r="AD35" s="94"/>
      <c r="AE35" s="95">
        <v>5</v>
      </c>
      <c r="AF35" s="92">
        <f>AD35/AE35</f>
        <v>0</v>
      </c>
      <c r="AG35" s="94"/>
      <c r="AH35" s="95">
        <v>5</v>
      </c>
      <c r="AI35" s="92">
        <f>AG35/AH35</f>
        <v>0</v>
      </c>
      <c r="AJ35" s="94"/>
      <c r="AK35" s="95">
        <v>5</v>
      </c>
      <c r="AL35" s="92">
        <f>AJ35/AK35</f>
        <v>0</v>
      </c>
      <c r="AM35" s="90"/>
      <c r="AN35" s="96">
        <v>5</v>
      </c>
      <c r="AO35" s="92">
        <f>AM35/AN35</f>
        <v>0</v>
      </c>
      <c r="AP35" s="90"/>
      <c r="AQ35" s="96">
        <v>5</v>
      </c>
      <c r="AR35" s="92">
        <f>AP35/AQ35</f>
        <v>0</v>
      </c>
      <c r="AS35" s="90"/>
      <c r="AT35" s="96">
        <v>5</v>
      </c>
      <c r="AU35" s="92">
        <f>AS35/AT35</f>
        <v>0</v>
      </c>
      <c r="AV35" s="90"/>
      <c r="AW35" s="96">
        <v>5</v>
      </c>
      <c r="AX35" s="92">
        <f>AV35/AW35</f>
        <v>0</v>
      </c>
      <c r="AY35" s="90"/>
      <c r="AZ35" s="96">
        <v>5</v>
      </c>
      <c r="BA35" s="92">
        <f>AY35/AZ35</f>
        <v>0</v>
      </c>
      <c r="BB35" s="90"/>
      <c r="BC35" s="96">
        <v>5</v>
      </c>
      <c r="BD35" s="92">
        <f>BB35/BC35</f>
        <v>0</v>
      </c>
      <c r="BE35" s="90"/>
      <c r="BF35" s="96">
        <v>5</v>
      </c>
      <c r="BG35" s="92">
        <f>BE35/BF35</f>
        <v>0</v>
      </c>
      <c r="BH35" s="90"/>
      <c r="BI35" s="96">
        <v>5</v>
      </c>
      <c r="BJ35" s="92">
        <f>BH35/BI35</f>
        <v>0</v>
      </c>
      <c r="BK35" s="90"/>
      <c r="BL35" s="96">
        <v>5</v>
      </c>
      <c r="BM35" s="92">
        <f>BK35/BL35</f>
        <v>0</v>
      </c>
      <c r="BN35" s="90"/>
      <c r="BO35" s="96">
        <v>5</v>
      </c>
      <c r="BP35" s="92">
        <f>BN35/BO35</f>
        <v>0</v>
      </c>
      <c r="BQ35" s="90"/>
      <c r="BR35" s="96">
        <v>5</v>
      </c>
      <c r="BS35" s="92">
        <f>BQ35/BR35</f>
        <v>0</v>
      </c>
      <c r="BT35" s="90"/>
      <c r="BU35" s="96">
        <v>5</v>
      </c>
      <c r="BV35" s="92">
        <f>BT35/BU35</f>
        <v>0</v>
      </c>
      <c r="BW35" s="90"/>
      <c r="BX35" s="96">
        <v>5</v>
      </c>
      <c r="BY35" s="92">
        <f>BW35/BX35</f>
        <v>0</v>
      </c>
      <c r="BZ35" s="90"/>
      <c r="CA35" s="96">
        <v>5</v>
      </c>
      <c r="CB35" s="92">
        <f>BZ35/CA35</f>
        <v>0</v>
      </c>
      <c r="CC35" s="90"/>
      <c r="CD35" s="96">
        <v>5</v>
      </c>
      <c r="CE35" s="92">
        <f>CC35/CD35</f>
        <v>0</v>
      </c>
      <c r="CF35" s="90"/>
      <c r="CG35" s="96">
        <v>5</v>
      </c>
      <c r="CH35" s="92">
        <f>CF35/CG35</f>
        <v>0</v>
      </c>
      <c r="CI35" s="90"/>
      <c r="CJ35" s="96">
        <v>5</v>
      </c>
      <c r="CK35" s="92">
        <f>CI35/CJ35</f>
        <v>0</v>
      </c>
      <c r="CL35" s="90"/>
      <c r="CM35" s="96">
        <v>5</v>
      </c>
      <c r="CN35" s="92">
        <f>CL35/CM35</f>
        <v>0</v>
      </c>
      <c r="CO35" s="90"/>
      <c r="CP35" s="96">
        <v>5</v>
      </c>
      <c r="CQ35" s="92">
        <f>CO35/CP35</f>
        <v>0</v>
      </c>
      <c r="CR35" s="90"/>
      <c r="CS35" s="96">
        <v>5</v>
      </c>
      <c r="CT35" s="92">
        <f>CR35/CS35</f>
        <v>0</v>
      </c>
      <c r="CU35" s="90"/>
      <c r="CV35" s="96">
        <v>5</v>
      </c>
      <c r="CW35" s="92">
        <f>CU35/CV35</f>
        <v>0</v>
      </c>
      <c r="CX35" s="90"/>
      <c r="CY35" s="96">
        <v>5</v>
      </c>
      <c r="CZ35" s="92">
        <f>CX35/CY35</f>
        <v>0</v>
      </c>
      <c r="DA35" s="90"/>
      <c r="DB35" s="96">
        <v>5</v>
      </c>
      <c r="DC35" s="92">
        <f>DA35/DB35</f>
        <v>0</v>
      </c>
      <c r="DD35" s="90"/>
      <c r="DE35" s="96">
        <v>5</v>
      </c>
      <c r="DF35" s="92">
        <f>DD35/DE35</f>
        <v>0</v>
      </c>
      <c r="DG35" s="90"/>
      <c r="DH35" s="96">
        <v>5</v>
      </c>
      <c r="DI35" s="92">
        <f>DG35/DH35</f>
        <v>0</v>
      </c>
      <c r="DJ35" s="90"/>
      <c r="DK35" s="96">
        <v>5</v>
      </c>
      <c r="DL35" s="92">
        <f>DJ35/DK35</f>
        <v>0</v>
      </c>
      <c r="DM35" s="90"/>
      <c r="DN35" s="96">
        <v>5</v>
      </c>
      <c r="DO35" s="92">
        <f>DM35/DN35</f>
        <v>0</v>
      </c>
      <c r="DP35" s="90"/>
      <c r="DQ35" s="96">
        <v>5</v>
      </c>
      <c r="DR35" s="92">
        <f>DP35/DQ35</f>
        <v>0</v>
      </c>
      <c r="DS35" s="90"/>
      <c r="DT35" s="96">
        <v>5</v>
      </c>
      <c r="DU35" s="92">
        <f>DS35/DT35</f>
        <v>0</v>
      </c>
      <c r="DV35" s="90"/>
      <c r="DW35" s="96">
        <v>5</v>
      </c>
      <c r="DX35" s="92">
        <f>DV35/DW35</f>
        <v>0</v>
      </c>
      <c r="DY35" s="90"/>
      <c r="DZ35" s="96">
        <v>5</v>
      </c>
      <c r="EA35" s="92">
        <f>DY35/DZ35</f>
        <v>0</v>
      </c>
      <c r="EB35" s="90"/>
      <c r="EC35" s="96">
        <v>5</v>
      </c>
      <c r="ED35" s="92">
        <f>EB35/EC35</f>
        <v>0</v>
      </c>
      <c r="EE35" s="90"/>
      <c r="EF35" s="96">
        <v>5</v>
      </c>
      <c r="EG35" s="92">
        <f>EE35/EF35</f>
        <v>0</v>
      </c>
      <c r="EH35" s="90"/>
      <c r="EI35" s="96">
        <v>5</v>
      </c>
      <c r="EJ35" s="92">
        <f>EH35/EI35</f>
        <v>0</v>
      </c>
      <c r="EK35" s="90"/>
      <c r="EL35" s="96">
        <v>5</v>
      </c>
      <c r="EM35" s="92">
        <f>EK35/EL35</f>
        <v>0</v>
      </c>
      <c r="EN35" s="90"/>
      <c r="EO35" s="96">
        <v>5</v>
      </c>
      <c r="EP35" s="92">
        <f>EN35/EO35</f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20.5" customHeight="1" spans="1:148" x14ac:dyDescent="0.25">
      <c r="A36" s="169" t="s">
        <v>145</v>
      </c>
      <c r="B36" s="101"/>
      <c r="C36" s="102"/>
      <c r="D36" s="103">
        <v>5</v>
      </c>
      <c r="E36" s="104">
        <f t="shared" ref="E36" si="528">C36/D36</f>
        <v>0</v>
      </c>
      <c r="F36" s="102"/>
      <c r="G36" s="103">
        <v>5</v>
      </c>
      <c r="H36" s="104">
        <f t="shared" ref="H36" si="529">F36/G36</f>
        <v>0</v>
      </c>
      <c r="I36" s="105"/>
      <c r="J36" s="103">
        <v>5</v>
      </c>
      <c r="K36" s="104">
        <f t="shared" ref="K36" si="530">I36/J36</f>
        <v>0</v>
      </c>
      <c r="L36" s="105"/>
      <c r="M36" s="103">
        <v>5</v>
      </c>
      <c r="N36" s="104">
        <f t="shared" ref="N36" si="531">L36/M36</f>
        <v>0</v>
      </c>
      <c r="O36" s="106"/>
      <c r="P36" s="107">
        <v>5</v>
      </c>
      <c r="Q36" s="104">
        <f t="shared" ref="Q36" si="532">O36/P36</f>
        <v>0</v>
      </c>
      <c r="R36" s="102"/>
      <c r="S36" s="107">
        <v>5</v>
      </c>
      <c r="T36" s="104">
        <f t="shared" ref="T36" si="533">R36/S36</f>
        <v>0</v>
      </c>
      <c r="U36" s="102"/>
      <c r="V36" s="107">
        <v>5</v>
      </c>
      <c r="W36" s="104">
        <f t="shared" ref="W36" si="534">U36/V36</f>
        <v>0</v>
      </c>
      <c r="X36" s="102"/>
      <c r="Y36" s="107">
        <v>5</v>
      </c>
      <c r="Z36" s="104">
        <f t="shared" ref="Z36" si="535">X36/Y36</f>
        <v>0</v>
      </c>
      <c r="AA36" s="106"/>
      <c r="AB36" s="107">
        <v>5</v>
      </c>
      <c r="AC36" s="104">
        <f t="shared" ref="AC36" si="536">AA36/AB36</f>
        <v>0</v>
      </c>
      <c r="AD36" s="106"/>
      <c r="AE36" s="107">
        <v>5</v>
      </c>
      <c r="AF36" s="104">
        <f t="shared" ref="AF36" si="537">AD36/AE36</f>
        <v>0</v>
      </c>
      <c r="AG36" s="106"/>
      <c r="AH36" s="107">
        <v>5</v>
      </c>
      <c r="AI36" s="104">
        <f t="shared" ref="AI36" si="538">AG36/AH36</f>
        <v>0</v>
      </c>
      <c r="AJ36" s="106"/>
      <c r="AK36" s="107">
        <v>5</v>
      </c>
      <c r="AL36" s="104">
        <f t="shared" ref="AL36" si="539">AJ36/AK36</f>
        <v>0</v>
      </c>
      <c r="AM36" s="102"/>
      <c r="AN36" s="1">
        <v>5</v>
      </c>
      <c r="AO36" s="104">
        <f t="shared" ref="AO36" si="540">AM36/AN36</f>
        <v>0</v>
      </c>
      <c r="AP36" s="102"/>
      <c r="AQ36" s="1">
        <v>5</v>
      </c>
      <c r="AR36" s="104">
        <f t="shared" ref="AR36" si="541">AP36/AQ36</f>
        <v>0</v>
      </c>
      <c r="AS36" s="102"/>
      <c r="AT36" s="1">
        <v>5</v>
      </c>
      <c r="AU36" s="104">
        <f t="shared" ref="AU36" si="542">AS36/AT36</f>
        <v>0</v>
      </c>
      <c r="AV36" s="102"/>
      <c r="AW36" s="1">
        <v>5</v>
      </c>
      <c r="AX36" s="104">
        <f t="shared" ref="AX36" si="543">AV36/AW36</f>
        <v>0</v>
      </c>
      <c r="AY36" s="102"/>
      <c r="AZ36" s="1">
        <v>5</v>
      </c>
      <c r="BA36" s="104">
        <f t="shared" ref="BA36" si="544">AY36/AZ36</f>
        <v>0</v>
      </c>
      <c r="BB36" s="102"/>
      <c r="BC36" s="1">
        <v>5</v>
      </c>
      <c r="BD36" s="104">
        <f t="shared" ref="BD36" si="545">BB36/BC36</f>
        <v>0</v>
      </c>
      <c r="BE36" s="102"/>
      <c r="BF36" s="1">
        <v>5</v>
      </c>
      <c r="BG36" s="104">
        <f t="shared" ref="BG36" si="546">BE36/BF36</f>
        <v>0</v>
      </c>
      <c r="BH36" s="102"/>
      <c r="BI36" s="1">
        <v>5</v>
      </c>
      <c r="BJ36" s="104">
        <f t="shared" ref="BJ36" si="547">BH36/BI36</f>
        <v>0</v>
      </c>
      <c r="BK36" s="102"/>
      <c r="BL36" s="1">
        <v>5</v>
      </c>
      <c r="BM36" s="104">
        <f t="shared" ref="BM36" si="548">BK36/BL36</f>
        <v>0</v>
      </c>
      <c r="BN36" s="102"/>
      <c r="BO36" s="1">
        <v>5</v>
      </c>
      <c r="BP36" s="104">
        <f t="shared" ref="BP36" si="549">BN36/BO36</f>
        <v>0</v>
      </c>
      <c r="BQ36" s="102"/>
      <c r="BR36" s="1">
        <v>5</v>
      </c>
      <c r="BS36" s="104">
        <f t="shared" ref="BS36" si="550">BQ36/BR36</f>
        <v>0</v>
      </c>
      <c r="BT36" s="102"/>
      <c r="BU36" s="1">
        <v>5</v>
      </c>
      <c r="BV36" s="104">
        <f t="shared" ref="BV36" si="551">BT36/BU36</f>
        <v>0</v>
      </c>
      <c r="BW36" s="102"/>
      <c r="BX36" s="1">
        <v>5</v>
      </c>
      <c r="BY36" s="104">
        <f t="shared" ref="BY36" si="552">BW36/BX36</f>
        <v>0</v>
      </c>
      <c r="BZ36" s="102"/>
      <c r="CA36" s="1">
        <v>5</v>
      </c>
      <c r="CB36" s="104">
        <f t="shared" ref="CB36" si="553">BZ36/CA36</f>
        <v>0</v>
      </c>
      <c r="CC36" s="102"/>
      <c r="CD36" s="1">
        <v>5</v>
      </c>
      <c r="CE36" s="104">
        <f t="shared" ref="CE36" si="554">CC36/CD36</f>
        <v>0</v>
      </c>
      <c r="CF36" s="102"/>
      <c r="CG36" s="1">
        <v>5</v>
      </c>
      <c r="CH36" s="104">
        <f t="shared" ref="CH36" si="555">CF36/CG36</f>
        <v>0</v>
      </c>
      <c r="CI36" s="102"/>
      <c r="CJ36" s="1">
        <v>5</v>
      </c>
      <c r="CK36" s="104">
        <f t="shared" ref="CK36" si="556">CI36/CJ36</f>
        <v>0</v>
      </c>
      <c r="CL36" s="102"/>
      <c r="CM36" s="1">
        <v>5</v>
      </c>
      <c r="CN36" s="104">
        <f t="shared" ref="CN36" si="557">CL36/CM36</f>
        <v>0</v>
      </c>
      <c r="CO36" s="102"/>
      <c r="CP36" s="1">
        <v>5</v>
      </c>
      <c r="CQ36" s="104">
        <f t="shared" ref="CQ36" si="558">CO36/CP36</f>
        <v>0</v>
      </c>
      <c r="CR36" s="102"/>
      <c r="CS36" s="1">
        <v>5</v>
      </c>
      <c r="CT36" s="104">
        <f t="shared" ref="CT36" si="559">CR36/CS36</f>
        <v>0</v>
      </c>
      <c r="CU36" s="102"/>
      <c r="CV36" s="1">
        <v>5</v>
      </c>
      <c r="CW36" s="104">
        <f t="shared" ref="CW36" si="560">CU36/CV36</f>
        <v>0</v>
      </c>
      <c r="CX36" s="102"/>
      <c r="CY36" s="1">
        <v>5</v>
      </c>
      <c r="CZ36" s="104">
        <f t="shared" ref="CZ36" si="561">CX36/CY36</f>
        <v>0</v>
      </c>
      <c r="DA36" s="102"/>
      <c r="DB36" s="1">
        <v>5</v>
      </c>
      <c r="DC36" s="104">
        <f t="shared" ref="DC36" si="562">DA36/DB36</f>
        <v>0</v>
      </c>
      <c r="DD36" s="102"/>
      <c r="DE36" s="1">
        <v>5</v>
      </c>
      <c r="DF36" s="104">
        <f t="shared" ref="DF36" si="563">DD36/DE36</f>
        <v>0</v>
      </c>
      <c r="DG36" s="102"/>
      <c r="DH36" s="1">
        <v>5</v>
      </c>
      <c r="DI36" s="104">
        <f t="shared" ref="DI36" si="564">DG36/DH36</f>
        <v>0</v>
      </c>
      <c r="DJ36" s="102"/>
      <c r="DK36" s="1">
        <v>5</v>
      </c>
      <c r="DL36" s="104">
        <f t="shared" ref="DL36" si="565">DJ36/DK36</f>
        <v>0</v>
      </c>
      <c r="DM36" s="102"/>
      <c r="DN36" s="1">
        <v>5</v>
      </c>
      <c r="DO36" s="104">
        <f t="shared" ref="DO36" si="566">DM36/DN36</f>
        <v>0</v>
      </c>
      <c r="DP36" s="102"/>
      <c r="DQ36" s="1">
        <v>5</v>
      </c>
      <c r="DR36" s="104">
        <f t="shared" ref="DR36" si="567">DP36/DQ36</f>
        <v>0</v>
      </c>
      <c r="DS36" s="102"/>
      <c r="DT36" s="1">
        <v>5</v>
      </c>
      <c r="DU36" s="104">
        <f t="shared" ref="DU36" si="568">DS36/DT36</f>
        <v>0</v>
      </c>
      <c r="DV36" s="102"/>
      <c r="DW36" s="1">
        <v>5</v>
      </c>
      <c r="DX36" s="104">
        <f t="shared" ref="DX36" si="569">DV36/DW36</f>
        <v>0</v>
      </c>
      <c r="DY36" s="102"/>
      <c r="DZ36" s="1">
        <v>5</v>
      </c>
      <c r="EA36" s="104">
        <f t="shared" ref="EA36" si="570">DY36/DZ36</f>
        <v>0</v>
      </c>
      <c r="EB36" s="102"/>
      <c r="EC36" s="1">
        <v>5</v>
      </c>
      <c r="ED36" s="104">
        <f t="shared" ref="ED36" si="571">EB36/EC36</f>
        <v>0</v>
      </c>
      <c r="EE36" s="102"/>
      <c r="EF36" s="1">
        <v>5</v>
      </c>
      <c r="EG36" s="104">
        <f t="shared" ref="EG36" si="572">EE36/EF36</f>
        <v>0</v>
      </c>
      <c r="EH36" s="102"/>
      <c r="EI36" s="1">
        <v>5</v>
      </c>
      <c r="EJ36" s="104">
        <f t="shared" ref="EJ36" si="573">EH36/EI36</f>
        <v>0</v>
      </c>
      <c r="EK36" s="102"/>
      <c r="EL36" s="1">
        <v>5</v>
      </c>
      <c r="EM36" s="104">
        <f t="shared" ref="EM36" si="574">EK36/EL36</f>
        <v>0</v>
      </c>
      <c r="EN36" s="102"/>
      <c r="EO36" s="1">
        <v>5</v>
      </c>
      <c r="EP36" s="104">
        <f t="shared" ref="EP36" si="575">EN36/EO36</f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16" customHeight="1" spans="1:148" x14ac:dyDescent="0.25">
      <c r="A37" s="169" t="s">
        <v>146</v>
      </c>
      <c r="B37" s="101"/>
      <c r="C37" s="90"/>
      <c r="D37" s="91">
        <v>5</v>
      </c>
      <c r="E37" s="92">
        <f>C37/D37</f>
        <v>0</v>
      </c>
      <c r="F37" s="90"/>
      <c r="G37" s="91">
        <v>5</v>
      </c>
      <c r="H37" s="92">
        <f>F37/G37</f>
        <v>0</v>
      </c>
      <c r="I37" s="93"/>
      <c r="J37" s="91">
        <v>5</v>
      </c>
      <c r="K37" s="92">
        <f>I37/J37</f>
        <v>0</v>
      </c>
      <c r="L37" s="93"/>
      <c r="M37" s="91">
        <v>5</v>
      </c>
      <c r="N37" s="92">
        <f>L37/M37</f>
        <v>0</v>
      </c>
      <c r="O37" s="94"/>
      <c r="P37" s="95">
        <v>5</v>
      </c>
      <c r="Q37" s="92">
        <f>O37/P37</f>
        <v>0</v>
      </c>
      <c r="R37" s="90"/>
      <c r="S37" s="95">
        <v>5</v>
      </c>
      <c r="T37" s="92">
        <f>R37/S37</f>
        <v>0</v>
      </c>
      <c r="U37" s="90"/>
      <c r="V37" s="95">
        <v>5</v>
      </c>
      <c r="W37" s="92">
        <f>U37/V37</f>
        <v>0</v>
      </c>
      <c r="X37" s="90"/>
      <c r="Y37" s="95">
        <v>5</v>
      </c>
      <c r="Z37" s="92">
        <f>X37/Y37</f>
        <v>0</v>
      </c>
      <c r="AA37" s="94"/>
      <c r="AB37" s="95">
        <v>5</v>
      </c>
      <c r="AC37" s="92">
        <f>AA37/AB37</f>
        <v>0</v>
      </c>
      <c r="AD37" s="94"/>
      <c r="AE37" s="95">
        <v>5</v>
      </c>
      <c r="AF37" s="92">
        <f>AD37/AE37</f>
        <v>0</v>
      </c>
      <c r="AG37" s="94"/>
      <c r="AH37" s="95">
        <v>5</v>
      </c>
      <c r="AI37" s="92">
        <f>AG37/AH37</f>
        <v>0</v>
      </c>
      <c r="AJ37" s="94"/>
      <c r="AK37" s="95">
        <v>5</v>
      </c>
      <c r="AL37" s="92">
        <f>AJ37/AK37</f>
        <v>0</v>
      </c>
      <c r="AM37" s="90"/>
      <c r="AN37" s="96">
        <v>5</v>
      </c>
      <c r="AO37" s="92">
        <f>AM37/AN37</f>
        <v>0</v>
      </c>
      <c r="AP37" s="90"/>
      <c r="AQ37" s="96">
        <v>5</v>
      </c>
      <c r="AR37" s="92">
        <f>AP37/AQ37</f>
        <v>0</v>
      </c>
      <c r="AS37" s="90"/>
      <c r="AT37" s="96">
        <v>5</v>
      </c>
      <c r="AU37" s="92">
        <f>AS37/AT37</f>
        <v>0</v>
      </c>
      <c r="AV37" s="90"/>
      <c r="AW37" s="96">
        <v>5</v>
      </c>
      <c r="AX37" s="92">
        <f>AV37/AW37</f>
        <v>0</v>
      </c>
      <c r="AY37" s="90"/>
      <c r="AZ37" s="96">
        <v>5</v>
      </c>
      <c r="BA37" s="92">
        <f>AY37/AZ37</f>
        <v>0</v>
      </c>
      <c r="BB37" s="90"/>
      <c r="BC37" s="96">
        <v>5</v>
      </c>
      <c r="BD37" s="92">
        <f>BB37/BC37</f>
        <v>0</v>
      </c>
      <c r="BE37" s="90"/>
      <c r="BF37" s="96">
        <v>5</v>
      </c>
      <c r="BG37" s="92">
        <f>BE37/BF37</f>
        <v>0</v>
      </c>
      <c r="BH37" s="90"/>
      <c r="BI37" s="96">
        <v>5</v>
      </c>
      <c r="BJ37" s="92">
        <f>BH37/BI37</f>
        <v>0</v>
      </c>
      <c r="BK37" s="90"/>
      <c r="BL37" s="96">
        <v>5</v>
      </c>
      <c r="BM37" s="92">
        <f>BK37/BL37</f>
        <v>0</v>
      </c>
      <c r="BN37" s="90"/>
      <c r="BO37" s="96">
        <v>5</v>
      </c>
      <c r="BP37" s="92">
        <f>BN37/BO37</f>
        <v>0</v>
      </c>
      <c r="BQ37" s="90"/>
      <c r="BR37" s="96">
        <v>5</v>
      </c>
      <c r="BS37" s="92">
        <f>BQ37/BR37</f>
        <v>0</v>
      </c>
      <c r="BT37" s="90"/>
      <c r="BU37" s="96">
        <v>5</v>
      </c>
      <c r="BV37" s="92">
        <f>BT37/BU37</f>
        <v>0</v>
      </c>
      <c r="BW37" s="90"/>
      <c r="BX37" s="96">
        <v>5</v>
      </c>
      <c r="BY37" s="92">
        <f>BW37/BX37</f>
        <v>0</v>
      </c>
      <c r="BZ37" s="90"/>
      <c r="CA37" s="96">
        <v>5</v>
      </c>
      <c r="CB37" s="92">
        <f>BZ37/CA37</f>
        <v>0</v>
      </c>
      <c r="CC37" s="90"/>
      <c r="CD37" s="96">
        <v>5</v>
      </c>
      <c r="CE37" s="92">
        <f>CC37/CD37</f>
        <v>0</v>
      </c>
      <c r="CF37" s="90"/>
      <c r="CG37" s="96">
        <v>5</v>
      </c>
      <c r="CH37" s="92">
        <f>CF37/CG37</f>
        <v>0</v>
      </c>
      <c r="CI37" s="90"/>
      <c r="CJ37" s="96">
        <v>5</v>
      </c>
      <c r="CK37" s="92">
        <f>CI37/CJ37</f>
        <v>0</v>
      </c>
      <c r="CL37" s="90"/>
      <c r="CM37" s="96">
        <v>5</v>
      </c>
      <c r="CN37" s="92">
        <f>CL37/CM37</f>
        <v>0</v>
      </c>
      <c r="CO37" s="90"/>
      <c r="CP37" s="96">
        <v>5</v>
      </c>
      <c r="CQ37" s="92">
        <f>CO37/CP37</f>
        <v>0</v>
      </c>
      <c r="CR37" s="90"/>
      <c r="CS37" s="96">
        <v>5</v>
      </c>
      <c r="CT37" s="92">
        <f>CR37/CS37</f>
        <v>0</v>
      </c>
      <c r="CU37" s="90"/>
      <c r="CV37" s="96">
        <v>5</v>
      </c>
      <c r="CW37" s="92">
        <f>CU37/CV37</f>
        <v>0</v>
      </c>
      <c r="CX37" s="90"/>
      <c r="CY37" s="96">
        <v>5</v>
      </c>
      <c r="CZ37" s="92">
        <f>CX37/CY37</f>
        <v>0</v>
      </c>
      <c r="DA37" s="90"/>
      <c r="DB37" s="96">
        <v>5</v>
      </c>
      <c r="DC37" s="92">
        <f>DA37/DB37</f>
        <v>0</v>
      </c>
      <c r="DD37" s="90"/>
      <c r="DE37" s="96">
        <v>5</v>
      </c>
      <c r="DF37" s="92">
        <f>DD37/DE37</f>
        <v>0</v>
      </c>
      <c r="DG37" s="90"/>
      <c r="DH37" s="96">
        <v>5</v>
      </c>
      <c r="DI37" s="92">
        <f>DG37/DH37</f>
        <v>0</v>
      </c>
      <c r="DJ37" s="90"/>
      <c r="DK37" s="96">
        <v>5</v>
      </c>
      <c r="DL37" s="92">
        <f>DJ37/DK37</f>
        <v>0</v>
      </c>
      <c r="DM37" s="90"/>
      <c r="DN37" s="96">
        <v>5</v>
      </c>
      <c r="DO37" s="92">
        <f>DM37/DN37</f>
        <v>0</v>
      </c>
      <c r="DP37" s="90"/>
      <c r="DQ37" s="96">
        <v>5</v>
      </c>
      <c r="DR37" s="92">
        <f>DP37/DQ37</f>
        <v>0</v>
      </c>
      <c r="DS37" s="90"/>
      <c r="DT37" s="96">
        <v>5</v>
      </c>
      <c r="DU37" s="92">
        <f>DS37/DT37</f>
        <v>0</v>
      </c>
      <c r="DV37" s="90"/>
      <c r="DW37" s="96">
        <v>5</v>
      </c>
      <c r="DX37" s="92">
        <f>DV37/DW37</f>
        <v>0</v>
      </c>
      <c r="DY37" s="90"/>
      <c r="DZ37" s="96">
        <v>5</v>
      </c>
      <c r="EA37" s="92">
        <f>DY37/DZ37</f>
        <v>0</v>
      </c>
      <c r="EB37" s="90"/>
      <c r="EC37" s="96">
        <v>5</v>
      </c>
      <c r="ED37" s="92">
        <f>EB37/EC37</f>
        <v>0</v>
      </c>
      <c r="EE37" s="90"/>
      <c r="EF37" s="96">
        <v>5</v>
      </c>
      <c r="EG37" s="92">
        <f>EE37/EF37</f>
        <v>0</v>
      </c>
      <c r="EH37" s="90"/>
      <c r="EI37" s="96">
        <v>5</v>
      </c>
      <c r="EJ37" s="92">
        <f>EH37/EI37</f>
        <v>0</v>
      </c>
      <c r="EK37" s="90"/>
      <c r="EL37" s="96">
        <v>5</v>
      </c>
      <c r="EM37" s="92">
        <f>EK37/EL37</f>
        <v>0</v>
      </c>
      <c r="EN37" s="90"/>
      <c r="EO37" s="96">
        <v>5</v>
      </c>
      <c r="EP37" s="92">
        <f>EN37/EO37</f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16" customHeight="1" spans="1:148" x14ac:dyDescent="0.25">
      <c r="A38" s="169" t="s">
        <v>107</v>
      </c>
      <c r="B38" s="101"/>
      <c r="C38" s="102"/>
      <c r="D38" s="103">
        <v>5</v>
      </c>
      <c r="E38" s="104">
        <f t="shared" ref="E38" si="576">C38/D38</f>
        <v>0</v>
      </c>
      <c r="F38" s="102"/>
      <c r="G38" s="103">
        <v>5</v>
      </c>
      <c r="H38" s="104">
        <f t="shared" ref="H38" si="577">F38/G38</f>
        <v>0</v>
      </c>
      <c r="I38" s="105"/>
      <c r="J38" s="103">
        <v>5</v>
      </c>
      <c r="K38" s="104">
        <f t="shared" ref="K38" si="578">I38/J38</f>
        <v>0</v>
      </c>
      <c r="L38" s="105"/>
      <c r="M38" s="103">
        <v>5</v>
      </c>
      <c r="N38" s="104">
        <f t="shared" ref="N38" si="579">L38/M38</f>
        <v>0</v>
      </c>
      <c r="O38" s="106"/>
      <c r="P38" s="107">
        <v>5</v>
      </c>
      <c r="Q38" s="104">
        <f t="shared" ref="Q38" si="580">O38/P38</f>
        <v>0</v>
      </c>
      <c r="R38" s="102"/>
      <c r="S38" s="107">
        <v>5</v>
      </c>
      <c r="T38" s="104">
        <f t="shared" ref="T38" si="581">R38/S38</f>
        <v>0</v>
      </c>
      <c r="U38" s="102"/>
      <c r="V38" s="107">
        <v>5</v>
      </c>
      <c r="W38" s="104">
        <f t="shared" ref="W38" si="582">U38/V38</f>
        <v>0</v>
      </c>
      <c r="X38" s="102"/>
      <c r="Y38" s="107">
        <v>5</v>
      </c>
      <c r="Z38" s="104">
        <f t="shared" ref="Z38" si="583">X38/Y38</f>
        <v>0</v>
      </c>
      <c r="AA38" s="106"/>
      <c r="AB38" s="107">
        <v>5</v>
      </c>
      <c r="AC38" s="104">
        <f t="shared" ref="AC38" si="584">AA38/AB38</f>
        <v>0</v>
      </c>
      <c r="AD38" s="106"/>
      <c r="AE38" s="107">
        <v>5</v>
      </c>
      <c r="AF38" s="104">
        <f t="shared" ref="AF38" si="585">AD38/AE38</f>
        <v>0</v>
      </c>
      <c r="AG38" s="106"/>
      <c r="AH38" s="107">
        <v>5</v>
      </c>
      <c r="AI38" s="104">
        <f t="shared" ref="AI38" si="586">AG38/AH38</f>
        <v>0</v>
      </c>
      <c r="AJ38" s="106"/>
      <c r="AK38" s="107">
        <v>5</v>
      </c>
      <c r="AL38" s="104">
        <f t="shared" ref="AL38" si="587">AJ38/AK38</f>
        <v>0</v>
      </c>
      <c r="AM38" s="102"/>
      <c r="AN38" s="1">
        <v>5</v>
      </c>
      <c r="AO38" s="104">
        <f t="shared" ref="AO38" si="588">AM38/AN38</f>
        <v>0</v>
      </c>
      <c r="AP38" s="102"/>
      <c r="AQ38" s="1">
        <v>5</v>
      </c>
      <c r="AR38" s="104">
        <f t="shared" ref="AR38" si="589">AP38/AQ38</f>
        <v>0</v>
      </c>
      <c r="AS38" s="102"/>
      <c r="AT38" s="1">
        <v>5</v>
      </c>
      <c r="AU38" s="104">
        <f t="shared" ref="AU38" si="590">AS38/AT38</f>
        <v>0</v>
      </c>
      <c r="AV38" s="102"/>
      <c r="AW38" s="1">
        <v>5</v>
      </c>
      <c r="AX38" s="104">
        <f t="shared" ref="AX38" si="591">AV38/AW38</f>
        <v>0</v>
      </c>
      <c r="AY38" s="102"/>
      <c r="AZ38" s="1">
        <v>5</v>
      </c>
      <c r="BA38" s="104">
        <f t="shared" ref="BA38" si="592">AY38/AZ38</f>
        <v>0</v>
      </c>
      <c r="BB38" s="102"/>
      <c r="BC38" s="1">
        <v>5</v>
      </c>
      <c r="BD38" s="104">
        <f t="shared" ref="BD38" si="593">BB38/BC38</f>
        <v>0</v>
      </c>
      <c r="BE38" s="102"/>
      <c r="BF38" s="1">
        <v>5</v>
      </c>
      <c r="BG38" s="104">
        <f t="shared" ref="BG38" si="594">BE38/BF38</f>
        <v>0</v>
      </c>
      <c r="BH38" s="102"/>
      <c r="BI38" s="1">
        <v>5</v>
      </c>
      <c r="BJ38" s="104">
        <f t="shared" ref="BJ38" si="595">BH38/BI38</f>
        <v>0</v>
      </c>
      <c r="BK38" s="102"/>
      <c r="BL38" s="1">
        <v>5</v>
      </c>
      <c r="BM38" s="104">
        <f t="shared" ref="BM38" si="596">BK38/BL38</f>
        <v>0</v>
      </c>
      <c r="BN38" s="102"/>
      <c r="BO38" s="1">
        <v>5</v>
      </c>
      <c r="BP38" s="104">
        <f t="shared" ref="BP38" si="597">BN38/BO38</f>
        <v>0</v>
      </c>
      <c r="BQ38" s="102"/>
      <c r="BR38" s="1">
        <v>5</v>
      </c>
      <c r="BS38" s="104">
        <f t="shared" ref="BS38" si="598">BQ38/BR38</f>
        <v>0</v>
      </c>
      <c r="BT38" s="102"/>
      <c r="BU38" s="1">
        <v>5</v>
      </c>
      <c r="BV38" s="104">
        <f t="shared" ref="BV38" si="599">BT38/BU38</f>
        <v>0</v>
      </c>
      <c r="BW38" s="102"/>
      <c r="BX38" s="1">
        <v>5</v>
      </c>
      <c r="BY38" s="104">
        <f t="shared" ref="BY38" si="600">BW38/BX38</f>
        <v>0</v>
      </c>
      <c r="BZ38" s="102"/>
      <c r="CA38" s="1">
        <v>5</v>
      </c>
      <c r="CB38" s="104">
        <f t="shared" ref="CB38" si="601">BZ38/CA38</f>
        <v>0</v>
      </c>
      <c r="CC38" s="102"/>
      <c r="CD38" s="1">
        <v>5</v>
      </c>
      <c r="CE38" s="104">
        <f t="shared" ref="CE38" si="602">CC38/CD38</f>
        <v>0</v>
      </c>
      <c r="CF38" s="102"/>
      <c r="CG38" s="1">
        <v>5</v>
      </c>
      <c r="CH38" s="104">
        <f t="shared" ref="CH38" si="603">CF38/CG38</f>
        <v>0</v>
      </c>
      <c r="CI38" s="102"/>
      <c r="CJ38" s="1">
        <v>5</v>
      </c>
      <c r="CK38" s="104">
        <f t="shared" ref="CK38" si="604">CI38/CJ38</f>
        <v>0</v>
      </c>
      <c r="CL38" s="102"/>
      <c r="CM38" s="1">
        <v>5</v>
      </c>
      <c r="CN38" s="104">
        <f t="shared" ref="CN38" si="605">CL38/CM38</f>
        <v>0</v>
      </c>
      <c r="CO38" s="102"/>
      <c r="CP38" s="1">
        <v>5</v>
      </c>
      <c r="CQ38" s="104">
        <f t="shared" ref="CQ38" si="606">CO38/CP38</f>
        <v>0</v>
      </c>
      <c r="CR38" s="102"/>
      <c r="CS38" s="1">
        <v>5</v>
      </c>
      <c r="CT38" s="104">
        <f t="shared" ref="CT38" si="607">CR38/CS38</f>
        <v>0</v>
      </c>
      <c r="CU38" s="102"/>
      <c r="CV38" s="1">
        <v>5</v>
      </c>
      <c r="CW38" s="104">
        <f t="shared" ref="CW38" si="608">CU38/CV38</f>
        <v>0</v>
      </c>
      <c r="CX38" s="102"/>
      <c r="CY38" s="1">
        <v>5</v>
      </c>
      <c r="CZ38" s="104">
        <f t="shared" ref="CZ38" si="609">CX38/CY38</f>
        <v>0</v>
      </c>
      <c r="DA38" s="102"/>
      <c r="DB38" s="1">
        <v>5</v>
      </c>
      <c r="DC38" s="104">
        <f t="shared" ref="DC38" si="610">DA38/DB38</f>
        <v>0</v>
      </c>
      <c r="DD38" s="102"/>
      <c r="DE38" s="1">
        <v>5</v>
      </c>
      <c r="DF38" s="104">
        <f t="shared" ref="DF38" si="611">DD38/DE38</f>
        <v>0</v>
      </c>
      <c r="DG38" s="102"/>
      <c r="DH38" s="1">
        <v>5</v>
      </c>
      <c r="DI38" s="104">
        <f t="shared" ref="DI38" si="612">DG38/DH38</f>
        <v>0</v>
      </c>
      <c r="DJ38" s="102"/>
      <c r="DK38" s="1">
        <v>5</v>
      </c>
      <c r="DL38" s="104">
        <f t="shared" ref="DL38" si="613">DJ38/DK38</f>
        <v>0</v>
      </c>
      <c r="DM38" s="102"/>
      <c r="DN38" s="1">
        <v>5</v>
      </c>
      <c r="DO38" s="104">
        <f t="shared" ref="DO38" si="614">DM38/DN38</f>
        <v>0</v>
      </c>
      <c r="DP38" s="102"/>
      <c r="DQ38" s="1">
        <v>5</v>
      </c>
      <c r="DR38" s="104">
        <f t="shared" ref="DR38" si="615">DP38/DQ38</f>
        <v>0</v>
      </c>
      <c r="DS38" s="102"/>
      <c r="DT38" s="1">
        <v>5</v>
      </c>
      <c r="DU38" s="104">
        <f t="shared" ref="DU38" si="616">DS38/DT38</f>
        <v>0</v>
      </c>
      <c r="DV38" s="102"/>
      <c r="DW38" s="1">
        <v>5</v>
      </c>
      <c r="DX38" s="104">
        <f t="shared" ref="DX38" si="617">DV38/DW38</f>
        <v>0</v>
      </c>
      <c r="DY38" s="102"/>
      <c r="DZ38" s="1">
        <v>5</v>
      </c>
      <c r="EA38" s="104">
        <f t="shared" ref="EA38" si="618">DY38/DZ38</f>
        <v>0</v>
      </c>
      <c r="EB38" s="102"/>
      <c r="EC38" s="1">
        <v>5</v>
      </c>
      <c r="ED38" s="104">
        <f t="shared" ref="ED38" si="619">EB38/EC38</f>
        <v>0</v>
      </c>
      <c r="EE38" s="102"/>
      <c r="EF38" s="1">
        <v>5</v>
      </c>
      <c r="EG38" s="104">
        <f t="shared" ref="EG38" si="620">EE38/EF38</f>
        <v>0</v>
      </c>
      <c r="EH38" s="102"/>
      <c r="EI38" s="1">
        <v>5</v>
      </c>
      <c r="EJ38" s="104">
        <f t="shared" ref="EJ38" si="621">EH38/EI38</f>
        <v>0</v>
      </c>
      <c r="EK38" s="102"/>
      <c r="EL38" s="1">
        <v>5</v>
      </c>
      <c r="EM38" s="104">
        <f t="shared" ref="EM38" si="622">EK38/EL38</f>
        <v>0</v>
      </c>
      <c r="EN38" s="102"/>
      <c r="EO38" s="1">
        <v>5</v>
      </c>
      <c r="EP38" s="104">
        <f t="shared" ref="EP38" si="623">EN38/EO38</f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20.5" customHeight="1" spans="1:148" x14ac:dyDescent="0.25">
      <c r="A39" s="169" t="s">
        <v>147</v>
      </c>
      <c r="B39" s="101"/>
      <c r="C39" s="90"/>
      <c r="D39" s="91">
        <v>5</v>
      </c>
      <c r="E39" s="92">
        <f>C39/D39</f>
        <v>0</v>
      </c>
      <c r="F39" s="90"/>
      <c r="G39" s="91">
        <v>5</v>
      </c>
      <c r="H39" s="92">
        <f>F39/G39</f>
        <v>0</v>
      </c>
      <c r="I39" s="93"/>
      <c r="J39" s="91">
        <v>5</v>
      </c>
      <c r="K39" s="92">
        <f>I39/J39</f>
        <v>0</v>
      </c>
      <c r="L39" s="93"/>
      <c r="M39" s="91">
        <v>5</v>
      </c>
      <c r="N39" s="92">
        <f>L39/M39</f>
        <v>0</v>
      </c>
      <c r="O39" s="94"/>
      <c r="P39" s="95">
        <v>5</v>
      </c>
      <c r="Q39" s="92">
        <f>O39/P39</f>
        <v>0</v>
      </c>
      <c r="R39" s="90"/>
      <c r="S39" s="95">
        <v>5</v>
      </c>
      <c r="T39" s="92">
        <f>R39/S39</f>
        <v>0</v>
      </c>
      <c r="U39" s="90"/>
      <c r="V39" s="95">
        <v>5</v>
      </c>
      <c r="W39" s="92">
        <f>U39/V39</f>
        <v>0</v>
      </c>
      <c r="X39" s="90"/>
      <c r="Y39" s="95">
        <v>5</v>
      </c>
      <c r="Z39" s="92">
        <f>X39/Y39</f>
        <v>0</v>
      </c>
      <c r="AA39" s="94"/>
      <c r="AB39" s="95">
        <v>5</v>
      </c>
      <c r="AC39" s="92">
        <f>AA39/AB39</f>
        <v>0</v>
      </c>
      <c r="AD39" s="94"/>
      <c r="AE39" s="95">
        <v>5</v>
      </c>
      <c r="AF39" s="92">
        <f>AD39/AE39</f>
        <v>0</v>
      </c>
      <c r="AG39" s="94"/>
      <c r="AH39" s="95">
        <v>5</v>
      </c>
      <c r="AI39" s="92">
        <f>AG39/AH39</f>
        <v>0</v>
      </c>
      <c r="AJ39" s="94"/>
      <c r="AK39" s="95">
        <v>5</v>
      </c>
      <c r="AL39" s="92">
        <f>AJ39/AK39</f>
        <v>0</v>
      </c>
      <c r="AM39" s="90"/>
      <c r="AN39" s="96">
        <v>5</v>
      </c>
      <c r="AO39" s="92">
        <f>AM39/AN39</f>
        <v>0</v>
      </c>
      <c r="AP39" s="90"/>
      <c r="AQ39" s="96">
        <v>5</v>
      </c>
      <c r="AR39" s="92">
        <f>AP39/AQ39</f>
        <v>0</v>
      </c>
      <c r="AS39" s="90"/>
      <c r="AT39" s="96">
        <v>5</v>
      </c>
      <c r="AU39" s="92">
        <f>AS39/AT39</f>
        <v>0</v>
      </c>
      <c r="AV39" s="90"/>
      <c r="AW39" s="96">
        <v>5</v>
      </c>
      <c r="AX39" s="92">
        <f>AV39/AW39</f>
        <v>0</v>
      </c>
      <c r="AY39" s="90"/>
      <c r="AZ39" s="96">
        <v>5</v>
      </c>
      <c r="BA39" s="92">
        <f>AY39/AZ39</f>
        <v>0</v>
      </c>
      <c r="BB39" s="90"/>
      <c r="BC39" s="96">
        <v>5</v>
      </c>
      <c r="BD39" s="92">
        <f>BB39/BC39</f>
        <v>0</v>
      </c>
      <c r="BE39" s="90"/>
      <c r="BF39" s="96">
        <v>5</v>
      </c>
      <c r="BG39" s="92">
        <f>BE39/BF39</f>
        <v>0</v>
      </c>
      <c r="BH39" s="90"/>
      <c r="BI39" s="96">
        <v>5</v>
      </c>
      <c r="BJ39" s="92">
        <f>BH39/BI39</f>
        <v>0</v>
      </c>
      <c r="BK39" s="90"/>
      <c r="BL39" s="96">
        <v>5</v>
      </c>
      <c r="BM39" s="92">
        <f>BK39/BL39</f>
        <v>0</v>
      </c>
      <c r="BN39" s="90"/>
      <c r="BO39" s="96">
        <v>5</v>
      </c>
      <c r="BP39" s="92">
        <f>BN39/BO39</f>
        <v>0</v>
      </c>
      <c r="BQ39" s="90"/>
      <c r="BR39" s="96">
        <v>5</v>
      </c>
      <c r="BS39" s="92">
        <f>BQ39/BR39</f>
        <v>0</v>
      </c>
      <c r="BT39" s="90"/>
      <c r="BU39" s="96">
        <v>5</v>
      </c>
      <c r="BV39" s="92">
        <f>BT39/BU39</f>
        <v>0</v>
      </c>
      <c r="BW39" s="90"/>
      <c r="BX39" s="96">
        <v>5</v>
      </c>
      <c r="BY39" s="92">
        <f>BW39/BX39</f>
        <v>0</v>
      </c>
      <c r="BZ39" s="90"/>
      <c r="CA39" s="96">
        <v>5</v>
      </c>
      <c r="CB39" s="92">
        <f>BZ39/CA39</f>
        <v>0</v>
      </c>
      <c r="CC39" s="90"/>
      <c r="CD39" s="96">
        <v>5</v>
      </c>
      <c r="CE39" s="92">
        <f>CC39/CD39</f>
        <v>0</v>
      </c>
      <c r="CF39" s="90"/>
      <c r="CG39" s="96">
        <v>5</v>
      </c>
      <c r="CH39" s="92">
        <f>CF39/CG39</f>
        <v>0</v>
      </c>
      <c r="CI39" s="90"/>
      <c r="CJ39" s="96">
        <v>5</v>
      </c>
      <c r="CK39" s="92">
        <f>CI39/CJ39</f>
        <v>0</v>
      </c>
      <c r="CL39" s="90"/>
      <c r="CM39" s="96">
        <v>5</v>
      </c>
      <c r="CN39" s="92">
        <f>CL39/CM39</f>
        <v>0</v>
      </c>
      <c r="CO39" s="90"/>
      <c r="CP39" s="96">
        <v>5</v>
      </c>
      <c r="CQ39" s="92">
        <f>CO39/CP39</f>
        <v>0</v>
      </c>
      <c r="CR39" s="90"/>
      <c r="CS39" s="96">
        <v>5</v>
      </c>
      <c r="CT39" s="92">
        <f>CR39/CS39</f>
        <v>0</v>
      </c>
      <c r="CU39" s="90"/>
      <c r="CV39" s="96">
        <v>5</v>
      </c>
      <c r="CW39" s="92">
        <f>CU39/CV39</f>
        <v>0</v>
      </c>
      <c r="CX39" s="90"/>
      <c r="CY39" s="96">
        <v>5</v>
      </c>
      <c r="CZ39" s="92">
        <f>CX39/CY39</f>
        <v>0</v>
      </c>
      <c r="DA39" s="90"/>
      <c r="DB39" s="96">
        <v>5</v>
      </c>
      <c r="DC39" s="92">
        <f>DA39/DB39</f>
        <v>0</v>
      </c>
      <c r="DD39" s="90"/>
      <c r="DE39" s="96">
        <v>5</v>
      </c>
      <c r="DF39" s="92">
        <f>DD39/DE39</f>
        <v>0</v>
      </c>
      <c r="DG39" s="90"/>
      <c r="DH39" s="96">
        <v>5</v>
      </c>
      <c r="DI39" s="92">
        <f>DG39/DH39</f>
        <v>0</v>
      </c>
      <c r="DJ39" s="90"/>
      <c r="DK39" s="96">
        <v>5</v>
      </c>
      <c r="DL39" s="92">
        <f>DJ39/DK39</f>
        <v>0</v>
      </c>
      <c r="DM39" s="90"/>
      <c r="DN39" s="96">
        <v>5</v>
      </c>
      <c r="DO39" s="92">
        <f>DM39/DN39</f>
        <v>0</v>
      </c>
      <c r="DP39" s="90"/>
      <c r="DQ39" s="96">
        <v>5</v>
      </c>
      <c r="DR39" s="92">
        <f>DP39/DQ39</f>
        <v>0</v>
      </c>
      <c r="DS39" s="90"/>
      <c r="DT39" s="96">
        <v>5</v>
      </c>
      <c r="DU39" s="92">
        <f>DS39/DT39</f>
        <v>0</v>
      </c>
      <c r="DV39" s="90"/>
      <c r="DW39" s="96">
        <v>5</v>
      </c>
      <c r="DX39" s="92">
        <f>DV39/DW39</f>
        <v>0</v>
      </c>
      <c r="DY39" s="90"/>
      <c r="DZ39" s="96">
        <v>5</v>
      </c>
      <c r="EA39" s="92">
        <f>DY39/DZ39</f>
        <v>0</v>
      </c>
      <c r="EB39" s="90"/>
      <c r="EC39" s="96">
        <v>5</v>
      </c>
      <c r="ED39" s="92">
        <f>EB39/EC39</f>
        <v>0</v>
      </c>
      <c r="EE39" s="90"/>
      <c r="EF39" s="96">
        <v>5</v>
      </c>
      <c r="EG39" s="92">
        <f>EE39/EF39</f>
        <v>0</v>
      </c>
      <c r="EH39" s="90"/>
      <c r="EI39" s="96">
        <v>5</v>
      </c>
      <c r="EJ39" s="92">
        <f>EH39/EI39</f>
        <v>0</v>
      </c>
      <c r="EK39" s="90"/>
      <c r="EL39" s="96">
        <v>5</v>
      </c>
      <c r="EM39" s="92">
        <f>EK39/EL39</f>
        <v>0</v>
      </c>
      <c r="EN39" s="90"/>
      <c r="EO39" s="96">
        <v>5</v>
      </c>
      <c r="EP39" s="92">
        <f>EN39/EO39</f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16" customHeight="1" spans="1:148" x14ac:dyDescent="0.25">
      <c r="A40" s="169" t="s">
        <v>108</v>
      </c>
      <c r="B40" s="101"/>
      <c r="C40" s="102"/>
      <c r="D40" s="103">
        <v>5</v>
      </c>
      <c r="E40" s="104">
        <f t="shared" ref="E40" si="624">C40/D40</f>
        <v>0</v>
      </c>
      <c r="F40" s="102"/>
      <c r="G40" s="103">
        <v>5</v>
      </c>
      <c r="H40" s="104">
        <f t="shared" ref="H40" si="625">F40/G40</f>
        <v>0</v>
      </c>
      <c r="I40" s="105"/>
      <c r="J40" s="103">
        <v>5</v>
      </c>
      <c r="K40" s="104">
        <f t="shared" ref="K40" si="626">I40/J40</f>
        <v>0</v>
      </c>
      <c r="L40" s="105"/>
      <c r="M40" s="103">
        <v>5</v>
      </c>
      <c r="N40" s="104">
        <f t="shared" ref="N40" si="627">L40/M40</f>
        <v>0</v>
      </c>
      <c r="O40" s="106"/>
      <c r="P40" s="107">
        <v>5</v>
      </c>
      <c r="Q40" s="104">
        <f t="shared" ref="Q40" si="628">O40/P40</f>
        <v>0</v>
      </c>
      <c r="R40" s="102"/>
      <c r="S40" s="107">
        <v>5</v>
      </c>
      <c r="T40" s="104">
        <f t="shared" ref="T40" si="629">R40/S40</f>
        <v>0</v>
      </c>
      <c r="U40" s="102"/>
      <c r="V40" s="107">
        <v>5</v>
      </c>
      <c r="W40" s="104">
        <f t="shared" ref="W40" si="630">U40/V40</f>
        <v>0</v>
      </c>
      <c r="X40" s="102"/>
      <c r="Y40" s="107">
        <v>5</v>
      </c>
      <c r="Z40" s="104">
        <f t="shared" ref="Z40" si="631">X40/Y40</f>
        <v>0</v>
      </c>
      <c r="AA40" s="106"/>
      <c r="AB40" s="107">
        <v>5</v>
      </c>
      <c r="AC40" s="104">
        <f t="shared" ref="AC40" si="632">AA40/AB40</f>
        <v>0</v>
      </c>
      <c r="AD40" s="106"/>
      <c r="AE40" s="107">
        <v>5</v>
      </c>
      <c r="AF40" s="104">
        <f t="shared" ref="AF40" si="633">AD40/AE40</f>
        <v>0</v>
      </c>
      <c r="AG40" s="106"/>
      <c r="AH40" s="107">
        <v>5</v>
      </c>
      <c r="AI40" s="104">
        <f t="shared" ref="AI40" si="634">AG40/AH40</f>
        <v>0</v>
      </c>
      <c r="AJ40" s="106"/>
      <c r="AK40" s="107">
        <v>5</v>
      </c>
      <c r="AL40" s="104">
        <f t="shared" ref="AL40" si="635">AJ40/AK40</f>
        <v>0</v>
      </c>
      <c r="AM40" s="102"/>
      <c r="AN40" s="1">
        <v>5</v>
      </c>
      <c r="AO40" s="104">
        <f t="shared" ref="AO40" si="636">AM40/AN40</f>
        <v>0</v>
      </c>
      <c r="AP40" s="102"/>
      <c r="AQ40" s="1">
        <v>5</v>
      </c>
      <c r="AR40" s="104">
        <f t="shared" ref="AR40" si="637">AP40/AQ40</f>
        <v>0</v>
      </c>
      <c r="AS40" s="102"/>
      <c r="AT40" s="1">
        <v>5</v>
      </c>
      <c r="AU40" s="104">
        <f t="shared" ref="AU40" si="638">AS40/AT40</f>
        <v>0</v>
      </c>
      <c r="AV40" s="102"/>
      <c r="AW40" s="1">
        <v>5</v>
      </c>
      <c r="AX40" s="104">
        <f t="shared" ref="AX40" si="639">AV40/AW40</f>
        <v>0</v>
      </c>
      <c r="AY40" s="102"/>
      <c r="AZ40" s="1">
        <v>5</v>
      </c>
      <c r="BA40" s="104">
        <f t="shared" ref="BA40" si="640">AY40/AZ40</f>
        <v>0</v>
      </c>
      <c r="BB40" s="102"/>
      <c r="BC40" s="1">
        <v>5</v>
      </c>
      <c r="BD40" s="104">
        <f t="shared" ref="BD40" si="641">BB40/BC40</f>
        <v>0</v>
      </c>
      <c r="BE40" s="102"/>
      <c r="BF40" s="1">
        <v>5</v>
      </c>
      <c r="BG40" s="104">
        <f t="shared" ref="BG40" si="642">BE40/BF40</f>
        <v>0</v>
      </c>
      <c r="BH40" s="102"/>
      <c r="BI40" s="1">
        <v>5</v>
      </c>
      <c r="BJ40" s="104">
        <f t="shared" ref="BJ40" si="643">BH40/BI40</f>
        <v>0</v>
      </c>
      <c r="BK40" s="102"/>
      <c r="BL40" s="1">
        <v>5</v>
      </c>
      <c r="BM40" s="104">
        <f t="shared" ref="BM40" si="644">BK40/BL40</f>
        <v>0</v>
      </c>
      <c r="BN40" s="102"/>
      <c r="BO40" s="1">
        <v>5</v>
      </c>
      <c r="BP40" s="104">
        <f t="shared" ref="BP40" si="645">BN40/BO40</f>
        <v>0</v>
      </c>
      <c r="BQ40" s="102"/>
      <c r="BR40" s="1">
        <v>5</v>
      </c>
      <c r="BS40" s="104">
        <f t="shared" ref="BS40" si="646">BQ40/BR40</f>
        <v>0</v>
      </c>
      <c r="BT40" s="102"/>
      <c r="BU40" s="1">
        <v>5</v>
      </c>
      <c r="BV40" s="104">
        <f t="shared" ref="BV40" si="647">BT40/BU40</f>
        <v>0</v>
      </c>
      <c r="BW40" s="102"/>
      <c r="BX40" s="1">
        <v>5</v>
      </c>
      <c r="BY40" s="104">
        <f t="shared" ref="BY40" si="648">BW40/BX40</f>
        <v>0</v>
      </c>
      <c r="BZ40" s="102"/>
      <c r="CA40" s="1">
        <v>5</v>
      </c>
      <c r="CB40" s="104">
        <f t="shared" ref="CB40" si="649">BZ40/CA40</f>
        <v>0</v>
      </c>
      <c r="CC40" s="102"/>
      <c r="CD40" s="1">
        <v>5</v>
      </c>
      <c r="CE40" s="104">
        <f t="shared" ref="CE40" si="650">CC40/CD40</f>
        <v>0</v>
      </c>
      <c r="CF40" s="102"/>
      <c r="CG40" s="1">
        <v>5</v>
      </c>
      <c r="CH40" s="104">
        <f t="shared" ref="CH40" si="651">CF40/CG40</f>
        <v>0</v>
      </c>
      <c r="CI40" s="102"/>
      <c r="CJ40" s="1">
        <v>5</v>
      </c>
      <c r="CK40" s="104">
        <f t="shared" ref="CK40" si="652">CI40/CJ40</f>
        <v>0</v>
      </c>
      <c r="CL40" s="102"/>
      <c r="CM40" s="1">
        <v>5</v>
      </c>
      <c r="CN40" s="104">
        <f t="shared" ref="CN40" si="653">CL40/CM40</f>
        <v>0</v>
      </c>
      <c r="CO40" s="102"/>
      <c r="CP40" s="1">
        <v>5</v>
      </c>
      <c r="CQ40" s="104">
        <f t="shared" ref="CQ40" si="654">CO40/CP40</f>
        <v>0</v>
      </c>
      <c r="CR40" s="102"/>
      <c r="CS40" s="1">
        <v>5</v>
      </c>
      <c r="CT40" s="104">
        <f t="shared" ref="CT40" si="655">CR40/CS40</f>
        <v>0</v>
      </c>
      <c r="CU40" s="102"/>
      <c r="CV40" s="1">
        <v>5</v>
      </c>
      <c r="CW40" s="104">
        <f t="shared" ref="CW40" si="656">CU40/CV40</f>
        <v>0</v>
      </c>
      <c r="CX40" s="102"/>
      <c r="CY40" s="1">
        <v>5</v>
      </c>
      <c r="CZ40" s="104">
        <f t="shared" ref="CZ40" si="657">CX40/CY40</f>
        <v>0</v>
      </c>
      <c r="DA40" s="102"/>
      <c r="DB40" s="1">
        <v>5</v>
      </c>
      <c r="DC40" s="104">
        <f t="shared" ref="DC40" si="658">DA40/DB40</f>
        <v>0</v>
      </c>
      <c r="DD40" s="102"/>
      <c r="DE40" s="1">
        <v>5</v>
      </c>
      <c r="DF40" s="104">
        <f t="shared" ref="DF40" si="659">DD40/DE40</f>
        <v>0</v>
      </c>
      <c r="DG40" s="102"/>
      <c r="DH40" s="1">
        <v>5</v>
      </c>
      <c r="DI40" s="104">
        <f t="shared" ref="DI40" si="660">DG40/DH40</f>
        <v>0</v>
      </c>
      <c r="DJ40" s="102"/>
      <c r="DK40" s="1">
        <v>5</v>
      </c>
      <c r="DL40" s="104">
        <f t="shared" ref="DL40" si="661">DJ40/DK40</f>
        <v>0</v>
      </c>
      <c r="DM40" s="102"/>
      <c r="DN40" s="1">
        <v>5</v>
      </c>
      <c r="DO40" s="104">
        <f t="shared" ref="DO40" si="662">DM40/DN40</f>
        <v>0</v>
      </c>
      <c r="DP40" s="102"/>
      <c r="DQ40" s="1">
        <v>5</v>
      </c>
      <c r="DR40" s="104">
        <f t="shared" ref="DR40" si="663">DP40/DQ40</f>
        <v>0</v>
      </c>
      <c r="DS40" s="102"/>
      <c r="DT40" s="1">
        <v>5</v>
      </c>
      <c r="DU40" s="104">
        <f t="shared" ref="DU40" si="664">DS40/DT40</f>
        <v>0</v>
      </c>
      <c r="DV40" s="102"/>
      <c r="DW40" s="1">
        <v>5</v>
      </c>
      <c r="DX40" s="104">
        <f t="shared" ref="DX40" si="665">DV40/DW40</f>
        <v>0</v>
      </c>
      <c r="DY40" s="102"/>
      <c r="DZ40" s="1">
        <v>5</v>
      </c>
      <c r="EA40" s="104">
        <f t="shared" ref="EA40" si="666">DY40/DZ40</f>
        <v>0</v>
      </c>
      <c r="EB40" s="102"/>
      <c r="EC40" s="1">
        <v>5</v>
      </c>
      <c r="ED40" s="104">
        <f t="shared" ref="ED40" si="667">EB40/EC40</f>
        <v>0</v>
      </c>
      <c r="EE40" s="102"/>
      <c r="EF40" s="1">
        <v>5</v>
      </c>
      <c r="EG40" s="104">
        <f t="shared" ref="EG40" si="668">EE40/EF40</f>
        <v>0</v>
      </c>
      <c r="EH40" s="102"/>
      <c r="EI40" s="1">
        <v>5</v>
      </c>
      <c r="EJ40" s="104">
        <f t="shared" ref="EJ40" si="669">EH40/EI40</f>
        <v>0</v>
      </c>
      <c r="EK40" s="102"/>
      <c r="EL40" s="1">
        <v>5</v>
      </c>
      <c r="EM40" s="104">
        <f t="shared" ref="EM40" si="670">EK40/EL40</f>
        <v>0</v>
      </c>
      <c r="EN40" s="102"/>
      <c r="EO40" s="1">
        <v>5</v>
      </c>
      <c r="EP40" s="104">
        <f t="shared" ref="EP40" si="671">EN40/EO40</f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20.5" customHeight="1" spans="1:148" x14ac:dyDescent="0.25">
      <c r="A41" s="169" t="s">
        <v>109</v>
      </c>
      <c r="B41" s="101"/>
      <c r="C41" s="90"/>
      <c r="D41" s="91">
        <v>5</v>
      </c>
      <c r="E41" s="92">
        <f>C41/D41</f>
        <v>0</v>
      </c>
      <c r="F41" s="90"/>
      <c r="G41" s="91">
        <v>5</v>
      </c>
      <c r="H41" s="92">
        <f>F41/G41</f>
        <v>0</v>
      </c>
      <c r="I41" s="93"/>
      <c r="J41" s="91">
        <v>5</v>
      </c>
      <c r="K41" s="92">
        <f>I41/J41</f>
        <v>0</v>
      </c>
      <c r="L41" s="93"/>
      <c r="M41" s="91">
        <v>5</v>
      </c>
      <c r="N41" s="92">
        <f>L41/M41</f>
        <v>0</v>
      </c>
      <c r="O41" s="94"/>
      <c r="P41" s="95">
        <v>5</v>
      </c>
      <c r="Q41" s="92">
        <f>O41/P41</f>
        <v>0</v>
      </c>
      <c r="R41" s="90"/>
      <c r="S41" s="95">
        <v>5</v>
      </c>
      <c r="T41" s="92">
        <f>R41/S41</f>
        <v>0</v>
      </c>
      <c r="U41" s="90"/>
      <c r="V41" s="95">
        <v>5</v>
      </c>
      <c r="W41" s="92">
        <f>U41/V41</f>
        <v>0</v>
      </c>
      <c r="X41" s="90"/>
      <c r="Y41" s="95">
        <v>5</v>
      </c>
      <c r="Z41" s="92">
        <f>X41/Y41</f>
        <v>0</v>
      </c>
      <c r="AA41" s="94"/>
      <c r="AB41" s="95">
        <v>5</v>
      </c>
      <c r="AC41" s="92">
        <f>AA41/AB41</f>
        <v>0</v>
      </c>
      <c r="AD41" s="94"/>
      <c r="AE41" s="95">
        <v>5</v>
      </c>
      <c r="AF41" s="92">
        <f>AD41/AE41</f>
        <v>0</v>
      </c>
      <c r="AG41" s="94"/>
      <c r="AH41" s="95">
        <v>5</v>
      </c>
      <c r="AI41" s="92">
        <f>AG41/AH41</f>
        <v>0</v>
      </c>
      <c r="AJ41" s="94"/>
      <c r="AK41" s="95">
        <v>5</v>
      </c>
      <c r="AL41" s="92">
        <f>AJ41/AK41</f>
        <v>0</v>
      </c>
      <c r="AM41" s="90"/>
      <c r="AN41" s="96">
        <v>5</v>
      </c>
      <c r="AO41" s="92">
        <f>AM41/AN41</f>
        <v>0</v>
      </c>
      <c r="AP41" s="90"/>
      <c r="AQ41" s="96">
        <v>5</v>
      </c>
      <c r="AR41" s="92">
        <f>AP41/AQ41</f>
        <v>0</v>
      </c>
      <c r="AS41" s="90"/>
      <c r="AT41" s="96">
        <v>5</v>
      </c>
      <c r="AU41" s="92">
        <f>AS41/AT41</f>
        <v>0</v>
      </c>
      <c r="AV41" s="90"/>
      <c r="AW41" s="96">
        <v>5</v>
      </c>
      <c r="AX41" s="92">
        <f>AV41/AW41</f>
        <v>0</v>
      </c>
      <c r="AY41" s="90"/>
      <c r="AZ41" s="96">
        <v>5</v>
      </c>
      <c r="BA41" s="92">
        <f>AY41/AZ41</f>
        <v>0</v>
      </c>
      <c r="BB41" s="90"/>
      <c r="BC41" s="96">
        <v>5</v>
      </c>
      <c r="BD41" s="92">
        <f>BB41/BC41</f>
        <v>0</v>
      </c>
      <c r="BE41" s="90"/>
      <c r="BF41" s="96">
        <v>5</v>
      </c>
      <c r="BG41" s="92">
        <f>BE41/BF41</f>
        <v>0</v>
      </c>
      <c r="BH41" s="90"/>
      <c r="BI41" s="96">
        <v>5</v>
      </c>
      <c r="BJ41" s="92">
        <f>BH41/BI41</f>
        <v>0</v>
      </c>
      <c r="BK41" s="90"/>
      <c r="BL41" s="96">
        <v>5</v>
      </c>
      <c r="BM41" s="92">
        <f>BK41/BL41</f>
        <v>0</v>
      </c>
      <c r="BN41" s="90"/>
      <c r="BO41" s="96">
        <v>5</v>
      </c>
      <c r="BP41" s="92">
        <f>BN41/BO41</f>
        <v>0</v>
      </c>
      <c r="BQ41" s="90"/>
      <c r="BR41" s="96">
        <v>5</v>
      </c>
      <c r="BS41" s="92">
        <f>BQ41/BR41</f>
        <v>0</v>
      </c>
      <c r="BT41" s="90"/>
      <c r="BU41" s="96">
        <v>5</v>
      </c>
      <c r="BV41" s="92">
        <f>BT41/BU41</f>
        <v>0</v>
      </c>
      <c r="BW41" s="90"/>
      <c r="BX41" s="96">
        <v>5</v>
      </c>
      <c r="BY41" s="92">
        <f>BW41/BX41</f>
        <v>0</v>
      </c>
      <c r="BZ41" s="90"/>
      <c r="CA41" s="96">
        <v>5</v>
      </c>
      <c r="CB41" s="92">
        <f>BZ41/CA41</f>
        <v>0</v>
      </c>
      <c r="CC41" s="90"/>
      <c r="CD41" s="96">
        <v>5</v>
      </c>
      <c r="CE41" s="92">
        <f>CC41/CD41</f>
        <v>0</v>
      </c>
      <c r="CF41" s="90"/>
      <c r="CG41" s="96">
        <v>5</v>
      </c>
      <c r="CH41" s="92">
        <f>CF41/CG41</f>
        <v>0</v>
      </c>
      <c r="CI41" s="90"/>
      <c r="CJ41" s="96">
        <v>5</v>
      </c>
      <c r="CK41" s="92">
        <f>CI41/CJ41</f>
        <v>0</v>
      </c>
      <c r="CL41" s="90"/>
      <c r="CM41" s="96">
        <v>5</v>
      </c>
      <c r="CN41" s="92">
        <f>CL41/CM41</f>
        <v>0</v>
      </c>
      <c r="CO41" s="90"/>
      <c r="CP41" s="96">
        <v>5</v>
      </c>
      <c r="CQ41" s="92">
        <f>CO41/CP41</f>
        <v>0</v>
      </c>
      <c r="CR41" s="90"/>
      <c r="CS41" s="96">
        <v>5</v>
      </c>
      <c r="CT41" s="92">
        <f>CR41/CS41</f>
        <v>0</v>
      </c>
      <c r="CU41" s="90"/>
      <c r="CV41" s="96">
        <v>5</v>
      </c>
      <c r="CW41" s="92">
        <f>CU41/CV41</f>
        <v>0</v>
      </c>
      <c r="CX41" s="90"/>
      <c r="CY41" s="96">
        <v>5</v>
      </c>
      <c r="CZ41" s="92">
        <f>CX41/CY41</f>
        <v>0</v>
      </c>
      <c r="DA41" s="90"/>
      <c r="DB41" s="96">
        <v>5</v>
      </c>
      <c r="DC41" s="92">
        <f>DA41/DB41</f>
        <v>0</v>
      </c>
      <c r="DD41" s="90"/>
      <c r="DE41" s="96">
        <v>5</v>
      </c>
      <c r="DF41" s="92">
        <f>DD41/DE41</f>
        <v>0</v>
      </c>
      <c r="DG41" s="90"/>
      <c r="DH41" s="96">
        <v>5</v>
      </c>
      <c r="DI41" s="92">
        <f>DG41/DH41</f>
        <v>0</v>
      </c>
      <c r="DJ41" s="90"/>
      <c r="DK41" s="96">
        <v>5</v>
      </c>
      <c r="DL41" s="92">
        <f>DJ41/DK41</f>
        <v>0</v>
      </c>
      <c r="DM41" s="90"/>
      <c r="DN41" s="96">
        <v>5</v>
      </c>
      <c r="DO41" s="92">
        <f>DM41/DN41</f>
        <v>0</v>
      </c>
      <c r="DP41" s="90"/>
      <c r="DQ41" s="96">
        <v>5</v>
      </c>
      <c r="DR41" s="92">
        <f>DP41/DQ41</f>
        <v>0</v>
      </c>
      <c r="DS41" s="90"/>
      <c r="DT41" s="96">
        <v>5</v>
      </c>
      <c r="DU41" s="92">
        <f>DS41/DT41</f>
        <v>0</v>
      </c>
      <c r="DV41" s="90"/>
      <c r="DW41" s="96">
        <v>5</v>
      </c>
      <c r="DX41" s="92">
        <f>DV41/DW41</f>
        <v>0</v>
      </c>
      <c r="DY41" s="90"/>
      <c r="DZ41" s="96">
        <v>5</v>
      </c>
      <c r="EA41" s="92">
        <f>DY41/DZ41</f>
        <v>0</v>
      </c>
      <c r="EB41" s="90"/>
      <c r="EC41" s="96">
        <v>5</v>
      </c>
      <c r="ED41" s="92">
        <f>EB41/EC41</f>
        <v>0</v>
      </c>
      <c r="EE41" s="90"/>
      <c r="EF41" s="96">
        <v>5</v>
      </c>
      <c r="EG41" s="92">
        <f>EE41/EF41</f>
        <v>0</v>
      </c>
      <c r="EH41" s="90"/>
      <c r="EI41" s="96">
        <v>5</v>
      </c>
      <c r="EJ41" s="92">
        <f>EH41/EI41</f>
        <v>0</v>
      </c>
      <c r="EK41" s="90"/>
      <c r="EL41" s="96">
        <v>5</v>
      </c>
      <c r="EM41" s="92">
        <f>EK41/EL41</f>
        <v>0</v>
      </c>
      <c r="EN41" s="90"/>
      <c r="EO41" s="96">
        <v>5</v>
      </c>
      <c r="EP41" s="92">
        <f>EN41/EO41</f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16" customHeight="1" spans="1:148" x14ac:dyDescent="0.25">
      <c r="A42" s="172" t="s">
        <v>148</v>
      </c>
      <c r="B42" s="101"/>
      <c r="C42" s="102"/>
      <c r="D42" s="103">
        <v>5</v>
      </c>
      <c r="E42" s="104">
        <f t="shared" ref="E42" si="672">C42/D42</f>
        <v>0</v>
      </c>
      <c r="F42" s="102"/>
      <c r="G42" s="103">
        <v>5</v>
      </c>
      <c r="H42" s="104">
        <f t="shared" ref="H42" si="673">F42/G42</f>
        <v>0</v>
      </c>
      <c r="I42" s="105"/>
      <c r="J42" s="103">
        <v>5</v>
      </c>
      <c r="K42" s="104">
        <f t="shared" ref="K42" si="674">I42/J42</f>
        <v>0</v>
      </c>
      <c r="L42" s="105"/>
      <c r="M42" s="103">
        <v>5</v>
      </c>
      <c r="N42" s="104">
        <f t="shared" ref="N42" si="675">L42/M42</f>
        <v>0</v>
      </c>
      <c r="O42" s="106"/>
      <c r="P42" s="107">
        <v>5</v>
      </c>
      <c r="Q42" s="104">
        <f t="shared" ref="Q42" si="676">O42/P42</f>
        <v>0</v>
      </c>
      <c r="R42" s="102"/>
      <c r="S42" s="107">
        <v>5</v>
      </c>
      <c r="T42" s="104">
        <f t="shared" ref="T42" si="677">R42/S42</f>
        <v>0</v>
      </c>
      <c r="U42" s="102"/>
      <c r="V42" s="107">
        <v>5</v>
      </c>
      <c r="W42" s="104">
        <f t="shared" ref="W42" si="678">U42/V42</f>
        <v>0</v>
      </c>
      <c r="X42" s="102"/>
      <c r="Y42" s="107">
        <v>5</v>
      </c>
      <c r="Z42" s="104">
        <f t="shared" ref="Z42" si="679">X42/Y42</f>
        <v>0</v>
      </c>
      <c r="AA42" s="106"/>
      <c r="AB42" s="107">
        <v>5</v>
      </c>
      <c r="AC42" s="104">
        <f t="shared" ref="AC42" si="680">AA42/AB42</f>
        <v>0</v>
      </c>
      <c r="AD42" s="106"/>
      <c r="AE42" s="107">
        <v>5</v>
      </c>
      <c r="AF42" s="104">
        <f t="shared" ref="AF42" si="681">AD42/AE42</f>
        <v>0</v>
      </c>
      <c r="AG42" s="106"/>
      <c r="AH42" s="107">
        <v>5</v>
      </c>
      <c r="AI42" s="104">
        <f t="shared" ref="AI42" si="682">AG42/AH42</f>
        <v>0</v>
      </c>
      <c r="AJ42" s="106"/>
      <c r="AK42" s="107">
        <v>5</v>
      </c>
      <c r="AL42" s="104">
        <f t="shared" ref="AL42" si="683">AJ42/AK42</f>
        <v>0</v>
      </c>
      <c r="AM42" s="102"/>
      <c r="AN42" s="1">
        <v>5</v>
      </c>
      <c r="AO42" s="104">
        <f t="shared" ref="AO42" si="684">AM42/AN42</f>
        <v>0</v>
      </c>
      <c r="AP42" s="102"/>
      <c r="AQ42" s="1">
        <v>5</v>
      </c>
      <c r="AR42" s="104">
        <f t="shared" ref="AR42" si="685">AP42/AQ42</f>
        <v>0</v>
      </c>
      <c r="AS42" s="102"/>
      <c r="AT42" s="1">
        <v>5</v>
      </c>
      <c r="AU42" s="104">
        <f t="shared" ref="AU42" si="686">AS42/AT42</f>
        <v>0</v>
      </c>
      <c r="AV42" s="102"/>
      <c r="AW42" s="1">
        <v>5</v>
      </c>
      <c r="AX42" s="104">
        <f t="shared" ref="AX42" si="687">AV42/AW42</f>
        <v>0</v>
      </c>
      <c r="AY42" s="102"/>
      <c r="AZ42" s="1">
        <v>5</v>
      </c>
      <c r="BA42" s="104">
        <f t="shared" ref="BA42" si="688">AY42/AZ42</f>
        <v>0</v>
      </c>
      <c r="BB42" s="102"/>
      <c r="BC42" s="1">
        <v>5</v>
      </c>
      <c r="BD42" s="104">
        <f t="shared" ref="BD42" si="689">BB42/BC42</f>
        <v>0</v>
      </c>
      <c r="BE42" s="102"/>
      <c r="BF42" s="1">
        <v>5</v>
      </c>
      <c r="BG42" s="104">
        <f t="shared" ref="BG42" si="690">BE42/BF42</f>
        <v>0</v>
      </c>
      <c r="BH42" s="102"/>
      <c r="BI42" s="1">
        <v>5</v>
      </c>
      <c r="BJ42" s="104">
        <f t="shared" ref="BJ42" si="691">BH42/BI42</f>
        <v>0</v>
      </c>
      <c r="BK42" s="102"/>
      <c r="BL42" s="1">
        <v>5</v>
      </c>
      <c r="BM42" s="104">
        <f t="shared" ref="BM42" si="692">BK42/BL42</f>
        <v>0</v>
      </c>
      <c r="BN42" s="102"/>
      <c r="BO42" s="1">
        <v>5</v>
      </c>
      <c r="BP42" s="104">
        <f t="shared" ref="BP42" si="693">BN42/BO42</f>
        <v>0</v>
      </c>
      <c r="BQ42" s="102"/>
      <c r="BR42" s="1">
        <v>5</v>
      </c>
      <c r="BS42" s="104">
        <f t="shared" ref="BS42" si="694">BQ42/BR42</f>
        <v>0</v>
      </c>
      <c r="BT42" s="102"/>
      <c r="BU42" s="1">
        <v>5</v>
      </c>
      <c r="BV42" s="104">
        <f t="shared" ref="BV42" si="695">BT42/BU42</f>
        <v>0</v>
      </c>
      <c r="BW42" s="102"/>
      <c r="BX42" s="1">
        <v>5</v>
      </c>
      <c r="BY42" s="104">
        <f t="shared" ref="BY42" si="696">BW42/BX42</f>
        <v>0</v>
      </c>
      <c r="BZ42" s="102"/>
      <c r="CA42" s="1">
        <v>5</v>
      </c>
      <c r="CB42" s="104">
        <f t="shared" ref="CB42" si="697">BZ42/CA42</f>
        <v>0</v>
      </c>
      <c r="CC42" s="102"/>
      <c r="CD42" s="1">
        <v>5</v>
      </c>
      <c r="CE42" s="104">
        <f t="shared" ref="CE42" si="698">CC42/CD42</f>
        <v>0</v>
      </c>
      <c r="CF42" s="102"/>
      <c r="CG42" s="1">
        <v>5</v>
      </c>
      <c r="CH42" s="104">
        <f t="shared" ref="CH42" si="699">CF42/CG42</f>
        <v>0</v>
      </c>
      <c r="CI42" s="102"/>
      <c r="CJ42" s="1">
        <v>5</v>
      </c>
      <c r="CK42" s="104">
        <f t="shared" ref="CK42" si="700">CI42/CJ42</f>
        <v>0</v>
      </c>
      <c r="CL42" s="102"/>
      <c r="CM42" s="1">
        <v>5</v>
      </c>
      <c r="CN42" s="104">
        <f t="shared" ref="CN42" si="701">CL42/CM42</f>
        <v>0</v>
      </c>
      <c r="CO42" s="102"/>
      <c r="CP42" s="1">
        <v>5</v>
      </c>
      <c r="CQ42" s="104">
        <f t="shared" ref="CQ42" si="702">CO42/CP42</f>
        <v>0</v>
      </c>
      <c r="CR42" s="102"/>
      <c r="CS42" s="1">
        <v>5</v>
      </c>
      <c r="CT42" s="104">
        <f t="shared" ref="CT42" si="703">CR42/CS42</f>
        <v>0</v>
      </c>
      <c r="CU42" s="102"/>
      <c r="CV42" s="1">
        <v>5</v>
      </c>
      <c r="CW42" s="104">
        <f t="shared" ref="CW42" si="704">CU42/CV42</f>
        <v>0</v>
      </c>
      <c r="CX42" s="102"/>
      <c r="CY42" s="1">
        <v>5</v>
      </c>
      <c r="CZ42" s="104">
        <f t="shared" ref="CZ42" si="705">CX42/CY42</f>
        <v>0</v>
      </c>
      <c r="DA42" s="102"/>
      <c r="DB42" s="1">
        <v>5</v>
      </c>
      <c r="DC42" s="104">
        <f t="shared" ref="DC42" si="706">DA42/DB42</f>
        <v>0</v>
      </c>
      <c r="DD42" s="102"/>
      <c r="DE42" s="1">
        <v>5</v>
      </c>
      <c r="DF42" s="104">
        <f t="shared" ref="DF42" si="707">DD42/DE42</f>
        <v>0</v>
      </c>
      <c r="DG42" s="102"/>
      <c r="DH42" s="1">
        <v>5</v>
      </c>
      <c r="DI42" s="104">
        <f t="shared" ref="DI42" si="708">DG42/DH42</f>
        <v>0</v>
      </c>
      <c r="DJ42" s="102"/>
      <c r="DK42" s="1">
        <v>5</v>
      </c>
      <c r="DL42" s="104">
        <f t="shared" ref="DL42" si="709">DJ42/DK42</f>
        <v>0</v>
      </c>
      <c r="DM42" s="102"/>
      <c r="DN42" s="1">
        <v>5</v>
      </c>
      <c r="DO42" s="104">
        <f t="shared" ref="DO42" si="710">DM42/DN42</f>
        <v>0</v>
      </c>
      <c r="DP42" s="102"/>
      <c r="DQ42" s="1">
        <v>5</v>
      </c>
      <c r="DR42" s="104">
        <f t="shared" ref="DR42" si="711">DP42/DQ42</f>
        <v>0</v>
      </c>
      <c r="DS42" s="102"/>
      <c r="DT42" s="1">
        <v>5</v>
      </c>
      <c r="DU42" s="104">
        <f t="shared" ref="DU42" si="712">DS42/DT42</f>
        <v>0</v>
      </c>
      <c r="DV42" s="102"/>
      <c r="DW42" s="1">
        <v>5</v>
      </c>
      <c r="DX42" s="104">
        <f t="shared" ref="DX42" si="713">DV42/DW42</f>
        <v>0</v>
      </c>
      <c r="DY42" s="102"/>
      <c r="DZ42" s="1">
        <v>5</v>
      </c>
      <c r="EA42" s="104">
        <f t="shared" ref="EA42" si="714">DY42/DZ42</f>
        <v>0</v>
      </c>
      <c r="EB42" s="102"/>
      <c r="EC42" s="1">
        <v>5</v>
      </c>
      <c r="ED42" s="104">
        <f t="shared" ref="ED42" si="715">EB42/EC42</f>
        <v>0</v>
      </c>
      <c r="EE42" s="102"/>
      <c r="EF42" s="1">
        <v>5</v>
      </c>
      <c r="EG42" s="104">
        <f t="shared" ref="EG42" si="716">EE42/EF42</f>
        <v>0</v>
      </c>
      <c r="EH42" s="102"/>
      <c r="EI42" s="1">
        <v>5</v>
      </c>
      <c r="EJ42" s="104">
        <f t="shared" ref="EJ42" si="717">EH42/EI42</f>
        <v>0</v>
      </c>
      <c r="EK42" s="102"/>
      <c r="EL42" s="1">
        <v>5</v>
      </c>
      <c r="EM42" s="104">
        <f t="shared" ref="EM42" si="718">EK42/EL42</f>
        <v>0</v>
      </c>
      <c r="EN42" s="102"/>
      <c r="EO42" s="1">
        <v>5</v>
      </c>
      <c r="EP42" s="104">
        <f t="shared" ref="EP42" si="719">EN42/EO42</f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16" customHeight="1" spans="1:148" x14ac:dyDescent="0.25">
      <c r="A43" s="124" t="s">
        <v>111</v>
      </c>
      <c r="B43" s="125"/>
      <c r="C43" s="126"/>
      <c r="D43" s="127"/>
      <c r="E43" s="82">
        <f>AVERAGE(E44:E56)</f>
        <v>0</v>
      </c>
      <c r="F43" s="126" t="s">
        <v>76</v>
      </c>
      <c r="G43" s="127"/>
      <c r="H43" s="82">
        <f>AVERAGE(H44:H56)</f>
        <v>0</v>
      </c>
      <c r="I43" s="126"/>
      <c r="J43" s="127"/>
      <c r="K43" s="82">
        <f>AVERAGE(K44:K56)</f>
        <v>0</v>
      </c>
      <c r="L43" s="126"/>
      <c r="M43" s="127"/>
      <c r="N43" s="82">
        <f>AVERAGE(N44:N56)</f>
        <v>0</v>
      </c>
      <c r="O43" s="126"/>
      <c r="P43" s="127"/>
      <c r="Q43" s="82">
        <f>AVERAGE(Q44:Q56)</f>
        <v>0</v>
      </c>
      <c r="R43" s="126"/>
      <c r="S43" s="127"/>
      <c r="T43" s="82">
        <f>AVERAGE(T44:T56)</f>
        <v>0</v>
      </c>
      <c r="U43" s="126"/>
      <c r="V43" s="127"/>
      <c r="W43" s="82">
        <f>AVERAGE(W44:W56)</f>
        <v>0</v>
      </c>
      <c r="X43" s="126"/>
      <c r="Y43" s="127"/>
      <c r="Z43" s="82">
        <f>AVERAGE(Z44:Z56)</f>
        <v>0</v>
      </c>
      <c r="AA43" s="126"/>
      <c r="AB43" s="127"/>
      <c r="AC43" s="82">
        <f>AVERAGE(AC44:AC56)</f>
        <v>0</v>
      </c>
      <c r="AD43" s="126"/>
      <c r="AE43" s="127"/>
      <c r="AF43" s="82">
        <f>AVERAGE(AF44:AF56)</f>
        <v>0</v>
      </c>
      <c r="AG43" s="126"/>
      <c r="AH43" s="127"/>
      <c r="AI43" s="82">
        <f>AVERAGE(AI44:AI56)</f>
        <v>0</v>
      </c>
      <c r="AJ43" s="126"/>
      <c r="AK43" s="127"/>
      <c r="AL43" s="82">
        <f>AVERAGE(AL44:AL56)</f>
        <v>0</v>
      </c>
      <c r="AM43" s="128"/>
      <c r="AN43" s="127"/>
      <c r="AO43" s="82">
        <f>AVERAGE(AO44:AO56)</f>
        <v>0</v>
      </c>
      <c r="AP43" s="128"/>
      <c r="AQ43" s="129"/>
      <c r="AR43" s="82">
        <f>AVERAGE(AR44:AR56)</f>
        <v>0</v>
      </c>
      <c r="AS43" s="130"/>
      <c r="AT43" s="129"/>
      <c r="AU43" s="82">
        <f>AVERAGE(AU44:AU56)</f>
        <v>0</v>
      </c>
      <c r="AV43" s="128"/>
      <c r="AW43" s="127"/>
      <c r="AX43" s="82">
        <f>AVERAGE(AX44:AX56)</f>
        <v>0</v>
      </c>
      <c r="AY43" s="131"/>
      <c r="AZ43" s="132"/>
      <c r="BA43" s="82">
        <f>AVERAGE(BA44:BA56)</f>
        <v>0</v>
      </c>
      <c r="BB43" s="128"/>
      <c r="BC43" s="132"/>
      <c r="BD43" s="82">
        <f>AVERAGE(BD44:BD56)</f>
        <v>0</v>
      </c>
      <c r="BE43" s="128"/>
      <c r="BF43" s="132"/>
      <c r="BG43" s="82">
        <f>AVERAGE(BG44:BG56)</f>
        <v>0</v>
      </c>
      <c r="BH43" s="128"/>
      <c r="BI43" s="132"/>
      <c r="BJ43" s="82">
        <f>AVERAGE(BJ44:BJ56)</f>
        <v>0</v>
      </c>
      <c r="BK43" s="128"/>
      <c r="BL43" s="132"/>
      <c r="BM43" s="82">
        <f>AVERAGE(BM44:BM56)</f>
        <v>0</v>
      </c>
      <c r="BN43" s="128"/>
      <c r="BO43" s="132"/>
      <c r="BP43" s="82">
        <f>AVERAGE(BP44:BP56)</f>
        <v>0</v>
      </c>
      <c r="BQ43" s="128"/>
      <c r="BR43" s="132"/>
      <c r="BS43" s="82">
        <f>AVERAGE(BS44:BS56)</f>
        <v>0</v>
      </c>
      <c r="BT43" s="128"/>
      <c r="BU43" s="132"/>
      <c r="BV43" s="82">
        <f>AVERAGE(BV44:BV56)</f>
        <v>0</v>
      </c>
      <c r="BW43" s="128"/>
      <c r="BX43" s="132"/>
      <c r="BY43" s="82">
        <f>AVERAGE(BY44:BY56)</f>
        <v>0</v>
      </c>
      <c r="BZ43" s="126" t="s">
        <v>76</v>
      </c>
      <c r="CA43" s="127"/>
      <c r="CB43" s="82">
        <f>AVERAGE(CB44:CB56)</f>
        <v>0</v>
      </c>
      <c r="CC43" s="126"/>
      <c r="CD43" s="127"/>
      <c r="CE43" s="82">
        <f>AVERAGE(CE44:CE56)</f>
        <v>0</v>
      </c>
      <c r="CF43" s="126"/>
      <c r="CG43" s="127"/>
      <c r="CH43" s="82">
        <f>AVERAGE(CH44:CH56)</f>
        <v>0</v>
      </c>
      <c r="CI43" s="126"/>
      <c r="CJ43" s="127"/>
      <c r="CK43" s="82">
        <f>AVERAGE(CK44:CK56)</f>
        <v>0</v>
      </c>
      <c r="CL43" s="126"/>
      <c r="CM43" s="127"/>
      <c r="CN43" s="82">
        <f>AVERAGE(CN44:CN56)</f>
        <v>0</v>
      </c>
      <c r="CO43" s="126"/>
      <c r="CP43" s="127"/>
      <c r="CQ43" s="82">
        <f>AVERAGE(CQ44:CQ56)</f>
        <v>0</v>
      </c>
      <c r="CR43" s="126"/>
      <c r="CS43" s="127"/>
      <c r="CT43" s="82">
        <f>AVERAGE(CT44:CT56)</f>
        <v>0</v>
      </c>
      <c r="CU43" s="126" t="s">
        <v>76</v>
      </c>
      <c r="CV43" s="127"/>
      <c r="CW43" s="82">
        <f>AVERAGE(CW44:CW56)</f>
        <v>0</v>
      </c>
      <c r="CX43" s="126"/>
      <c r="CY43" s="127"/>
      <c r="CZ43" s="82">
        <f>AVERAGE(CZ44:CZ56)</f>
        <v>0</v>
      </c>
      <c r="DA43" s="126"/>
      <c r="DB43" s="127"/>
      <c r="DC43" s="82">
        <f>AVERAGE(DC44:DC56)</f>
        <v>0</v>
      </c>
      <c r="DD43" s="126"/>
      <c r="DE43" s="127"/>
      <c r="DF43" s="82">
        <f>AVERAGE(DF44:DF56)</f>
        <v>0</v>
      </c>
      <c r="DG43" s="126"/>
      <c r="DH43" s="127"/>
      <c r="DI43" s="82">
        <f>AVERAGE(DI44:DI56)</f>
        <v>0</v>
      </c>
      <c r="DJ43" s="126"/>
      <c r="DK43" s="127"/>
      <c r="DL43" s="82">
        <f>AVERAGE(DL44:DL56)</f>
        <v>0</v>
      </c>
      <c r="DM43" s="126"/>
      <c r="DN43" s="127"/>
      <c r="DO43" s="82">
        <f>AVERAGE(DO44:DO56)</f>
        <v>0</v>
      </c>
      <c r="DP43" s="126"/>
      <c r="DQ43" s="127"/>
      <c r="DR43" s="82">
        <f>AVERAGE(DR44:DR56)</f>
        <v>0</v>
      </c>
      <c r="DS43" s="126"/>
      <c r="DT43" s="127"/>
      <c r="DU43" s="82">
        <f>AVERAGE(DU44:DU56)</f>
        <v>0</v>
      </c>
      <c r="DV43" s="126"/>
      <c r="DW43" s="127"/>
      <c r="DX43" s="82">
        <f>AVERAGE(DX44:DX56)</f>
        <v>0</v>
      </c>
      <c r="DY43" s="126"/>
      <c r="DZ43" s="127"/>
      <c r="EA43" s="82">
        <f>AVERAGE(EA44:EA56)</f>
        <v>0</v>
      </c>
      <c r="EB43" s="126"/>
      <c r="EC43" s="127"/>
      <c r="ED43" s="82">
        <f>AVERAGE(ED44:ED56)</f>
        <v>0</v>
      </c>
      <c r="EE43" s="126"/>
      <c r="EF43" s="127"/>
      <c r="EG43" s="82">
        <f>AVERAGE(EG44:EG56)</f>
        <v>0</v>
      </c>
      <c r="EH43" s="126"/>
      <c r="EI43" s="127"/>
      <c r="EJ43" s="82">
        <f>AVERAGE(EJ44:EJ56)</f>
        <v>0</v>
      </c>
      <c r="EK43" s="126"/>
      <c r="EL43" s="127"/>
      <c r="EM43" s="82">
        <f>AVERAGE(EM44:EM56)</f>
        <v>0</v>
      </c>
      <c r="EN43" s="126"/>
      <c r="EO43" s="127"/>
      <c r="EP43" s="82">
        <f>AVERAGE(EP44:EP56)</f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20.5" customHeight="1" spans="1:148" x14ac:dyDescent="0.25">
      <c r="A44" s="173" t="s">
        <v>112</v>
      </c>
      <c r="B44" s="101"/>
      <c r="C44" s="90"/>
      <c r="D44" s="91">
        <v>5</v>
      </c>
      <c r="E44" s="92">
        <f>C44/D44</f>
        <v>0</v>
      </c>
      <c r="F44" s="90"/>
      <c r="G44" s="91">
        <v>5</v>
      </c>
      <c r="H44" s="92">
        <f>F44/G44</f>
        <v>0</v>
      </c>
      <c r="I44" s="93"/>
      <c r="J44" s="91">
        <v>5</v>
      </c>
      <c r="K44" s="92">
        <f>I44/J44</f>
        <v>0</v>
      </c>
      <c r="L44" s="93"/>
      <c r="M44" s="91">
        <v>5</v>
      </c>
      <c r="N44" s="92">
        <f>L44/M44</f>
        <v>0</v>
      </c>
      <c r="O44" s="94"/>
      <c r="P44" s="95">
        <v>5</v>
      </c>
      <c r="Q44" s="92">
        <f>O44/P44</f>
        <v>0</v>
      </c>
      <c r="R44" s="90"/>
      <c r="S44" s="95">
        <v>5</v>
      </c>
      <c r="T44" s="92">
        <f>R44/S44</f>
        <v>0</v>
      </c>
      <c r="U44" s="90"/>
      <c r="V44" s="95">
        <v>5</v>
      </c>
      <c r="W44" s="92">
        <f>U44/V44</f>
        <v>0</v>
      </c>
      <c r="X44" s="90"/>
      <c r="Y44" s="95">
        <v>5</v>
      </c>
      <c r="Z44" s="92">
        <f>X44/Y44</f>
        <v>0</v>
      </c>
      <c r="AA44" s="94"/>
      <c r="AB44" s="95">
        <v>5</v>
      </c>
      <c r="AC44" s="92">
        <f>AA44/AB44</f>
        <v>0</v>
      </c>
      <c r="AD44" s="94"/>
      <c r="AE44" s="95">
        <v>5</v>
      </c>
      <c r="AF44" s="92">
        <f>AD44/AE44</f>
        <v>0</v>
      </c>
      <c r="AG44" s="94"/>
      <c r="AH44" s="95">
        <v>5</v>
      </c>
      <c r="AI44" s="92">
        <f>AG44/AH44</f>
        <v>0</v>
      </c>
      <c r="AJ44" s="94"/>
      <c r="AK44" s="95">
        <v>5</v>
      </c>
      <c r="AL44" s="92">
        <f>AJ44/AK44</f>
        <v>0</v>
      </c>
      <c r="AM44" s="90"/>
      <c r="AN44" s="96">
        <v>5</v>
      </c>
      <c r="AO44" s="92">
        <f>AM44/AN44</f>
        <v>0</v>
      </c>
      <c r="AP44" s="90"/>
      <c r="AQ44" s="96">
        <v>5</v>
      </c>
      <c r="AR44" s="92">
        <f>AP44/AQ44</f>
        <v>0</v>
      </c>
      <c r="AS44" s="90"/>
      <c r="AT44" s="96">
        <v>5</v>
      </c>
      <c r="AU44" s="92">
        <f>AS44/AT44</f>
        <v>0</v>
      </c>
      <c r="AV44" s="90"/>
      <c r="AW44" s="96">
        <v>5</v>
      </c>
      <c r="AX44" s="92">
        <f>AV44/AW44</f>
        <v>0</v>
      </c>
      <c r="AY44" s="90"/>
      <c r="AZ44" s="96">
        <v>5</v>
      </c>
      <c r="BA44" s="92">
        <f>AY44/AZ44</f>
        <v>0</v>
      </c>
      <c r="BB44" s="90"/>
      <c r="BC44" s="96">
        <v>5</v>
      </c>
      <c r="BD44" s="92">
        <f>BB44/BC44</f>
        <v>0</v>
      </c>
      <c r="BE44" s="90"/>
      <c r="BF44" s="96">
        <v>5</v>
      </c>
      <c r="BG44" s="92">
        <f>BE44/BF44</f>
        <v>0</v>
      </c>
      <c r="BH44" s="90"/>
      <c r="BI44" s="96">
        <v>5</v>
      </c>
      <c r="BJ44" s="92">
        <f>BH44/BI44</f>
        <v>0</v>
      </c>
      <c r="BK44" s="90"/>
      <c r="BL44" s="96">
        <v>5</v>
      </c>
      <c r="BM44" s="92">
        <f>BK44/BL44</f>
        <v>0</v>
      </c>
      <c r="BN44" s="90"/>
      <c r="BO44" s="96">
        <v>5</v>
      </c>
      <c r="BP44" s="92">
        <f>BN44/BO44</f>
        <v>0</v>
      </c>
      <c r="BQ44" s="90"/>
      <c r="BR44" s="96">
        <v>5</v>
      </c>
      <c r="BS44" s="92">
        <f>BQ44/BR44</f>
        <v>0</v>
      </c>
      <c r="BT44" s="90"/>
      <c r="BU44" s="96">
        <v>5</v>
      </c>
      <c r="BV44" s="92">
        <f>BT44/BU44</f>
        <v>0</v>
      </c>
      <c r="BW44" s="90"/>
      <c r="BX44" s="96">
        <v>5</v>
      </c>
      <c r="BY44" s="92">
        <f>BW44/BX44</f>
        <v>0</v>
      </c>
      <c r="BZ44" s="90"/>
      <c r="CA44" s="96">
        <v>5</v>
      </c>
      <c r="CB44" s="92">
        <f>BZ44/CA44</f>
        <v>0</v>
      </c>
      <c r="CC44" s="90"/>
      <c r="CD44" s="96">
        <v>5</v>
      </c>
      <c r="CE44" s="92">
        <f>CC44/CD44</f>
        <v>0</v>
      </c>
      <c r="CF44" s="90"/>
      <c r="CG44" s="96">
        <v>5</v>
      </c>
      <c r="CH44" s="92">
        <f>CF44/CG44</f>
        <v>0</v>
      </c>
      <c r="CI44" s="90"/>
      <c r="CJ44" s="96">
        <v>5</v>
      </c>
      <c r="CK44" s="92">
        <f>CI44/CJ44</f>
        <v>0</v>
      </c>
      <c r="CL44" s="90"/>
      <c r="CM44" s="96">
        <v>5</v>
      </c>
      <c r="CN44" s="92">
        <f>CL44/CM44</f>
        <v>0</v>
      </c>
      <c r="CO44" s="90"/>
      <c r="CP44" s="96">
        <v>5</v>
      </c>
      <c r="CQ44" s="92">
        <f>CO44/CP44</f>
        <v>0</v>
      </c>
      <c r="CR44" s="90"/>
      <c r="CS44" s="96">
        <v>5</v>
      </c>
      <c r="CT44" s="92">
        <f>CR44/CS44</f>
        <v>0</v>
      </c>
      <c r="CU44" s="90"/>
      <c r="CV44" s="96">
        <v>5</v>
      </c>
      <c r="CW44" s="92">
        <f>CU44/CV44</f>
        <v>0</v>
      </c>
      <c r="CX44" s="90"/>
      <c r="CY44" s="96">
        <v>5</v>
      </c>
      <c r="CZ44" s="92">
        <f>CX44/CY44</f>
        <v>0</v>
      </c>
      <c r="DA44" s="90"/>
      <c r="DB44" s="96">
        <v>5</v>
      </c>
      <c r="DC44" s="92">
        <f>DA44/DB44</f>
        <v>0</v>
      </c>
      <c r="DD44" s="90"/>
      <c r="DE44" s="96">
        <v>5</v>
      </c>
      <c r="DF44" s="92">
        <f>DD44/DE44</f>
        <v>0</v>
      </c>
      <c r="DG44" s="90"/>
      <c r="DH44" s="96">
        <v>5</v>
      </c>
      <c r="DI44" s="92">
        <f>DG44/DH44</f>
        <v>0</v>
      </c>
      <c r="DJ44" s="90"/>
      <c r="DK44" s="96">
        <v>5</v>
      </c>
      <c r="DL44" s="92">
        <f>DJ44/DK44</f>
        <v>0</v>
      </c>
      <c r="DM44" s="90"/>
      <c r="DN44" s="96">
        <v>5</v>
      </c>
      <c r="DO44" s="92">
        <f>DM44/DN44</f>
        <v>0</v>
      </c>
      <c r="DP44" s="90"/>
      <c r="DQ44" s="96">
        <v>5</v>
      </c>
      <c r="DR44" s="92">
        <f>DP44/DQ44</f>
        <v>0</v>
      </c>
      <c r="DS44" s="90"/>
      <c r="DT44" s="96">
        <v>5</v>
      </c>
      <c r="DU44" s="92">
        <f>DS44/DT44</f>
        <v>0</v>
      </c>
      <c r="DV44" s="90"/>
      <c r="DW44" s="96">
        <v>5</v>
      </c>
      <c r="DX44" s="92">
        <f>DV44/DW44</f>
        <v>0</v>
      </c>
      <c r="DY44" s="90"/>
      <c r="DZ44" s="96">
        <v>5</v>
      </c>
      <c r="EA44" s="92">
        <f>DY44/DZ44</f>
        <v>0</v>
      </c>
      <c r="EB44" s="90"/>
      <c r="EC44" s="96">
        <v>5</v>
      </c>
      <c r="ED44" s="92">
        <f>EB44/EC44</f>
        <v>0</v>
      </c>
      <c r="EE44" s="90"/>
      <c r="EF44" s="96">
        <v>5</v>
      </c>
      <c r="EG44" s="92">
        <f>EE44/EF44</f>
        <v>0</v>
      </c>
      <c r="EH44" s="90"/>
      <c r="EI44" s="96">
        <v>5</v>
      </c>
      <c r="EJ44" s="92">
        <f>EH44/EI44</f>
        <v>0</v>
      </c>
      <c r="EK44" s="90"/>
      <c r="EL44" s="96">
        <v>5</v>
      </c>
      <c r="EM44" s="92">
        <f>EK44/EL44</f>
        <v>0</v>
      </c>
      <c r="EN44" s="90"/>
      <c r="EO44" s="96">
        <v>5</v>
      </c>
      <c r="EP44" s="92">
        <f>EN44/EO44</f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20.5" customHeight="1" spans="1:148" x14ac:dyDescent="0.25">
      <c r="A45" s="174" t="s">
        <v>133</v>
      </c>
      <c r="B45" s="101"/>
      <c r="C45" s="102"/>
      <c r="D45" s="103">
        <v>5</v>
      </c>
      <c r="E45" s="104">
        <f t="shared" ref="E45" si="720">C45/D45</f>
        <v>0</v>
      </c>
      <c r="F45" s="102"/>
      <c r="G45" s="103">
        <v>5</v>
      </c>
      <c r="H45" s="104">
        <f t="shared" ref="H45" si="721">F45/G45</f>
        <v>0</v>
      </c>
      <c r="I45" s="105"/>
      <c r="J45" s="103">
        <v>5</v>
      </c>
      <c r="K45" s="104">
        <f t="shared" ref="K45" si="722">I45/J45</f>
        <v>0</v>
      </c>
      <c r="L45" s="105"/>
      <c r="M45" s="103">
        <v>5</v>
      </c>
      <c r="N45" s="104">
        <f t="shared" ref="N45" si="723">L45/M45</f>
        <v>0</v>
      </c>
      <c r="O45" s="106"/>
      <c r="P45" s="107">
        <v>5</v>
      </c>
      <c r="Q45" s="104">
        <f t="shared" ref="Q45" si="724">O45/P45</f>
        <v>0</v>
      </c>
      <c r="R45" s="102"/>
      <c r="S45" s="107">
        <v>5</v>
      </c>
      <c r="T45" s="104">
        <f t="shared" ref="T45" si="725">R45/S45</f>
        <v>0</v>
      </c>
      <c r="U45" s="102"/>
      <c r="V45" s="107">
        <v>5</v>
      </c>
      <c r="W45" s="104">
        <f t="shared" ref="W45" si="726">U45/V45</f>
        <v>0</v>
      </c>
      <c r="X45" s="102"/>
      <c r="Y45" s="107">
        <v>5</v>
      </c>
      <c r="Z45" s="104">
        <f t="shared" ref="Z45" si="727">X45/Y45</f>
        <v>0</v>
      </c>
      <c r="AA45" s="106"/>
      <c r="AB45" s="107">
        <v>5</v>
      </c>
      <c r="AC45" s="104">
        <f t="shared" ref="AC45" si="728">AA45/AB45</f>
        <v>0</v>
      </c>
      <c r="AD45" s="106"/>
      <c r="AE45" s="107">
        <v>5</v>
      </c>
      <c r="AF45" s="104">
        <f t="shared" ref="AF45" si="729">AD45/AE45</f>
        <v>0</v>
      </c>
      <c r="AG45" s="106"/>
      <c r="AH45" s="107">
        <v>5</v>
      </c>
      <c r="AI45" s="104">
        <f t="shared" ref="AI45" si="730">AG45/AH45</f>
        <v>0</v>
      </c>
      <c r="AJ45" s="106"/>
      <c r="AK45" s="107">
        <v>5</v>
      </c>
      <c r="AL45" s="104">
        <f t="shared" ref="AL45" si="731">AJ45/AK45</f>
        <v>0</v>
      </c>
      <c r="AM45" s="102"/>
      <c r="AN45" s="1">
        <v>5</v>
      </c>
      <c r="AO45" s="104">
        <f t="shared" ref="AO45" si="732">AM45/AN45</f>
        <v>0</v>
      </c>
      <c r="AP45" s="102"/>
      <c r="AQ45" s="1">
        <v>5</v>
      </c>
      <c r="AR45" s="104">
        <f t="shared" ref="AR45" si="733">AP45/AQ45</f>
        <v>0</v>
      </c>
      <c r="AS45" s="102"/>
      <c r="AT45" s="1">
        <v>5</v>
      </c>
      <c r="AU45" s="104">
        <f t="shared" ref="AU45" si="734">AS45/AT45</f>
        <v>0</v>
      </c>
      <c r="AV45" s="102"/>
      <c r="AW45" s="1">
        <v>5</v>
      </c>
      <c r="AX45" s="104">
        <f t="shared" ref="AX45" si="735">AV45/AW45</f>
        <v>0</v>
      </c>
      <c r="AY45" s="102"/>
      <c r="AZ45" s="1">
        <v>5</v>
      </c>
      <c r="BA45" s="104">
        <f t="shared" ref="BA45" si="736">AY45/AZ45</f>
        <v>0</v>
      </c>
      <c r="BB45" s="102"/>
      <c r="BC45" s="1">
        <v>5</v>
      </c>
      <c r="BD45" s="104">
        <f t="shared" ref="BD45" si="737">BB45/BC45</f>
        <v>0</v>
      </c>
      <c r="BE45" s="102"/>
      <c r="BF45" s="1">
        <v>5</v>
      </c>
      <c r="BG45" s="104">
        <f t="shared" ref="BG45" si="738">BE45/BF45</f>
        <v>0</v>
      </c>
      <c r="BH45" s="102"/>
      <c r="BI45" s="1">
        <v>5</v>
      </c>
      <c r="BJ45" s="104">
        <f t="shared" ref="BJ45" si="739">BH45/BI45</f>
        <v>0</v>
      </c>
      <c r="BK45" s="102"/>
      <c r="BL45" s="1">
        <v>5</v>
      </c>
      <c r="BM45" s="104">
        <f t="shared" ref="BM45" si="740">BK45/BL45</f>
        <v>0</v>
      </c>
      <c r="BN45" s="102"/>
      <c r="BO45" s="1">
        <v>5</v>
      </c>
      <c r="BP45" s="104">
        <f t="shared" ref="BP45" si="741">BN45/BO45</f>
        <v>0</v>
      </c>
      <c r="BQ45" s="102"/>
      <c r="BR45" s="1">
        <v>5</v>
      </c>
      <c r="BS45" s="104">
        <f t="shared" ref="BS45" si="742">BQ45/BR45</f>
        <v>0</v>
      </c>
      <c r="BT45" s="102"/>
      <c r="BU45" s="1">
        <v>5</v>
      </c>
      <c r="BV45" s="104">
        <f t="shared" ref="BV45" si="743">BT45/BU45</f>
        <v>0</v>
      </c>
      <c r="BW45" s="102"/>
      <c r="BX45" s="1">
        <v>5</v>
      </c>
      <c r="BY45" s="104">
        <f t="shared" ref="BY45" si="744">BW45/BX45</f>
        <v>0</v>
      </c>
      <c r="BZ45" s="102"/>
      <c r="CA45" s="1">
        <v>5</v>
      </c>
      <c r="CB45" s="104">
        <f t="shared" ref="CB45" si="745">BZ45/CA45</f>
        <v>0</v>
      </c>
      <c r="CC45" s="102"/>
      <c r="CD45" s="1">
        <v>5</v>
      </c>
      <c r="CE45" s="104">
        <f t="shared" ref="CE45" si="746">CC45/CD45</f>
        <v>0</v>
      </c>
      <c r="CF45" s="102"/>
      <c r="CG45" s="1">
        <v>5</v>
      </c>
      <c r="CH45" s="104">
        <f t="shared" ref="CH45" si="747">CF45/CG45</f>
        <v>0</v>
      </c>
      <c r="CI45" s="102"/>
      <c r="CJ45" s="1">
        <v>5</v>
      </c>
      <c r="CK45" s="104">
        <f t="shared" ref="CK45" si="748">CI45/CJ45</f>
        <v>0</v>
      </c>
      <c r="CL45" s="102"/>
      <c r="CM45" s="1">
        <v>5</v>
      </c>
      <c r="CN45" s="104">
        <f t="shared" ref="CN45" si="749">CL45/CM45</f>
        <v>0</v>
      </c>
      <c r="CO45" s="102"/>
      <c r="CP45" s="1">
        <v>5</v>
      </c>
      <c r="CQ45" s="104">
        <f t="shared" ref="CQ45" si="750">CO45/CP45</f>
        <v>0</v>
      </c>
      <c r="CR45" s="102"/>
      <c r="CS45" s="1">
        <v>5</v>
      </c>
      <c r="CT45" s="104">
        <f t="shared" ref="CT45" si="751">CR45/CS45</f>
        <v>0</v>
      </c>
      <c r="CU45" s="102"/>
      <c r="CV45" s="1">
        <v>5</v>
      </c>
      <c r="CW45" s="104">
        <f t="shared" ref="CW45" si="752">CU45/CV45</f>
        <v>0</v>
      </c>
      <c r="CX45" s="102"/>
      <c r="CY45" s="1">
        <v>5</v>
      </c>
      <c r="CZ45" s="104">
        <f t="shared" ref="CZ45" si="753">CX45/CY45</f>
        <v>0</v>
      </c>
      <c r="DA45" s="102"/>
      <c r="DB45" s="1">
        <v>5</v>
      </c>
      <c r="DC45" s="104">
        <f t="shared" ref="DC45" si="754">DA45/DB45</f>
        <v>0</v>
      </c>
      <c r="DD45" s="102"/>
      <c r="DE45" s="1">
        <v>5</v>
      </c>
      <c r="DF45" s="104">
        <f t="shared" ref="DF45" si="755">DD45/DE45</f>
        <v>0</v>
      </c>
      <c r="DG45" s="102"/>
      <c r="DH45" s="1">
        <v>5</v>
      </c>
      <c r="DI45" s="104">
        <f t="shared" ref="DI45" si="756">DG45/DH45</f>
        <v>0</v>
      </c>
      <c r="DJ45" s="102"/>
      <c r="DK45" s="1">
        <v>5</v>
      </c>
      <c r="DL45" s="104">
        <f t="shared" ref="DL45" si="757">DJ45/DK45</f>
        <v>0</v>
      </c>
      <c r="DM45" s="102"/>
      <c r="DN45" s="1">
        <v>5</v>
      </c>
      <c r="DO45" s="104">
        <f t="shared" ref="DO45" si="758">DM45/DN45</f>
        <v>0</v>
      </c>
      <c r="DP45" s="102"/>
      <c r="DQ45" s="1">
        <v>5</v>
      </c>
      <c r="DR45" s="104">
        <f t="shared" ref="DR45" si="759">DP45/DQ45</f>
        <v>0</v>
      </c>
      <c r="DS45" s="102"/>
      <c r="DT45" s="1">
        <v>5</v>
      </c>
      <c r="DU45" s="104">
        <f t="shared" ref="DU45" si="760">DS45/DT45</f>
        <v>0</v>
      </c>
      <c r="DV45" s="102"/>
      <c r="DW45" s="1">
        <v>5</v>
      </c>
      <c r="DX45" s="104">
        <f t="shared" ref="DX45" si="761">DV45/DW45</f>
        <v>0</v>
      </c>
      <c r="DY45" s="102"/>
      <c r="DZ45" s="1">
        <v>5</v>
      </c>
      <c r="EA45" s="104">
        <f t="shared" ref="EA45" si="762">DY45/DZ45</f>
        <v>0</v>
      </c>
      <c r="EB45" s="102"/>
      <c r="EC45" s="1">
        <v>5</v>
      </c>
      <c r="ED45" s="104">
        <f t="shared" ref="ED45" si="763">EB45/EC45</f>
        <v>0</v>
      </c>
      <c r="EE45" s="102"/>
      <c r="EF45" s="1">
        <v>5</v>
      </c>
      <c r="EG45" s="104">
        <f t="shared" ref="EG45" si="764">EE45/EF45</f>
        <v>0</v>
      </c>
      <c r="EH45" s="102"/>
      <c r="EI45" s="1">
        <v>5</v>
      </c>
      <c r="EJ45" s="104">
        <f t="shared" ref="EJ45" si="765">EH45/EI45</f>
        <v>0</v>
      </c>
      <c r="EK45" s="102"/>
      <c r="EL45" s="1">
        <v>5</v>
      </c>
      <c r="EM45" s="104">
        <f t="shared" ref="EM45" si="766">EK45/EL45</f>
        <v>0</v>
      </c>
      <c r="EN45" s="102"/>
      <c r="EO45" s="1">
        <v>5</v>
      </c>
      <c r="EP45" s="104">
        <f t="shared" ref="EP45" si="767">EN45/EO45</f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23.25" customHeight="1" spans="1:148" x14ac:dyDescent="0.25">
      <c r="A46" s="171" t="s">
        <v>113</v>
      </c>
      <c r="B46" s="101"/>
      <c r="C46" s="90"/>
      <c r="D46" s="91">
        <v>5</v>
      </c>
      <c r="E46" s="92">
        <f>C46/D46</f>
        <v>0</v>
      </c>
      <c r="F46" s="90"/>
      <c r="G46" s="91">
        <v>5</v>
      </c>
      <c r="H46" s="92">
        <f>F46/G46</f>
        <v>0</v>
      </c>
      <c r="I46" s="93"/>
      <c r="J46" s="91">
        <v>5</v>
      </c>
      <c r="K46" s="92">
        <f>I46/J46</f>
        <v>0</v>
      </c>
      <c r="L46" s="93"/>
      <c r="M46" s="91">
        <v>5</v>
      </c>
      <c r="N46" s="92">
        <f>L46/M46</f>
        <v>0</v>
      </c>
      <c r="O46" s="94"/>
      <c r="P46" s="95">
        <v>5</v>
      </c>
      <c r="Q46" s="92">
        <f>O46/P46</f>
        <v>0</v>
      </c>
      <c r="R46" s="90"/>
      <c r="S46" s="95">
        <v>5</v>
      </c>
      <c r="T46" s="92">
        <f>R46/S46</f>
        <v>0</v>
      </c>
      <c r="U46" s="90"/>
      <c r="V46" s="95">
        <v>5</v>
      </c>
      <c r="W46" s="92">
        <f>U46/V46</f>
        <v>0</v>
      </c>
      <c r="X46" s="90"/>
      <c r="Y46" s="95">
        <v>5</v>
      </c>
      <c r="Z46" s="92">
        <f>X46/Y46</f>
        <v>0</v>
      </c>
      <c r="AA46" s="94"/>
      <c r="AB46" s="95">
        <v>5</v>
      </c>
      <c r="AC46" s="92">
        <f>AA46/AB46</f>
        <v>0</v>
      </c>
      <c r="AD46" s="94"/>
      <c r="AE46" s="95">
        <v>5</v>
      </c>
      <c r="AF46" s="92">
        <f>AD46/AE46</f>
        <v>0</v>
      </c>
      <c r="AG46" s="94"/>
      <c r="AH46" s="95">
        <v>5</v>
      </c>
      <c r="AI46" s="92">
        <f>AG46/AH46</f>
        <v>0</v>
      </c>
      <c r="AJ46" s="94"/>
      <c r="AK46" s="95">
        <v>5</v>
      </c>
      <c r="AL46" s="92">
        <f>AJ46/AK46</f>
        <v>0</v>
      </c>
      <c r="AM46" s="90"/>
      <c r="AN46" s="96">
        <v>5</v>
      </c>
      <c r="AO46" s="92">
        <f>AM46/AN46</f>
        <v>0</v>
      </c>
      <c r="AP46" s="90"/>
      <c r="AQ46" s="96">
        <v>5</v>
      </c>
      <c r="AR46" s="92">
        <f>AP46/AQ46</f>
        <v>0</v>
      </c>
      <c r="AS46" s="90"/>
      <c r="AT46" s="96">
        <v>5</v>
      </c>
      <c r="AU46" s="92">
        <f>AS46/AT46</f>
        <v>0</v>
      </c>
      <c r="AV46" s="90"/>
      <c r="AW46" s="96">
        <v>5</v>
      </c>
      <c r="AX46" s="92">
        <f>AV46/AW46</f>
        <v>0</v>
      </c>
      <c r="AY46" s="90"/>
      <c r="AZ46" s="96">
        <v>5</v>
      </c>
      <c r="BA46" s="92">
        <f>AY46/AZ46</f>
        <v>0</v>
      </c>
      <c r="BB46" s="90"/>
      <c r="BC46" s="96">
        <v>5</v>
      </c>
      <c r="BD46" s="92">
        <f>BB46/BC46</f>
        <v>0</v>
      </c>
      <c r="BE46" s="90"/>
      <c r="BF46" s="96">
        <v>5</v>
      </c>
      <c r="BG46" s="92">
        <f>BE46/BF46</f>
        <v>0</v>
      </c>
      <c r="BH46" s="90"/>
      <c r="BI46" s="96">
        <v>5</v>
      </c>
      <c r="BJ46" s="92">
        <f>BH46/BI46</f>
        <v>0</v>
      </c>
      <c r="BK46" s="90"/>
      <c r="BL46" s="96">
        <v>5</v>
      </c>
      <c r="BM46" s="92">
        <f>BK46/BL46</f>
        <v>0</v>
      </c>
      <c r="BN46" s="90"/>
      <c r="BO46" s="96">
        <v>5</v>
      </c>
      <c r="BP46" s="92">
        <f>BN46/BO46</f>
        <v>0</v>
      </c>
      <c r="BQ46" s="90"/>
      <c r="BR46" s="96">
        <v>5</v>
      </c>
      <c r="BS46" s="92">
        <f>BQ46/BR46</f>
        <v>0</v>
      </c>
      <c r="BT46" s="90"/>
      <c r="BU46" s="96">
        <v>5</v>
      </c>
      <c r="BV46" s="92">
        <f>BT46/BU46</f>
        <v>0</v>
      </c>
      <c r="BW46" s="90"/>
      <c r="BX46" s="96">
        <v>5</v>
      </c>
      <c r="BY46" s="92">
        <f>BW46/BX46</f>
        <v>0</v>
      </c>
      <c r="BZ46" s="90"/>
      <c r="CA46" s="96">
        <v>5</v>
      </c>
      <c r="CB46" s="92">
        <f>BZ46/CA46</f>
        <v>0</v>
      </c>
      <c r="CC46" s="90"/>
      <c r="CD46" s="96">
        <v>5</v>
      </c>
      <c r="CE46" s="92">
        <f>CC46/CD46</f>
        <v>0</v>
      </c>
      <c r="CF46" s="90"/>
      <c r="CG46" s="96">
        <v>5</v>
      </c>
      <c r="CH46" s="92">
        <f>CF46/CG46</f>
        <v>0</v>
      </c>
      <c r="CI46" s="90"/>
      <c r="CJ46" s="96">
        <v>5</v>
      </c>
      <c r="CK46" s="92">
        <f>CI46/CJ46</f>
        <v>0</v>
      </c>
      <c r="CL46" s="90"/>
      <c r="CM46" s="96">
        <v>5</v>
      </c>
      <c r="CN46" s="92">
        <f>CL46/CM46</f>
        <v>0</v>
      </c>
      <c r="CO46" s="90"/>
      <c r="CP46" s="96">
        <v>5</v>
      </c>
      <c r="CQ46" s="92">
        <f>CO46/CP46</f>
        <v>0</v>
      </c>
      <c r="CR46" s="90"/>
      <c r="CS46" s="96">
        <v>5</v>
      </c>
      <c r="CT46" s="92">
        <f>CR46/CS46</f>
        <v>0</v>
      </c>
      <c r="CU46" s="90"/>
      <c r="CV46" s="96">
        <v>5</v>
      </c>
      <c r="CW46" s="92">
        <f>CU46/CV46</f>
        <v>0</v>
      </c>
      <c r="CX46" s="90"/>
      <c r="CY46" s="96">
        <v>5</v>
      </c>
      <c r="CZ46" s="92">
        <f>CX46/CY46</f>
        <v>0</v>
      </c>
      <c r="DA46" s="90"/>
      <c r="DB46" s="96">
        <v>5</v>
      </c>
      <c r="DC46" s="92">
        <f>DA46/DB46</f>
        <v>0</v>
      </c>
      <c r="DD46" s="90"/>
      <c r="DE46" s="96">
        <v>5</v>
      </c>
      <c r="DF46" s="92">
        <f>DD46/DE46</f>
        <v>0</v>
      </c>
      <c r="DG46" s="90"/>
      <c r="DH46" s="96">
        <v>5</v>
      </c>
      <c r="DI46" s="92">
        <f>DG46/DH46</f>
        <v>0</v>
      </c>
      <c r="DJ46" s="90"/>
      <c r="DK46" s="96">
        <v>5</v>
      </c>
      <c r="DL46" s="92">
        <f>DJ46/DK46</f>
        <v>0</v>
      </c>
      <c r="DM46" s="90"/>
      <c r="DN46" s="96">
        <v>5</v>
      </c>
      <c r="DO46" s="92">
        <f>DM46/DN46</f>
        <v>0</v>
      </c>
      <c r="DP46" s="90"/>
      <c r="DQ46" s="96">
        <v>5</v>
      </c>
      <c r="DR46" s="92">
        <f>DP46/DQ46</f>
        <v>0</v>
      </c>
      <c r="DS46" s="90"/>
      <c r="DT46" s="96">
        <v>5</v>
      </c>
      <c r="DU46" s="92">
        <f>DS46/DT46</f>
        <v>0</v>
      </c>
      <c r="DV46" s="90"/>
      <c r="DW46" s="96">
        <v>5</v>
      </c>
      <c r="DX46" s="92">
        <f>DV46/DW46</f>
        <v>0</v>
      </c>
      <c r="DY46" s="90"/>
      <c r="DZ46" s="96">
        <v>5</v>
      </c>
      <c r="EA46" s="92">
        <f>DY46/DZ46</f>
        <v>0</v>
      </c>
      <c r="EB46" s="90"/>
      <c r="EC46" s="96">
        <v>5</v>
      </c>
      <c r="ED46" s="92">
        <f>EB46/EC46</f>
        <v>0</v>
      </c>
      <c r="EE46" s="90"/>
      <c r="EF46" s="96">
        <v>5</v>
      </c>
      <c r="EG46" s="92">
        <f>EE46/EF46</f>
        <v>0</v>
      </c>
      <c r="EH46" s="90"/>
      <c r="EI46" s="96">
        <v>5</v>
      </c>
      <c r="EJ46" s="92">
        <f>EH46/EI46</f>
        <v>0</v>
      </c>
      <c r="EK46" s="90"/>
      <c r="EL46" s="96">
        <v>5</v>
      </c>
      <c r="EM46" s="92">
        <f>EK46/EL46</f>
        <v>0</v>
      </c>
      <c r="EN46" s="90"/>
      <c r="EO46" s="96">
        <v>5</v>
      </c>
      <c r="EP46" s="92">
        <f>EN46/EO46</f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30.5" customHeight="1" spans="1:148" x14ac:dyDescent="0.25">
      <c r="A47" s="174" t="s">
        <v>149</v>
      </c>
      <c r="B47" s="101"/>
      <c r="C47" s="102"/>
      <c r="D47" s="103">
        <v>5</v>
      </c>
      <c r="E47" s="104">
        <f t="shared" ref="E47" si="768">C47/D47</f>
        <v>0</v>
      </c>
      <c r="F47" s="102"/>
      <c r="G47" s="103">
        <v>5</v>
      </c>
      <c r="H47" s="104">
        <f t="shared" ref="H47" si="769">F47/G47</f>
        <v>0</v>
      </c>
      <c r="I47" s="105"/>
      <c r="J47" s="103">
        <v>5</v>
      </c>
      <c r="K47" s="104">
        <f t="shared" ref="K47" si="770">I47/J47</f>
        <v>0</v>
      </c>
      <c r="L47" s="105"/>
      <c r="M47" s="103">
        <v>5</v>
      </c>
      <c r="N47" s="104">
        <f t="shared" ref="N47" si="771">L47/M47</f>
        <v>0</v>
      </c>
      <c r="O47" s="106"/>
      <c r="P47" s="107">
        <v>5</v>
      </c>
      <c r="Q47" s="104">
        <f t="shared" ref="Q47" si="772">O47/P47</f>
        <v>0</v>
      </c>
      <c r="R47" s="102"/>
      <c r="S47" s="107">
        <v>5</v>
      </c>
      <c r="T47" s="104">
        <f t="shared" ref="T47" si="773">R47/S47</f>
        <v>0</v>
      </c>
      <c r="U47" s="102"/>
      <c r="V47" s="107">
        <v>5</v>
      </c>
      <c r="W47" s="104">
        <f t="shared" ref="W47" si="774">U47/V47</f>
        <v>0</v>
      </c>
      <c r="X47" s="102"/>
      <c r="Y47" s="107">
        <v>5</v>
      </c>
      <c r="Z47" s="104">
        <f t="shared" ref="Z47" si="775">X47/Y47</f>
        <v>0</v>
      </c>
      <c r="AA47" s="106"/>
      <c r="AB47" s="107">
        <v>5</v>
      </c>
      <c r="AC47" s="104">
        <f t="shared" ref="AC47" si="776">AA47/AB47</f>
        <v>0</v>
      </c>
      <c r="AD47" s="106"/>
      <c r="AE47" s="107">
        <v>5</v>
      </c>
      <c r="AF47" s="104">
        <f t="shared" ref="AF47" si="777">AD47/AE47</f>
        <v>0</v>
      </c>
      <c r="AG47" s="106"/>
      <c r="AH47" s="107">
        <v>5</v>
      </c>
      <c r="AI47" s="104">
        <f t="shared" ref="AI47" si="778">AG47/AH47</f>
        <v>0</v>
      </c>
      <c r="AJ47" s="106"/>
      <c r="AK47" s="107">
        <v>5</v>
      </c>
      <c r="AL47" s="104">
        <f t="shared" ref="AL47" si="779">AJ47/AK47</f>
        <v>0</v>
      </c>
      <c r="AM47" s="102"/>
      <c r="AN47" s="1">
        <v>5</v>
      </c>
      <c r="AO47" s="104">
        <f t="shared" ref="AO47" si="780">AM47/AN47</f>
        <v>0</v>
      </c>
      <c r="AP47" s="102"/>
      <c r="AQ47" s="1">
        <v>5</v>
      </c>
      <c r="AR47" s="104">
        <f t="shared" ref="AR47" si="781">AP47/AQ47</f>
        <v>0</v>
      </c>
      <c r="AS47" s="102"/>
      <c r="AT47" s="1">
        <v>5</v>
      </c>
      <c r="AU47" s="104">
        <f t="shared" ref="AU47" si="782">AS47/AT47</f>
        <v>0</v>
      </c>
      <c r="AV47" s="102"/>
      <c r="AW47" s="1">
        <v>5</v>
      </c>
      <c r="AX47" s="104">
        <f t="shared" ref="AX47" si="783">AV47/AW47</f>
        <v>0</v>
      </c>
      <c r="AY47" s="102"/>
      <c r="AZ47" s="1">
        <v>5</v>
      </c>
      <c r="BA47" s="104">
        <f t="shared" ref="BA47" si="784">AY47/AZ47</f>
        <v>0</v>
      </c>
      <c r="BB47" s="102"/>
      <c r="BC47" s="1">
        <v>5</v>
      </c>
      <c r="BD47" s="104">
        <f t="shared" ref="BD47" si="785">BB47/BC47</f>
        <v>0</v>
      </c>
      <c r="BE47" s="102"/>
      <c r="BF47" s="1">
        <v>5</v>
      </c>
      <c r="BG47" s="104">
        <f t="shared" ref="BG47" si="786">BE47/BF47</f>
        <v>0</v>
      </c>
      <c r="BH47" s="102"/>
      <c r="BI47" s="1">
        <v>5</v>
      </c>
      <c r="BJ47" s="104">
        <f t="shared" ref="BJ47" si="787">BH47/BI47</f>
        <v>0</v>
      </c>
      <c r="BK47" s="102"/>
      <c r="BL47" s="1">
        <v>5</v>
      </c>
      <c r="BM47" s="104">
        <f t="shared" ref="BM47" si="788">BK47/BL47</f>
        <v>0</v>
      </c>
      <c r="BN47" s="102"/>
      <c r="BO47" s="1">
        <v>5</v>
      </c>
      <c r="BP47" s="104">
        <f t="shared" ref="BP47" si="789">BN47/BO47</f>
        <v>0</v>
      </c>
      <c r="BQ47" s="102"/>
      <c r="BR47" s="1">
        <v>5</v>
      </c>
      <c r="BS47" s="104">
        <f t="shared" ref="BS47" si="790">BQ47/BR47</f>
        <v>0</v>
      </c>
      <c r="BT47" s="102"/>
      <c r="BU47" s="1">
        <v>5</v>
      </c>
      <c r="BV47" s="104">
        <f t="shared" ref="BV47" si="791">BT47/BU47</f>
        <v>0</v>
      </c>
      <c r="BW47" s="102"/>
      <c r="BX47" s="1">
        <v>5</v>
      </c>
      <c r="BY47" s="104">
        <f t="shared" ref="BY47" si="792">BW47/BX47</f>
        <v>0</v>
      </c>
      <c r="BZ47" s="102"/>
      <c r="CA47" s="1">
        <v>5</v>
      </c>
      <c r="CB47" s="104">
        <f t="shared" ref="CB47" si="793">BZ47/CA47</f>
        <v>0</v>
      </c>
      <c r="CC47" s="102"/>
      <c r="CD47" s="1">
        <v>5</v>
      </c>
      <c r="CE47" s="104">
        <f t="shared" ref="CE47" si="794">CC47/CD47</f>
        <v>0</v>
      </c>
      <c r="CF47" s="102"/>
      <c r="CG47" s="1">
        <v>5</v>
      </c>
      <c r="CH47" s="104">
        <f t="shared" ref="CH47" si="795">CF47/CG47</f>
        <v>0</v>
      </c>
      <c r="CI47" s="102"/>
      <c r="CJ47" s="1">
        <v>5</v>
      </c>
      <c r="CK47" s="104">
        <f t="shared" ref="CK47" si="796">CI47/CJ47</f>
        <v>0</v>
      </c>
      <c r="CL47" s="102"/>
      <c r="CM47" s="1">
        <v>5</v>
      </c>
      <c r="CN47" s="104">
        <f t="shared" ref="CN47" si="797">CL47/CM47</f>
        <v>0</v>
      </c>
      <c r="CO47" s="102"/>
      <c r="CP47" s="1">
        <v>5</v>
      </c>
      <c r="CQ47" s="104">
        <f t="shared" ref="CQ47" si="798">CO47/CP47</f>
        <v>0</v>
      </c>
      <c r="CR47" s="102"/>
      <c r="CS47" s="1">
        <v>5</v>
      </c>
      <c r="CT47" s="104">
        <f t="shared" ref="CT47" si="799">CR47/CS47</f>
        <v>0</v>
      </c>
      <c r="CU47" s="102"/>
      <c r="CV47" s="1">
        <v>5</v>
      </c>
      <c r="CW47" s="104">
        <f t="shared" ref="CW47" si="800">CU47/CV47</f>
        <v>0</v>
      </c>
      <c r="CX47" s="102"/>
      <c r="CY47" s="1">
        <v>5</v>
      </c>
      <c r="CZ47" s="104">
        <f t="shared" ref="CZ47" si="801">CX47/CY47</f>
        <v>0</v>
      </c>
      <c r="DA47" s="102"/>
      <c r="DB47" s="1">
        <v>5</v>
      </c>
      <c r="DC47" s="104">
        <f t="shared" ref="DC47" si="802">DA47/DB47</f>
        <v>0</v>
      </c>
      <c r="DD47" s="102"/>
      <c r="DE47" s="1">
        <v>5</v>
      </c>
      <c r="DF47" s="104">
        <f t="shared" ref="DF47" si="803">DD47/DE47</f>
        <v>0</v>
      </c>
      <c r="DG47" s="102"/>
      <c r="DH47" s="1">
        <v>5</v>
      </c>
      <c r="DI47" s="104">
        <f t="shared" ref="DI47" si="804">DG47/DH47</f>
        <v>0</v>
      </c>
      <c r="DJ47" s="102"/>
      <c r="DK47" s="1">
        <v>5</v>
      </c>
      <c r="DL47" s="104">
        <f t="shared" ref="DL47" si="805">DJ47/DK47</f>
        <v>0</v>
      </c>
      <c r="DM47" s="102"/>
      <c r="DN47" s="1">
        <v>5</v>
      </c>
      <c r="DO47" s="104">
        <f t="shared" ref="DO47" si="806">DM47/DN47</f>
        <v>0</v>
      </c>
      <c r="DP47" s="102"/>
      <c r="DQ47" s="1">
        <v>5</v>
      </c>
      <c r="DR47" s="104">
        <f t="shared" ref="DR47" si="807">DP47/DQ47</f>
        <v>0</v>
      </c>
      <c r="DS47" s="102"/>
      <c r="DT47" s="1">
        <v>5</v>
      </c>
      <c r="DU47" s="104">
        <f t="shared" ref="DU47" si="808">DS47/DT47</f>
        <v>0</v>
      </c>
      <c r="DV47" s="102"/>
      <c r="DW47" s="1">
        <v>5</v>
      </c>
      <c r="DX47" s="104">
        <f t="shared" ref="DX47" si="809">DV47/DW47</f>
        <v>0</v>
      </c>
      <c r="DY47" s="102"/>
      <c r="DZ47" s="1">
        <v>5</v>
      </c>
      <c r="EA47" s="104">
        <f t="shared" ref="EA47" si="810">DY47/DZ47</f>
        <v>0</v>
      </c>
      <c r="EB47" s="102"/>
      <c r="EC47" s="1">
        <v>5</v>
      </c>
      <c r="ED47" s="104">
        <f t="shared" ref="ED47" si="811">EB47/EC47</f>
        <v>0</v>
      </c>
      <c r="EE47" s="102"/>
      <c r="EF47" s="1">
        <v>5</v>
      </c>
      <c r="EG47" s="104">
        <f t="shared" ref="EG47" si="812">EE47/EF47</f>
        <v>0</v>
      </c>
      <c r="EH47" s="102"/>
      <c r="EI47" s="1">
        <v>5</v>
      </c>
      <c r="EJ47" s="104">
        <f t="shared" ref="EJ47" si="813">EH47/EI47</f>
        <v>0</v>
      </c>
      <c r="EK47" s="102"/>
      <c r="EL47" s="1">
        <v>5</v>
      </c>
      <c r="EM47" s="104">
        <f t="shared" ref="EM47" si="814">EK47/EL47</f>
        <v>0</v>
      </c>
      <c r="EN47" s="102"/>
      <c r="EO47" s="1">
        <v>5</v>
      </c>
      <c r="EP47" s="104">
        <f t="shared" ref="EP47" si="815">EN47/EO47</f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20.5" customHeight="1" spans="1:148" x14ac:dyDescent="0.25">
      <c r="A48" s="175" t="s">
        <v>150</v>
      </c>
      <c r="B48" s="101"/>
      <c r="C48" s="90"/>
      <c r="D48" s="91">
        <v>5</v>
      </c>
      <c r="E48" s="92">
        <f>C48/D48</f>
        <v>0</v>
      </c>
      <c r="F48" s="90"/>
      <c r="G48" s="91">
        <v>5</v>
      </c>
      <c r="H48" s="92">
        <f>F48/G48</f>
        <v>0</v>
      </c>
      <c r="I48" s="93"/>
      <c r="J48" s="91">
        <v>5</v>
      </c>
      <c r="K48" s="92">
        <f>I48/J48</f>
        <v>0</v>
      </c>
      <c r="L48" s="93"/>
      <c r="M48" s="91">
        <v>5</v>
      </c>
      <c r="N48" s="92">
        <f>L48/M48</f>
        <v>0</v>
      </c>
      <c r="O48" s="94"/>
      <c r="P48" s="95">
        <v>5</v>
      </c>
      <c r="Q48" s="92">
        <f>O48/P48</f>
        <v>0</v>
      </c>
      <c r="R48" s="90"/>
      <c r="S48" s="95">
        <v>5</v>
      </c>
      <c r="T48" s="92">
        <f>R48/S48</f>
        <v>0</v>
      </c>
      <c r="U48" s="90"/>
      <c r="V48" s="95">
        <v>5</v>
      </c>
      <c r="W48" s="92">
        <f>U48/V48</f>
        <v>0</v>
      </c>
      <c r="X48" s="90"/>
      <c r="Y48" s="95">
        <v>5</v>
      </c>
      <c r="Z48" s="92">
        <f>X48/Y48</f>
        <v>0</v>
      </c>
      <c r="AA48" s="94"/>
      <c r="AB48" s="95">
        <v>5</v>
      </c>
      <c r="AC48" s="92">
        <f>AA48/AB48</f>
        <v>0</v>
      </c>
      <c r="AD48" s="94"/>
      <c r="AE48" s="95">
        <v>5</v>
      </c>
      <c r="AF48" s="92">
        <f>AD48/AE48</f>
        <v>0</v>
      </c>
      <c r="AG48" s="94"/>
      <c r="AH48" s="95">
        <v>5</v>
      </c>
      <c r="AI48" s="92">
        <f>AG48/AH48</f>
        <v>0</v>
      </c>
      <c r="AJ48" s="94"/>
      <c r="AK48" s="95">
        <v>5</v>
      </c>
      <c r="AL48" s="92">
        <f>AJ48/AK48</f>
        <v>0</v>
      </c>
      <c r="AM48" s="90"/>
      <c r="AN48" s="96">
        <v>5</v>
      </c>
      <c r="AO48" s="92">
        <f>AM48/AN48</f>
        <v>0</v>
      </c>
      <c r="AP48" s="90"/>
      <c r="AQ48" s="96">
        <v>5</v>
      </c>
      <c r="AR48" s="92">
        <f>AP48/AQ48</f>
        <v>0</v>
      </c>
      <c r="AS48" s="90"/>
      <c r="AT48" s="96">
        <v>5</v>
      </c>
      <c r="AU48" s="92">
        <f>AS48/AT48</f>
        <v>0</v>
      </c>
      <c r="AV48" s="90"/>
      <c r="AW48" s="96">
        <v>5</v>
      </c>
      <c r="AX48" s="92">
        <f>AV48/AW48</f>
        <v>0</v>
      </c>
      <c r="AY48" s="90"/>
      <c r="AZ48" s="96">
        <v>5</v>
      </c>
      <c r="BA48" s="92">
        <f>AY48/AZ48</f>
        <v>0</v>
      </c>
      <c r="BB48" s="90"/>
      <c r="BC48" s="96">
        <v>5</v>
      </c>
      <c r="BD48" s="92">
        <f>BB48/BC48</f>
        <v>0</v>
      </c>
      <c r="BE48" s="90"/>
      <c r="BF48" s="96">
        <v>5</v>
      </c>
      <c r="BG48" s="92">
        <f>BE48/BF48</f>
        <v>0</v>
      </c>
      <c r="BH48" s="90"/>
      <c r="BI48" s="96">
        <v>5</v>
      </c>
      <c r="BJ48" s="92">
        <f>BH48/BI48</f>
        <v>0</v>
      </c>
      <c r="BK48" s="90"/>
      <c r="BL48" s="96">
        <v>5</v>
      </c>
      <c r="BM48" s="92">
        <f>BK48/BL48</f>
        <v>0</v>
      </c>
      <c r="BN48" s="90"/>
      <c r="BO48" s="96">
        <v>5</v>
      </c>
      <c r="BP48" s="92">
        <f>BN48/BO48</f>
        <v>0</v>
      </c>
      <c r="BQ48" s="90"/>
      <c r="BR48" s="96">
        <v>5</v>
      </c>
      <c r="BS48" s="92">
        <f>BQ48/BR48</f>
        <v>0</v>
      </c>
      <c r="BT48" s="90"/>
      <c r="BU48" s="96">
        <v>5</v>
      </c>
      <c r="BV48" s="92">
        <f>BT48/BU48</f>
        <v>0</v>
      </c>
      <c r="BW48" s="90"/>
      <c r="BX48" s="96">
        <v>5</v>
      </c>
      <c r="BY48" s="92">
        <f>BW48/BX48</f>
        <v>0</v>
      </c>
      <c r="BZ48" s="90"/>
      <c r="CA48" s="96">
        <v>5</v>
      </c>
      <c r="CB48" s="92">
        <f>BZ48/CA48</f>
        <v>0</v>
      </c>
      <c r="CC48" s="90"/>
      <c r="CD48" s="96">
        <v>5</v>
      </c>
      <c r="CE48" s="92">
        <f>CC48/CD48</f>
        <v>0</v>
      </c>
      <c r="CF48" s="90"/>
      <c r="CG48" s="96">
        <v>5</v>
      </c>
      <c r="CH48" s="92">
        <f>CF48/CG48</f>
        <v>0</v>
      </c>
      <c r="CI48" s="90"/>
      <c r="CJ48" s="96">
        <v>5</v>
      </c>
      <c r="CK48" s="92">
        <f>CI48/CJ48</f>
        <v>0</v>
      </c>
      <c r="CL48" s="90"/>
      <c r="CM48" s="96">
        <v>5</v>
      </c>
      <c r="CN48" s="92">
        <f>CL48/CM48</f>
        <v>0</v>
      </c>
      <c r="CO48" s="90"/>
      <c r="CP48" s="96">
        <v>5</v>
      </c>
      <c r="CQ48" s="92">
        <f>CO48/CP48</f>
        <v>0</v>
      </c>
      <c r="CR48" s="90"/>
      <c r="CS48" s="96">
        <v>5</v>
      </c>
      <c r="CT48" s="92">
        <f>CR48/CS48</f>
        <v>0</v>
      </c>
      <c r="CU48" s="90"/>
      <c r="CV48" s="96">
        <v>5</v>
      </c>
      <c r="CW48" s="92">
        <f>CU48/CV48</f>
        <v>0</v>
      </c>
      <c r="CX48" s="90"/>
      <c r="CY48" s="96">
        <v>5</v>
      </c>
      <c r="CZ48" s="92">
        <f>CX48/CY48</f>
        <v>0</v>
      </c>
      <c r="DA48" s="90"/>
      <c r="DB48" s="96">
        <v>5</v>
      </c>
      <c r="DC48" s="92">
        <f>DA48/DB48</f>
        <v>0</v>
      </c>
      <c r="DD48" s="90"/>
      <c r="DE48" s="96">
        <v>5</v>
      </c>
      <c r="DF48" s="92">
        <f>DD48/DE48</f>
        <v>0</v>
      </c>
      <c r="DG48" s="90"/>
      <c r="DH48" s="96">
        <v>5</v>
      </c>
      <c r="DI48" s="92">
        <f>DG48/DH48</f>
        <v>0</v>
      </c>
      <c r="DJ48" s="90"/>
      <c r="DK48" s="96">
        <v>5</v>
      </c>
      <c r="DL48" s="92">
        <f>DJ48/DK48</f>
        <v>0</v>
      </c>
      <c r="DM48" s="90"/>
      <c r="DN48" s="96">
        <v>5</v>
      </c>
      <c r="DO48" s="92">
        <f>DM48/DN48</f>
        <v>0</v>
      </c>
      <c r="DP48" s="90"/>
      <c r="DQ48" s="96">
        <v>5</v>
      </c>
      <c r="DR48" s="92">
        <f>DP48/DQ48</f>
        <v>0</v>
      </c>
      <c r="DS48" s="90"/>
      <c r="DT48" s="96">
        <v>5</v>
      </c>
      <c r="DU48" s="92">
        <f>DS48/DT48</f>
        <v>0</v>
      </c>
      <c r="DV48" s="90"/>
      <c r="DW48" s="96">
        <v>5</v>
      </c>
      <c r="DX48" s="92">
        <f>DV48/DW48</f>
        <v>0</v>
      </c>
      <c r="DY48" s="90"/>
      <c r="DZ48" s="96">
        <v>5</v>
      </c>
      <c r="EA48" s="92">
        <f>DY48/DZ48</f>
        <v>0</v>
      </c>
      <c r="EB48" s="90"/>
      <c r="EC48" s="96">
        <v>5</v>
      </c>
      <c r="ED48" s="92">
        <f>EB48/EC48</f>
        <v>0</v>
      </c>
      <c r="EE48" s="90"/>
      <c r="EF48" s="96">
        <v>5</v>
      </c>
      <c r="EG48" s="92">
        <f>EE48/EF48</f>
        <v>0</v>
      </c>
      <c r="EH48" s="90"/>
      <c r="EI48" s="96">
        <v>5</v>
      </c>
      <c r="EJ48" s="92">
        <f>EH48/EI48</f>
        <v>0</v>
      </c>
      <c r="EK48" s="90"/>
      <c r="EL48" s="96">
        <v>5</v>
      </c>
      <c r="EM48" s="92">
        <f>EK48/EL48</f>
        <v>0</v>
      </c>
      <c r="EN48" s="90"/>
      <c r="EO48" s="96">
        <v>5</v>
      </c>
      <c r="EP48" s="92">
        <f>EN48/EO48</f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26.5" customHeight="1" spans="1:148" x14ac:dyDescent="0.25">
      <c r="A49" s="175" t="s">
        <v>151</v>
      </c>
      <c r="B49" s="101"/>
      <c r="C49" s="102"/>
      <c r="D49" s="103">
        <v>5</v>
      </c>
      <c r="E49" s="104">
        <f t="shared" ref="E49" si="816">C49/D49</f>
        <v>0</v>
      </c>
      <c r="F49" s="102"/>
      <c r="G49" s="103">
        <v>5</v>
      </c>
      <c r="H49" s="104">
        <f t="shared" ref="H49" si="817">F49/G49</f>
        <v>0</v>
      </c>
      <c r="I49" s="105"/>
      <c r="J49" s="103">
        <v>5</v>
      </c>
      <c r="K49" s="104">
        <f t="shared" ref="K49" si="818">I49/J49</f>
        <v>0</v>
      </c>
      <c r="L49" s="105"/>
      <c r="M49" s="103">
        <v>5</v>
      </c>
      <c r="N49" s="104">
        <f t="shared" ref="N49" si="819">L49/M49</f>
        <v>0</v>
      </c>
      <c r="O49" s="106"/>
      <c r="P49" s="107">
        <v>5</v>
      </c>
      <c r="Q49" s="104">
        <f t="shared" ref="Q49" si="820">O49/P49</f>
        <v>0</v>
      </c>
      <c r="R49" s="102"/>
      <c r="S49" s="107">
        <v>5</v>
      </c>
      <c r="T49" s="104">
        <f t="shared" ref="T49" si="821">R49/S49</f>
        <v>0</v>
      </c>
      <c r="U49" s="102"/>
      <c r="V49" s="107">
        <v>5</v>
      </c>
      <c r="W49" s="104">
        <f t="shared" ref="W49" si="822">U49/V49</f>
        <v>0</v>
      </c>
      <c r="X49" s="102"/>
      <c r="Y49" s="107">
        <v>5</v>
      </c>
      <c r="Z49" s="104">
        <f t="shared" ref="Z49" si="823">X49/Y49</f>
        <v>0</v>
      </c>
      <c r="AA49" s="106"/>
      <c r="AB49" s="107">
        <v>5</v>
      </c>
      <c r="AC49" s="104">
        <f t="shared" ref="AC49" si="824">AA49/AB49</f>
        <v>0</v>
      </c>
      <c r="AD49" s="106"/>
      <c r="AE49" s="107">
        <v>5</v>
      </c>
      <c r="AF49" s="104">
        <f t="shared" ref="AF49" si="825">AD49/AE49</f>
        <v>0</v>
      </c>
      <c r="AG49" s="106"/>
      <c r="AH49" s="107">
        <v>5</v>
      </c>
      <c r="AI49" s="104">
        <f t="shared" ref="AI49" si="826">AG49/AH49</f>
        <v>0</v>
      </c>
      <c r="AJ49" s="106"/>
      <c r="AK49" s="107">
        <v>5</v>
      </c>
      <c r="AL49" s="104">
        <f t="shared" ref="AL49" si="827">AJ49/AK49</f>
        <v>0</v>
      </c>
      <c r="AM49" s="102"/>
      <c r="AN49" s="1">
        <v>5</v>
      </c>
      <c r="AO49" s="104">
        <f t="shared" ref="AO49" si="828">AM49/AN49</f>
        <v>0</v>
      </c>
      <c r="AP49" s="102"/>
      <c r="AQ49" s="1">
        <v>5</v>
      </c>
      <c r="AR49" s="104">
        <f t="shared" ref="AR49" si="829">AP49/AQ49</f>
        <v>0</v>
      </c>
      <c r="AS49" s="102"/>
      <c r="AT49" s="1">
        <v>5</v>
      </c>
      <c r="AU49" s="104">
        <f t="shared" ref="AU49" si="830">AS49/AT49</f>
        <v>0</v>
      </c>
      <c r="AV49" s="102"/>
      <c r="AW49" s="1">
        <v>5</v>
      </c>
      <c r="AX49" s="104">
        <f t="shared" ref="AX49" si="831">AV49/AW49</f>
        <v>0</v>
      </c>
      <c r="AY49" s="102"/>
      <c r="AZ49" s="1">
        <v>5</v>
      </c>
      <c r="BA49" s="104">
        <f t="shared" ref="BA49" si="832">AY49/AZ49</f>
        <v>0</v>
      </c>
      <c r="BB49" s="102"/>
      <c r="BC49" s="1">
        <v>5</v>
      </c>
      <c r="BD49" s="104">
        <f t="shared" ref="BD49" si="833">BB49/BC49</f>
        <v>0</v>
      </c>
      <c r="BE49" s="102"/>
      <c r="BF49" s="1">
        <v>5</v>
      </c>
      <c r="BG49" s="104">
        <f t="shared" ref="BG49" si="834">BE49/BF49</f>
        <v>0</v>
      </c>
      <c r="BH49" s="102"/>
      <c r="BI49" s="1">
        <v>5</v>
      </c>
      <c r="BJ49" s="104">
        <f t="shared" ref="BJ49" si="835">BH49/BI49</f>
        <v>0</v>
      </c>
      <c r="BK49" s="102"/>
      <c r="BL49" s="1">
        <v>5</v>
      </c>
      <c r="BM49" s="104">
        <f t="shared" ref="BM49" si="836">BK49/BL49</f>
        <v>0</v>
      </c>
      <c r="BN49" s="102"/>
      <c r="BO49" s="1">
        <v>5</v>
      </c>
      <c r="BP49" s="104">
        <f t="shared" ref="BP49" si="837">BN49/BO49</f>
        <v>0</v>
      </c>
      <c r="BQ49" s="102"/>
      <c r="BR49" s="1">
        <v>5</v>
      </c>
      <c r="BS49" s="104">
        <f t="shared" ref="BS49" si="838">BQ49/BR49</f>
        <v>0</v>
      </c>
      <c r="BT49" s="102"/>
      <c r="BU49" s="1">
        <v>5</v>
      </c>
      <c r="BV49" s="104">
        <f t="shared" ref="BV49" si="839">BT49/BU49</f>
        <v>0</v>
      </c>
      <c r="BW49" s="102"/>
      <c r="BX49" s="1">
        <v>5</v>
      </c>
      <c r="BY49" s="104">
        <f t="shared" ref="BY49" si="840">BW49/BX49</f>
        <v>0</v>
      </c>
      <c r="BZ49" s="102"/>
      <c r="CA49" s="1">
        <v>5</v>
      </c>
      <c r="CB49" s="104">
        <f t="shared" ref="CB49" si="841">BZ49/CA49</f>
        <v>0</v>
      </c>
      <c r="CC49" s="102"/>
      <c r="CD49" s="1">
        <v>5</v>
      </c>
      <c r="CE49" s="104">
        <f t="shared" ref="CE49" si="842">CC49/CD49</f>
        <v>0</v>
      </c>
      <c r="CF49" s="102"/>
      <c r="CG49" s="1">
        <v>5</v>
      </c>
      <c r="CH49" s="104">
        <f t="shared" ref="CH49" si="843">CF49/CG49</f>
        <v>0</v>
      </c>
      <c r="CI49" s="102"/>
      <c r="CJ49" s="1">
        <v>5</v>
      </c>
      <c r="CK49" s="104">
        <f t="shared" ref="CK49" si="844">CI49/CJ49</f>
        <v>0</v>
      </c>
      <c r="CL49" s="102"/>
      <c r="CM49" s="1">
        <v>5</v>
      </c>
      <c r="CN49" s="104">
        <f t="shared" ref="CN49" si="845">CL49/CM49</f>
        <v>0</v>
      </c>
      <c r="CO49" s="102"/>
      <c r="CP49" s="1">
        <v>5</v>
      </c>
      <c r="CQ49" s="104">
        <f t="shared" ref="CQ49" si="846">CO49/CP49</f>
        <v>0</v>
      </c>
      <c r="CR49" s="102"/>
      <c r="CS49" s="1">
        <v>5</v>
      </c>
      <c r="CT49" s="104">
        <f t="shared" ref="CT49" si="847">CR49/CS49</f>
        <v>0</v>
      </c>
      <c r="CU49" s="102"/>
      <c r="CV49" s="1">
        <v>5</v>
      </c>
      <c r="CW49" s="104">
        <f t="shared" ref="CW49" si="848">CU49/CV49</f>
        <v>0</v>
      </c>
      <c r="CX49" s="102"/>
      <c r="CY49" s="1">
        <v>5</v>
      </c>
      <c r="CZ49" s="104">
        <f t="shared" ref="CZ49" si="849">CX49/CY49</f>
        <v>0</v>
      </c>
      <c r="DA49" s="102"/>
      <c r="DB49" s="1">
        <v>5</v>
      </c>
      <c r="DC49" s="104">
        <f t="shared" ref="DC49" si="850">DA49/DB49</f>
        <v>0</v>
      </c>
      <c r="DD49" s="102"/>
      <c r="DE49" s="1">
        <v>5</v>
      </c>
      <c r="DF49" s="104">
        <f t="shared" ref="DF49" si="851">DD49/DE49</f>
        <v>0</v>
      </c>
      <c r="DG49" s="102"/>
      <c r="DH49" s="1">
        <v>5</v>
      </c>
      <c r="DI49" s="104">
        <f t="shared" ref="DI49" si="852">DG49/DH49</f>
        <v>0</v>
      </c>
      <c r="DJ49" s="102"/>
      <c r="DK49" s="1">
        <v>5</v>
      </c>
      <c r="DL49" s="104">
        <f t="shared" ref="DL49" si="853">DJ49/DK49</f>
        <v>0</v>
      </c>
      <c r="DM49" s="102"/>
      <c r="DN49" s="1">
        <v>5</v>
      </c>
      <c r="DO49" s="104">
        <f t="shared" ref="DO49" si="854">DM49/DN49</f>
        <v>0</v>
      </c>
      <c r="DP49" s="102"/>
      <c r="DQ49" s="1">
        <v>5</v>
      </c>
      <c r="DR49" s="104">
        <f t="shared" ref="DR49" si="855">DP49/DQ49</f>
        <v>0</v>
      </c>
      <c r="DS49" s="102"/>
      <c r="DT49" s="1">
        <v>5</v>
      </c>
      <c r="DU49" s="104">
        <f t="shared" ref="DU49" si="856">DS49/DT49</f>
        <v>0</v>
      </c>
      <c r="DV49" s="102"/>
      <c r="DW49" s="1">
        <v>5</v>
      </c>
      <c r="DX49" s="104">
        <f t="shared" ref="DX49" si="857">DV49/DW49</f>
        <v>0</v>
      </c>
      <c r="DY49" s="102"/>
      <c r="DZ49" s="1">
        <v>5</v>
      </c>
      <c r="EA49" s="104">
        <f t="shared" ref="EA49" si="858">DY49/DZ49</f>
        <v>0</v>
      </c>
      <c r="EB49" s="102"/>
      <c r="EC49" s="1">
        <v>5</v>
      </c>
      <c r="ED49" s="104">
        <f t="shared" ref="ED49" si="859">EB49/EC49</f>
        <v>0</v>
      </c>
      <c r="EE49" s="102"/>
      <c r="EF49" s="1">
        <v>5</v>
      </c>
      <c r="EG49" s="104">
        <f t="shared" ref="EG49" si="860">EE49/EF49</f>
        <v>0</v>
      </c>
      <c r="EH49" s="102"/>
      <c r="EI49" s="1">
        <v>5</v>
      </c>
      <c r="EJ49" s="104">
        <f t="shared" ref="EJ49" si="861">EH49/EI49</f>
        <v>0</v>
      </c>
      <c r="EK49" s="102"/>
      <c r="EL49" s="1">
        <v>5</v>
      </c>
      <c r="EM49" s="104">
        <f t="shared" ref="EM49" si="862">EK49/EL49</f>
        <v>0</v>
      </c>
      <c r="EN49" s="102"/>
      <c r="EO49" s="1">
        <v>5</v>
      </c>
      <c r="EP49" s="104">
        <f t="shared" ref="EP49" si="863">EN49/EO49</f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15" customHeight="1" spans="1:148" x14ac:dyDescent="0.25">
      <c r="A50" s="174" t="s">
        <v>116</v>
      </c>
      <c r="B50" s="101"/>
      <c r="C50" s="90"/>
      <c r="D50" s="91">
        <v>5</v>
      </c>
      <c r="E50" s="92">
        <f>C50/D50</f>
        <v>0</v>
      </c>
      <c r="F50" s="90"/>
      <c r="G50" s="91">
        <v>5</v>
      </c>
      <c r="H50" s="92">
        <f>F50/G50</f>
        <v>0</v>
      </c>
      <c r="I50" s="93"/>
      <c r="J50" s="91">
        <v>5</v>
      </c>
      <c r="K50" s="92">
        <f>I50/J50</f>
        <v>0</v>
      </c>
      <c r="L50" s="93"/>
      <c r="M50" s="91">
        <v>5</v>
      </c>
      <c r="N50" s="92">
        <f>L50/M50</f>
        <v>0</v>
      </c>
      <c r="O50" s="94"/>
      <c r="P50" s="95">
        <v>5</v>
      </c>
      <c r="Q50" s="92">
        <f>O50/P50</f>
        <v>0</v>
      </c>
      <c r="R50" s="90"/>
      <c r="S50" s="95">
        <v>5</v>
      </c>
      <c r="T50" s="92">
        <f>R50/S50</f>
        <v>0</v>
      </c>
      <c r="U50" s="90"/>
      <c r="V50" s="95">
        <v>5</v>
      </c>
      <c r="W50" s="92">
        <f>U50/V50</f>
        <v>0</v>
      </c>
      <c r="X50" s="90"/>
      <c r="Y50" s="95">
        <v>5</v>
      </c>
      <c r="Z50" s="92">
        <f>X50/Y50</f>
        <v>0</v>
      </c>
      <c r="AA50" s="94"/>
      <c r="AB50" s="95">
        <v>5</v>
      </c>
      <c r="AC50" s="92">
        <f>AA50/AB50</f>
        <v>0</v>
      </c>
      <c r="AD50" s="94"/>
      <c r="AE50" s="95">
        <v>5</v>
      </c>
      <c r="AF50" s="92">
        <f>AD50/AE50</f>
        <v>0</v>
      </c>
      <c r="AG50" s="94"/>
      <c r="AH50" s="95">
        <v>5</v>
      </c>
      <c r="AI50" s="92">
        <f>AG50/AH50</f>
        <v>0</v>
      </c>
      <c r="AJ50" s="94"/>
      <c r="AK50" s="95">
        <v>5</v>
      </c>
      <c r="AL50" s="92">
        <f>AJ50/AK50</f>
        <v>0</v>
      </c>
      <c r="AM50" s="90"/>
      <c r="AN50" s="96">
        <v>5</v>
      </c>
      <c r="AO50" s="92">
        <f>AM50/AN50</f>
        <v>0</v>
      </c>
      <c r="AP50" s="90"/>
      <c r="AQ50" s="96">
        <v>5</v>
      </c>
      <c r="AR50" s="92">
        <f>AP50/AQ50</f>
        <v>0</v>
      </c>
      <c r="AS50" s="90"/>
      <c r="AT50" s="96">
        <v>5</v>
      </c>
      <c r="AU50" s="92">
        <f>AS50/AT50</f>
        <v>0</v>
      </c>
      <c r="AV50" s="90"/>
      <c r="AW50" s="96">
        <v>5</v>
      </c>
      <c r="AX50" s="92">
        <f>AV50/AW50</f>
        <v>0</v>
      </c>
      <c r="AY50" s="90"/>
      <c r="AZ50" s="96">
        <v>5</v>
      </c>
      <c r="BA50" s="92">
        <f>AY50/AZ50</f>
        <v>0</v>
      </c>
      <c r="BB50" s="90"/>
      <c r="BC50" s="96">
        <v>5</v>
      </c>
      <c r="BD50" s="92">
        <f>BB50/BC50</f>
        <v>0</v>
      </c>
      <c r="BE50" s="90"/>
      <c r="BF50" s="96">
        <v>5</v>
      </c>
      <c r="BG50" s="92">
        <f>BE50/BF50</f>
        <v>0</v>
      </c>
      <c r="BH50" s="90"/>
      <c r="BI50" s="96">
        <v>5</v>
      </c>
      <c r="BJ50" s="92">
        <f>BH50/BI50</f>
        <v>0</v>
      </c>
      <c r="BK50" s="90"/>
      <c r="BL50" s="96">
        <v>5</v>
      </c>
      <c r="BM50" s="92">
        <f>BK50/BL50</f>
        <v>0</v>
      </c>
      <c r="BN50" s="90"/>
      <c r="BO50" s="96">
        <v>5</v>
      </c>
      <c r="BP50" s="92">
        <f>BN50/BO50</f>
        <v>0</v>
      </c>
      <c r="BQ50" s="90"/>
      <c r="BR50" s="96">
        <v>5</v>
      </c>
      <c r="BS50" s="92">
        <f>BQ50/BR50</f>
        <v>0</v>
      </c>
      <c r="BT50" s="90"/>
      <c r="BU50" s="96">
        <v>5</v>
      </c>
      <c r="BV50" s="92">
        <f>BT50/BU50</f>
        <v>0</v>
      </c>
      <c r="BW50" s="90"/>
      <c r="BX50" s="96">
        <v>5</v>
      </c>
      <c r="BY50" s="92">
        <f>BW50/BX50</f>
        <v>0</v>
      </c>
      <c r="BZ50" s="90"/>
      <c r="CA50" s="96">
        <v>5</v>
      </c>
      <c r="CB50" s="92">
        <f>BZ50/CA50</f>
        <v>0</v>
      </c>
      <c r="CC50" s="90"/>
      <c r="CD50" s="96">
        <v>5</v>
      </c>
      <c r="CE50" s="92">
        <f>CC50/CD50</f>
        <v>0</v>
      </c>
      <c r="CF50" s="90"/>
      <c r="CG50" s="96">
        <v>5</v>
      </c>
      <c r="CH50" s="92">
        <f>CF50/CG50</f>
        <v>0</v>
      </c>
      <c r="CI50" s="90"/>
      <c r="CJ50" s="96">
        <v>5</v>
      </c>
      <c r="CK50" s="92">
        <f>CI50/CJ50</f>
        <v>0</v>
      </c>
      <c r="CL50" s="90"/>
      <c r="CM50" s="96">
        <v>5</v>
      </c>
      <c r="CN50" s="92">
        <f>CL50/CM50</f>
        <v>0</v>
      </c>
      <c r="CO50" s="90"/>
      <c r="CP50" s="96">
        <v>5</v>
      </c>
      <c r="CQ50" s="92">
        <f>CO50/CP50</f>
        <v>0</v>
      </c>
      <c r="CR50" s="90"/>
      <c r="CS50" s="96">
        <v>5</v>
      </c>
      <c r="CT50" s="92">
        <f>CR50/CS50</f>
        <v>0</v>
      </c>
      <c r="CU50" s="90"/>
      <c r="CV50" s="96">
        <v>5</v>
      </c>
      <c r="CW50" s="92">
        <f>CU50/CV50</f>
        <v>0</v>
      </c>
      <c r="CX50" s="90"/>
      <c r="CY50" s="96">
        <v>5</v>
      </c>
      <c r="CZ50" s="92">
        <f>CX50/CY50</f>
        <v>0</v>
      </c>
      <c r="DA50" s="90"/>
      <c r="DB50" s="96">
        <v>5</v>
      </c>
      <c r="DC50" s="92">
        <f>DA50/DB50</f>
        <v>0</v>
      </c>
      <c r="DD50" s="90"/>
      <c r="DE50" s="96">
        <v>5</v>
      </c>
      <c r="DF50" s="92">
        <f>DD50/DE50</f>
        <v>0</v>
      </c>
      <c r="DG50" s="90"/>
      <c r="DH50" s="96">
        <v>5</v>
      </c>
      <c r="DI50" s="92">
        <f>DG50/DH50</f>
        <v>0</v>
      </c>
      <c r="DJ50" s="90"/>
      <c r="DK50" s="96">
        <v>5</v>
      </c>
      <c r="DL50" s="92">
        <f>DJ50/DK50</f>
        <v>0</v>
      </c>
      <c r="DM50" s="90"/>
      <c r="DN50" s="96">
        <v>5</v>
      </c>
      <c r="DO50" s="92">
        <f>DM50/DN50</f>
        <v>0</v>
      </c>
      <c r="DP50" s="90"/>
      <c r="DQ50" s="96">
        <v>5</v>
      </c>
      <c r="DR50" s="92">
        <f>DP50/DQ50</f>
        <v>0</v>
      </c>
      <c r="DS50" s="90"/>
      <c r="DT50" s="96">
        <v>5</v>
      </c>
      <c r="DU50" s="92">
        <f>DS50/DT50</f>
        <v>0</v>
      </c>
      <c r="DV50" s="90"/>
      <c r="DW50" s="96">
        <v>5</v>
      </c>
      <c r="DX50" s="92">
        <f>DV50/DW50</f>
        <v>0</v>
      </c>
      <c r="DY50" s="90"/>
      <c r="DZ50" s="96">
        <v>5</v>
      </c>
      <c r="EA50" s="92">
        <f>DY50/DZ50</f>
        <v>0</v>
      </c>
      <c r="EB50" s="90"/>
      <c r="EC50" s="96">
        <v>5</v>
      </c>
      <c r="ED50" s="92">
        <f>EB50/EC50</f>
        <v>0</v>
      </c>
      <c r="EE50" s="90"/>
      <c r="EF50" s="96">
        <v>5</v>
      </c>
      <c r="EG50" s="92">
        <f>EE50/EF50</f>
        <v>0</v>
      </c>
      <c r="EH50" s="90"/>
      <c r="EI50" s="96">
        <v>5</v>
      </c>
      <c r="EJ50" s="92">
        <f>EH50/EI50</f>
        <v>0</v>
      </c>
      <c r="EK50" s="90"/>
      <c r="EL50" s="96">
        <v>5</v>
      </c>
      <c r="EM50" s="92">
        <f>EK50/EL50</f>
        <v>0</v>
      </c>
      <c r="EN50" s="90"/>
      <c r="EO50" s="96">
        <v>5</v>
      </c>
      <c r="EP50" s="92">
        <f>EN50/EO50</f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5" customHeight="1" spans="1:148" x14ac:dyDescent="0.25">
      <c r="A51" s="174" t="s">
        <v>117</v>
      </c>
      <c r="B51" s="101"/>
      <c r="C51" s="102"/>
      <c r="D51" s="103">
        <v>5</v>
      </c>
      <c r="E51" s="104">
        <f t="shared" ref="E51" si="864">C51/D51</f>
        <v>0</v>
      </c>
      <c r="F51" s="102"/>
      <c r="G51" s="103">
        <v>5</v>
      </c>
      <c r="H51" s="104">
        <f t="shared" ref="H51" si="865">F51/G51</f>
        <v>0</v>
      </c>
      <c r="I51" s="105"/>
      <c r="J51" s="103">
        <v>5</v>
      </c>
      <c r="K51" s="104">
        <f t="shared" ref="K51" si="866">I51/J51</f>
        <v>0</v>
      </c>
      <c r="L51" s="105"/>
      <c r="M51" s="103">
        <v>5</v>
      </c>
      <c r="N51" s="104">
        <f t="shared" ref="N51" si="867">L51/M51</f>
        <v>0</v>
      </c>
      <c r="O51" s="106"/>
      <c r="P51" s="107">
        <v>5</v>
      </c>
      <c r="Q51" s="104">
        <f t="shared" ref="Q51" si="868">O51/P51</f>
        <v>0</v>
      </c>
      <c r="R51" s="102"/>
      <c r="S51" s="107">
        <v>5</v>
      </c>
      <c r="T51" s="104">
        <f t="shared" ref="T51" si="869">R51/S51</f>
        <v>0</v>
      </c>
      <c r="U51" s="102"/>
      <c r="V51" s="107">
        <v>5</v>
      </c>
      <c r="W51" s="104">
        <f t="shared" ref="W51" si="870">U51/V51</f>
        <v>0</v>
      </c>
      <c r="X51" s="102"/>
      <c r="Y51" s="107">
        <v>5</v>
      </c>
      <c r="Z51" s="104">
        <f t="shared" ref="Z51" si="871">X51/Y51</f>
        <v>0</v>
      </c>
      <c r="AA51" s="106"/>
      <c r="AB51" s="107">
        <v>5</v>
      </c>
      <c r="AC51" s="104">
        <f t="shared" ref="AC51" si="872">AA51/AB51</f>
        <v>0</v>
      </c>
      <c r="AD51" s="106"/>
      <c r="AE51" s="107">
        <v>5</v>
      </c>
      <c r="AF51" s="104">
        <f t="shared" ref="AF51" si="873">AD51/AE51</f>
        <v>0</v>
      </c>
      <c r="AG51" s="106"/>
      <c r="AH51" s="107">
        <v>5</v>
      </c>
      <c r="AI51" s="104">
        <f t="shared" ref="AI51" si="874">AG51/AH51</f>
        <v>0</v>
      </c>
      <c r="AJ51" s="106"/>
      <c r="AK51" s="107">
        <v>5</v>
      </c>
      <c r="AL51" s="104">
        <f t="shared" ref="AL51" si="875">AJ51/AK51</f>
        <v>0</v>
      </c>
      <c r="AM51" s="102"/>
      <c r="AN51" s="1">
        <v>5</v>
      </c>
      <c r="AO51" s="104">
        <f t="shared" ref="AO51" si="876">AM51/AN51</f>
        <v>0</v>
      </c>
      <c r="AP51" s="102"/>
      <c r="AQ51" s="1">
        <v>5</v>
      </c>
      <c r="AR51" s="104">
        <f t="shared" ref="AR51" si="877">AP51/AQ51</f>
        <v>0</v>
      </c>
      <c r="AS51" s="102"/>
      <c r="AT51" s="1">
        <v>5</v>
      </c>
      <c r="AU51" s="104">
        <f t="shared" ref="AU51" si="878">AS51/AT51</f>
        <v>0</v>
      </c>
      <c r="AV51" s="102"/>
      <c r="AW51" s="1">
        <v>5</v>
      </c>
      <c r="AX51" s="104">
        <f t="shared" ref="AX51" si="879">AV51/AW51</f>
        <v>0</v>
      </c>
      <c r="AY51" s="102"/>
      <c r="AZ51" s="1">
        <v>5</v>
      </c>
      <c r="BA51" s="104">
        <f t="shared" ref="BA51" si="880">AY51/AZ51</f>
        <v>0</v>
      </c>
      <c r="BB51" s="102"/>
      <c r="BC51" s="1">
        <v>5</v>
      </c>
      <c r="BD51" s="104">
        <f t="shared" ref="BD51" si="881">BB51/BC51</f>
        <v>0</v>
      </c>
      <c r="BE51" s="102"/>
      <c r="BF51" s="1">
        <v>5</v>
      </c>
      <c r="BG51" s="104">
        <f t="shared" ref="BG51" si="882">BE51/BF51</f>
        <v>0</v>
      </c>
      <c r="BH51" s="102"/>
      <c r="BI51" s="1">
        <v>5</v>
      </c>
      <c r="BJ51" s="104">
        <f t="shared" ref="BJ51" si="883">BH51/BI51</f>
        <v>0</v>
      </c>
      <c r="BK51" s="102"/>
      <c r="BL51" s="1">
        <v>5</v>
      </c>
      <c r="BM51" s="104">
        <f t="shared" ref="BM51" si="884">BK51/BL51</f>
        <v>0</v>
      </c>
      <c r="BN51" s="102"/>
      <c r="BO51" s="1">
        <v>5</v>
      </c>
      <c r="BP51" s="104">
        <f t="shared" ref="BP51" si="885">BN51/BO51</f>
        <v>0</v>
      </c>
      <c r="BQ51" s="102"/>
      <c r="BR51" s="1">
        <v>5</v>
      </c>
      <c r="BS51" s="104">
        <f t="shared" ref="BS51" si="886">BQ51/BR51</f>
        <v>0</v>
      </c>
      <c r="BT51" s="102"/>
      <c r="BU51" s="1">
        <v>5</v>
      </c>
      <c r="BV51" s="104">
        <f t="shared" ref="BV51" si="887">BT51/BU51</f>
        <v>0</v>
      </c>
      <c r="BW51" s="102"/>
      <c r="BX51" s="1">
        <v>5</v>
      </c>
      <c r="BY51" s="104">
        <f t="shared" ref="BY51" si="888">BW51/BX51</f>
        <v>0</v>
      </c>
      <c r="BZ51" s="102"/>
      <c r="CA51" s="1">
        <v>5</v>
      </c>
      <c r="CB51" s="104">
        <f t="shared" ref="CB51" si="889">BZ51/CA51</f>
        <v>0</v>
      </c>
      <c r="CC51" s="102"/>
      <c r="CD51" s="1">
        <v>5</v>
      </c>
      <c r="CE51" s="104">
        <f t="shared" ref="CE51" si="890">CC51/CD51</f>
        <v>0</v>
      </c>
      <c r="CF51" s="102"/>
      <c r="CG51" s="1">
        <v>5</v>
      </c>
      <c r="CH51" s="104">
        <f t="shared" ref="CH51" si="891">CF51/CG51</f>
        <v>0</v>
      </c>
      <c r="CI51" s="102"/>
      <c r="CJ51" s="1">
        <v>5</v>
      </c>
      <c r="CK51" s="104">
        <f t="shared" ref="CK51" si="892">CI51/CJ51</f>
        <v>0</v>
      </c>
      <c r="CL51" s="102"/>
      <c r="CM51" s="1">
        <v>5</v>
      </c>
      <c r="CN51" s="104">
        <f t="shared" ref="CN51" si="893">CL51/CM51</f>
        <v>0</v>
      </c>
      <c r="CO51" s="102"/>
      <c r="CP51" s="1">
        <v>5</v>
      </c>
      <c r="CQ51" s="104">
        <f t="shared" ref="CQ51" si="894">CO51/CP51</f>
        <v>0</v>
      </c>
      <c r="CR51" s="102"/>
      <c r="CS51" s="1">
        <v>5</v>
      </c>
      <c r="CT51" s="104">
        <f t="shared" ref="CT51" si="895">CR51/CS51</f>
        <v>0</v>
      </c>
      <c r="CU51" s="102"/>
      <c r="CV51" s="1">
        <v>5</v>
      </c>
      <c r="CW51" s="104">
        <f t="shared" ref="CW51" si="896">CU51/CV51</f>
        <v>0</v>
      </c>
      <c r="CX51" s="102"/>
      <c r="CY51" s="1">
        <v>5</v>
      </c>
      <c r="CZ51" s="104">
        <f t="shared" ref="CZ51" si="897">CX51/CY51</f>
        <v>0</v>
      </c>
      <c r="DA51" s="102"/>
      <c r="DB51" s="1">
        <v>5</v>
      </c>
      <c r="DC51" s="104">
        <f t="shared" ref="DC51" si="898">DA51/DB51</f>
        <v>0</v>
      </c>
      <c r="DD51" s="102"/>
      <c r="DE51" s="1">
        <v>5</v>
      </c>
      <c r="DF51" s="104">
        <f t="shared" ref="DF51" si="899">DD51/DE51</f>
        <v>0</v>
      </c>
      <c r="DG51" s="102"/>
      <c r="DH51" s="1">
        <v>5</v>
      </c>
      <c r="DI51" s="104">
        <f t="shared" ref="DI51" si="900">DG51/DH51</f>
        <v>0</v>
      </c>
      <c r="DJ51" s="102"/>
      <c r="DK51" s="1">
        <v>5</v>
      </c>
      <c r="DL51" s="104">
        <f t="shared" ref="DL51" si="901">DJ51/DK51</f>
        <v>0</v>
      </c>
      <c r="DM51" s="102"/>
      <c r="DN51" s="1">
        <v>5</v>
      </c>
      <c r="DO51" s="104">
        <f t="shared" ref="DO51" si="902">DM51/DN51</f>
        <v>0</v>
      </c>
      <c r="DP51" s="102"/>
      <c r="DQ51" s="1">
        <v>5</v>
      </c>
      <c r="DR51" s="104">
        <f t="shared" ref="DR51" si="903">DP51/DQ51</f>
        <v>0</v>
      </c>
      <c r="DS51" s="102"/>
      <c r="DT51" s="1">
        <v>5</v>
      </c>
      <c r="DU51" s="104">
        <f t="shared" ref="DU51" si="904">DS51/DT51</f>
        <v>0</v>
      </c>
      <c r="DV51" s="102"/>
      <c r="DW51" s="1">
        <v>5</v>
      </c>
      <c r="DX51" s="104">
        <f t="shared" ref="DX51" si="905">DV51/DW51</f>
        <v>0</v>
      </c>
      <c r="DY51" s="102"/>
      <c r="DZ51" s="1">
        <v>5</v>
      </c>
      <c r="EA51" s="104">
        <f t="shared" ref="EA51" si="906">DY51/DZ51</f>
        <v>0</v>
      </c>
      <c r="EB51" s="102"/>
      <c r="EC51" s="1">
        <v>5</v>
      </c>
      <c r="ED51" s="104">
        <f t="shared" ref="ED51" si="907">EB51/EC51</f>
        <v>0</v>
      </c>
      <c r="EE51" s="102"/>
      <c r="EF51" s="1">
        <v>5</v>
      </c>
      <c r="EG51" s="104">
        <f t="shared" ref="EG51" si="908">EE51/EF51</f>
        <v>0</v>
      </c>
      <c r="EH51" s="102"/>
      <c r="EI51" s="1">
        <v>5</v>
      </c>
      <c r="EJ51" s="104">
        <f t="shared" ref="EJ51" si="909">EH51/EI51</f>
        <v>0</v>
      </c>
      <c r="EK51" s="102"/>
      <c r="EL51" s="1">
        <v>5</v>
      </c>
      <c r="EM51" s="104">
        <f t="shared" ref="EM51" si="910">EK51/EL51</f>
        <v>0</v>
      </c>
      <c r="EN51" s="102"/>
      <c r="EO51" s="1">
        <v>5</v>
      </c>
      <c r="EP51" s="104">
        <f t="shared" ref="EP51" si="911">EN51/EO51</f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15" customHeight="1" spans="1:148" x14ac:dyDescent="0.25">
      <c r="A52" s="174" t="s">
        <v>152</v>
      </c>
      <c r="B52" s="101"/>
      <c r="C52" s="90"/>
      <c r="D52" s="91">
        <v>5</v>
      </c>
      <c r="E52" s="92">
        <f>C52/D52</f>
        <v>0</v>
      </c>
      <c r="F52" s="90"/>
      <c r="G52" s="91">
        <v>5</v>
      </c>
      <c r="H52" s="92">
        <f>F52/G52</f>
        <v>0</v>
      </c>
      <c r="I52" s="93"/>
      <c r="J52" s="91">
        <v>5</v>
      </c>
      <c r="K52" s="92">
        <f>I52/J52</f>
        <v>0</v>
      </c>
      <c r="L52" s="93"/>
      <c r="M52" s="91">
        <v>5</v>
      </c>
      <c r="N52" s="92">
        <f>L52/M52</f>
        <v>0</v>
      </c>
      <c r="O52" s="94"/>
      <c r="P52" s="95">
        <v>5</v>
      </c>
      <c r="Q52" s="92">
        <f>O52/P52</f>
        <v>0</v>
      </c>
      <c r="R52" s="90"/>
      <c r="S52" s="95">
        <v>5</v>
      </c>
      <c r="T52" s="92">
        <f>R52/S52</f>
        <v>0</v>
      </c>
      <c r="U52" s="90"/>
      <c r="V52" s="95">
        <v>5</v>
      </c>
      <c r="W52" s="92">
        <f>U52/V52</f>
        <v>0</v>
      </c>
      <c r="X52" s="90"/>
      <c r="Y52" s="95">
        <v>5</v>
      </c>
      <c r="Z52" s="92">
        <f>X52/Y52</f>
        <v>0</v>
      </c>
      <c r="AA52" s="94"/>
      <c r="AB52" s="95">
        <v>5</v>
      </c>
      <c r="AC52" s="92">
        <f>AA52/AB52</f>
        <v>0</v>
      </c>
      <c r="AD52" s="94"/>
      <c r="AE52" s="95">
        <v>5</v>
      </c>
      <c r="AF52" s="92">
        <f>AD52/AE52</f>
        <v>0</v>
      </c>
      <c r="AG52" s="94"/>
      <c r="AH52" s="95">
        <v>5</v>
      </c>
      <c r="AI52" s="92">
        <f>AG52/AH52</f>
        <v>0</v>
      </c>
      <c r="AJ52" s="94"/>
      <c r="AK52" s="95">
        <v>5</v>
      </c>
      <c r="AL52" s="92">
        <f>AJ52/AK52</f>
        <v>0</v>
      </c>
      <c r="AM52" s="90"/>
      <c r="AN52" s="96">
        <v>5</v>
      </c>
      <c r="AO52" s="92">
        <f>AM52/AN52</f>
        <v>0</v>
      </c>
      <c r="AP52" s="90"/>
      <c r="AQ52" s="96">
        <v>5</v>
      </c>
      <c r="AR52" s="92">
        <f>AP52/AQ52</f>
        <v>0</v>
      </c>
      <c r="AS52" s="90"/>
      <c r="AT52" s="96">
        <v>5</v>
      </c>
      <c r="AU52" s="92">
        <f>AS52/AT52</f>
        <v>0</v>
      </c>
      <c r="AV52" s="90"/>
      <c r="AW52" s="96">
        <v>5</v>
      </c>
      <c r="AX52" s="92">
        <f>AV52/AW52</f>
        <v>0</v>
      </c>
      <c r="AY52" s="90"/>
      <c r="AZ52" s="96">
        <v>5</v>
      </c>
      <c r="BA52" s="92">
        <f>AY52/AZ52</f>
        <v>0</v>
      </c>
      <c r="BB52" s="90"/>
      <c r="BC52" s="96">
        <v>5</v>
      </c>
      <c r="BD52" s="92">
        <f>BB52/BC52</f>
        <v>0</v>
      </c>
      <c r="BE52" s="90"/>
      <c r="BF52" s="96">
        <v>5</v>
      </c>
      <c r="BG52" s="92">
        <f>BE52/BF52</f>
        <v>0</v>
      </c>
      <c r="BH52" s="90"/>
      <c r="BI52" s="96">
        <v>5</v>
      </c>
      <c r="BJ52" s="92">
        <f>BH52/BI52</f>
        <v>0</v>
      </c>
      <c r="BK52" s="90"/>
      <c r="BL52" s="96">
        <v>5</v>
      </c>
      <c r="BM52" s="92">
        <f>BK52/BL52</f>
        <v>0</v>
      </c>
      <c r="BN52" s="90"/>
      <c r="BO52" s="96">
        <v>5</v>
      </c>
      <c r="BP52" s="92">
        <f>BN52/BO52</f>
        <v>0</v>
      </c>
      <c r="BQ52" s="90"/>
      <c r="BR52" s="96">
        <v>5</v>
      </c>
      <c r="BS52" s="92">
        <f>BQ52/BR52</f>
        <v>0</v>
      </c>
      <c r="BT52" s="90"/>
      <c r="BU52" s="96">
        <v>5</v>
      </c>
      <c r="BV52" s="92">
        <f>BT52/BU52</f>
        <v>0</v>
      </c>
      <c r="BW52" s="90"/>
      <c r="BX52" s="96">
        <v>5</v>
      </c>
      <c r="BY52" s="92">
        <f>BW52/BX52</f>
        <v>0</v>
      </c>
      <c r="BZ52" s="90"/>
      <c r="CA52" s="96">
        <v>5</v>
      </c>
      <c r="CB52" s="92">
        <f>BZ52/CA52</f>
        <v>0</v>
      </c>
      <c r="CC52" s="90"/>
      <c r="CD52" s="96">
        <v>5</v>
      </c>
      <c r="CE52" s="92">
        <f>CC52/CD52</f>
        <v>0</v>
      </c>
      <c r="CF52" s="90"/>
      <c r="CG52" s="96">
        <v>5</v>
      </c>
      <c r="CH52" s="92">
        <f>CF52/CG52</f>
        <v>0</v>
      </c>
      <c r="CI52" s="90"/>
      <c r="CJ52" s="96">
        <v>5</v>
      </c>
      <c r="CK52" s="92">
        <f>CI52/CJ52</f>
        <v>0</v>
      </c>
      <c r="CL52" s="90"/>
      <c r="CM52" s="96">
        <v>5</v>
      </c>
      <c r="CN52" s="92">
        <f>CL52/CM52</f>
        <v>0</v>
      </c>
      <c r="CO52" s="90"/>
      <c r="CP52" s="96">
        <v>5</v>
      </c>
      <c r="CQ52" s="92">
        <f>CO52/CP52</f>
        <v>0</v>
      </c>
      <c r="CR52" s="90"/>
      <c r="CS52" s="96">
        <v>5</v>
      </c>
      <c r="CT52" s="92">
        <f>CR52/CS52</f>
        <v>0</v>
      </c>
      <c r="CU52" s="90"/>
      <c r="CV52" s="96">
        <v>5</v>
      </c>
      <c r="CW52" s="92">
        <f>CU52/CV52</f>
        <v>0</v>
      </c>
      <c r="CX52" s="90"/>
      <c r="CY52" s="96">
        <v>5</v>
      </c>
      <c r="CZ52" s="92">
        <f>CX52/CY52</f>
        <v>0</v>
      </c>
      <c r="DA52" s="90"/>
      <c r="DB52" s="96">
        <v>5</v>
      </c>
      <c r="DC52" s="92">
        <f>DA52/DB52</f>
        <v>0</v>
      </c>
      <c r="DD52" s="90"/>
      <c r="DE52" s="96">
        <v>5</v>
      </c>
      <c r="DF52" s="92">
        <f>DD52/DE52</f>
        <v>0</v>
      </c>
      <c r="DG52" s="90"/>
      <c r="DH52" s="96">
        <v>5</v>
      </c>
      <c r="DI52" s="92">
        <f>DG52/DH52</f>
        <v>0</v>
      </c>
      <c r="DJ52" s="90"/>
      <c r="DK52" s="96">
        <v>5</v>
      </c>
      <c r="DL52" s="92">
        <f>DJ52/DK52</f>
        <v>0</v>
      </c>
      <c r="DM52" s="90"/>
      <c r="DN52" s="96">
        <v>5</v>
      </c>
      <c r="DO52" s="92">
        <f>DM52/DN52</f>
        <v>0</v>
      </c>
      <c r="DP52" s="90"/>
      <c r="DQ52" s="96">
        <v>5</v>
      </c>
      <c r="DR52" s="92">
        <f>DP52/DQ52</f>
        <v>0</v>
      </c>
      <c r="DS52" s="90"/>
      <c r="DT52" s="96">
        <v>5</v>
      </c>
      <c r="DU52" s="92">
        <f>DS52/DT52</f>
        <v>0</v>
      </c>
      <c r="DV52" s="90"/>
      <c r="DW52" s="96">
        <v>5</v>
      </c>
      <c r="DX52" s="92">
        <f>DV52/DW52</f>
        <v>0</v>
      </c>
      <c r="DY52" s="90"/>
      <c r="DZ52" s="96">
        <v>5</v>
      </c>
      <c r="EA52" s="92">
        <f>DY52/DZ52</f>
        <v>0</v>
      </c>
      <c r="EB52" s="90"/>
      <c r="EC52" s="96">
        <v>5</v>
      </c>
      <c r="ED52" s="92">
        <f>EB52/EC52</f>
        <v>0</v>
      </c>
      <c r="EE52" s="90"/>
      <c r="EF52" s="96">
        <v>5</v>
      </c>
      <c r="EG52" s="92">
        <f>EE52/EF52</f>
        <v>0</v>
      </c>
      <c r="EH52" s="90"/>
      <c r="EI52" s="96">
        <v>5</v>
      </c>
      <c r="EJ52" s="92">
        <f>EH52/EI52</f>
        <v>0</v>
      </c>
      <c r="EK52" s="90"/>
      <c r="EL52" s="96">
        <v>5</v>
      </c>
      <c r="EM52" s="92">
        <f>EK52/EL52</f>
        <v>0</v>
      </c>
      <c r="EN52" s="90"/>
      <c r="EO52" s="96">
        <v>5</v>
      </c>
      <c r="EP52" s="92">
        <f>EN52/EO52</f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74" t="s">
        <v>118</v>
      </c>
      <c r="B53" s="101"/>
      <c r="C53" s="102"/>
      <c r="D53" s="103">
        <v>5</v>
      </c>
      <c r="E53" s="104">
        <f t="shared" ref="E53" si="912">C53/D53</f>
        <v>0</v>
      </c>
      <c r="F53" s="102"/>
      <c r="G53" s="103">
        <v>5</v>
      </c>
      <c r="H53" s="104">
        <f t="shared" ref="H53" si="913">F53/G53</f>
        <v>0</v>
      </c>
      <c r="I53" s="105"/>
      <c r="J53" s="103">
        <v>5</v>
      </c>
      <c r="K53" s="104">
        <f t="shared" ref="K53" si="914">I53/J53</f>
        <v>0</v>
      </c>
      <c r="L53" s="105"/>
      <c r="M53" s="103">
        <v>5</v>
      </c>
      <c r="N53" s="104">
        <f t="shared" ref="N53" si="915">L53/M53</f>
        <v>0</v>
      </c>
      <c r="O53" s="106"/>
      <c r="P53" s="107">
        <v>5</v>
      </c>
      <c r="Q53" s="104">
        <f t="shared" ref="Q53" si="916">O53/P53</f>
        <v>0</v>
      </c>
      <c r="R53" s="102"/>
      <c r="S53" s="107">
        <v>5</v>
      </c>
      <c r="T53" s="104">
        <f t="shared" ref="T53" si="917">R53/S53</f>
        <v>0</v>
      </c>
      <c r="U53" s="102"/>
      <c r="V53" s="107">
        <v>5</v>
      </c>
      <c r="W53" s="104">
        <f t="shared" ref="W53" si="918">U53/V53</f>
        <v>0</v>
      </c>
      <c r="X53" s="102"/>
      <c r="Y53" s="107">
        <v>5</v>
      </c>
      <c r="Z53" s="104">
        <f t="shared" ref="Z53" si="919">X53/Y53</f>
        <v>0</v>
      </c>
      <c r="AA53" s="106"/>
      <c r="AB53" s="107">
        <v>5</v>
      </c>
      <c r="AC53" s="104">
        <f t="shared" ref="AC53" si="920">AA53/AB53</f>
        <v>0</v>
      </c>
      <c r="AD53" s="106"/>
      <c r="AE53" s="107">
        <v>5</v>
      </c>
      <c r="AF53" s="104">
        <f t="shared" ref="AF53" si="921">AD53/AE53</f>
        <v>0</v>
      </c>
      <c r="AG53" s="106"/>
      <c r="AH53" s="107">
        <v>5</v>
      </c>
      <c r="AI53" s="104">
        <f t="shared" ref="AI53" si="922">AG53/AH53</f>
        <v>0</v>
      </c>
      <c r="AJ53" s="106"/>
      <c r="AK53" s="107">
        <v>5</v>
      </c>
      <c r="AL53" s="104">
        <f t="shared" ref="AL53" si="923">AJ53/AK53</f>
        <v>0</v>
      </c>
      <c r="AM53" s="102"/>
      <c r="AN53" s="1">
        <v>5</v>
      </c>
      <c r="AO53" s="104">
        <f t="shared" ref="AO53" si="924">AM53/AN53</f>
        <v>0</v>
      </c>
      <c r="AP53" s="102"/>
      <c r="AQ53" s="1">
        <v>5</v>
      </c>
      <c r="AR53" s="104">
        <f t="shared" ref="AR53" si="925">AP53/AQ53</f>
        <v>0</v>
      </c>
      <c r="AS53" s="102"/>
      <c r="AT53" s="1">
        <v>5</v>
      </c>
      <c r="AU53" s="104">
        <f t="shared" ref="AU53" si="926">AS53/AT53</f>
        <v>0</v>
      </c>
      <c r="AV53" s="102"/>
      <c r="AW53" s="1">
        <v>5</v>
      </c>
      <c r="AX53" s="104">
        <f t="shared" ref="AX53" si="927">AV53/AW53</f>
        <v>0</v>
      </c>
      <c r="AY53" s="102"/>
      <c r="AZ53" s="1">
        <v>5</v>
      </c>
      <c r="BA53" s="104">
        <f t="shared" ref="BA53" si="928">AY53/AZ53</f>
        <v>0</v>
      </c>
      <c r="BB53" s="102"/>
      <c r="BC53" s="1">
        <v>5</v>
      </c>
      <c r="BD53" s="104">
        <f t="shared" ref="BD53" si="929">BB53/BC53</f>
        <v>0</v>
      </c>
      <c r="BE53" s="102"/>
      <c r="BF53" s="1">
        <v>5</v>
      </c>
      <c r="BG53" s="104">
        <f t="shared" ref="BG53" si="930">BE53/BF53</f>
        <v>0</v>
      </c>
      <c r="BH53" s="102"/>
      <c r="BI53" s="1">
        <v>5</v>
      </c>
      <c r="BJ53" s="104">
        <f t="shared" ref="BJ53" si="931">BH53/BI53</f>
        <v>0</v>
      </c>
      <c r="BK53" s="102"/>
      <c r="BL53" s="1">
        <v>5</v>
      </c>
      <c r="BM53" s="104">
        <f t="shared" ref="BM53" si="932">BK53/BL53</f>
        <v>0</v>
      </c>
      <c r="BN53" s="102"/>
      <c r="BO53" s="1">
        <v>5</v>
      </c>
      <c r="BP53" s="104">
        <f t="shared" ref="BP53" si="933">BN53/BO53</f>
        <v>0</v>
      </c>
      <c r="BQ53" s="102"/>
      <c r="BR53" s="1">
        <v>5</v>
      </c>
      <c r="BS53" s="104">
        <f t="shared" ref="BS53" si="934">BQ53/BR53</f>
        <v>0</v>
      </c>
      <c r="BT53" s="102"/>
      <c r="BU53" s="1">
        <v>5</v>
      </c>
      <c r="BV53" s="104">
        <f t="shared" ref="BV53" si="935">BT53/BU53</f>
        <v>0</v>
      </c>
      <c r="BW53" s="102"/>
      <c r="BX53" s="1">
        <v>5</v>
      </c>
      <c r="BY53" s="104">
        <f t="shared" ref="BY53" si="936">BW53/BX53</f>
        <v>0</v>
      </c>
      <c r="BZ53" s="102"/>
      <c r="CA53" s="1">
        <v>5</v>
      </c>
      <c r="CB53" s="104">
        <f t="shared" ref="CB53" si="937">BZ53/CA53</f>
        <v>0</v>
      </c>
      <c r="CC53" s="102"/>
      <c r="CD53" s="1">
        <v>5</v>
      </c>
      <c r="CE53" s="104">
        <f t="shared" ref="CE53" si="938">CC53/CD53</f>
        <v>0</v>
      </c>
      <c r="CF53" s="102"/>
      <c r="CG53" s="1">
        <v>5</v>
      </c>
      <c r="CH53" s="104">
        <f t="shared" ref="CH53" si="939">CF53/CG53</f>
        <v>0</v>
      </c>
      <c r="CI53" s="102"/>
      <c r="CJ53" s="1">
        <v>5</v>
      </c>
      <c r="CK53" s="104">
        <f t="shared" ref="CK53" si="940">CI53/CJ53</f>
        <v>0</v>
      </c>
      <c r="CL53" s="102"/>
      <c r="CM53" s="1">
        <v>5</v>
      </c>
      <c r="CN53" s="104">
        <f t="shared" ref="CN53" si="941">CL53/CM53</f>
        <v>0</v>
      </c>
      <c r="CO53" s="102"/>
      <c r="CP53" s="1">
        <v>5</v>
      </c>
      <c r="CQ53" s="104">
        <f t="shared" ref="CQ53" si="942">CO53/CP53</f>
        <v>0</v>
      </c>
      <c r="CR53" s="102"/>
      <c r="CS53" s="1">
        <v>5</v>
      </c>
      <c r="CT53" s="104">
        <f t="shared" ref="CT53" si="943">CR53/CS53</f>
        <v>0</v>
      </c>
      <c r="CU53" s="102"/>
      <c r="CV53" s="1">
        <v>5</v>
      </c>
      <c r="CW53" s="104">
        <f t="shared" ref="CW53" si="944">CU53/CV53</f>
        <v>0</v>
      </c>
      <c r="CX53" s="102"/>
      <c r="CY53" s="1">
        <v>5</v>
      </c>
      <c r="CZ53" s="104">
        <f t="shared" ref="CZ53" si="945">CX53/CY53</f>
        <v>0</v>
      </c>
      <c r="DA53" s="102"/>
      <c r="DB53" s="1">
        <v>5</v>
      </c>
      <c r="DC53" s="104">
        <f t="shared" ref="DC53" si="946">DA53/DB53</f>
        <v>0</v>
      </c>
      <c r="DD53" s="102"/>
      <c r="DE53" s="1">
        <v>5</v>
      </c>
      <c r="DF53" s="104">
        <f t="shared" ref="DF53" si="947">DD53/DE53</f>
        <v>0</v>
      </c>
      <c r="DG53" s="102"/>
      <c r="DH53" s="1">
        <v>5</v>
      </c>
      <c r="DI53" s="104">
        <f t="shared" ref="DI53" si="948">DG53/DH53</f>
        <v>0</v>
      </c>
      <c r="DJ53" s="102"/>
      <c r="DK53" s="1">
        <v>5</v>
      </c>
      <c r="DL53" s="104">
        <f t="shared" ref="DL53" si="949">DJ53/DK53</f>
        <v>0</v>
      </c>
      <c r="DM53" s="102"/>
      <c r="DN53" s="1">
        <v>5</v>
      </c>
      <c r="DO53" s="104">
        <f t="shared" ref="DO53" si="950">DM53/DN53</f>
        <v>0</v>
      </c>
      <c r="DP53" s="102"/>
      <c r="DQ53" s="1">
        <v>5</v>
      </c>
      <c r="DR53" s="104">
        <f t="shared" ref="DR53" si="951">DP53/DQ53</f>
        <v>0</v>
      </c>
      <c r="DS53" s="102"/>
      <c r="DT53" s="1">
        <v>5</v>
      </c>
      <c r="DU53" s="104">
        <f t="shared" ref="DU53" si="952">DS53/DT53</f>
        <v>0</v>
      </c>
      <c r="DV53" s="102"/>
      <c r="DW53" s="1">
        <v>5</v>
      </c>
      <c r="DX53" s="104">
        <f t="shared" ref="DX53" si="953">DV53/DW53</f>
        <v>0</v>
      </c>
      <c r="DY53" s="102"/>
      <c r="DZ53" s="1">
        <v>5</v>
      </c>
      <c r="EA53" s="104">
        <f t="shared" ref="EA53" si="954">DY53/DZ53</f>
        <v>0</v>
      </c>
      <c r="EB53" s="102"/>
      <c r="EC53" s="1">
        <v>5</v>
      </c>
      <c r="ED53" s="104">
        <f t="shared" ref="ED53" si="955">EB53/EC53</f>
        <v>0</v>
      </c>
      <c r="EE53" s="102"/>
      <c r="EF53" s="1">
        <v>5</v>
      </c>
      <c r="EG53" s="104">
        <f t="shared" ref="EG53" si="956">EE53/EF53</f>
        <v>0</v>
      </c>
      <c r="EH53" s="102"/>
      <c r="EI53" s="1">
        <v>5</v>
      </c>
      <c r="EJ53" s="104">
        <f t="shared" ref="EJ53" si="957">EH53/EI53</f>
        <v>0</v>
      </c>
      <c r="EK53" s="102"/>
      <c r="EL53" s="1">
        <v>5</v>
      </c>
      <c r="EM53" s="104">
        <f t="shared" ref="EM53" si="958">EK53/EL53</f>
        <v>0</v>
      </c>
      <c r="EN53" s="102"/>
      <c r="EO53" s="1">
        <v>5</v>
      </c>
      <c r="EP53" s="104">
        <f t="shared" ref="EP53" si="959">EN53/EO53</f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16" customHeight="1" spans="1:148" x14ac:dyDescent="0.25">
      <c r="A54" s="174" t="s">
        <v>120</v>
      </c>
      <c r="B54" s="101"/>
      <c r="C54" s="90"/>
      <c r="D54" s="91">
        <v>5</v>
      </c>
      <c r="E54" s="92">
        <f>C54/D54</f>
        <v>0</v>
      </c>
      <c r="F54" s="90"/>
      <c r="G54" s="91">
        <v>5</v>
      </c>
      <c r="H54" s="92">
        <f>F54/G54</f>
        <v>0</v>
      </c>
      <c r="I54" s="93"/>
      <c r="J54" s="91">
        <v>5</v>
      </c>
      <c r="K54" s="92">
        <f>I54/J54</f>
        <v>0</v>
      </c>
      <c r="L54" s="93"/>
      <c r="M54" s="91">
        <v>5</v>
      </c>
      <c r="N54" s="92">
        <f>L54/M54</f>
        <v>0</v>
      </c>
      <c r="O54" s="94"/>
      <c r="P54" s="95">
        <v>5</v>
      </c>
      <c r="Q54" s="92">
        <f>O54/P54</f>
        <v>0</v>
      </c>
      <c r="R54" s="90"/>
      <c r="S54" s="95">
        <v>5</v>
      </c>
      <c r="T54" s="92">
        <f>R54/S54</f>
        <v>0</v>
      </c>
      <c r="U54" s="90"/>
      <c r="V54" s="95">
        <v>5</v>
      </c>
      <c r="W54" s="92">
        <f>U54/V54</f>
        <v>0</v>
      </c>
      <c r="X54" s="90"/>
      <c r="Y54" s="95">
        <v>5</v>
      </c>
      <c r="Z54" s="92">
        <f>X54/Y54</f>
        <v>0</v>
      </c>
      <c r="AA54" s="94"/>
      <c r="AB54" s="95">
        <v>5</v>
      </c>
      <c r="AC54" s="92">
        <f>AA54/AB54</f>
        <v>0</v>
      </c>
      <c r="AD54" s="94"/>
      <c r="AE54" s="95">
        <v>5</v>
      </c>
      <c r="AF54" s="92">
        <f>AD54/AE54</f>
        <v>0</v>
      </c>
      <c r="AG54" s="94"/>
      <c r="AH54" s="95">
        <v>5</v>
      </c>
      <c r="AI54" s="92">
        <f>AG54/AH54</f>
        <v>0</v>
      </c>
      <c r="AJ54" s="94"/>
      <c r="AK54" s="95">
        <v>5</v>
      </c>
      <c r="AL54" s="92">
        <f>AJ54/AK54</f>
        <v>0</v>
      </c>
      <c r="AM54" s="90"/>
      <c r="AN54" s="96">
        <v>5</v>
      </c>
      <c r="AO54" s="92">
        <f>AM54/AN54</f>
        <v>0</v>
      </c>
      <c r="AP54" s="90"/>
      <c r="AQ54" s="96">
        <v>5</v>
      </c>
      <c r="AR54" s="92">
        <f>AP54/AQ54</f>
        <v>0</v>
      </c>
      <c r="AS54" s="90"/>
      <c r="AT54" s="96">
        <v>5</v>
      </c>
      <c r="AU54" s="92">
        <f>AS54/AT54</f>
        <v>0</v>
      </c>
      <c r="AV54" s="90"/>
      <c r="AW54" s="96">
        <v>5</v>
      </c>
      <c r="AX54" s="92">
        <f>AV54/AW54</f>
        <v>0</v>
      </c>
      <c r="AY54" s="90"/>
      <c r="AZ54" s="96">
        <v>5</v>
      </c>
      <c r="BA54" s="92">
        <f>AY54/AZ54</f>
        <v>0</v>
      </c>
      <c r="BB54" s="90"/>
      <c r="BC54" s="96">
        <v>5</v>
      </c>
      <c r="BD54" s="92">
        <f>BB54/BC54</f>
        <v>0</v>
      </c>
      <c r="BE54" s="90"/>
      <c r="BF54" s="96">
        <v>5</v>
      </c>
      <c r="BG54" s="92">
        <f>BE54/BF54</f>
        <v>0</v>
      </c>
      <c r="BH54" s="90"/>
      <c r="BI54" s="96">
        <v>5</v>
      </c>
      <c r="BJ54" s="92">
        <f>BH54/BI54</f>
        <v>0</v>
      </c>
      <c r="BK54" s="90"/>
      <c r="BL54" s="96">
        <v>5</v>
      </c>
      <c r="BM54" s="92">
        <f>BK54/BL54</f>
        <v>0</v>
      </c>
      <c r="BN54" s="90"/>
      <c r="BO54" s="96">
        <v>5</v>
      </c>
      <c r="BP54" s="92">
        <f>BN54/BO54</f>
        <v>0</v>
      </c>
      <c r="BQ54" s="90"/>
      <c r="BR54" s="96">
        <v>5</v>
      </c>
      <c r="BS54" s="92">
        <f>BQ54/BR54</f>
        <v>0</v>
      </c>
      <c r="BT54" s="90"/>
      <c r="BU54" s="96">
        <v>5</v>
      </c>
      <c r="BV54" s="92">
        <f>BT54/BU54</f>
        <v>0</v>
      </c>
      <c r="BW54" s="90"/>
      <c r="BX54" s="96">
        <v>5</v>
      </c>
      <c r="BY54" s="92">
        <f>BW54/BX54</f>
        <v>0</v>
      </c>
      <c r="BZ54" s="90"/>
      <c r="CA54" s="96">
        <v>5</v>
      </c>
      <c r="CB54" s="92">
        <f>BZ54/CA54</f>
        <v>0</v>
      </c>
      <c r="CC54" s="90"/>
      <c r="CD54" s="96">
        <v>5</v>
      </c>
      <c r="CE54" s="92">
        <f>CC54/CD54</f>
        <v>0</v>
      </c>
      <c r="CF54" s="90"/>
      <c r="CG54" s="96">
        <v>5</v>
      </c>
      <c r="CH54" s="92">
        <f>CF54/CG54</f>
        <v>0</v>
      </c>
      <c r="CI54" s="90"/>
      <c r="CJ54" s="96">
        <v>5</v>
      </c>
      <c r="CK54" s="92">
        <f>CI54/CJ54</f>
        <v>0</v>
      </c>
      <c r="CL54" s="90"/>
      <c r="CM54" s="96">
        <v>5</v>
      </c>
      <c r="CN54" s="92">
        <f>CL54/CM54</f>
        <v>0</v>
      </c>
      <c r="CO54" s="90"/>
      <c r="CP54" s="96">
        <v>5</v>
      </c>
      <c r="CQ54" s="92">
        <f>CO54/CP54</f>
        <v>0</v>
      </c>
      <c r="CR54" s="90"/>
      <c r="CS54" s="96">
        <v>5</v>
      </c>
      <c r="CT54" s="92">
        <f>CR54/CS54</f>
        <v>0</v>
      </c>
      <c r="CU54" s="90"/>
      <c r="CV54" s="96">
        <v>5</v>
      </c>
      <c r="CW54" s="92">
        <f>CU54/CV54</f>
        <v>0</v>
      </c>
      <c r="CX54" s="90"/>
      <c r="CY54" s="96">
        <v>5</v>
      </c>
      <c r="CZ54" s="92">
        <f>CX54/CY54</f>
        <v>0</v>
      </c>
      <c r="DA54" s="90"/>
      <c r="DB54" s="96">
        <v>5</v>
      </c>
      <c r="DC54" s="92">
        <f>DA54/DB54</f>
        <v>0</v>
      </c>
      <c r="DD54" s="90"/>
      <c r="DE54" s="96">
        <v>5</v>
      </c>
      <c r="DF54" s="92">
        <f>DD54/DE54</f>
        <v>0</v>
      </c>
      <c r="DG54" s="90"/>
      <c r="DH54" s="96">
        <v>5</v>
      </c>
      <c r="DI54" s="92">
        <f>DG54/DH54</f>
        <v>0</v>
      </c>
      <c r="DJ54" s="90"/>
      <c r="DK54" s="96">
        <v>5</v>
      </c>
      <c r="DL54" s="92">
        <f>DJ54/DK54</f>
        <v>0</v>
      </c>
      <c r="DM54" s="90"/>
      <c r="DN54" s="96">
        <v>5</v>
      </c>
      <c r="DO54" s="92">
        <f>DM54/DN54</f>
        <v>0</v>
      </c>
      <c r="DP54" s="90"/>
      <c r="DQ54" s="96">
        <v>5</v>
      </c>
      <c r="DR54" s="92">
        <f>DP54/DQ54</f>
        <v>0</v>
      </c>
      <c r="DS54" s="90"/>
      <c r="DT54" s="96">
        <v>5</v>
      </c>
      <c r="DU54" s="92">
        <f>DS54/DT54</f>
        <v>0</v>
      </c>
      <c r="DV54" s="90"/>
      <c r="DW54" s="96">
        <v>5</v>
      </c>
      <c r="DX54" s="92">
        <f>DV54/DW54</f>
        <v>0</v>
      </c>
      <c r="DY54" s="90"/>
      <c r="DZ54" s="96">
        <v>5</v>
      </c>
      <c r="EA54" s="92">
        <f>DY54/DZ54</f>
        <v>0</v>
      </c>
      <c r="EB54" s="90"/>
      <c r="EC54" s="96">
        <v>5</v>
      </c>
      <c r="ED54" s="92">
        <f>EB54/EC54</f>
        <v>0</v>
      </c>
      <c r="EE54" s="90"/>
      <c r="EF54" s="96">
        <v>5</v>
      </c>
      <c r="EG54" s="92">
        <f>EE54/EF54</f>
        <v>0</v>
      </c>
      <c r="EH54" s="90"/>
      <c r="EI54" s="96">
        <v>5</v>
      </c>
      <c r="EJ54" s="92">
        <f>EH54/EI54</f>
        <v>0</v>
      </c>
      <c r="EK54" s="90"/>
      <c r="EL54" s="96">
        <v>5</v>
      </c>
      <c r="EM54" s="92">
        <f>EK54/EL54</f>
        <v>0</v>
      </c>
      <c r="EN54" s="90"/>
      <c r="EO54" s="96">
        <v>5</v>
      </c>
      <c r="EP54" s="92">
        <f>EN54/EO54</f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74" t="s">
        <v>121</v>
      </c>
      <c r="B55" s="101"/>
      <c r="C55" s="102"/>
      <c r="D55" s="103">
        <v>5</v>
      </c>
      <c r="E55" s="104">
        <f t="shared" ref="E55:E56" si="960">C55/D55</f>
        <v>0</v>
      </c>
      <c r="F55" s="102"/>
      <c r="G55" s="103">
        <v>5</v>
      </c>
      <c r="H55" s="104">
        <f t="shared" ref="H55:H56" si="961">F55/G55</f>
        <v>0</v>
      </c>
      <c r="I55" s="105"/>
      <c r="J55" s="103">
        <v>5</v>
      </c>
      <c r="K55" s="104">
        <f t="shared" ref="K55:K56" si="962">I55/J55</f>
        <v>0</v>
      </c>
      <c r="L55" s="105"/>
      <c r="M55" s="103">
        <v>5</v>
      </c>
      <c r="N55" s="104">
        <f t="shared" ref="N55:N56" si="963">L55/M55</f>
        <v>0</v>
      </c>
      <c r="O55" s="106"/>
      <c r="P55" s="107">
        <v>5</v>
      </c>
      <c r="Q55" s="104">
        <f t="shared" ref="Q55:Q56" si="964">O55/P55</f>
        <v>0</v>
      </c>
      <c r="R55" s="102"/>
      <c r="S55" s="107">
        <v>5</v>
      </c>
      <c r="T55" s="104">
        <f t="shared" ref="T55:T56" si="965">R55/S55</f>
        <v>0</v>
      </c>
      <c r="U55" s="102"/>
      <c r="V55" s="107">
        <v>5</v>
      </c>
      <c r="W55" s="104">
        <f t="shared" ref="W55:W56" si="966">U55/V55</f>
        <v>0</v>
      </c>
      <c r="X55" s="102"/>
      <c r="Y55" s="107">
        <v>5</v>
      </c>
      <c r="Z55" s="104">
        <f t="shared" ref="Z55:Z56" si="967">X55/Y55</f>
        <v>0</v>
      </c>
      <c r="AA55" s="106"/>
      <c r="AB55" s="107">
        <v>5</v>
      </c>
      <c r="AC55" s="104">
        <f t="shared" ref="AC55:AC56" si="968">AA55/AB55</f>
        <v>0</v>
      </c>
      <c r="AD55" s="106"/>
      <c r="AE55" s="107">
        <v>5</v>
      </c>
      <c r="AF55" s="104">
        <f t="shared" ref="AF55:AF56" si="969">AD55/AE55</f>
        <v>0</v>
      </c>
      <c r="AG55" s="106"/>
      <c r="AH55" s="107">
        <v>5</v>
      </c>
      <c r="AI55" s="104">
        <f t="shared" ref="AI55:AI56" si="970">AG55/AH55</f>
        <v>0</v>
      </c>
      <c r="AJ55" s="106"/>
      <c r="AK55" s="107">
        <v>5</v>
      </c>
      <c r="AL55" s="104">
        <f t="shared" ref="AL55:AL56" si="971">AJ55/AK55</f>
        <v>0</v>
      </c>
      <c r="AM55" s="102"/>
      <c r="AN55" s="1">
        <v>5</v>
      </c>
      <c r="AO55" s="104">
        <f t="shared" ref="AO55:AO56" si="972">AM55/AN55</f>
        <v>0</v>
      </c>
      <c r="AP55" s="102"/>
      <c r="AQ55" s="1">
        <v>5</v>
      </c>
      <c r="AR55" s="104">
        <f t="shared" ref="AR55:AR56" si="973">AP55/AQ55</f>
        <v>0</v>
      </c>
      <c r="AS55" s="102"/>
      <c r="AT55" s="1">
        <v>5</v>
      </c>
      <c r="AU55" s="104">
        <f t="shared" ref="AU55:AU56" si="974">AS55/AT55</f>
        <v>0</v>
      </c>
      <c r="AV55" s="102"/>
      <c r="AW55" s="1">
        <v>5</v>
      </c>
      <c r="AX55" s="104">
        <f t="shared" ref="AX55:AX56" si="975">AV55/AW55</f>
        <v>0</v>
      </c>
      <c r="AY55" s="102"/>
      <c r="AZ55" s="1">
        <v>5</v>
      </c>
      <c r="BA55" s="104">
        <f t="shared" ref="BA55:BA56" si="976">AY55/AZ55</f>
        <v>0</v>
      </c>
      <c r="BB55" s="102"/>
      <c r="BC55" s="1">
        <v>5</v>
      </c>
      <c r="BD55" s="104">
        <f t="shared" ref="BD55:BD56" si="977">BB55/BC55</f>
        <v>0</v>
      </c>
      <c r="BE55" s="102"/>
      <c r="BF55" s="1">
        <v>5</v>
      </c>
      <c r="BG55" s="104">
        <f t="shared" ref="BG55:BG56" si="978">BE55/BF55</f>
        <v>0</v>
      </c>
      <c r="BH55" s="102"/>
      <c r="BI55" s="1">
        <v>5</v>
      </c>
      <c r="BJ55" s="104">
        <f t="shared" ref="BJ55:BJ56" si="979">BH55/BI55</f>
        <v>0</v>
      </c>
      <c r="BK55" s="102"/>
      <c r="BL55" s="1">
        <v>5</v>
      </c>
      <c r="BM55" s="104">
        <f t="shared" ref="BM55:BM56" si="980">BK55/BL55</f>
        <v>0</v>
      </c>
      <c r="BN55" s="102"/>
      <c r="BO55" s="1">
        <v>5</v>
      </c>
      <c r="BP55" s="104">
        <f t="shared" ref="BP55:BP56" si="981">BN55/BO55</f>
        <v>0</v>
      </c>
      <c r="BQ55" s="102"/>
      <c r="BR55" s="1">
        <v>5</v>
      </c>
      <c r="BS55" s="104">
        <f t="shared" ref="BS55:BS56" si="982">BQ55/BR55</f>
        <v>0</v>
      </c>
      <c r="BT55" s="102"/>
      <c r="BU55" s="1">
        <v>5</v>
      </c>
      <c r="BV55" s="104">
        <f t="shared" ref="BV55:BV56" si="983">BT55/BU55</f>
        <v>0</v>
      </c>
      <c r="BW55" s="102"/>
      <c r="BX55" s="1">
        <v>5</v>
      </c>
      <c r="BY55" s="104">
        <f t="shared" ref="BY55:BY56" si="984">BW55/BX55</f>
        <v>0</v>
      </c>
      <c r="BZ55" s="102"/>
      <c r="CA55" s="1">
        <v>5</v>
      </c>
      <c r="CB55" s="104">
        <f t="shared" ref="CB55:CB56" si="985">BZ55/CA55</f>
        <v>0</v>
      </c>
      <c r="CC55" s="102"/>
      <c r="CD55" s="1">
        <v>5</v>
      </c>
      <c r="CE55" s="104">
        <f t="shared" ref="CE55:CE56" si="986">CC55/CD55</f>
        <v>0</v>
      </c>
      <c r="CF55" s="102"/>
      <c r="CG55" s="1">
        <v>5</v>
      </c>
      <c r="CH55" s="104">
        <f t="shared" ref="CH55:CH56" si="987">CF55/CG55</f>
        <v>0</v>
      </c>
      <c r="CI55" s="102"/>
      <c r="CJ55" s="1">
        <v>5</v>
      </c>
      <c r="CK55" s="104">
        <f t="shared" ref="CK55:CK56" si="988">CI55/CJ55</f>
        <v>0</v>
      </c>
      <c r="CL55" s="102"/>
      <c r="CM55" s="1">
        <v>5</v>
      </c>
      <c r="CN55" s="104">
        <f t="shared" ref="CN55:CN56" si="989">CL55/CM55</f>
        <v>0</v>
      </c>
      <c r="CO55" s="102"/>
      <c r="CP55" s="1">
        <v>5</v>
      </c>
      <c r="CQ55" s="104">
        <f t="shared" ref="CQ55:CQ56" si="990">CO55/CP55</f>
        <v>0</v>
      </c>
      <c r="CR55" s="102"/>
      <c r="CS55" s="1">
        <v>5</v>
      </c>
      <c r="CT55" s="104">
        <f t="shared" ref="CT55:CT56" si="991">CR55/CS55</f>
        <v>0</v>
      </c>
      <c r="CU55" s="102"/>
      <c r="CV55" s="1">
        <v>5</v>
      </c>
      <c r="CW55" s="104">
        <f t="shared" ref="CW55:CW56" si="992">CU55/CV55</f>
        <v>0</v>
      </c>
      <c r="CX55" s="102"/>
      <c r="CY55" s="1">
        <v>5</v>
      </c>
      <c r="CZ55" s="104">
        <f t="shared" ref="CZ55:CZ56" si="993">CX55/CY55</f>
        <v>0</v>
      </c>
      <c r="DA55" s="102"/>
      <c r="DB55" s="1">
        <v>5</v>
      </c>
      <c r="DC55" s="104">
        <f t="shared" ref="DC55:DC56" si="994">DA55/DB55</f>
        <v>0</v>
      </c>
      <c r="DD55" s="102"/>
      <c r="DE55" s="1">
        <v>5</v>
      </c>
      <c r="DF55" s="104">
        <f t="shared" ref="DF55:DF56" si="995">DD55/DE55</f>
        <v>0</v>
      </c>
      <c r="DG55" s="102"/>
      <c r="DH55" s="1">
        <v>5</v>
      </c>
      <c r="DI55" s="104">
        <f t="shared" ref="DI55:DI56" si="996">DG55/DH55</f>
        <v>0</v>
      </c>
      <c r="DJ55" s="102"/>
      <c r="DK55" s="1">
        <v>5</v>
      </c>
      <c r="DL55" s="104">
        <f t="shared" ref="DL55:DL56" si="997">DJ55/DK55</f>
        <v>0</v>
      </c>
      <c r="DM55" s="102"/>
      <c r="DN55" s="1">
        <v>5</v>
      </c>
      <c r="DO55" s="104">
        <f t="shared" ref="DO55:DO56" si="998">DM55/DN55</f>
        <v>0</v>
      </c>
      <c r="DP55" s="102"/>
      <c r="DQ55" s="1">
        <v>5</v>
      </c>
      <c r="DR55" s="104">
        <f t="shared" ref="DR55:DR56" si="999">DP55/DQ55</f>
        <v>0</v>
      </c>
      <c r="DS55" s="102"/>
      <c r="DT55" s="1">
        <v>5</v>
      </c>
      <c r="DU55" s="104">
        <f t="shared" ref="DU55:DU56" si="1000">DS55/DT55</f>
        <v>0</v>
      </c>
      <c r="DV55" s="102"/>
      <c r="DW55" s="1">
        <v>5</v>
      </c>
      <c r="DX55" s="104">
        <f t="shared" ref="DX55:DX56" si="1001">DV55/DW55</f>
        <v>0</v>
      </c>
      <c r="DY55" s="102"/>
      <c r="DZ55" s="1">
        <v>5</v>
      </c>
      <c r="EA55" s="104">
        <f t="shared" ref="EA55:EA56" si="1002">DY55/DZ55</f>
        <v>0</v>
      </c>
      <c r="EB55" s="102"/>
      <c r="EC55" s="1">
        <v>5</v>
      </c>
      <c r="ED55" s="104">
        <f t="shared" ref="ED55:ED56" si="1003">EB55/EC55</f>
        <v>0</v>
      </c>
      <c r="EE55" s="102"/>
      <c r="EF55" s="1">
        <v>5</v>
      </c>
      <c r="EG55" s="104">
        <f t="shared" ref="EG55:EG56" si="1004">EE55/EF55</f>
        <v>0</v>
      </c>
      <c r="EH55" s="102"/>
      <c r="EI55" s="1">
        <v>5</v>
      </c>
      <c r="EJ55" s="104">
        <f t="shared" ref="EJ55:EJ56" si="1005">EH55/EI55</f>
        <v>0</v>
      </c>
      <c r="EK55" s="102"/>
      <c r="EL55" s="1">
        <v>5</v>
      </c>
      <c r="EM55" s="104">
        <f t="shared" ref="EM55:EM56" si="1006">EK55/EL55</f>
        <v>0</v>
      </c>
      <c r="EN55" s="102"/>
      <c r="EO55" s="1">
        <v>5</v>
      </c>
      <c r="EP55" s="104">
        <f t="shared" ref="EP55:EP56" si="1007">EN55/EO55</f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76" t="s">
        <v>153</v>
      </c>
      <c r="B56" s="101"/>
      <c r="C56" s="102"/>
      <c r="D56" s="103">
        <v>5</v>
      </c>
      <c r="E56" s="104">
        <f t="shared" si="960"/>
        <v>0</v>
      </c>
      <c r="F56" s="102"/>
      <c r="G56" s="103">
        <v>5</v>
      </c>
      <c r="H56" s="104">
        <f t="shared" si="961"/>
        <v>0</v>
      </c>
      <c r="I56" s="105"/>
      <c r="J56" s="103">
        <v>5</v>
      </c>
      <c r="K56" s="104">
        <f t="shared" si="962"/>
        <v>0</v>
      </c>
      <c r="L56" s="105"/>
      <c r="M56" s="103">
        <v>5</v>
      </c>
      <c r="N56" s="104">
        <f t="shared" si="963"/>
        <v>0</v>
      </c>
      <c r="O56" s="106"/>
      <c r="P56" s="107">
        <v>5</v>
      </c>
      <c r="Q56" s="104">
        <f t="shared" si="964"/>
        <v>0</v>
      </c>
      <c r="R56" s="102"/>
      <c r="S56" s="107">
        <v>5</v>
      </c>
      <c r="T56" s="104">
        <f t="shared" si="965"/>
        <v>0</v>
      </c>
      <c r="U56" s="102"/>
      <c r="V56" s="107">
        <v>5</v>
      </c>
      <c r="W56" s="104">
        <f t="shared" si="966"/>
        <v>0</v>
      </c>
      <c r="X56" s="102"/>
      <c r="Y56" s="107">
        <v>5</v>
      </c>
      <c r="Z56" s="104">
        <f t="shared" si="967"/>
        <v>0</v>
      </c>
      <c r="AA56" s="106"/>
      <c r="AB56" s="107">
        <v>5</v>
      </c>
      <c r="AC56" s="104">
        <f t="shared" si="968"/>
        <v>0</v>
      </c>
      <c r="AD56" s="106"/>
      <c r="AE56" s="107">
        <v>5</v>
      </c>
      <c r="AF56" s="104">
        <f t="shared" si="969"/>
        <v>0</v>
      </c>
      <c r="AG56" s="106"/>
      <c r="AH56" s="107">
        <v>5</v>
      </c>
      <c r="AI56" s="104">
        <f t="shared" si="970"/>
        <v>0</v>
      </c>
      <c r="AJ56" s="106"/>
      <c r="AK56" s="107">
        <v>5</v>
      </c>
      <c r="AL56" s="104">
        <f t="shared" si="971"/>
        <v>0</v>
      </c>
      <c r="AM56" s="102"/>
      <c r="AN56" s="1">
        <v>5</v>
      </c>
      <c r="AO56" s="104">
        <f t="shared" si="972"/>
        <v>0</v>
      </c>
      <c r="AP56" s="102"/>
      <c r="AQ56" s="1">
        <v>5</v>
      </c>
      <c r="AR56" s="104">
        <f t="shared" si="973"/>
        <v>0</v>
      </c>
      <c r="AS56" s="102"/>
      <c r="AT56" s="1">
        <v>5</v>
      </c>
      <c r="AU56" s="104">
        <f t="shared" si="974"/>
        <v>0</v>
      </c>
      <c r="AV56" s="102"/>
      <c r="AW56" s="1">
        <v>5</v>
      </c>
      <c r="AX56" s="104">
        <f t="shared" si="975"/>
        <v>0</v>
      </c>
      <c r="AY56" s="102"/>
      <c r="AZ56" s="1">
        <v>5</v>
      </c>
      <c r="BA56" s="104">
        <f t="shared" si="976"/>
        <v>0</v>
      </c>
      <c r="BB56" s="102"/>
      <c r="BC56" s="1">
        <v>5</v>
      </c>
      <c r="BD56" s="104">
        <f t="shared" si="977"/>
        <v>0</v>
      </c>
      <c r="BE56" s="102"/>
      <c r="BF56" s="1">
        <v>5</v>
      </c>
      <c r="BG56" s="104">
        <f t="shared" si="978"/>
        <v>0</v>
      </c>
      <c r="BH56" s="102"/>
      <c r="BI56" s="1">
        <v>5</v>
      </c>
      <c r="BJ56" s="104">
        <f t="shared" si="979"/>
        <v>0</v>
      </c>
      <c r="BK56" s="102"/>
      <c r="BL56" s="1">
        <v>5</v>
      </c>
      <c r="BM56" s="104">
        <f t="shared" si="980"/>
        <v>0</v>
      </c>
      <c r="BN56" s="102"/>
      <c r="BO56" s="1">
        <v>5</v>
      </c>
      <c r="BP56" s="104">
        <f t="shared" si="981"/>
        <v>0</v>
      </c>
      <c r="BQ56" s="102"/>
      <c r="BR56" s="1">
        <v>5</v>
      </c>
      <c r="BS56" s="104">
        <f t="shared" si="982"/>
        <v>0</v>
      </c>
      <c r="BT56" s="102"/>
      <c r="BU56" s="1">
        <v>5</v>
      </c>
      <c r="BV56" s="104">
        <f t="shared" si="983"/>
        <v>0</v>
      </c>
      <c r="BW56" s="102"/>
      <c r="BX56" s="1">
        <v>5</v>
      </c>
      <c r="BY56" s="104">
        <f t="shared" si="984"/>
        <v>0</v>
      </c>
      <c r="BZ56" s="102"/>
      <c r="CA56" s="1">
        <v>5</v>
      </c>
      <c r="CB56" s="104">
        <f t="shared" si="985"/>
        <v>0</v>
      </c>
      <c r="CC56" s="102"/>
      <c r="CD56" s="1">
        <v>5</v>
      </c>
      <c r="CE56" s="104">
        <f t="shared" si="986"/>
        <v>0</v>
      </c>
      <c r="CF56" s="102"/>
      <c r="CG56" s="1">
        <v>5</v>
      </c>
      <c r="CH56" s="104">
        <f t="shared" si="987"/>
        <v>0</v>
      </c>
      <c r="CI56" s="102"/>
      <c r="CJ56" s="1">
        <v>5</v>
      </c>
      <c r="CK56" s="104">
        <f t="shared" si="988"/>
        <v>0</v>
      </c>
      <c r="CL56" s="102"/>
      <c r="CM56" s="1">
        <v>5</v>
      </c>
      <c r="CN56" s="104">
        <f t="shared" si="989"/>
        <v>0</v>
      </c>
      <c r="CO56" s="102"/>
      <c r="CP56" s="1">
        <v>5</v>
      </c>
      <c r="CQ56" s="104">
        <f t="shared" si="990"/>
        <v>0</v>
      </c>
      <c r="CR56" s="102"/>
      <c r="CS56" s="1">
        <v>5</v>
      </c>
      <c r="CT56" s="104">
        <f t="shared" si="991"/>
        <v>0</v>
      </c>
      <c r="CU56" s="102"/>
      <c r="CV56" s="1">
        <v>5</v>
      </c>
      <c r="CW56" s="104">
        <f t="shared" si="992"/>
        <v>0</v>
      </c>
      <c r="CX56" s="102"/>
      <c r="CY56" s="1">
        <v>5</v>
      </c>
      <c r="CZ56" s="104">
        <f t="shared" si="993"/>
        <v>0</v>
      </c>
      <c r="DA56" s="102"/>
      <c r="DB56" s="1">
        <v>5</v>
      </c>
      <c r="DC56" s="104">
        <f t="shared" si="994"/>
        <v>0</v>
      </c>
      <c r="DD56" s="102"/>
      <c r="DE56" s="1">
        <v>5</v>
      </c>
      <c r="DF56" s="104">
        <f t="shared" si="995"/>
        <v>0</v>
      </c>
      <c r="DG56" s="102"/>
      <c r="DH56" s="1">
        <v>5</v>
      </c>
      <c r="DI56" s="104">
        <f t="shared" si="996"/>
        <v>0</v>
      </c>
      <c r="DJ56" s="102"/>
      <c r="DK56" s="1">
        <v>5</v>
      </c>
      <c r="DL56" s="104">
        <f t="shared" si="997"/>
        <v>0</v>
      </c>
      <c r="DM56" s="102"/>
      <c r="DN56" s="1">
        <v>5</v>
      </c>
      <c r="DO56" s="104">
        <f t="shared" si="998"/>
        <v>0</v>
      </c>
      <c r="DP56" s="102"/>
      <c r="DQ56" s="1">
        <v>5</v>
      </c>
      <c r="DR56" s="104">
        <f t="shared" si="999"/>
        <v>0</v>
      </c>
      <c r="DS56" s="102"/>
      <c r="DT56" s="1">
        <v>5</v>
      </c>
      <c r="DU56" s="104">
        <f t="shared" si="1000"/>
        <v>0</v>
      </c>
      <c r="DV56" s="102"/>
      <c r="DW56" s="1">
        <v>5</v>
      </c>
      <c r="DX56" s="104">
        <f t="shared" si="1001"/>
        <v>0</v>
      </c>
      <c r="DY56" s="102"/>
      <c r="DZ56" s="1">
        <v>5</v>
      </c>
      <c r="EA56" s="104">
        <f t="shared" si="1002"/>
        <v>0</v>
      </c>
      <c r="EB56" s="102"/>
      <c r="EC56" s="1">
        <v>5</v>
      </c>
      <c r="ED56" s="104">
        <f t="shared" si="1003"/>
        <v>0</v>
      </c>
      <c r="EE56" s="102"/>
      <c r="EF56" s="1">
        <v>5</v>
      </c>
      <c r="EG56" s="104">
        <f t="shared" si="1004"/>
        <v>0</v>
      </c>
      <c r="EH56" s="102"/>
      <c r="EI56" s="1">
        <v>5</v>
      </c>
      <c r="EJ56" s="104">
        <f t="shared" si="1005"/>
        <v>0</v>
      </c>
      <c r="EK56" s="102"/>
      <c r="EL56" s="1">
        <v>5</v>
      </c>
      <c r="EM56" s="104">
        <f t="shared" si="1006"/>
        <v>0</v>
      </c>
      <c r="EN56" s="102"/>
      <c r="EO56" s="1">
        <v>5</v>
      </c>
      <c r="EP56" s="104">
        <f t="shared" si="1007"/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16" customHeight="1" spans="1:148" x14ac:dyDescent="0.25">
      <c r="A57" s="124" t="s">
        <v>154</v>
      </c>
      <c r="B57" s="125"/>
      <c r="C57" s="126"/>
      <c r="D57" s="127"/>
      <c r="E57" s="82">
        <f>AVERAGE(E58:E64)</f>
        <v>0</v>
      </c>
      <c r="F57" s="126"/>
      <c r="G57" s="127"/>
      <c r="H57" s="82">
        <f>AVERAGE(H58:H64)</f>
        <v>0</v>
      </c>
      <c r="I57" s="126"/>
      <c r="J57" s="127"/>
      <c r="K57" s="82">
        <f>AVERAGE(K58:K64)</f>
        <v>0</v>
      </c>
      <c r="L57" s="126"/>
      <c r="M57" s="127"/>
      <c r="N57" s="82">
        <f>AVERAGE(N58:N64)</f>
        <v>0</v>
      </c>
      <c r="O57" s="126"/>
      <c r="P57" s="127"/>
      <c r="Q57" s="82">
        <f>AVERAGE(Q58:Q64)</f>
        <v>0</v>
      </c>
      <c r="R57" s="126"/>
      <c r="S57" s="127"/>
      <c r="T57" s="82">
        <f>AVERAGE(T58:T64)</f>
        <v>0</v>
      </c>
      <c r="U57" s="126"/>
      <c r="V57" s="127"/>
      <c r="W57" s="82">
        <f>AVERAGE(W58:W64)</f>
        <v>0</v>
      </c>
      <c r="X57" s="126"/>
      <c r="Y57" s="127"/>
      <c r="Z57" s="82">
        <f>AVERAGE(Z58:Z64)</f>
        <v>0</v>
      </c>
      <c r="AA57" s="126"/>
      <c r="AB57" s="127"/>
      <c r="AC57" s="82">
        <f>AVERAGE(AC58:AC64)</f>
        <v>0</v>
      </c>
      <c r="AD57" s="126"/>
      <c r="AE57" s="127"/>
      <c r="AF57" s="82">
        <f>AVERAGE(AF58:AF64)</f>
        <v>0</v>
      </c>
      <c r="AG57" s="126"/>
      <c r="AH57" s="127"/>
      <c r="AI57" s="82">
        <f>AVERAGE(AI58:AI64)</f>
        <v>0</v>
      </c>
      <c r="AJ57" s="126"/>
      <c r="AK57" s="127"/>
      <c r="AL57" s="82">
        <f>AVERAGE(AL58:AL64)</f>
        <v>0</v>
      </c>
      <c r="AM57" s="128"/>
      <c r="AN57" s="127"/>
      <c r="AO57" s="82">
        <f>AVERAGE(AO58:AO64)</f>
        <v>0</v>
      </c>
      <c r="AP57" s="128"/>
      <c r="AQ57" s="129"/>
      <c r="AR57" s="82">
        <f>AVERAGE(AR58:AR64)</f>
        <v>0</v>
      </c>
      <c r="AS57" s="130"/>
      <c r="AT57" s="129"/>
      <c r="AU57" s="82">
        <f>AVERAGE(AU58:AU64)</f>
        <v>0</v>
      </c>
      <c r="AV57" s="128"/>
      <c r="AW57" s="127"/>
      <c r="AX57" s="82">
        <f>AVERAGE(AX58:AX64)</f>
        <v>0</v>
      </c>
      <c r="AY57" s="131"/>
      <c r="AZ57" s="132"/>
      <c r="BA57" s="82">
        <f>AVERAGE(BA58:BA64)</f>
        <v>0</v>
      </c>
      <c r="BB57" s="128"/>
      <c r="BC57" s="132"/>
      <c r="BD57" s="82">
        <f>AVERAGE(BD58:BD64)</f>
        <v>0</v>
      </c>
      <c r="BE57" s="128"/>
      <c r="BF57" s="132"/>
      <c r="BG57" s="82">
        <f>AVERAGE(BG58:BG64)</f>
        <v>0</v>
      </c>
      <c r="BH57" s="128"/>
      <c r="BI57" s="132"/>
      <c r="BJ57" s="82">
        <f>AVERAGE(BJ58:BJ64)</f>
        <v>0</v>
      </c>
      <c r="BK57" s="128"/>
      <c r="BL57" s="132"/>
      <c r="BM57" s="82">
        <f>AVERAGE(BM58:BM64)</f>
        <v>0</v>
      </c>
      <c r="BN57" s="128"/>
      <c r="BO57" s="132"/>
      <c r="BP57" s="82">
        <f>AVERAGE(BP58:BP64)</f>
        <v>0</v>
      </c>
      <c r="BQ57" s="128"/>
      <c r="BR57" s="132"/>
      <c r="BS57" s="82">
        <f>AVERAGE(BS58:BS64)</f>
        <v>0</v>
      </c>
      <c r="BT57" s="128"/>
      <c r="BU57" s="132"/>
      <c r="BV57" s="82">
        <f>AVERAGE(BV58:BV64)</f>
        <v>0</v>
      </c>
      <c r="BW57" s="128"/>
      <c r="BX57" s="132"/>
      <c r="BY57" s="82">
        <f>AVERAGE(BY58:BY64)</f>
        <v>0</v>
      </c>
      <c r="BZ57" s="126"/>
      <c r="CA57" s="127"/>
      <c r="CB57" s="82">
        <f>AVERAGE(CB58:CB64)</f>
        <v>0</v>
      </c>
      <c r="CC57" s="126"/>
      <c r="CD57" s="127"/>
      <c r="CE57" s="82">
        <f>AVERAGE(CE58:CE64)</f>
        <v>0</v>
      </c>
      <c r="CF57" s="126"/>
      <c r="CG57" s="127"/>
      <c r="CH57" s="82">
        <f>AVERAGE(CH58:CH64)</f>
        <v>0</v>
      </c>
      <c r="CI57" s="126"/>
      <c r="CJ57" s="127"/>
      <c r="CK57" s="82">
        <f>AVERAGE(CK58:CK64)</f>
        <v>0</v>
      </c>
      <c r="CL57" s="126"/>
      <c r="CM57" s="127"/>
      <c r="CN57" s="82">
        <f>AVERAGE(CN58:CN64)</f>
        <v>0</v>
      </c>
      <c r="CO57" s="126"/>
      <c r="CP57" s="127"/>
      <c r="CQ57" s="82">
        <f>AVERAGE(CQ58:CQ64)</f>
        <v>0</v>
      </c>
      <c r="CR57" s="126"/>
      <c r="CS57" s="127"/>
      <c r="CT57" s="82">
        <f>AVERAGE(CT58:CT64)</f>
        <v>0</v>
      </c>
      <c r="CU57" s="126"/>
      <c r="CV57" s="127"/>
      <c r="CW57" s="82">
        <f>AVERAGE(CW58:CW64)</f>
        <v>0</v>
      </c>
      <c r="CX57" s="126"/>
      <c r="CY57" s="127"/>
      <c r="CZ57" s="82">
        <f>AVERAGE(CZ58:CZ64)</f>
        <v>0</v>
      </c>
      <c r="DA57" s="126"/>
      <c r="DB57" s="127"/>
      <c r="DC57" s="82">
        <f>AVERAGE(DC58:DC64)</f>
        <v>0</v>
      </c>
      <c r="DD57" s="126"/>
      <c r="DE57" s="127"/>
      <c r="DF57" s="82">
        <f>AVERAGE(DF58:DF64)</f>
        <v>0</v>
      </c>
      <c r="DG57" s="126"/>
      <c r="DH57" s="127"/>
      <c r="DI57" s="82">
        <f>AVERAGE(DI58:DI64)</f>
        <v>0</v>
      </c>
      <c r="DJ57" s="126"/>
      <c r="DK57" s="127"/>
      <c r="DL57" s="82">
        <f>AVERAGE(DL58:DL64)</f>
        <v>0</v>
      </c>
      <c r="DM57" s="126"/>
      <c r="DN57" s="127"/>
      <c r="DO57" s="82">
        <f>AVERAGE(DO58:DO64)</f>
        <v>0</v>
      </c>
      <c r="DP57" s="126"/>
      <c r="DQ57" s="127"/>
      <c r="DR57" s="82">
        <f>AVERAGE(DR58:DR64)</f>
        <v>0</v>
      </c>
      <c r="DS57" s="126"/>
      <c r="DT57" s="127"/>
      <c r="DU57" s="82">
        <f>AVERAGE(DU58:DU64)</f>
        <v>0</v>
      </c>
      <c r="DV57" s="126"/>
      <c r="DW57" s="127"/>
      <c r="DX57" s="82">
        <f>AVERAGE(DX58:DX64)</f>
        <v>0</v>
      </c>
      <c r="DY57" s="126"/>
      <c r="DZ57" s="127"/>
      <c r="EA57" s="82">
        <f>AVERAGE(EA58:EA64)</f>
        <v>0</v>
      </c>
      <c r="EB57" s="126"/>
      <c r="EC57" s="127"/>
      <c r="ED57" s="82">
        <f>AVERAGE(ED58:ED64)</f>
        <v>0</v>
      </c>
      <c r="EE57" s="126"/>
      <c r="EF57" s="127"/>
      <c r="EG57" s="82">
        <f>AVERAGE(EG58:EG64)</f>
        <v>0</v>
      </c>
      <c r="EH57" s="126"/>
      <c r="EI57" s="127"/>
      <c r="EJ57" s="82">
        <f>AVERAGE(EJ58:EJ64)</f>
        <v>0</v>
      </c>
      <c r="EK57" s="126"/>
      <c r="EL57" s="127"/>
      <c r="EM57" s="82">
        <f>AVERAGE(EM58:EM64)</f>
        <v>0</v>
      </c>
      <c r="EN57" s="126"/>
      <c r="EO57" s="127"/>
      <c r="EP57" s="82">
        <f>AVERAGE(EP58:EP64)</f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62" t="str">
        <f t="array" ref="ER57">_xlfn.IFS(EQ57&gt;=91.5%,"MENSUAL",EQ57&gt;=75%,"QUINCENAL",EQ57&lt;75%,"SEMANAL")</f>
        <v>SEMANAL</v>
      </c>
    </row>
    <row r="58" ht="30.5" customHeight="1" spans="1:148" x14ac:dyDescent="0.25">
      <c r="A58" s="177" t="s">
        <v>123</v>
      </c>
      <c r="B58" s="101"/>
      <c r="C58" s="90"/>
      <c r="D58" s="91">
        <v>5</v>
      </c>
      <c r="E58" s="92">
        <f>C58/D58</f>
        <v>0</v>
      </c>
      <c r="F58" s="90"/>
      <c r="G58" s="91">
        <v>5</v>
      </c>
      <c r="H58" s="92">
        <f>F58/G58</f>
        <v>0</v>
      </c>
      <c r="I58" s="93"/>
      <c r="J58" s="91">
        <v>5</v>
      </c>
      <c r="K58" s="92">
        <f>I58/J58</f>
        <v>0</v>
      </c>
      <c r="L58" s="93"/>
      <c r="M58" s="91">
        <v>5</v>
      </c>
      <c r="N58" s="92">
        <f>L58/M58</f>
        <v>0</v>
      </c>
      <c r="O58" s="94"/>
      <c r="P58" s="95">
        <v>5</v>
      </c>
      <c r="Q58" s="92">
        <f>O58/P58</f>
        <v>0</v>
      </c>
      <c r="R58" s="90"/>
      <c r="S58" s="95">
        <v>5</v>
      </c>
      <c r="T58" s="92">
        <f>R58/S58</f>
        <v>0</v>
      </c>
      <c r="U58" s="90"/>
      <c r="V58" s="95">
        <v>5</v>
      </c>
      <c r="W58" s="92">
        <f>U58/V58</f>
        <v>0</v>
      </c>
      <c r="X58" s="90"/>
      <c r="Y58" s="95">
        <v>5</v>
      </c>
      <c r="Z58" s="92">
        <f>X58/Y58</f>
        <v>0</v>
      </c>
      <c r="AA58" s="94"/>
      <c r="AB58" s="95">
        <v>5</v>
      </c>
      <c r="AC58" s="92">
        <f>AA58/AB58</f>
        <v>0</v>
      </c>
      <c r="AD58" s="94"/>
      <c r="AE58" s="95">
        <v>5</v>
      </c>
      <c r="AF58" s="92">
        <f>AD58/AE58</f>
        <v>0</v>
      </c>
      <c r="AG58" s="94"/>
      <c r="AH58" s="95">
        <v>5</v>
      </c>
      <c r="AI58" s="92">
        <f>AG58/AH58</f>
        <v>0</v>
      </c>
      <c r="AJ58" s="94"/>
      <c r="AK58" s="95">
        <v>5</v>
      </c>
      <c r="AL58" s="92">
        <f>AJ58/AK58</f>
        <v>0</v>
      </c>
      <c r="AM58" s="90"/>
      <c r="AN58" s="96">
        <v>5</v>
      </c>
      <c r="AO58" s="92">
        <f>AM58/AN58</f>
        <v>0</v>
      </c>
      <c r="AP58" s="90"/>
      <c r="AQ58" s="96">
        <v>5</v>
      </c>
      <c r="AR58" s="92">
        <f>AP58/AQ58</f>
        <v>0</v>
      </c>
      <c r="AS58" s="90"/>
      <c r="AT58" s="96">
        <v>5</v>
      </c>
      <c r="AU58" s="92">
        <f>AS58/AT58</f>
        <v>0</v>
      </c>
      <c r="AV58" s="90"/>
      <c r="AW58" s="96">
        <v>5</v>
      </c>
      <c r="AX58" s="92">
        <f>AV58/AW58</f>
        <v>0</v>
      </c>
      <c r="AY58" s="90"/>
      <c r="AZ58" s="96">
        <v>5</v>
      </c>
      <c r="BA58" s="92">
        <f>AY58/AZ58</f>
        <v>0</v>
      </c>
      <c r="BB58" s="90"/>
      <c r="BC58" s="96">
        <v>5</v>
      </c>
      <c r="BD58" s="92">
        <f>BB58/BC58</f>
        <v>0</v>
      </c>
      <c r="BE58" s="90"/>
      <c r="BF58" s="96">
        <v>5</v>
      </c>
      <c r="BG58" s="92">
        <f>BE58/BF58</f>
        <v>0</v>
      </c>
      <c r="BH58" s="90"/>
      <c r="BI58" s="96">
        <v>5</v>
      </c>
      <c r="BJ58" s="92">
        <f>BH58/BI58</f>
        <v>0</v>
      </c>
      <c r="BK58" s="90"/>
      <c r="BL58" s="96">
        <v>5</v>
      </c>
      <c r="BM58" s="92">
        <f>BK58/BL58</f>
        <v>0</v>
      </c>
      <c r="BN58" s="90"/>
      <c r="BO58" s="96">
        <v>5</v>
      </c>
      <c r="BP58" s="92">
        <f>BN58/BO58</f>
        <v>0</v>
      </c>
      <c r="BQ58" s="90"/>
      <c r="BR58" s="96">
        <v>5</v>
      </c>
      <c r="BS58" s="92">
        <f>BQ58/BR58</f>
        <v>0</v>
      </c>
      <c r="BT58" s="90"/>
      <c r="BU58" s="96">
        <v>5</v>
      </c>
      <c r="BV58" s="92">
        <f>BT58/BU58</f>
        <v>0</v>
      </c>
      <c r="BW58" s="90"/>
      <c r="BX58" s="96">
        <v>5</v>
      </c>
      <c r="BY58" s="92">
        <f>BW58/BX58</f>
        <v>0</v>
      </c>
      <c r="BZ58" s="90"/>
      <c r="CA58" s="96">
        <v>5</v>
      </c>
      <c r="CB58" s="92">
        <f>BZ58/CA58</f>
        <v>0</v>
      </c>
      <c r="CC58" s="90"/>
      <c r="CD58" s="96">
        <v>5</v>
      </c>
      <c r="CE58" s="92">
        <f>CC58/CD58</f>
        <v>0</v>
      </c>
      <c r="CF58" s="90"/>
      <c r="CG58" s="96">
        <v>5</v>
      </c>
      <c r="CH58" s="92">
        <f>CF58/CG58</f>
        <v>0</v>
      </c>
      <c r="CI58" s="90"/>
      <c r="CJ58" s="96">
        <v>5</v>
      </c>
      <c r="CK58" s="92">
        <f>CI58/CJ58</f>
        <v>0</v>
      </c>
      <c r="CL58" s="90"/>
      <c r="CM58" s="96">
        <v>5</v>
      </c>
      <c r="CN58" s="92">
        <f>CL58/CM58</f>
        <v>0</v>
      </c>
      <c r="CO58" s="90"/>
      <c r="CP58" s="96">
        <v>5</v>
      </c>
      <c r="CQ58" s="92">
        <f>CO58/CP58</f>
        <v>0</v>
      </c>
      <c r="CR58" s="90"/>
      <c r="CS58" s="96">
        <v>5</v>
      </c>
      <c r="CT58" s="92">
        <f>CR58/CS58</f>
        <v>0</v>
      </c>
      <c r="CU58" s="90"/>
      <c r="CV58" s="96">
        <v>5</v>
      </c>
      <c r="CW58" s="92">
        <f>CU58/CV58</f>
        <v>0</v>
      </c>
      <c r="CX58" s="90"/>
      <c r="CY58" s="96">
        <v>5</v>
      </c>
      <c r="CZ58" s="92">
        <f>CX58/CY58</f>
        <v>0</v>
      </c>
      <c r="DA58" s="90"/>
      <c r="DB58" s="96">
        <v>5</v>
      </c>
      <c r="DC58" s="92">
        <f>DA58/DB58</f>
        <v>0</v>
      </c>
      <c r="DD58" s="90"/>
      <c r="DE58" s="96">
        <v>5</v>
      </c>
      <c r="DF58" s="92">
        <f>DD58/DE58</f>
        <v>0</v>
      </c>
      <c r="DG58" s="90"/>
      <c r="DH58" s="96">
        <v>5</v>
      </c>
      <c r="DI58" s="92">
        <f>DG58/DH58</f>
        <v>0</v>
      </c>
      <c r="DJ58" s="90"/>
      <c r="DK58" s="96">
        <v>5</v>
      </c>
      <c r="DL58" s="92">
        <f>DJ58/DK58</f>
        <v>0</v>
      </c>
      <c r="DM58" s="90"/>
      <c r="DN58" s="96">
        <v>5</v>
      </c>
      <c r="DO58" s="92">
        <f>DM58/DN58</f>
        <v>0</v>
      </c>
      <c r="DP58" s="90"/>
      <c r="DQ58" s="96">
        <v>5</v>
      </c>
      <c r="DR58" s="92">
        <f>DP58/DQ58</f>
        <v>0</v>
      </c>
      <c r="DS58" s="90"/>
      <c r="DT58" s="96">
        <v>5</v>
      </c>
      <c r="DU58" s="92">
        <f>DS58/DT58</f>
        <v>0</v>
      </c>
      <c r="DV58" s="90"/>
      <c r="DW58" s="96">
        <v>5</v>
      </c>
      <c r="DX58" s="92">
        <f>DV58/DW58</f>
        <v>0</v>
      </c>
      <c r="DY58" s="90"/>
      <c r="DZ58" s="96">
        <v>5</v>
      </c>
      <c r="EA58" s="92">
        <f>DY58/DZ58</f>
        <v>0</v>
      </c>
      <c r="EB58" s="90"/>
      <c r="EC58" s="96">
        <v>5</v>
      </c>
      <c r="ED58" s="92">
        <f>EB58/EC58</f>
        <v>0</v>
      </c>
      <c r="EE58" s="90"/>
      <c r="EF58" s="96">
        <v>5</v>
      </c>
      <c r="EG58" s="92">
        <f>EE58/EF58</f>
        <v>0</v>
      </c>
      <c r="EH58" s="90"/>
      <c r="EI58" s="96">
        <v>5</v>
      </c>
      <c r="EJ58" s="92">
        <f>EH58/EI58</f>
        <v>0</v>
      </c>
      <c r="EK58" s="90"/>
      <c r="EL58" s="96">
        <v>5</v>
      </c>
      <c r="EM58" s="92">
        <f>EK58/EL58</f>
        <v>0</v>
      </c>
      <c r="EN58" s="90"/>
      <c r="EO58" s="96">
        <v>5</v>
      </c>
      <c r="EP58" s="92">
        <f>EN58/EO58</f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16" customHeight="1" spans="1:148" x14ac:dyDescent="0.25">
      <c r="A59" s="169" t="s">
        <v>124</v>
      </c>
      <c r="B59" s="101"/>
      <c r="C59" s="102"/>
      <c r="D59" s="103">
        <v>5</v>
      </c>
      <c r="E59" s="104">
        <f t="shared" ref="E59" si="1008">C59/D59</f>
        <v>0</v>
      </c>
      <c r="F59" s="102"/>
      <c r="G59" s="103">
        <v>5</v>
      </c>
      <c r="H59" s="104">
        <f t="shared" ref="H59" si="1009">F59/G59</f>
        <v>0</v>
      </c>
      <c r="I59" s="105"/>
      <c r="J59" s="103">
        <v>5</v>
      </c>
      <c r="K59" s="104">
        <f t="shared" ref="K59" si="1010">I59/J59</f>
        <v>0</v>
      </c>
      <c r="L59" s="105"/>
      <c r="M59" s="103">
        <v>5</v>
      </c>
      <c r="N59" s="104">
        <f t="shared" ref="N59" si="1011">L59/M59</f>
        <v>0</v>
      </c>
      <c r="O59" s="106"/>
      <c r="P59" s="107">
        <v>5</v>
      </c>
      <c r="Q59" s="104">
        <f t="shared" ref="Q59" si="1012">O59/P59</f>
        <v>0</v>
      </c>
      <c r="R59" s="102"/>
      <c r="S59" s="107">
        <v>5</v>
      </c>
      <c r="T59" s="104">
        <f t="shared" ref="T59" si="1013">R59/S59</f>
        <v>0</v>
      </c>
      <c r="U59" s="102"/>
      <c r="V59" s="107">
        <v>5</v>
      </c>
      <c r="W59" s="104">
        <f t="shared" ref="W59" si="1014">U59/V59</f>
        <v>0</v>
      </c>
      <c r="X59" s="102"/>
      <c r="Y59" s="107">
        <v>5</v>
      </c>
      <c r="Z59" s="104">
        <f t="shared" ref="Z59" si="1015">X59/Y59</f>
        <v>0</v>
      </c>
      <c r="AA59" s="106"/>
      <c r="AB59" s="107">
        <v>5</v>
      </c>
      <c r="AC59" s="104">
        <f t="shared" ref="AC59" si="1016">AA59/AB59</f>
        <v>0</v>
      </c>
      <c r="AD59" s="106"/>
      <c r="AE59" s="107">
        <v>5</v>
      </c>
      <c r="AF59" s="104">
        <f t="shared" ref="AF59" si="1017">AD59/AE59</f>
        <v>0</v>
      </c>
      <c r="AG59" s="106"/>
      <c r="AH59" s="107">
        <v>5</v>
      </c>
      <c r="AI59" s="104">
        <f t="shared" ref="AI59" si="1018">AG59/AH59</f>
        <v>0</v>
      </c>
      <c r="AJ59" s="106"/>
      <c r="AK59" s="107">
        <v>5</v>
      </c>
      <c r="AL59" s="104">
        <f t="shared" ref="AL59" si="1019">AJ59/AK59</f>
        <v>0</v>
      </c>
      <c r="AM59" s="102"/>
      <c r="AN59" s="1">
        <v>5</v>
      </c>
      <c r="AO59" s="104">
        <f t="shared" ref="AO59" si="1020">AM59/AN59</f>
        <v>0</v>
      </c>
      <c r="AP59" s="102"/>
      <c r="AQ59" s="1">
        <v>5</v>
      </c>
      <c r="AR59" s="104">
        <f t="shared" ref="AR59" si="1021">AP59/AQ59</f>
        <v>0</v>
      </c>
      <c r="AS59" s="102"/>
      <c r="AT59" s="1">
        <v>5</v>
      </c>
      <c r="AU59" s="104">
        <f t="shared" ref="AU59" si="1022">AS59/AT59</f>
        <v>0</v>
      </c>
      <c r="AV59" s="102"/>
      <c r="AW59" s="1">
        <v>5</v>
      </c>
      <c r="AX59" s="104">
        <f t="shared" ref="AX59" si="1023">AV59/AW59</f>
        <v>0</v>
      </c>
      <c r="AY59" s="102"/>
      <c r="AZ59" s="1">
        <v>5</v>
      </c>
      <c r="BA59" s="104">
        <f t="shared" ref="BA59" si="1024">AY59/AZ59</f>
        <v>0</v>
      </c>
      <c r="BB59" s="102"/>
      <c r="BC59" s="1">
        <v>5</v>
      </c>
      <c r="BD59" s="104">
        <f t="shared" ref="BD59" si="1025">BB59/BC59</f>
        <v>0</v>
      </c>
      <c r="BE59" s="102"/>
      <c r="BF59" s="1">
        <v>5</v>
      </c>
      <c r="BG59" s="104">
        <f t="shared" ref="BG59" si="1026">BE59/BF59</f>
        <v>0</v>
      </c>
      <c r="BH59" s="102"/>
      <c r="BI59" s="1">
        <v>5</v>
      </c>
      <c r="BJ59" s="104">
        <f t="shared" ref="BJ59" si="1027">BH59/BI59</f>
        <v>0</v>
      </c>
      <c r="BK59" s="102"/>
      <c r="BL59" s="1">
        <v>5</v>
      </c>
      <c r="BM59" s="104">
        <f t="shared" ref="BM59" si="1028">BK59/BL59</f>
        <v>0</v>
      </c>
      <c r="BN59" s="102"/>
      <c r="BO59" s="1">
        <v>5</v>
      </c>
      <c r="BP59" s="104">
        <f t="shared" ref="BP59" si="1029">BN59/BO59</f>
        <v>0</v>
      </c>
      <c r="BQ59" s="102"/>
      <c r="BR59" s="1">
        <v>5</v>
      </c>
      <c r="BS59" s="104">
        <f t="shared" ref="BS59" si="1030">BQ59/BR59</f>
        <v>0</v>
      </c>
      <c r="BT59" s="102"/>
      <c r="BU59" s="1">
        <v>5</v>
      </c>
      <c r="BV59" s="104">
        <f t="shared" ref="BV59" si="1031">BT59/BU59</f>
        <v>0</v>
      </c>
      <c r="BW59" s="102"/>
      <c r="BX59" s="1">
        <v>5</v>
      </c>
      <c r="BY59" s="104">
        <f t="shared" ref="BY59" si="1032">BW59/BX59</f>
        <v>0</v>
      </c>
      <c r="BZ59" s="102"/>
      <c r="CA59" s="1">
        <v>5</v>
      </c>
      <c r="CB59" s="104">
        <f t="shared" ref="CB59" si="1033">BZ59/CA59</f>
        <v>0</v>
      </c>
      <c r="CC59" s="102"/>
      <c r="CD59" s="1">
        <v>5</v>
      </c>
      <c r="CE59" s="104">
        <f t="shared" ref="CE59" si="1034">CC59/CD59</f>
        <v>0</v>
      </c>
      <c r="CF59" s="102"/>
      <c r="CG59" s="1">
        <v>5</v>
      </c>
      <c r="CH59" s="104">
        <f t="shared" ref="CH59" si="1035">CF59/CG59</f>
        <v>0</v>
      </c>
      <c r="CI59" s="102"/>
      <c r="CJ59" s="1">
        <v>5</v>
      </c>
      <c r="CK59" s="104">
        <f t="shared" ref="CK59" si="1036">CI59/CJ59</f>
        <v>0</v>
      </c>
      <c r="CL59" s="102"/>
      <c r="CM59" s="1">
        <v>5</v>
      </c>
      <c r="CN59" s="104">
        <f t="shared" ref="CN59" si="1037">CL59/CM59</f>
        <v>0</v>
      </c>
      <c r="CO59" s="102"/>
      <c r="CP59" s="1">
        <v>5</v>
      </c>
      <c r="CQ59" s="104">
        <f t="shared" ref="CQ59" si="1038">CO59/CP59</f>
        <v>0</v>
      </c>
      <c r="CR59" s="102"/>
      <c r="CS59" s="1">
        <v>5</v>
      </c>
      <c r="CT59" s="104">
        <f t="shared" ref="CT59" si="1039">CR59/CS59</f>
        <v>0</v>
      </c>
      <c r="CU59" s="102"/>
      <c r="CV59" s="1">
        <v>5</v>
      </c>
      <c r="CW59" s="104">
        <f t="shared" ref="CW59" si="1040">CU59/CV59</f>
        <v>0</v>
      </c>
      <c r="CX59" s="102"/>
      <c r="CY59" s="1">
        <v>5</v>
      </c>
      <c r="CZ59" s="104">
        <f t="shared" ref="CZ59" si="1041">CX59/CY59</f>
        <v>0</v>
      </c>
      <c r="DA59" s="102"/>
      <c r="DB59" s="1">
        <v>5</v>
      </c>
      <c r="DC59" s="104">
        <f t="shared" ref="DC59" si="1042">DA59/DB59</f>
        <v>0</v>
      </c>
      <c r="DD59" s="102"/>
      <c r="DE59" s="1">
        <v>5</v>
      </c>
      <c r="DF59" s="104">
        <f t="shared" ref="DF59" si="1043">DD59/DE59</f>
        <v>0</v>
      </c>
      <c r="DG59" s="102"/>
      <c r="DH59" s="1">
        <v>5</v>
      </c>
      <c r="DI59" s="104">
        <f t="shared" ref="DI59" si="1044">DG59/DH59</f>
        <v>0</v>
      </c>
      <c r="DJ59" s="102"/>
      <c r="DK59" s="1">
        <v>5</v>
      </c>
      <c r="DL59" s="104">
        <f t="shared" ref="DL59" si="1045">DJ59/DK59</f>
        <v>0</v>
      </c>
      <c r="DM59" s="102"/>
      <c r="DN59" s="1">
        <v>5</v>
      </c>
      <c r="DO59" s="104">
        <f t="shared" ref="DO59" si="1046">DM59/DN59</f>
        <v>0</v>
      </c>
      <c r="DP59" s="102"/>
      <c r="DQ59" s="1">
        <v>5</v>
      </c>
      <c r="DR59" s="104">
        <f t="shared" ref="DR59" si="1047">DP59/DQ59</f>
        <v>0</v>
      </c>
      <c r="DS59" s="102"/>
      <c r="DT59" s="1">
        <v>5</v>
      </c>
      <c r="DU59" s="104">
        <f t="shared" ref="DU59" si="1048">DS59/DT59</f>
        <v>0</v>
      </c>
      <c r="DV59" s="102"/>
      <c r="DW59" s="1">
        <v>5</v>
      </c>
      <c r="DX59" s="104">
        <f t="shared" ref="DX59" si="1049">DV59/DW59</f>
        <v>0</v>
      </c>
      <c r="DY59" s="102"/>
      <c r="DZ59" s="1">
        <v>5</v>
      </c>
      <c r="EA59" s="104">
        <f t="shared" ref="EA59" si="1050">DY59/DZ59</f>
        <v>0</v>
      </c>
      <c r="EB59" s="102"/>
      <c r="EC59" s="1">
        <v>5</v>
      </c>
      <c r="ED59" s="104">
        <f t="shared" ref="ED59" si="1051">EB59/EC59</f>
        <v>0</v>
      </c>
      <c r="EE59" s="102"/>
      <c r="EF59" s="1">
        <v>5</v>
      </c>
      <c r="EG59" s="104">
        <f t="shared" ref="EG59" si="1052">EE59/EF59</f>
        <v>0</v>
      </c>
      <c r="EH59" s="102"/>
      <c r="EI59" s="1">
        <v>5</v>
      </c>
      <c r="EJ59" s="104">
        <f t="shared" ref="EJ59" si="1053">EH59/EI59</f>
        <v>0</v>
      </c>
      <c r="EK59" s="102"/>
      <c r="EL59" s="1">
        <v>5</v>
      </c>
      <c r="EM59" s="104">
        <f t="shared" ref="EM59" si="1054">EK59/EL59</f>
        <v>0</v>
      </c>
      <c r="EN59" s="102"/>
      <c r="EO59" s="1">
        <v>5</v>
      </c>
      <c r="EP59" s="104">
        <f t="shared" ref="EP59" si="1055">EN59/EO59</f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16" customHeight="1" spans="1:148" x14ac:dyDescent="0.25">
      <c r="A60" s="169" t="s">
        <v>125</v>
      </c>
      <c r="B60" s="101"/>
      <c r="C60" s="90"/>
      <c r="D60" s="91">
        <v>5</v>
      </c>
      <c r="E60" s="92">
        <f>C60/D60</f>
        <v>0</v>
      </c>
      <c r="F60" s="90"/>
      <c r="G60" s="91">
        <v>5</v>
      </c>
      <c r="H60" s="92">
        <f>F60/G60</f>
        <v>0</v>
      </c>
      <c r="I60" s="93"/>
      <c r="J60" s="91">
        <v>5</v>
      </c>
      <c r="K60" s="92">
        <f>I60/J60</f>
        <v>0</v>
      </c>
      <c r="L60" s="93"/>
      <c r="M60" s="91">
        <v>5</v>
      </c>
      <c r="N60" s="92">
        <f>L60/M60</f>
        <v>0</v>
      </c>
      <c r="O60" s="94"/>
      <c r="P60" s="95">
        <v>5</v>
      </c>
      <c r="Q60" s="92">
        <f>O60/P60</f>
        <v>0</v>
      </c>
      <c r="R60" s="90"/>
      <c r="S60" s="95">
        <v>5</v>
      </c>
      <c r="T60" s="92">
        <f>R60/S60</f>
        <v>0</v>
      </c>
      <c r="U60" s="90"/>
      <c r="V60" s="95">
        <v>5</v>
      </c>
      <c r="W60" s="92">
        <f>U60/V60</f>
        <v>0</v>
      </c>
      <c r="X60" s="90"/>
      <c r="Y60" s="95">
        <v>5</v>
      </c>
      <c r="Z60" s="92">
        <f>X60/Y60</f>
        <v>0</v>
      </c>
      <c r="AA60" s="94"/>
      <c r="AB60" s="95">
        <v>5</v>
      </c>
      <c r="AC60" s="92">
        <f>AA60/AB60</f>
        <v>0</v>
      </c>
      <c r="AD60" s="94"/>
      <c r="AE60" s="95">
        <v>5</v>
      </c>
      <c r="AF60" s="92">
        <f>AD60/AE60</f>
        <v>0</v>
      </c>
      <c r="AG60" s="94"/>
      <c r="AH60" s="95">
        <v>5</v>
      </c>
      <c r="AI60" s="92">
        <f>AG60/AH60</f>
        <v>0</v>
      </c>
      <c r="AJ60" s="94"/>
      <c r="AK60" s="95">
        <v>5</v>
      </c>
      <c r="AL60" s="92">
        <f>AJ60/AK60</f>
        <v>0</v>
      </c>
      <c r="AM60" s="90"/>
      <c r="AN60" s="96">
        <v>5</v>
      </c>
      <c r="AO60" s="92">
        <f>AM60/AN60</f>
        <v>0</v>
      </c>
      <c r="AP60" s="90"/>
      <c r="AQ60" s="96">
        <v>5</v>
      </c>
      <c r="AR60" s="92">
        <f>AP60/AQ60</f>
        <v>0</v>
      </c>
      <c r="AS60" s="90"/>
      <c r="AT60" s="96">
        <v>5</v>
      </c>
      <c r="AU60" s="92">
        <f>AS60/AT60</f>
        <v>0</v>
      </c>
      <c r="AV60" s="90"/>
      <c r="AW60" s="96">
        <v>5</v>
      </c>
      <c r="AX60" s="92">
        <f>AV60/AW60</f>
        <v>0</v>
      </c>
      <c r="AY60" s="90"/>
      <c r="AZ60" s="96">
        <v>5</v>
      </c>
      <c r="BA60" s="92">
        <f>AY60/AZ60</f>
        <v>0</v>
      </c>
      <c r="BB60" s="90"/>
      <c r="BC60" s="96">
        <v>5</v>
      </c>
      <c r="BD60" s="92">
        <f>BB60/BC60</f>
        <v>0</v>
      </c>
      <c r="BE60" s="90"/>
      <c r="BF60" s="96">
        <v>5</v>
      </c>
      <c r="BG60" s="92">
        <f>BE60/BF60</f>
        <v>0</v>
      </c>
      <c r="BH60" s="90"/>
      <c r="BI60" s="96">
        <v>5</v>
      </c>
      <c r="BJ60" s="92">
        <f>BH60/BI60</f>
        <v>0</v>
      </c>
      <c r="BK60" s="90"/>
      <c r="BL60" s="96">
        <v>5</v>
      </c>
      <c r="BM60" s="92">
        <f>BK60/BL60</f>
        <v>0</v>
      </c>
      <c r="BN60" s="90"/>
      <c r="BO60" s="96">
        <v>5</v>
      </c>
      <c r="BP60" s="92">
        <f>BN60/BO60</f>
        <v>0</v>
      </c>
      <c r="BQ60" s="90"/>
      <c r="BR60" s="96">
        <v>5</v>
      </c>
      <c r="BS60" s="92">
        <f>BQ60/BR60</f>
        <v>0</v>
      </c>
      <c r="BT60" s="90"/>
      <c r="BU60" s="96">
        <v>5</v>
      </c>
      <c r="BV60" s="92">
        <f>BT60/BU60</f>
        <v>0</v>
      </c>
      <c r="BW60" s="90"/>
      <c r="BX60" s="96">
        <v>5</v>
      </c>
      <c r="BY60" s="92">
        <f>BW60/BX60</f>
        <v>0</v>
      </c>
      <c r="BZ60" s="90"/>
      <c r="CA60" s="96">
        <v>5</v>
      </c>
      <c r="CB60" s="92">
        <f>BZ60/CA60</f>
        <v>0</v>
      </c>
      <c r="CC60" s="90"/>
      <c r="CD60" s="96">
        <v>5</v>
      </c>
      <c r="CE60" s="92">
        <f>CC60/CD60</f>
        <v>0</v>
      </c>
      <c r="CF60" s="90"/>
      <c r="CG60" s="96">
        <v>5</v>
      </c>
      <c r="CH60" s="92">
        <f>CF60/CG60</f>
        <v>0</v>
      </c>
      <c r="CI60" s="90"/>
      <c r="CJ60" s="96">
        <v>5</v>
      </c>
      <c r="CK60" s="92">
        <f>CI60/CJ60</f>
        <v>0</v>
      </c>
      <c r="CL60" s="90"/>
      <c r="CM60" s="96">
        <v>5</v>
      </c>
      <c r="CN60" s="92">
        <f>CL60/CM60</f>
        <v>0</v>
      </c>
      <c r="CO60" s="90"/>
      <c r="CP60" s="96">
        <v>5</v>
      </c>
      <c r="CQ60" s="92">
        <f>CO60/CP60</f>
        <v>0</v>
      </c>
      <c r="CR60" s="90"/>
      <c r="CS60" s="96">
        <v>5</v>
      </c>
      <c r="CT60" s="92">
        <f>CR60/CS60</f>
        <v>0</v>
      </c>
      <c r="CU60" s="90"/>
      <c r="CV60" s="96">
        <v>5</v>
      </c>
      <c r="CW60" s="92">
        <f>CU60/CV60</f>
        <v>0</v>
      </c>
      <c r="CX60" s="90"/>
      <c r="CY60" s="96">
        <v>5</v>
      </c>
      <c r="CZ60" s="92">
        <f>CX60/CY60</f>
        <v>0</v>
      </c>
      <c r="DA60" s="90"/>
      <c r="DB60" s="96">
        <v>5</v>
      </c>
      <c r="DC60" s="92">
        <f>DA60/DB60</f>
        <v>0</v>
      </c>
      <c r="DD60" s="90"/>
      <c r="DE60" s="96">
        <v>5</v>
      </c>
      <c r="DF60" s="92">
        <f>DD60/DE60</f>
        <v>0</v>
      </c>
      <c r="DG60" s="90"/>
      <c r="DH60" s="96">
        <v>5</v>
      </c>
      <c r="DI60" s="92">
        <f>DG60/DH60</f>
        <v>0</v>
      </c>
      <c r="DJ60" s="90"/>
      <c r="DK60" s="96">
        <v>5</v>
      </c>
      <c r="DL60" s="92">
        <f>DJ60/DK60</f>
        <v>0</v>
      </c>
      <c r="DM60" s="90"/>
      <c r="DN60" s="96">
        <v>5</v>
      </c>
      <c r="DO60" s="92">
        <f>DM60/DN60</f>
        <v>0</v>
      </c>
      <c r="DP60" s="90"/>
      <c r="DQ60" s="96">
        <v>5</v>
      </c>
      <c r="DR60" s="92">
        <f>DP60/DQ60</f>
        <v>0</v>
      </c>
      <c r="DS60" s="90"/>
      <c r="DT60" s="96">
        <v>5</v>
      </c>
      <c r="DU60" s="92">
        <f>DS60/DT60</f>
        <v>0</v>
      </c>
      <c r="DV60" s="90"/>
      <c r="DW60" s="96">
        <v>5</v>
      </c>
      <c r="DX60" s="92">
        <f>DV60/DW60</f>
        <v>0</v>
      </c>
      <c r="DY60" s="90"/>
      <c r="DZ60" s="96">
        <v>5</v>
      </c>
      <c r="EA60" s="92">
        <f>DY60/DZ60</f>
        <v>0</v>
      </c>
      <c r="EB60" s="90"/>
      <c r="EC60" s="96">
        <v>5</v>
      </c>
      <c r="ED60" s="92">
        <f>EB60/EC60</f>
        <v>0</v>
      </c>
      <c r="EE60" s="90"/>
      <c r="EF60" s="96">
        <v>5</v>
      </c>
      <c r="EG60" s="92">
        <f>EE60/EF60</f>
        <v>0</v>
      </c>
      <c r="EH60" s="90"/>
      <c r="EI60" s="96">
        <v>5</v>
      </c>
      <c r="EJ60" s="92">
        <f>EH60/EI60</f>
        <v>0</v>
      </c>
      <c r="EK60" s="90"/>
      <c r="EL60" s="96">
        <v>5</v>
      </c>
      <c r="EM60" s="92">
        <f>EK60/EL60</f>
        <v>0</v>
      </c>
      <c r="EN60" s="90"/>
      <c r="EO60" s="96">
        <v>5</v>
      </c>
      <c r="EP60" s="92">
        <f>EN60/EO60</f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25.5" customHeight="1" spans="1:148" x14ac:dyDescent="0.25">
      <c r="A61" s="169" t="s">
        <v>155</v>
      </c>
      <c r="B61" s="101"/>
      <c r="C61" s="102"/>
      <c r="D61" s="103">
        <v>5</v>
      </c>
      <c r="E61" s="104">
        <f t="shared" ref="E61" si="1056">C61/D61</f>
        <v>0</v>
      </c>
      <c r="F61" s="102"/>
      <c r="G61" s="103">
        <v>5</v>
      </c>
      <c r="H61" s="104">
        <f t="shared" ref="H61" si="1057">F61/G61</f>
        <v>0</v>
      </c>
      <c r="I61" s="105"/>
      <c r="J61" s="103">
        <v>5</v>
      </c>
      <c r="K61" s="104">
        <f t="shared" ref="K61" si="1058">I61/J61</f>
        <v>0</v>
      </c>
      <c r="L61" s="105"/>
      <c r="M61" s="103">
        <v>5</v>
      </c>
      <c r="N61" s="104">
        <f t="shared" ref="N61" si="1059">L61/M61</f>
        <v>0</v>
      </c>
      <c r="O61" s="106"/>
      <c r="P61" s="107">
        <v>5</v>
      </c>
      <c r="Q61" s="104">
        <f t="shared" ref="Q61" si="1060">O61/P61</f>
        <v>0</v>
      </c>
      <c r="R61" s="102"/>
      <c r="S61" s="107">
        <v>5</v>
      </c>
      <c r="T61" s="104">
        <f t="shared" ref="T61" si="1061">R61/S61</f>
        <v>0</v>
      </c>
      <c r="U61" s="102"/>
      <c r="V61" s="107">
        <v>5</v>
      </c>
      <c r="W61" s="104">
        <f t="shared" ref="W61" si="1062">U61/V61</f>
        <v>0</v>
      </c>
      <c r="X61" s="102"/>
      <c r="Y61" s="107">
        <v>5</v>
      </c>
      <c r="Z61" s="104">
        <f t="shared" ref="Z61" si="1063">X61/Y61</f>
        <v>0</v>
      </c>
      <c r="AA61" s="106"/>
      <c r="AB61" s="107">
        <v>5</v>
      </c>
      <c r="AC61" s="104">
        <f t="shared" ref="AC61" si="1064">AA61/AB61</f>
        <v>0</v>
      </c>
      <c r="AD61" s="106"/>
      <c r="AE61" s="107">
        <v>5</v>
      </c>
      <c r="AF61" s="104">
        <f t="shared" ref="AF61" si="1065">AD61/AE61</f>
        <v>0</v>
      </c>
      <c r="AG61" s="106"/>
      <c r="AH61" s="107">
        <v>5</v>
      </c>
      <c r="AI61" s="104">
        <f t="shared" ref="AI61" si="1066">AG61/AH61</f>
        <v>0</v>
      </c>
      <c r="AJ61" s="106"/>
      <c r="AK61" s="107">
        <v>5</v>
      </c>
      <c r="AL61" s="104">
        <f t="shared" ref="AL61" si="1067">AJ61/AK61</f>
        <v>0</v>
      </c>
      <c r="AM61" s="102"/>
      <c r="AN61" s="1">
        <v>5</v>
      </c>
      <c r="AO61" s="104">
        <f t="shared" ref="AO61" si="1068">AM61/AN61</f>
        <v>0</v>
      </c>
      <c r="AP61" s="102"/>
      <c r="AQ61" s="1">
        <v>5</v>
      </c>
      <c r="AR61" s="104">
        <f t="shared" ref="AR61" si="1069">AP61/AQ61</f>
        <v>0</v>
      </c>
      <c r="AS61" s="102"/>
      <c r="AT61" s="1">
        <v>5</v>
      </c>
      <c r="AU61" s="104">
        <f t="shared" ref="AU61" si="1070">AS61/AT61</f>
        <v>0</v>
      </c>
      <c r="AV61" s="102"/>
      <c r="AW61" s="1">
        <v>5</v>
      </c>
      <c r="AX61" s="104">
        <f t="shared" ref="AX61" si="1071">AV61/AW61</f>
        <v>0</v>
      </c>
      <c r="AY61" s="102"/>
      <c r="AZ61" s="1">
        <v>5</v>
      </c>
      <c r="BA61" s="104">
        <f t="shared" ref="BA61" si="1072">AY61/AZ61</f>
        <v>0</v>
      </c>
      <c r="BB61" s="102"/>
      <c r="BC61" s="1">
        <v>5</v>
      </c>
      <c r="BD61" s="104">
        <f t="shared" ref="BD61" si="1073">BB61/BC61</f>
        <v>0</v>
      </c>
      <c r="BE61" s="102"/>
      <c r="BF61" s="1">
        <v>5</v>
      </c>
      <c r="BG61" s="104">
        <f t="shared" ref="BG61" si="1074">BE61/BF61</f>
        <v>0</v>
      </c>
      <c r="BH61" s="102"/>
      <c r="BI61" s="1">
        <v>5</v>
      </c>
      <c r="BJ61" s="104">
        <f t="shared" ref="BJ61" si="1075">BH61/BI61</f>
        <v>0</v>
      </c>
      <c r="BK61" s="102"/>
      <c r="BL61" s="1">
        <v>5</v>
      </c>
      <c r="BM61" s="104">
        <f t="shared" ref="BM61" si="1076">BK61/BL61</f>
        <v>0</v>
      </c>
      <c r="BN61" s="102"/>
      <c r="BO61" s="1">
        <v>5</v>
      </c>
      <c r="BP61" s="104">
        <f t="shared" ref="BP61" si="1077">BN61/BO61</f>
        <v>0</v>
      </c>
      <c r="BQ61" s="102"/>
      <c r="BR61" s="1">
        <v>5</v>
      </c>
      <c r="BS61" s="104">
        <f t="shared" ref="BS61" si="1078">BQ61/BR61</f>
        <v>0</v>
      </c>
      <c r="BT61" s="102"/>
      <c r="BU61" s="1">
        <v>5</v>
      </c>
      <c r="BV61" s="104">
        <f t="shared" ref="BV61" si="1079">BT61/BU61</f>
        <v>0</v>
      </c>
      <c r="BW61" s="102"/>
      <c r="BX61" s="1">
        <v>5</v>
      </c>
      <c r="BY61" s="104">
        <f t="shared" ref="BY61" si="1080">BW61/BX61</f>
        <v>0</v>
      </c>
      <c r="BZ61" s="102"/>
      <c r="CA61" s="1">
        <v>5</v>
      </c>
      <c r="CB61" s="104">
        <f t="shared" ref="CB61" si="1081">BZ61/CA61</f>
        <v>0</v>
      </c>
      <c r="CC61" s="102"/>
      <c r="CD61" s="1">
        <v>5</v>
      </c>
      <c r="CE61" s="104">
        <f t="shared" ref="CE61" si="1082">CC61/CD61</f>
        <v>0</v>
      </c>
      <c r="CF61" s="102"/>
      <c r="CG61" s="1">
        <v>5</v>
      </c>
      <c r="CH61" s="104">
        <f t="shared" ref="CH61" si="1083">CF61/CG61</f>
        <v>0</v>
      </c>
      <c r="CI61" s="102"/>
      <c r="CJ61" s="1">
        <v>5</v>
      </c>
      <c r="CK61" s="104">
        <f t="shared" ref="CK61" si="1084">CI61/CJ61</f>
        <v>0</v>
      </c>
      <c r="CL61" s="102"/>
      <c r="CM61" s="1">
        <v>5</v>
      </c>
      <c r="CN61" s="104">
        <f t="shared" ref="CN61" si="1085">CL61/CM61</f>
        <v>0</v>
      </c>
      <c r="CO61" s="102"/>
      <c r="CP61" s="1">
        <v>5</v>
      </c>
      <c r="CQ61" s="104">
        <f t="shared" ref="CQ61" si="1086">CO61/CP61</f>
        <v>0</v>
      </c>
      <c r="CR61" s="102"/>
      <c r="CS61" s="1">
        <v>5</v>
      </c>
      <c r="CT61" s="104">
        <f t="shared" ref="CT61" si="1087">CR61/CS61</f>
        <v>0</v>
      </c>
      <c r="CU61" s="102"/>
      <c r="CV61" s="1">
        <v>5</v>
      </c>
      <c r="CW61" s="104">
        <f t="shared" ref="CW61" si="1088">CU61/CV61</f>
        <v>0</v>
      </c>
      <c r="CX61" s="102"/>
      <c r="CY61" s="1">
        <v>5</v>
      </c>
      <c r="CZ61" s="104">
        <f t="shared" ref="CZ61" si="1089">CX61/CY61</f>
        <v>0</v>
      </c>
      <c r="DA61" s="102"/>
      <c r="DB61" s="1">
        <v>5</v>
      </c>
      <c r="DC61" s="104">
        <f t="shared" ref="DC61" si="1090">DA61/DB61</f>
        <v>0</v>
      </c>
      <c r="DD61" s="102"/>
      <c r="DE61" s="1">
        <v>5</v>
      </c>
      <c r="DF61" s="104">
        <f t="shared" ref="DF61" si="1091">DD61/DE61</f>
        <v>0</v>
      </c>
      <c r="DG61" s="102"/>
      <c r="DH61" s="1">
        <v>5</v>
      </c>
      <c r="DI61" s="104">
        <f t="shared" ref="DI61" si="1092">DG61/DH61</f>
        <v>0</v>
      </c>
      <c r="DJ61" s="102"/>
      <c r="DK61" s="1">
        <v>5</v>
      </c>
      <c r="DL61" s="104">
        <f t="shared" ref="DL61" si="1093">DJ61/DK61</f>
        <v>0</v>
      </c>
      <c r="DM61" s="102"/>
      <c r="DN61" s="1">
        <v>5</v>
      </c>
      <c r="DO61" s="104">
        <f t="shared" ref="DO61" si="1094">DM61/DN61</f>
        <v>0</v>
      </c>
      <c r="DP61" s="102"/>
      <c r="DQ61" s="1">
        <v>5</v>
      </c>
      <c r="DR61" s="104">
        <f t="shared" ref="DR61" si="1095">DP61/DQ61</f>
        <v>0</v>
      </c>
      <c r="DS61" s="102"/>
      <c r="DT61" s="1">
        <v>5</v>
      </c>
      <c r="DU61" s="104">
        <f t="shared" ref="DU61" si="1096">DS61/DT61</f>
        <v>0</v>
      </c>
      <c r="DV61" s="102"/>
      <c r="DW61" s="1">
        <v>5</v>
      </c>
      <c r="DX61" s="104">
        <f t="shared" ref="DX61" si="1097">DV61/DW61</f>
        <v>0</v>
      </c>
      <c r="DY61" s="102"/>
      <c r="DZ61" s="1">
        <v>5</v>
      </c>
      <c r="EA61" s="104">
        <f t="shared" ref="EA61" si="1098">DY61/DZ61</f>
        <v>0</v>
      </c>
      <c r="EB61" s="102"/>
      <c r="EC61" s="1">
        <v>5</v>
      </c>
      <c r="ED61" s="104">
        <f t="shared" ref="ED61" si="1099">EB61/EC61</f>
        <v>0</v>
      </c>
      <c r="EE61" s="102"/>
      <c r="EF61" s="1">
        <v>5</v>
      </c>
      <c r="EG61" s="104">
        <f t="shared" ref="EG61" si="1100">EE61/EF61</f>
        <v>0</v>
      </c>
      <c r="EH61" s="102"/>
      <c r="EI61" s="1">
        <v>5</v>
      </c>
      <c r="EJ61" s="104">
        <f t="shared" ref="EJ61" si="1101">EH61/EI61</f>
        <v>0</v>
      </c>
      <c r="EK61" s="102"/>
      <c r="EL61" s="1">
        <v>5</v>
      </c>
      <c r="EM61" s="104">
        <f t="shared" ref="EM61" si="1102">EK61/EL61</f>
        <v>0</v>
      </c>
      <c r="EN61" s="102"/>
      <c r="EO61" s="1">
        <v>5</v>
      </c>
      <c r="EP61" s="104">
        <f t="shared" ref="EP61" si="1103">EN61/EO61</f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ht="16" customHeight="1" spans="1:148" x14ac:dyDescent="0.25">
      <c r="A62" s="169" t="s">
        <v>126</v>
      </c>
      <c r="B62" s="101"/>
      <c r="C62" s="90"/>
      <c r="D62" s="91">
        <v>5</v>
      </c>
      <c r="E62" s="92">
        <f>C62/D62</f>
        <v>0</v>
      </c>
      <c r="F62" s="90"/>
      <c r="G62" s="91">
        <v>5</v>
      </c>
      <c r="H62" s="92">
        <f>F62/G62</f>
        <v>0</v>
      </c>
      <c r="I62" s="93"/>
      <c r="J62" s="91">
        <v>5</v>
      </c>
      <c r="K62" s="92">
        <f>I62/J62</f>
        <v>0</v>
      </c>
      <c r="L62" s="93"/>
      <c r="M62" s="91">
        <v>5</v>
      </c>
      <c r="N62" s="92">
        <f>L62/M62</f>
        <v>0</v>
      </c>
      <c r="O62" s="94"/>
      <c r="P62" s="95">
        <v>5</v>
      </c>
      <c r="Q62" s="92">
        <f>O62/P62</f>
        <v>0</v>
      </c>
      <c r="R62" s="90"/>
      <c r="S62" s="95">
        <v>5</v>
      </c>
      <c r="T62" s="92">
        <f>R62/S62</f>
        <v>0</v>
      </c>
      <c r="U62" s="90"/>
      <c r="V62" s="95">
        <v>5</v>
      </c>
      <c r="W62" s="92">
        <f>U62/V62</f>
        <v>0</v>
      </c>
      <c r="X62" s="90"/>
      <c r="Y62" s="95">
        <v>5</v>
      </c>
      <c r="Z62" s="92">
        <f>X62/Y62</f>
        <v>0</v>
      </c>
      <c r="AA62" s="94"/>
      <c r="AB62" s="95">
        <v>5</v>
      </c>
      <c r="AC62" s="92">
        <f>AA62/AB62</f>
        <v>0</v>
      </c>
      <c r="AD62" s="94"/>
      <c r="AE62" s="95">
        <v>5</v>
      </c>
      <c r="AF62" s="92">
        <f>AD62/AE62</f>
        <v>0</v>
      </c>
      <c r="AG62" s="94"/>
      <c r="AH62" s="95">
        <v>5</v>
      </c>
      <c r="AI62" s="92">
        <f>AG62/AH62</f>
        <v>0</v>
      </c>
      <c r="AJ62" s="94"/>
      <c r="AK62" s="95">
        <v>5</v>
      </c>
      <c r="AL62" s="92">
        <f>AJ62/AK62</f>
        <v>0</v>
      </c>
      <c r="AM62" s="90"/>
      <c r="AN62" s="96">
        <v>5</v>
      </c>
      <c r="AO62" s="92">
        <f>AM62/AN62</f>
        <v>0</v>
      </c>
      <c r="AP62" s="90"/>
      <c r="AQ62" s="96">
        <v>5</v>
      </c>
      <c r="AR62" s="92">
        <f>AP62/AQ62</f>
        <v>0</v>
      </c>
      <c r="AS62" s="90"/>
      <c r="AT62" s="96">
        <v>5</v>
      </c>
      <c r="AU62" s="92">
        <f>AS62/AT62</f>
        <v>0</v>
      </c>
      <c r="AV62" s="90"/>
      <c r="AW62" s="96">
        <v>5</v>
      </c>
      <c r="AX62" s="92">
        <f>AV62/AW62</f>
        <v>0</v>
      </c>
      <c r="AY62" s="90"/>
      <c r="AZ62" s="96">
        <v>5</v>
      </c>
      <c r="BA62" s="92">
        <f>AY62/AZ62</f>
        <v>0</v>
      </c>
      <c r="BB62" s="90"/>
      <c r="BC62" s="96">
        <v>5</v>
      </c>
      <c r="BD62" s="92">
        <f>BB62/BC62</f>
        <v>0</v>
      </c>
      <c r="BE62" s="90"/>
      <c r="BF62" s="96">
        <v>5</v>
      </c>
      <c r="BG62" s="92">
        <f>BE62/BF62</f>
        <v>0</v>
      </c>
      <c r="BH62" s="90"/>
      <c r="BI62" s="96">
        <v>5</v>
      </c>
      <c r="BJ62" s="92">
        <f>BH62/BI62</f>
        <v>0</v>
      </c>
      <c r="BK62" s="90"/>
      <c r="BL62" s="96">
        <v>5</v>
      </c>
      <c r="BM62" s="92">
        <f>BK62/BL62</f>
        <v>0</v>
      </c>
      <c r="BN62" s="90"/>
      <c r="BO62" s="96">
        <v>5</v>
      </c>
      <c r="BP62" s="92">
        <f>BN62/BO62</f>
        <v>0</v>
      </c>
      <c r="BQ62" s="90"/>
      <c r="BR62" s="96">
        <v>5</v>
      </c>
      <c r="BS62" s="92">
        <f>BQ62/BR62</f>
        <v>0</v>
      </c>
      <c r="BT62" s="90"/>
      <c r="BU62" s="96">
        <v>5</v>
      </c>
      <c r="BV62" s="92">
        <f>BT62/BU62</f>
        <v>0</v>
      </c>
      <c r="BW62" s="90"/>
      <c r="BX62" s="96">
        <v>5</v>
      </c>
      <c r="BY62" s="92">
        <f>BW62/BX62</f>
        <v>0</v>
      </c>
      <c r="BZ62" s="90"/>
      <c r="CA62" s="96">
        <v>5</v>
      </c>
      <c r="CB62" s="92">
        <f>BZ62/CA62</f>
        <v>0</v>
      </c>
      <c r="CC62" s="90"/>
      <c r="CD62" s="96">
        <v>5</v>
      </c>
      <c r="CE62" s="92">
        <f>CC62/CD62</f>
        <v>0</v>
      </c>
      <c r="CF62" s="90"/>
      <c r="CG62" s="96">
        <v>5</v>
      </c>
      <c r="CH62" s="92">
        <f>CF62/CG62</f>
        <v>0</v>
      </c>
      <c r="CI62" s="90"/>
      <c r="CJ62" s="96">
        <v>5</v>
      </c>
      <c r="CK62" s="92">
        <f>CI62/CJ62</f>
        <v>0</v>
      </c>
      <c r="CL62" s="90"/>
      <c r="CM62" s="96">
        <v>5</v>
      </c>
      <c r="CN62" s="92">
        <f>CL62/CM62</f>
        <v>0</v>
      </c>
      <c r="CO62" s="90"/>
      <c r="CP62" s="96">
        <v>5</v>
      </c>
      <c r="CQ62" s="92">
        <f>CO62/CP62</f>
        <v>0</v>
      </c>
      <c r="CR62" s="90"/>
      <c r="CS62" s="96">
        <v>5</v>
      </c>
      <c r="CT62" s="92">
        <f>CR62/CS62</f>
        <v>0</v>
      </c>
      <c r="CU62" s="90"/>
      <c r="CV62" s="96">
        <v>5</v>
      </c>
      <c r="CW62" s="92">
        <f>CU62/CV62</f>
        <v>0</v>
      </c>
      <c r="CX62" s="90"/>
      <c r="CY62" s="96">
        <v>5</v>
      </c>
      <c r="CZ62" s="92">
        <f>CX62/CY62</f>
        <v>0</v>
      </c>
      <c r="DA62" s="90"/>
      <c r="DB62" s="96">
        <v>5</v>
      </c>
      <c r="DC62" s="92">
        <f>DA62/DB62</f>
        <v>0</v>
      </c>
      <c r="DD62" s="90"/>
      <c r="DE62" s="96">
        <v>5</v>
      </c>
      <c r="DF62" s="92">
        <f>DD62/DE62</f>
        <v>0</v>
      </c>
      <c r="DG62" s="90"/>
      <c r="DH62" s="96">
        <v>5</v>
      </c>
      <c r="DI62" s="92">
        <f>DG62/DH62</f>
        <v>0</v>
      </c>
      <c r="DJ62" s="90"/>
      <c r="DK62" s="96">
        <v>5</v>
      </c>
      <c r="DL62" s="92">
        <f>DJ62/DK62</f>
        <v>0</v>
      </c>
      <c r="DM62" s="90"/>
      <c r="DN62" s="96">
        <v>5</v>
      </c>
      <c r="DO62" s="92">
        <f>DM62/DN62</f>
        <v>0</v>
      </c>
      <c r="DP62" s="90"/>
      <c r="DQ62" s="96">
        <v>5</v>
      </c>
      <c r="DR62" s="92">
        <f>DP62/DQ62</f>
        <v>0</v>
      </c>
      <c r="DS62" s="90"/>
      <c r="DT62" s="96">
        <v>5</v>
      </c>
      <c r="DU62" s="92">
        <f>DS62/DT62</f>
        <v>0</v>
      </c>
      <c r="DV62" s="90"/>
      <c r="DW62" s="96">
        <v>5</v>
      </c>
      <c r="DX62" s="92">
        <f>DV62/DW62</f>
        <v>0</v>
      </c>
      <c r="DY62" s="90"/>
      <c r="DZ62" s="96">
        <v>5</v>
      </c>
      <c r="EA62" s="92">
        <f>DY62/DZ62</f>
        <v>0</v>
      </c>
      <c r="EB62" s="90"/>
      <c r="EC62" s="96">
        <v>5</v>
      </c>
      <c r="ED62" s="92">
        <f>EB62/EC62</f>
        <v>0</v>
      </c>
      <c r="EE62" s="90"/>
      <c r="EF62" s="96">
        <v>5</v>
      </c>
      <c r="EG62" s="92">
        <f>EE62/EF62</f>
        <v>0</v>
      </c>
      <c r="EH62" s="90"/>
      <c r="EI62" s="96">
        <v>5</v>
      </c>
      <c r="EJ62" s="92">
        <f>EH62/EI62</f>
        <v>0</v>
      </c>
      <c r="EK62" s="90"/>
      <c r="EL62" s="96">
        <v>5</v>
      </c>
      <c r="EM62" s="92">
        <f>EK62/EL62</f>
        <v>0</v>
      </c>
      <c r="EN62" s="90"/>
      <c r="EO62" s="96">
        <v>5</v>
      </c>
      <c r="EP62" s="92">
        <f>EN62/EO62</f>
        <v>0</v>
      </c>
      <c r="EQ62" s="85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62" t="str">
        <f t="array" ref="ER62">_xlfn.IFS(EQ62&gt;=91.5%,"MENSUAL",EQ62&gt;=75%,"QUINCENAL",EQ62&lt;75%,"SEMANAL")</f>
        <v>SEMANAL</v>
      </c>
    </row>
    <row r="63" ht="20.25" customHeight="1" spans="1:148" x14ac:dyDescent="0.25">
      <c r="A63" s="169" t="s">
        <v>127</v>
      </c>
      <c r="B63" s="101"/>
      <c r="C63" s="102"/>
      <c r="D63" s="103">
        <v>5</v>
      </c>
      <c r="E63" s="104">
        <f t="shared" ref="E63" si="1104">C63/D63</f>
        <v>0</v>
      </c>
      <c r="F63" s="102"/>
      <c r="G63" s="103">
        <v>5</v>
      </c>
      <c r="H63" s="104">
        <f t="shared" ref="H63" si="1105">F63/G63</f>
        <v>0</v>
      </c>
      <c r="I63" s="105"/>
      <c r="J63" s="103">
        <v>5</v>
      </c>
      <c r="K63" s="104">
        <f t="shared" ref="K63" si="1106">I63/J63</f>
        <v>0</v>
      </c>
      <c r="L63" s="105"/>
      <c r="M63" s="103">
        <v>5</v>
      </c>
      <c r="N63" s="104">
        <f t="shared" ref="N63" si="1107">L63/M63</f>
        <v>0</v>
      </c>
      <c r="O63" s="106"/>
      <c r="P63" s="107">
        <v>5</v>
      </c>
      <c r="Q63" s="104">
        <f t="shared" ref="Q63" si="1108">O63/P63</f>
        <v>0</v>
      </c>
      <c r="R63" s="102"/>
      <c r="S63" s="107">
        <v>5</v>
      </c>
      <c r="T63" s="104">
        <f t="shared" ref="T63" si="1109">R63/S63</f>
        <v>0</v>
      </c>
      <c r="U63" s="102"/>
      <c r="V63" s="107">
        <v>5</v>
      </c>
      <c r="W63" s="104">
        <f t="shared" ref="W63" si="1110">U63/V63</f>
        <v>0</v>
      </c>
      <c r="X63" s="102"/>
      <c r="Y63" s="107">
        <v>5</v>
      </c>
      <c r="Z63" s="104">
        <f t="shared" ref="Z63" si="1111">X63/Y63</f>
        <v>0</v>
      </c>
      <c r="AA63" s="106"/>
      <c r="AB63" s="107">
        <v>5</v>
      </c>
      <c r="AC63" s="104">
        <f t="shared" ref="AC63" si="1112">AA63/AB63</f>
        <v>0</v>
      </c>
      <c r="AD63" s="106"/>
      <c r="AE63" s="107">
        <v>5</v>
      </c>
      <c r="AF63" s="104">
        <f t="shared" ref="AF63" si="1113">AD63/AE63</f>
        <v>0</v>
      </c>
      <c r="AG63" s="106"/>
      <c r="AH63" s="107">
        <v>5</v>
      </c>
      <c r="AI63" s="104">
        <f t="shared" ref="AI63" si="1114">AG63/AH63</f>
        <v>0</v>
      </c>
      <c r="AJ63" s="106"/>
      <c r="AK63" s="107">
        <v>5</v>
      </c>
      <c r="AL63" s="104">
        <f t="shared" ref="AL63" si="1115">AJ63/AK63</f>
        <v>0</v>
      </c>
      <c r="AM63" s="102"/>
      <c r="AN63" s="1">
        <v>5</v>
      </c>
      <c r="AO63" s="104">
        <f t="shared" ref="AO63" si="1116">AM63/AN63</f>
        <v>0</v>
      </c>
      <c r="AP63" s="102"/>
      <c r="AQ63" s="1">
        <v>5</v>
      </c>
      <c r="AR63" s="104">
        <f t="shared" ref="AR63" si="1117">AP63/AQ63</f>
        <v>0</v>
      </c>
      <c r="AS63" s="102"/>
      <c r="AT63" s="1">
        <v>5</v>
      </c>
      <c r="AU63" s="104">
        <f t="shared" ref="AU63" si="1118">AS63/AT63</f>
        <v>0</v>
      </c>
      <c r="AV63" s="102"/>
      <c r="AW63" s="1">
        <v>5</v>
      </c>
      <c r="AX63" s="104">
        <f t="shared" ref="AX63" si="1119">AV63/AW63</f>
        <v>0</v>
      </c>
      <c r="AY63" s="102"/>
      <c r="AZ63" s="1">
        <v>5</v>
      </c>
      <c r="BA63" s="104">
        <f t="shared" ref="BA63" si="1120">AY63/AZ63</f>
        <v>0</v>
      </c>
      <c r="BB63" s="102"/>
      <c r="BC63" s="1">
        <v>5</v>
      </c>
      <c r="BD63" s="104">
        <f t="shared" ref="BD63" si="1121">BB63/BC63</f>
        <v>0</v>
      </c>
      <c r="BE63" s="102"/>
      <c r="BF63" s="1">
        <v>5</v>
      </c>
      <c r="BG63" s="104">
        <f t="shared" ref="BG63" si="1122">BE63/BF63</f>
        <v>0</v>
      </c>
      <c r="BH63" s="102"/>
      <c r="BI63" s="1">
        <v>5</v>
      </c>
      <c r="BJ63" s="104">
        <f t="shared" ref="BJ63" si="1123">BH63/BI63</f>
        <v>0</v>
      </c>
      <c r="BK63" s="102"/>
      <c r="BL63" s="1">
        <v>5</v>
      </c>
      <c r="BM63" s="104">
        <f t="shared" ref="BM63:BM64" si="1124">BK63/BL63</f>
        <v>0</v>
      </c>
      <c r="BN63" s="102"/>
      <c r="BO63" s="1">
        <v>5</v>
      </c>
      <c r="BP63" s="104">
        <f t="shared" ref="BP63" si="1125">BN63/BO63</f>
        <v>0</v>
      </c>
      <c r="BQ63" s="102"/>
      <c r="BR63" s="1">
        <v>5</v>
      </c>
      <c r="BS63" s="104">
        <f t="shared" ref="BS63" si="1126">BQ63/BR63</f>
        <v>0</v>
      </c>
      <c r="BT63" s="102"/>
      <c r="BU63" s="1">
        <v>5</v>
      </c>
      <c r="BV63" s="104">
        <f t="shared" ref="BV63" si="1127">BT63/BU63</f>
        <v>0</v>
      </c>
      <c r="BW63" s="102"/>
      <c r="BX63" s="1">
        <v>5</v>
      </c>
      <c r="BY63" s="104">
        <f t="shared" ref="BY63" si="1128">BW63/BX63</f>
        <v>0</v>
      </c>
      <c r="BZ63" s="102"/>
      <c r="CA63" s="1">
        <v>5</v>
      </c>
      <c r="CB63" s="104">
        <f t="shared" ref="CB63" si="1129">BZ63/CA63</f>
        <v>0</v>
      </c>
      <c r="CC63" s="102"/>
      <c r="CD63" s="1">
        <v>5</v>
      </c>
      <c r="CE63" s="104">
        <f t="shared" ref="CE63" si="1130">CC63/CD63</f>
        <v>0</v>
      </c>
      <c r="CF63" s="102"/>
      <c r="CG63" s="1">
        <v>5</v>
      </c>
      <c r="CH63" s="104">
        <f t="shared" ref="CH63" si="1131">CF63/CG63</f>
        <v>0</v>
      </c>
      <c r="CI63" s="102"/>
      <c r="CJ63" s="1">
        <v>5</v>
      </c>
      <c r="CK63" s="104">
        <f t="shared" ref="CK63" si="1132">CI63/CJ63</f>
        <v>0</v>
      </c>
      <c r="CL63" s="102"/>
      <c r="CM63" s="1">
        <v>5</v>
      </c>
      <c r="CN63" s="104">
        <f t="shared" ref="CN63" si="1133">CL63/CM63</f>
        <v>0</v>
      </c>
      <c r="CO63" s="102"/>
      <c r="CP63" s="1">
        <v>5</v>
      </c>
      <c r="CQ63" s="104">
        <f t="shared" ref="CQ63" si="1134">CO63/CP63</f>
        <v>0</v>
      </c>
      <c r="CR63" s="102"/>
      <c r="CS63" s="1">
        <v>5</v>
      </c>
      <c r="CT63" s="104">
        <f t="shared" ref="CT63" si="1135">CR63/CS63</f>
        <v>0</v>
      </c>
      <c r="CU63" s="102"/>
      <c r="CV63" s="1">
        <v>5</v>
      </c>
      <c r="CW63" s="104">
        <f t="shared" ref="CW63" si="1136">CU63/CV63</f>
        <v>0</v>
      </c>
      <c r="CX63" s="102"/>
      <c r="CY63" s="1">
        <v>5</v>
      </c>
      <c r="CZ63" s="104">
        <f t="shared" ref="CZ63" si="1137">CX63/CY63</f>
        <v>0</v>
      </c>
      <c r="DA63" s="102"/>
      <c r="DB63" s="1">
        <v>5</v>
      </c>
      <c r="DC63" s="104">
        <f t="shared" ref="DC63" si="1138">DA63/DB63</f>
        <v>0</v>
      </c>
      <c r="DD63" s="102"/>
      <c r="DE63" s="1">
        <v>5</v>
      </c>
      <c r="DF63" s="104">
        <f t="shared" ref="DF63" si="1139">DD63/DE63</f>
        <v>0</v>
      </c>
      <c r="DG63" s="102"/>
      <c r="DH63" s="1">
        <v>5</v>
      </c>
      <c r="DI63" s="104">
        <f t="shared" ref="DI63" si="1140">DG63/DH63</f>
        <v>0</v>
      </c>
      <c r="DJ63" s="102"/>
      <c r="DK63" s="1">
        <v>5</v>
      </c>
      <c r="DL63" s="104">
        <f t="shared" ref="DL63" si="1141">DJ63/DK63</f>
        <v>0</v>
      </c>
      <c r="DM63" s="102"/>
      <c r="DN63" s="1">
        <v>5</v>
      </c>
      <c r="DO63" s="104">
        <f t="shared" ref="DO63" si="1142">DM63/DN63</f>
        <v>0</v>
      </c>
      <c r="DP63" s="102"/>
      <c r="DQ63" s="1">
        <v>5</v>
      </c>
      <c r="DR63" s="104">
        <f t="shared" ref="DR63" si="1143">DP63/DQ63</f>
        <v>0</v>
      </c>
      <c r="DS63" s="102"/>
      <c r="DT63" s="1">
        <v>5</v>
      </c>
      <c r="DU63" s="104">
        <f t="shared" ref="DU63" si="1144">DS63/DT63</f>
        <v>0</v>
      </c>
      <c r="DV63" s="102"/>
      <c r="DW63" s="1">
        <v>5</v>
      </c>
      <c r="DX63" s="104">
        <f t="shared" ref="DX63" si="1145">DV63/DW63</f>
        <v>0</v>
      </c>
      <c r="DY63" s="102"/>
      <c r="DZ63" s="1">
        <v>5</v>
      </c>
      <c r="EA63" s="104">
        <f t="shared" ref="EA63" si="1146">DY63/DZ63</f>
        <v>0</v>
      </c>
      <c r="EB63" s="102"/>
      <c r="EC63" s="1">
        <v>5</v>
      </c>
      <c r="ED63" s="104">
        <f t="shared" ref="ED63" si="1147">EB63/EC63</f>
        <v>0</v>
      </c>
      <c r="EE63" s="102"/>
      <c r="EF63" s="1">
        <v>5</v>
      </c>
      <c r="EG63" s="104">
        <f t="shared" ref="EG63" si="1148">EE63/EF63</f>
        <v>0</v>
      </c>
      <c r="EH63" s="102"/>
      <c r="EI63" s="1">
        <v>5</v>
      </c>
      <c r="EJ63" s="104">
        <f t="shared" ref="EJ63" si="1149">EH63/EI63</f>
        <v>0</v>
      </c>
      <c r="EK63" s="102"/>
      <c r="EL63" s="1">
        <v>5</v>
      </c>
      <c r="EM63" s="104">
        <f t="shared" ref="EM63" si="1150">EK63/EL63</f>
        <v>0</v>
      </c>
      <c r="EN63" s="102"/>
      <c r="EO63" s="1">
        <v>5</v>
      </c>
      <c r="EP63" s="104">
        <f t="shared" ref="EP63" si="1151">EN63/EO63</f>
        <v>0</v>
      </c>
      <c r="EQ63" s="85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62" t="str">
        <f t="array" ref="ER63">_xlfn.IFS(EQ63&gt;=91.5%,"MENSUAL",EQ63&gt;=75%,"QUINCENAL",EQ63&lt;75%,"SEMANAL")</f>
        <v>SEMANAL</v>
      </c>
    </row>
    <row r="64" ht="26.25" customHeight="1" spans="1:148" x14ac:dyDescent="0.25">
      <c r="A64" s="172" t="s">
        <v>156</v>
      </c>
      <c r="B64" s="101"/>
      <c r="C64" s="102"/>
      <c r="D64" s="103">
        <v>5</v>
      </c>
      <c r="E64" s="104">
        <f t="shared" ref="E64" si="1152">C64/D64</f>
        <v>0</v>
      </c>
      <c r="F64" s="102"/>
      <c r="G64" s="103">
        <v>5</v>
      </c>
      <c r="H64" s="104">
        <f t="shared" ref="H64" si="1153">F64/G64</f>
        <v>0</v>
      </c>
      <c r="I64" s="105"/>
      <c r="J64" s="103">
        <v>5</v>
      </c>
      <c r="K64" s="104">
        <f t="shared" ref="K64" si="1154">I64/J64</f>
        <v>0</v>
      </c>
      <c r="L64" s="105"/>
      <c r="M64" s="103">
        <v>5</v>
      </c>
      <c r="N64" s="104">
        <f t="shared" ref="N64" si="1155">L64/M64</f>
        <v>0</v>
      </c>
      <c r="O64" s="106"/>
      <c r="P64" s="107">
        <v>5</v>
      </c>
      <c r="Q64" s="104">
        <f t="shared" ref="Q64" si="1156">O64/P64</f>
        <v>0</v>
      </c>
      <c r="R64" s="102"/>
      <c r="S64" s="107">
        <v>5</v>
      </c>
      <c r="T64" s="104">
        <f t="shared" ref="T64" si="1157">R64/S64</f>
        <v>0</v>
      </c>
      <c r="U64" s="102"/>
      <c r="V64" s="107">
        <v>5</v>
      </c>
      <c r="W64" s="104">
        <f t="shared" ref="W64" si="1158">U64/V64</f>
        <v>0</v>
      </c>
      <c r="X64" s="102"/>
      <c r="Y64" s="107">
        <v>5</v>
      </c>
      <c r="Z64" s="104">
        <f t="shared" ref="Z64" si="1159">X64/Y64</f>
        <v>0</v>
      </c>
      <c r="AA64" s="106"/>
      <c r="AB64" s="107">
        <v>5</v>
      </c>
      <c r="AC64" s="104">
        <f t="shared" ref="AC64" si="1160">AA64/AB64</f>
        <v>0</v>
      </c>
      <c r="AD64" s="106"/>
      <c r="AE64" s="107">
        <v>5</v>
      </c>
      <c r="AF64" s="104">
        <f t="shared" ref="AF64" si="1161">AD64/AE64</f>
        <v>0</v>
      </c>
      <c r="AG64" s="106"/>
      <c r="AH64" s="107">
        <v>5</v>
      </c>
      <c r="AI64" s="104">
        <f t="shared" ref="AI64" si="1162">AG64/AH64</f>
        <v>0</v>
      </c>
      <c r="AJ64" s="106"/>
      <c r="AK64" s="107">
        <v>5</v>
      </c>
      <c r="AL64" s="104">
        <f t="shared" ref="AL64" si="1163">AJ64/AK64</f>
        <v>0</v>
      </c>
      <c r="AM64" s="102"/>
      <c r="AN64" s="1">
        <v>5</v>
      </c>
      <c r="AO64" s="104">
        <f t="shared" ref="AO64" si="1164">AM64/AN64</f>
        <v>0</v>
      </c>
      <c r="AP64" s="102"/>
      <c r="AQ64" s="1">
        <v>5</v>
      </c>
      <c r="AR64" s="104">
        <f t="shared" ref="AR64" si="1165">AP64/AQ64</f>
        <v>0</v>
      </c>
      <c r="AS64" s="102"/>
      <c r="AT64" s="1">
        <v>5</v>
      </c>
      <c r="AU64" s="104">
        <f t="shared" ref="AU64" si="1166">AS64/AT64</f>
        <v>0</v>
      </c>
      <c r="AV64" s="102"/>
      <c r="AW64" s="1">
        <v>5</v>
      </c>
      <c r="AX64" s="104">
        <f t="shared" ref="AX64" si="1167">AV64/AW64</f>
        <v>0</v>
      </c>
      <c r="AY64" s="102"/>
      <c r="AZ64" s="1">
        <v>5</v>
      </c>
      <c r="BA64" s="104">
        <f t="shared" ref="BA64" si="1168">AY64/AZ64</f>
        <v>0</v>
      </c>
      <c r="BB64" s="102"/>
      <c r="BC64" s="1">
        <v>5</v>
      </c>
      <c r="BD64" s="104">
        <f t="shared" ref="BD64" si="1169">BB64/BC64</f>
        <v>0</v>
      </c>
      <c r="BE64" s="102"/>
      <c r="BF64" s="1">
        <v>5</v>
      </c>
      <c r="BG64" s="104">
        <f t="shared" ref="BG64" si="1170">BE64/BF64</f>
        <v>0</v>
      </c>
      <c r="BH64" s="102"/>
      <c r="BI64" s="1">
        <v>5</v>
      </c>
      <c r="BJ64" s="104">
        <f t="shared" ref="BJ64" si="1171">BH64/BI64</f>
        <v>0</v>
      </c>
      <c r="BK64" s="102"/>
      <c r="BL64" s="1">
        <v>5</v>
      </c>
      <c r="BM64" s="104">
        <f t="shared" si="1124"/>
        <v>0</v>
      </c>
      <c r="BN64" s="102"/>
      <c r="BO64" s="1">
        <v>5</v>
      </c>
      <c r="BP64" s="104">
        <f t="shared" ref="BP64" si="1172">BN64/BO64</f>
        <v>0</v>
      </c>
      <c r="BQ64" s="102"/>
      <c r="BR64" s="1">
        <v>5</v>
      </c>
      <c r="BS64" s="104">
        <f t="shared" ref="BS64" si="1173">BQ64/BR64</f>
        <v>0</v>
      </c>
      <c r="BT64" s="102"/>
      <c r="BU64" s="1">
        <v>5</v>
      </c>
      <c r="BV64" s="104">
        <f t="shared" ref="BV64" si="1174">BT64/BU64</f>
        <v>0</v>
      </c>
      <c r="BW64" s="102"/>
      <c r="BX64" s="1">
        <v>5</v>
      </c>
      <c r="BY64" s="104">
        <f t="shared" ref="BY64" si="1175">BW64/BX64</f>
        <v>0</v>
      </c>
      <c r="BZ64" s="102"/>
      <c r="CA64" s="1">
        <v>5</v>
      </c>
      <c r="CB64" s="104">
        <f t="shared" ref="CB64" si="1176">BZ64/CA64</f>
        <v>0</v>
      </c>
      <c r="CC64" s="102"/>
      <c r="CD64" s="1">
        <v>5</v>
      </c>
      <c r="CE64" s="104">
        <f t="shared" ref="CE64" si="1177">CC64/CD64</f>
        <v>0</v>
      </c>
      <c r="CF64" s="102"/>
      <c r="CG64" s="1">
        <v>5</v>
      </c>
      <c r="CH64" s="104">
        <f t="shared" ref="CH64" si="1178">CF64/CG64</f>
        <v>0</v>
      </c>
      <c r="CI64" s="102"/>
      <c r="CJ64" s="1">
        <v>5</v>
      </c>
      <c r="CK64" s="104">
        <f t="shared" ref="CK64" si="1179">CI64/CJ64</f>
        <v>0</v>
      </c>
      <c r="CL64" s="102"/>
      <c r="CM64" s="1">
        <v>5</v>
      </c>
      <c r="CN64" s="104">
        <f t="shared" ref="CN64" si="1180">CL64/CM64</f>
        <v>0</v>
      </c>
      <c r="CO64" s="102"/>
      <c r="CP64" s="1">
        <v>5</v>
      </c>
      <c r="CQ64" s="104">
        <f t="shared" ref="CQ64" si="1181">CO64/CP64</f>
        <v>0</v>
      </c>
      <c r="CR64" s="102"/>
      <c r="CS64" s="1">
        <v>5</v>
      </c>
      <c r="CT64" s="104">
        <f t="shared" ref="CT64" si="1182">CR64/CS64</f>
        <v>0</v>
      </c>
      <c r="CU64" s="102"/>
      <c r="CV64" s="1">
        <v>5</v>
      </c>
      <c r="CW64" s="104">
        <f t="shared" ref="CW64" si="1183">CU64/CV64</f>
        <v>0</v>
      </c>
      <c r="CX64" s="102"/>
      <c r="CY64" s="1">
        <v>5</v>
      </c>
      <c r="CZ64" s="104">
        <f t="shared" ref="CZ64" si="1184">CX64/CY64</f>
        <v>0</v>
      </c>
      <c r="DA64" s="102"/>
      <c r="DB64" s="1">
        <v>5</v>
      </c>
      <c r="DC64" s="104">
        <f t="shared" ref="DC64" si="1185">DA64/DB64</f>
        <v>0</v>
      </c>
      <c r="DD64" s="102"/>
      <c r="DE64" s="1">
        <v>5</v>
      </c>
      <c r="DF64" s="104">
        <f t="shared" ref="DF64" si="1186">DD64/DE64</f>
        <v>0</v>
      </c>
      <c r="DG64" s="102"/>
      <c r="DH64" s="1">
        <v>5</v>
      </c>
      <c r="DI64" s="104">
        <f t="shared" ref="DI64" si="1187">DG64/DH64</f>
        <v>0</v>
      </c>
      <c r="DJ64" s="102"/>
      <c r="DK64" s="1">
        <v>5</v>
      </c>
      <c r="DL64" s="104">
        <f t="shared" ref="DL64" si="1188">DJ64/DK64</f>
        <v>0</v>
      </c>
      <c r="DM64" s="102"/>
      <c r="DN64" s="1">
        <v>5</v>
      </c>
      <c r="DO64" s="104">
        <f t="shared" ref="DO64" si="1189">DM64/DN64</f>
        <v>0</v>
      </c>
      <c r="DP64" s="102"/>
      <c r="DQ64" s="1">
        <v>5</v>
      </c>
      <c r="DR64" s="104">
        <f t="shared" ref="DR64" si="1190">DP64/DQ64</f>
        <v>0</v>
      </c>
      <c r="DS64" s="102"/>
      <c r="DT64" s="1">
        <v>5</v>
      </c>
      <c r="DU64" s="104">
        <f t="shared" ref="DU64" si="1191">DS64/DT64</f>
        <v>0</v>
      </c>
      <c r="DV64" s="102"/>
      <c r="DW64" s="1">
        <v>5</v>
      </c>
      <c r="DX64" s="104">
        <f t="shared" ref="DX64" si="1192">DV64/DW64</f>
        <v>0</v>
      </c>
      <c r="DY64" s="102"/>
      <c r="DZ64" s="1">
        <v>5</v>
      </c>
      <c r="EA64" s="104">
        <f t="shared" ref="EA64" si="1193">DY64/DZ64</f>
        <v>0</v>
      </c>
      <c r="EB64" s="102"/>
      <c r="EC64" s="1">
        <v>5</v>
      </c>
      <c r="ED64" s="104">
        <f t="shared" ref="ED64" si="1194">EB64/EC64</f>
        <v>0</v>
      </c>
      <c r="EE64" s="102"/>
      <c r="EF64" s="1">
        <v>5</v>
      </c>
      <c r="EG64" s="104">
        <f t="shared" ref="EG64" si="1195">EE64/EF64</f>
        <v>0</v>
      </c>
      <c r="EH64" s="102"/>
      <c r="EI64" s="1">
        <v>5</v>
      </c>
      <c r="EJ64" s="104">
        <f t="shared" ref="EJ64" si="1196">EH64/EI64</f>
        <v>0</v>
      </c>
      <c r="EK64" s="102"/>
      <c r="EL64" s="1">
        <v>5</v>
      </c>
      <c r="EM64" s="104">
        <f t="shared" ref="EM64" si="1197">EK64/EL64</f>
        <v>0</v>
      </c>
      <c r="EN64" s="102"/>
      <c r="EO64" s="1">
        <v>5</v>
      </c>
      <c r="EP64" s="104">
        <f t="shared" ref="EP64" si="1198">EN64/EO64</f>
        <v>0</v>
      </c>
      <c r="EQ64" s="85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162" t="str">
        <f t="array" ref="ER64">_xlfn.IFS(EQ64&gt;=91.5%,"MENSUAL",EQ64&gt;=75%,"QUINCENAL",EQ64&lt;75%,"SEMANAL")</f>
        <v>SEMANAL</v>
      </c>
    </row>
    <row r="65" ht="16" customHeight="1" spans="1:148" x14ac:dyDescent="0.25">
      <c r="A65" s="124" t="s">
        <v>128</v>
      </c>
      <c r="B65" s="125"/>
      <c r="C65" s="126"/>
      <c r="D65" s="127"/>
      <c r="E65" s="82">
        <f>AVERAGE(E66)</f>
        <v>0</v>
      </c>
      <c r="F65" s="126"/>
      <c r="G65" s="127"/>
      <c r="H65" s="82">
        <f>AVERAGE(H66)</f>
        <v>0</v>
      </c>
      <c r="I65" s="126"/>
      <c r="J65" s="127"/>
      <c r="K65" s="82">
        <f>AVERAGE(K66)</f>
        <v>0</v>
      </c>
      <c r="L65" s="126"/>
      <c r="M65" s="127"/>
      <c r="N65" s="82">
        <f>AVERAGE(N66)</f>
        <v>0</v>
      </c>
      <c r="O65" s="126"/>
      <c r="P65" s="127"/>
      <c r="Q65" s="82">
        <f>AVERAGE(Q66)</f>
        <v>0</v>
      </c>
      <c r="R65" s="126"/>
      <c r="S65" s="127"/>
      <c r="T65" s="82">
        <f>AVERAGE(T66)</f>
        <v>0</v>
      </c>
      <c r="U65" s="126"/>
      <c r="V65" s="127"/>
      <c r="W65" s="82">
        <f>AVERAGE(W66)</f>
        <v>0</v>
      </c>
      <c r="X65" s="126"/>
      <c r="Y65" s="127"/>
      <c r="Z65" s="82">
        <f>AVERAGE(Z66)</f>
        <v>0</v>
      </c>
      <c r="AA65" s="126"/>
      <c r="AB65" s="127"/>
      <c r="AC65" s="82">
        <f>AVERAGE(AC66)</f>
        <v>0</v>
      </c>
      <c r="AD65" s="126"/>
      <c r="AE65" s="127"/>
      <c r="AF65" s="82">
        <f>AVERAGE(AF66)</f>
        <v>0</v>
      </c>
      <c r="AG65" s="126"/>
      <c r="AH65" s="127"/>
      <c r="AI65" s="82">
        <f>AVERAGE(AI66)</f>
        <v>0</v>
      </c>
      <c r="AJ65" s="126"/>
      <c r="AK65" s="127"/>
      <c r="AL65" s="82">
        <f>AVERAGE(AL66)</f>
        <v>0</v>
      </c>
      <c r="AM65" s="126"/>
      <c r="AN65" s="136"/>
      <c r="AO65" s="82">
        <f>AVERAGE(AO66)</f>
        <v>0</v>
      </c>
      <c r="AP65" s="128"/>
      <c r="AQ65" s="129"/>
      <c r="AR65" s="82">
        <f>AVERAGE(AR66)</f>
        <v>0</v>
      </c>
      <c r="AS65" s="130"/>
      <c r="AT65" s="129"/>
      <c r="AU65" s="82">
        <f>AVERAGE(AU66)</f>
        <v>0</v>
      </c>
      <c r="AV65" s="126"/>
      <c r="AW65" s="136"/>
      <c r="AX65" s="82">
        <f>AVERAGE(AX66)</f>
        <v>0</v>
      </c>
      <c r="AY65" s="137"/>
      <c r="AZ65" s="138"/>
      <c r="BA65" s="82">
        <f>AVERAGE(BA66)</f>
        <v>0</v>
      </c>
      <c r="BB65" s="128"/>
      <c r="BC65" s="132"/>
      <c r="BD65" s="82">
        <f>AVERAGE(BD66)</f>
        <v>0</v>
      </c>
      <c r="BE65" s="128"/>
      <c r="BF65" s="132"/>
      <c r="BG65" s="82">
        <f>AVERAGE(BG66)</f>
        <v>0</v>
      </c>
      <c r="BH65" s="128"/>
      <c r="BI65" s="132"/>
      <c r="BJ65" s="82">
        <f>AVERAGE(BJ66)</f>
        <v>0</v>
      </c>
      <c r="BK65" s="128"/>
      <c r="BL65" s="132"/>
      <c r="BM65" s="82">
        <f>AVERAGE(BM66)</f>
        <v>0</v>
      </c>
      <c r="BN65" s="128"/>
      <c r="BO65" s="132"/>
      <c r="BP65" s="82">
        <f>AVERAGE(BP66)</f>
        <v>0</v>
      </c>
      <c r="BQ65" s="128"/>
      <c r="BR65" s="132"/>
      <c r="BS65" s="82">
        <f>AVERAGE(BS66)</f>
        <v>0</v>
      </c>
      <c r="BT65" s="128"/>
      <c r="BU65" s="132"/>
      <c r="BV65" s="82">
        <f>AVERAGE(BV66)</f>
        <v>0</v>
      </c>
      <c r="BW65" s="128"/>
      <c r="BX65" s="132"/>
      <c r="BY65" s="82">
        <f>AVERAGE(BY66)</f>
        <v>0</v>
      </c>
      <c r="BZ65" s="126"/>
      <c r="CA65" s="127"/>
      <c r="CB65" s="82">
        <f>AVERAGE(CB66)</f>
        <v>0</v>
      </c>
      <c r="CC65" s="126"/>
      <c r="CD65" s="127"/>
      <c r="CE65" s="82">
        <f>AVERAGE(CE66)</f>
        <v>0</v>
      </c>
      <c r="CF65" s="126"/>
      <c r="CG65" s="127"/>
      <c r="CH65" s="82">
        <f>AVERAGE(CH66)</f>
        <v>0</v>
      </c>
      <c r="CI65" s="126"/>
      <c r="CJ65" s="127"/>
      <c r="CK65" s="82">
        <f>AVERAGE(CK66)</f>
        <v>0</v>
      </c>
      <c r="CL65" s="126"/>
      <c r="CM65" s="127"/>
      <c r="CN65" s="82">
        <f>AVERAGE(CN66)</f>
        <v>0</v>
      </c>
      <c r="CO65" s="126"/>
      <c r="CP65" s="127"/>
      <c r="CQ65" s="82">
        <f>AVERAGE(CQ66)</f>
        <v>0</v>
      </c>
      <c r="CR65" s="126"/>
      <c r="CS65" s="127"/>
      <c r="CT65" s="82">
        <f>AVERAGE(CT66)</f>
        <v>0</v>
      </c>
      <c r="CU65" s="126"/>
      <c r="CV65" s="127"/>
      <c r="CW65" s="82">
        <f>AVERAGE(CW66)</f>
        <v>0</v>
      </c>
      <c r="CX65" s="126"/>
      <c r="CY65" s="127"/>
      <c r="CZ65" s="82">
        <f>AVERAGE(CZ66)</f>
        <v>0</v>
      </c>
      <c r="DA65" s="126"/>
      <c r="DB65" s="127"/>
      <c r="DC65" s="82">
        <f>AVERAGE(DC66)</f>
        <v>0</v>
      </c>
      <c r="DD65" s="126"/>
      <c r="DE65" s="127"/>
      <c r="DF65" s="82">
        <f>AVERAGE(DF66)</f>
        <v>0</v>
      </c>
      <c r="DG65" s="126"/>
      <c r="DH65" s="127"/>
      <c r="DI65" s="82">
        <f>AVERAGE(DI66)</f>
        <v>0</v>
      </c>
      <c r="DJ65" s="126"/>
      <c r="DK65" s="127"/>
      <c r="DL65" s="82">
        <f>AVERAGE(DL66)</f>
        <v>0</v>
      </c>
      <c r="DM65" s="126"/>
      <c r="DN65" s="127"/>
      <c r="DO65" s="82">
        <f>AVERAGE(DO66)</f>
        <v>0</v>
      </c>
      <c r="DP65" s="126"/>
      <c r="DQ65" s="127"/>
      <c r="DR65" s="82">
        <f>AVERAGE(DR66)</f>
        <v>0</v>
      </c>
      <c r="DS65" s="126"/>
      <c r="DT65" s="127"/>
      <c r="DU65" s="82">
        <f>AVERAGE(DU66)</f>
        <v>0</v>
      </c>
      <c r="DV65" s="126"/>
      <c r="DW65" s="127"/>
      <c r="DX65" s="82">
        <f>AVERAGE(DX66)</f>
        <v>0</v>
      </c>
      <c r="DY65" s="126"/>
      <c r="DZ65" s="127"/>
      <c r="EA65" s="82">
        <f>AVERAGE(EA66)</f>
        <v>0</v>
      </c>
      <c r="EB65" s="126"/>
      <c r="EC65" s="127"/>
      <c r="ED65" s="82">
        <f>AVERAGE(ED66)</f>
        <v>0</v>
      </c>
      <c r="EE65" s="126"/>
      <c r="EF65" s="127"/>
      <c r="EG65" s="82">
        <f>AVERAGE(EG66)</f>
        <v>0</v>
      </c>
      <c r="EH65" s="126"/>
      <c r="EI65" s="127"/>
      <c r="EJ65" s="82">
        <f>AVERAGE(EJ66)</f>
        <v>0</v>
      </c>
      <c r="EK65" s="126"/>
      <c r="EL65" s="127"/>
      <c r="EM65" s="82">
        <f>AVERAGE(EM66)</f>
        <v>0</v>
      </c>
      <c r="EN65" s="126"/>
      <c r="EO65" s="127"/>
      <c r="EP65" s="82">
        <f>AVERAGE(EP66)</f>
        <v>0</v>
      </c>
      <c r="EQ65" s="85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62" t="str">
        <f t="array" ref="ER65">_xlfn.IFS(EQ65&gt;=91.5%,"MENSUAL",EQ65&gt;=75%,"QUINCENAL",EQ65&lt;75%,"SEMANAL")</f>
        <v>SEMANAL</v>
      </c>
    </row>
    <row r="66" ht="27" customHeight="1" spans="1:148" x14ac:dyDescent="0.25">
      <c r="A66" s="144" t="s">
        <v>157</v>
      </c>
      <c r="B66" s="101"/>
      <c r="C66" s="90"/>
      <c r="D66" s="91">
        <v>5</v>
      </c>
      <c r="E66" s="92">
        <f>C66/D66</f>
        <v>0</v>
      </c>
      <c r="F66" s="90"/>
      <c r="G66" s="91">
        <v>5</v>
      </c>
      <c r="H66" s="92">
        <f>F66/G66</f>
        <v>0</v>
      </c>
      <c r="I66" s="93"/>
      <c r="J66" s="91">
        <v>5</v>
      </c>
      <c r="K66" s="92">
        <f>I66/J66</f>
        <v>0</v>
      </c>
      <c r="L66" s="93"/>
      <c r="M66" s="91">
        <v>5</v>
      </c>
      <c r="N66" s="92">
        <f>L66/M66</f>
        <v>0</v>
      </c>
      <c r="O66" s="94"/>
      <c r="P66" s="95">
        <v>5</v>
      </c>
      <c r="Q66" s="92">
        <f>O66/P66</f>
        <v>0</v>
      </c>
      <c r="R66" s="90"/>
      <c r="S66" s="95">
        <v>5</v>
      </c>
      <c r="T66" s="92">
        <f>R66/S66</f>
        <v>0</v>
      </c>
      <c r="U66" s="90"/>
      <c r="V66" s="95">
        <v>5</v>
      </c>
      <c r="W66" s="92">
        <f>U66/V66</f>
        <v>0</v>
      </c>
      <c r="X66" s="90"/>
      <c r="Y66" s="95">
        <v>5</v>
      </c>
      <c r="Z66" s="92">
        <f>X66/Y66</f>
        <v>0</v>
      </c>
      <c r="AA66" s="94"/>
      <c r="AB66" s="95">
        <v>5</v>
      </c>
      <c r="AC66" s="92">
        <f>AA66/AB66</f>
        <v>0</v>
      </c>
      <c r="AD66" s="94"/>
      <c r="AE66" s="95">
        <v>5</v>
      </c>
      <c r="AF66" s="92">
        <f>AD66/AE66</f>
        <v>0</v>
      </c>
      <c r="AG66" s="94"/>
      <c r="AH66" s="95">
        <v>5</v>
      </c>
      <c r="AI66" s="92">
        <f>AG66/AH66</f>
        <v>0</v>
      </c>
      <c r="AJ66" s="94"/>
      <c r="AK66" s="95">
        <v>5</v>
      </c>
      <c r="AL66" s="92">
        <f>AJ66/AK66</f>
        <v>0</v>
      </c>
      <c r="AM66" s="90"/>
      <c r="AN66" s="96">
        <v>5</v>
      </c>
      <c r="AO66" s="92">
        <f>AM66/AN66</f>
        <v>0</v>
      </c>
      <c r="AP66" s="90"/>
      <c r="AQ66" s="96">
        <v>5</v>
      </c>
      <c r="AR66" s="92">
        <f>AP66/AQ66</f>
        <v>0</v>
      </c>
      <c r="AS66" s="90"/>
      <c r="AT66" s="96">
        <v>5</v>
      </c>
      <c r="AU66" s="92">
        <f>AS66/AT66</f>
        <v>0</v>
      </c>
      <c r="AV66" s="90"/>
      <c r="AW66" s="96">
        <v>5</v>
      </c>
      <c r="AX66" s="92">
        <f>AV66/AW66</f>
        <v>0</v>
      </c>
      <c r="AY66" s="90"/>
      <c r="AZ66" s="96">
        <v>5</v>
      </c>
      <c r="BA66" s="92">
        <f>AY66/AZ66</f>
        <v>0</v>
      </c>
      <c r="BB66" s="90"/>
      <c r="BC66" s="96">
        <v>5</v>
      </c>
      <c r="BD66" s="92">
        <f>BB66/BC66</f>
        <v>0</v>
      </c>
      <c r="BE66" s="90"/>
      <c r="BF66" s="96">
        <v>5</v>
      </c>
      <c r="BG66" s="92">
        <f>BE66/BF66</f>
        <v>0</v>
      </c>
      <c r="BH66" s="90"/>
      <c r="BI66" s="96">
        <v>5</v>
      </c>
      <c r="BJ66" s="92">
        <f>BH66/BI66</f>
        <v>0</v>
      </c>
      <c r="BK66" s="90"/>
      <c r="BL66" s="96">
        <v>5</v>
      </c>
      <c r="BM66" s="92">
        <f>BK66/BL66</f>
        <v>0</v>
      </c>
      <c r="BN66" s="90"/>
      <c r="BO66" s="96">
        <v>5</v>
      </c>
      <c r="BP66" s="92">
        <f>BN66/BO66</f>
        <v>0</v>
      </c>
      <c r="BQ66" s="90"/>
      <c r="BR66" s="96">
        <v>5</v>
      </c>
      <c r="BS66" s="92">
        <f>BQ66/BR66</f>
        <v>0</v>
      </c>
      <c r="BT66" s="90"/>
      <c r="BU66" s="96">
        <v>5</v>
      </c>
      <c r="BV66" s="92">
        <f>BT66/BU66</f>
        <v>0</v>
      </c>
      <c r="BW66" s="90"/>
      <c r="BX66" s="96">
        <v>5</v>
      </c>
      <c r="BY66" s="92">
        <f>BW66/BX66</f>
        <v>0</v>
      </c>
      <c r="BZ66" s="90"/>
      <c r="CA66" s="96">
        <v>5</v>
      </c>
      <c r="CB66" s="92">
        <f>BZ66/CA66</f>
        <v>0</v>
      </c>
      <c r="CC66" s="90"/>
      <c r="CD66" s="96">
        <v>5</v>
      </c>
      <c r="CE66" s="92">
        <f>CC66/CD66</f>
        <v>0</v>
      </c>
      <c r="CF66" s="90"/>
      <c r="CG66" s="96">
        <v>5</v>
      </c>
      <c r="CH66" s="92">
        <f>CF66/CG66</f>
        <v>0</v>
      </c>
      <c r="CI66" s="90"/>
      <c r="CJ66" s="96">
        <v>5</v>
      </c>
      <c r="CK66" s="92">
        <f>CI66/CJ66</f>
        <v>0</v>
      </c>
      <c r="CL66" s="90"/>
      <c r="CM66" s="96">
        <v>5</v>
      </c>
      <c r="CN66" s="92">
        <f>CL66/CM66</f>
        <v>0</v>
      </c>
      <c r="CO66" s="90"/>
      <c r="CP66" s="96">
        <v>5</v>
      </c>
      <c r="CQ66" s="92">
        <f>CO66/CP66</f>
        <v>0</v>
      </c>
      <c r="CR66" s="90"/>
      <c r="CS66" s="96">
        <v>5</v>
      </c>
      <c r="CT66" s="92">
        <f>CR66/CS66</f>
        <v>0</v>
      </c>
      <c r="CU66" s="90"/>
      <c r="CV66" s="96">
        <v>5</v>
      </c>
      <c r="CW66" s="92">
        <f>CU66/CV66</f>
        <v>0</v>
      </c>
      <c r="CX66" s="90"/>
      <c r="CY66" s="96">
        <v>5</v>
      </c>
      <c r="CZ66" s="92">
        <f>CX66/CY66</f>
        <v>0</v>
      </c>
      <c r="DA66" s="90"/>
      <c r="DB66" s="96">
        <v>5</v>
      </c>
      <c r="DC66" s="92">
        <f>DA66/DB66</f>
        <v>0</v>
      </c>
      <c r="DD66" s="90"/>
      <c r="DE66" s="96">
        <v>5</v>
      </c>
      <c r="DF66" s="92">
        <f>DD66/DE66</f>
        <v>0</v>
      </c>
      <c r="DG66" s="90"/>
      <c r="DH66" s="96">
        <v>5</v>
      </c>
      <c r="DI66" s="92">
        <f>DG66/DH66</f>
        <v>0</v>
      </c>
      <c r="DJ66" s="90"/>
      <c r="DK66" s="96">
        <v>5</v>
      </c>
      <c r="DL66" s="92">
        <f>DJ66/DK66</f>
        <v>0</v>
      </c>
      <c r="DM66" s="90"/>
      <c r="DN66" s="96">
        <v>5</v>
      </c>
      <c r="DO66" s="92">
        <f>DM66/DN66</f>
        <v>0</v>
      </c>
      <c r="DP66" s="90"/>
      <c r="DQ66" s="96">
        <v>5</v>
      </c>
      <c r="DR66" s="92">
        <f>DP66/DQ66</f>
        <v>0</v>
      </c>
      <c r="DS66" s="90"/>
      <c r="DT66" s="96">
        <v>5</v>
      </c>
      <c r="DU66" s="92">
        <f>DS66/DT66</f>
        <v>0</v>
      </c>
      <c r="DV66" s="90"/>
      <c r="DW66" s="96">
        <v>5</v>
      </c>
      <c r="DX66" s="92">
        <f>DV66/DW66</f>
        <v>0</v>
      </c>
      <c r="DY66" s="90"/>
      <c r="DZ66" s="96">
        <v>5</v>
      </c>
      <c r="EA66" s="92">
        <f>DY66/DZ66</f>
        <v>0</v>
      </c>
      <c r="EB66" s="90"/>
      <c r="EC66" s="96">
        <v>5</v>
      </c>
      <c r="ED66" s="92">
        <f>EB66/EC66</f>
        <v>0</v>
      </c>
      <c r="EE66" s="90"/>
      <c r="EF66" s="96">
        <v>5</v>
      </c>
      <c r="EG66" s="92">
        <f>EE66/EF66</f>
        <v>0</v>
      </c>
      <c r="EH66" s="90"/>
      <c r="EI66" s="96">
        <v>5</v>
      </c>
      <c r="EJ66" s="92">
        <f>EH66/EI66</f>
        <v>0</v>
      </c>
      <c r="EK66" s="90"/>
      <c r="EL66" s="96">
        <v>5</v>
      </c>
      <c r="EM66" s="92">
        <f>EK66/EL66</f>
        <v>0</v>
      </c>
      <c r="EN66" s="90"/>
      <c r="EO66" s="96">
        <v>5</v>
      </c>
      <c r="EP66" s="178">
        <f t="shared" ref="EP66" si="1199">EN66/EO66</f>
        <v>0</v>
      </c>
      <c r="EQ66" s="85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  <v>0</v>
      </c>
      <c r="ER66" s="162" t="str">
        <f t="array" ref="ER66">_xlfn.IFS(EQ66&gt;=91.5%,"MENSUAL",EQ66&gt;=75%,"QUINCENAL",EQ66&lt;75%,"SEMANAL")</f>
        <v>SEMANAL</v>
      </c>
    </row>
    <row r="67" ht="16" customHeight="1" spans="1:148" x14ac:dyDescent="0.25">
      <c r="A67" s="179" t="s">
        <v>158</v>
      </c>
      <c r="B67" s="180"/>
      <c r="C67" s="126"/>
      <c r="D67" s="127"/>
      <c r="E67" s="82">
        <f>AVERAGE(E68:E77)</f>
        <v>0</v>
      </c>
      <c r="F67" s="126"/>
      <c r="G67" s="127"/>
      <c r="H67" s="82">
        <f>AVERAGE(H68:H77)</f>
        <v>0</v>
      </c>
      <c r="I67" s="126"/>
      <c r="J67" s="127"/>
      <c r="K67" s="82">
        <f>AVERAGE(K68:K77)</f>
        <v>0</v>
      </c>
      <c r="L67" s="126"/>
      <c r="M67" s="127"/>
      <c r="N67" s="82">
        <f>AVERAGE(N68:N77)</f>
        <v>0</v>
      </c>
      <c r="O67" s="126"/>
      <c r="P67" s="127"/>
      <c r="Q67" s="82">
        <f>AVERAGE(Q68:Q77)</f>
        <v>0</v>
      </c>
      <c r="R67" s="126"/>
      <c r="S67" s="127"/>
      <c r="T67" s="82">
        <f>AVERAGE(T68:T77)</f>
        <v>0</v>
      </c>
      <c r="U67" s="126"/>
      <c r="V67" s="127"/>
      <c r="W67" s="82">
        <f>AVERAGE(W68:W77)</f>
        <v>0</v>
      </c>
      <c r="X67" s="126"/>
      <c r="Y67" s="127"/>
      <c r="Z67" s="82">
        <f>AVERAGE(Z68:Z77)</f>
        <v>0</v>
      </c>
      <c r="AA67" s="126"/>
      <c r="AB67" s="127"/>
      <c r="AC67" s="82">
        <f>AVERAGE(AC68:AC77)</f>
        <v>0</v>
      </c>
      <c r="AD67" s="126"/>
      <c r="AE67" s="127"/>
      <c r="AF67" s="82">
        <f>AVERAGE(AF68:AF77)</f>
        <v>0</v>
      </c>
      <c r="AG67" s="126"/>
      <c r="AH67" s="127"/>
      <c r="AI67" s="82">
        <f>AVERAGE(AI68:AI77)</f>
        <v>0</v>
      </c>
      <c r="AJ67" s="126"/>
      <c r="AK67" s="127"/>
      <c r="AL67" s="82">
        <f>AVERAGE(AL68:AL77)</f>
        <v>0</v>
      </c>
      <c r="AM67" s="126"/>
      <c r="AN67" s="136"/>
      <c r="AO67" s="82">
        <f>AVERAGE(AO68:AO77)</f>
        <v>0</v>
      </c>
      <c r="AP67" s="128"/>
      <c r="AQ67" s="129"/>
      <c r="AR67" s="82">
        <f>AVERAGE(AR68:AR77)</f>
        <v>0</v>
      </c>
      <c r="AS67" s="130"/>
      <c r="AT67" s="129"/>
      <c r="AU67" s="82">
        <f>AVERAGE(AU68:AU77)</f>
        <v>0</v>
      </c>
      <c r="AV67" s="126"/>
      <c r="AW67" s="136"/>
      <c r="AX67" s="82">
        <f>AVERAGE(AX68:AX77)</f>
        <v>0</v>
      </c>
      <c r="AY67" s="137"/>
      <c r="AZ67" s="138"/>
      <c r="BA67" s="82">
        <f>AVERAGE(BA68:BA77)</f>
        <v>0</v>
      </c>
      <c r="BB67" s="128"/>
      <c r="BC67" s="132"/>
      <c r="BD67" s="82">
        <f>AVERAGE(BD68:BD77)</f>
        <v>0</v>
      </c>
      <c r="BE67" s="128"/>
      <c r="BF67" s="132"/>
      <c r="BG67" s="82">
        <f>AVERAGE(BG68:BG77)</f>
        <v>0</v>
      </c>
      <c r="BH67" s="128"/>
      <c r="BI67" s="132"/>
      <c r="BJ67" s="82">
        <f>AVERAGE(BJ68:BJ77)</f>
        <v>0</v>
      </c>
      <c r="BK67" s="128"/>
      <c r="BL67" s="132"/>
      <c r="BM67" s="82">
        <f>AVERAGE(BM68:BM77)</f>
        <v>0</v>
      </c>
      <c r="BN67" s="128"/>
      <c r="BO67" s="132"/>
      <c r="BP67" s="82">
        <f>AVERAGE(BP68:BP77)</f>
        <v>0</v>
      </c>
      <c r="BQ67" s="128"/>
      <c r="BR67" s="132"/>
      <c r="BS67" s="82">
        <f>AVERAGE(BS68:BS77)</f>
        <v>0</v>
      </c>
      <c r="BT67" s="128"/>
      <c r="BU67" s="132"/>
      <c r="BV67" s="82">
        <f>AVERAGE(BV68:BV77)</f>
        <v>0</v>
      </c>
      <c r="BW67" s="128"/>
      <c r="BX67" s="132"/>
      <c r="BY67" s="82">
        <f>AVERAGE(BY68:BY77)</f>
        <v>0</v>
      </c>
      <c r="BZ67" s="126"/>
      <c r="CA67" s="127"/>
      <c r="CB67" s="82">
        <f>AVERAGE(CB68:CB77)</f>
        <v>0</v>
      </c>
      <c r="CC67" s="126"/>
      <c r="CD67" s="127"/>
      <c r="CE67" s="82">
        <f>AVERAGE(CE68:CE77)</f>
        <v>0</v>
      </c>
      <c r="CF67" s="126"/>
      <c r="CG67" s="127"/>
      <c r="CH67" s="82">
        <f>AVERAGE(CH68:CH77)</f>
        <v>0</v>
      </c>
      <c r="CI67" s="126"/>
      <c r="CJ67" s="127"/>
      <c r="CK67" s="82">
        <f>AVERAGE(CK68:CK77)</f>
        <v>0</v>
      </c>
      <c r="CL67" s="126"/>
      <c r="CM67" s="127"/>
      <c r="CN67" s="82">
        <f>AVERAGE(CN68:CN77)</f>
        <v>0</v>
      </c>
      <c r="CO67" s="126"/>
      <c r="CP67" s="127"/>
      <c r="CQ67" s="82">
        <f>AVERAGE(CQ68:CQ77)</f>
        <v>0</v>
      </c>
      <c r="CR67" s="126"/>
      <c r="CS67" s="127"/>
      <c r="CT67" s="82">
        <f>AVERAGE(CT68:CT77)</f>
        <v>0</v>
      </c>
      <c r="CU67" s="126"/>
      <c r="CV67" s="127"/>
      <c r="CW67" s="82">
        <f>AVERAGE(CW68:CW77)</f>
        <v>0</v>
      </c>
      <c r="CX67" s="126"/>
      <c r="CY67" s="127"/>
      <c r="CZ67" s="82">
        <f>AVERAGE(CZ68:CZ77)</f>
        <v>0</v>
      </c>
      <c r="DA67" s="126"/>
      <c r="DB67" s="127"/>
      <c r="DC67" s="82">
        <f>AVERAGE(DC68:DC77)</f>
        <v>0</v>
      </c>
      <c r="DD67" s="126"/>
      <c r="DE67" s="127"/>
      <c r="DF67" s="82">
        <f>AVERAGE(DF68:DF77)</f>
        <v>0</v>
      </c>
      <c r="DG67" s="126"/>
      <c r="DH67" s="127"/>
      <c r="DI67" s="82">
        <f>AVERAGE(DI68:DI77)</f>
        <v>0</v>
      </c>
      <c r="DJ67" s="126"/>
      <c r="DK67" s="127"/>
      <c r="DL67" s="82">
        <f>AVERAGE(DL68:DL77)</f>
        <v>0</v>
      </c>
      <c r="DM67" s="126"/>
      <c r="DN67" s="127"/>
      <c r="DO67" s="82">
        <f>AVERAGE(DO68:DO77)</f>
        <v>0</v>
      </c>
      <c r="DP67" s="126"/>
      <c r="DQ67" s="127"/>
      <c r="DR67" s="82">
        <f>AVERAGE(DR68:DR77)</f>
        <v>0</v>
      </c>
      <c r="DS67" s="126"/>
      <c r="DT67" s="127"/>
      <c r="DU67" s="82">
        <f>AVERAGE(DU68:DU77)</f>
        <v>0</v>
      </c>
      <c r="DV67" s="126"/>
      <c r="DW67" s="127"/>
      <c r="DX67" s="82">
        <f>AVERAGE(DX68:DX77)</f>
        <v>0</v>
      </c>
      <c r="DY67" s="126"/>
      <c r="DZ67" s="127"/>
      <c r="EA67" s="82">
        <f>AVERAGE(EA68:EA77)</f>
        <v>0</v>
      </c>
      <c r="EB67" s="126"/>
      <c r="EC67" s="127"/>
      <c r="ED67" s="82">
        <f>AVERAGE(ED68:ED77)</f>
        <v>0</v>
      </c>
      <c r="EE67" s="126"/>
      <c r="EF67" s="127"/>
      <c r="EG67" s="82">
        <f>AVERAGE(EG68:EG77)</f>
        <v>0</v>
      </c>
      <c r="EH67" s="126"/>
      <c r="EI67" s="127"/>
      <c r="EJ67" s="82">
        <f>AVERAGE(EJ68:EJ77)</f>
        <v>0</v>
      </c>
      <c r="EK67" s="126"/>
      <c r="EL67" s="127"/>
      <c r="EM67" s="82">
        <f>AVERAGE(EM68:EM77)</f>
        <v>0</v>
      </c>
      <c r="EN67" s="126"/>
      <c r="EO67" s="127"/>
      <c r="EP67" s="82">
        <f>AVERAGE(EP68:EP77)</f>
        <v>0</v>
      </c>
      <c r="EQ67" s="85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  <v>0</v>
      </c>
      <c r="ER67" s="162" t="str">
        <f t="array" ref="ER67">_xlfn.IFS(EQ67&gt;=91.5%,"MENSUAL",EQ67&gt;=75%,"QUINCENAL",EQ67&lt;75%,"SEMANAL")</f>
        <v>SEMANAL</v>
      </c>
    </row>
    <row r="68" ht="21.5" customHeight="1" spans="1:148" x14ac:dyDescent="0.25">
      <c r="A68" s="181" t="s">
        <v>159</v>
      </c>
      <c r="B68" s="182"/>
      <c r="C68" s="90"/>
      <c r="D68" s="91">
        <v>5</v>
      </c>
      <c r="E68" s="92">
        <f>C68/D68</f>
        <v>0</v>
      </c>
      <c r="F68" s="90"/>
      <c r="G68" s="91">
        <v>5</v>
      </c>
      <c r="H68" s="92">
        <f>F68/G68</f>
        <v>0</v>
      </c>
      <c r="I68" s="93"/>
      <c r="J68" s="91">
        <v>5</v>
      </c>
      <c r="K68" s="92">
        <f>I68/J68</f>
        <v>0</v>
      </c>
      <c r="L68" s="93"/>
      <c r="M68" s="91">
        <v>5</v>
      </c>
      <c r="N68" s="92">
        <f>L68/M68</f>
        <v>0</v>
      </c>
      <c r="O68" s="94"/>
      <c r="P68" s="95">
        <v>5</v>
      </c>
      <c r="Q68" s="92">
        <f>O68/P68</f>
        <v>0</v>
      </c>
      <c r="R68" s="90"/>
      <c r="S68" s="95">
        <v>5</v>
      </c>
      <c r="T68" s="92">
        <f>R68/S68</f>
        <v>0</v>
      </c>
      <c r="U68" s="90"/>
      <c r="V68" s="95">
        <v>5</v>
      </c>
      <c r="W68" s="92">
        <f>U68/V68</f>
        <v>0</v>
      </c>
      <c r="X68" s="90"/>
      <c r="Y68" s="95">
        <v>5</v>
      </c>
      <c r="Z68" s="92">
        <f>X68/Y68</f>
        <v>0</v>
      </c>
      <c r="AA68" s="94"/>
      <c r="AB68" s="95">
        <v>5</v>
      </c>
      <c r="AC68" s="92">
        <f>AA68/AB68</f>
        <v>0</v>
      </c>
      <c r="AD68" s="94"/>
      <c r="AE68" s="95">
        <v>5</v>
      </c>
      <c r="AF68" s="92">
        <f>AD68/AE68</f>
        <v>0</v>
      </c>
      <c r="AG68" s="94"/>
      <c r="AH68" s="95">
        <v>5</v>
      </c>
      <c r="AI68" s="92">
        <f>AG68/AH68</f>
        <v>0</v>
      </c>
      <c r="AJ68" s="94"/>
      <c r="AK68" s="95">
        <v>5</v>
      </c>
      <c r="AL68" s="92">
        <f>AJ68/AK68</f>
        <v>0</v>
      </c>
      <c r="AM68" s="90"/>
      <c r="AN68" s="96">
        <v>5</v>
      </c>
      <c r="AO68" s="92">
        <f>AM68/AN68</f>
        <v>0</v>
      </c>
      <c r="AP68" s="90"/>
      <c r="AQ68" s="96">
        <v>5</v>
      </c>
      <c r="AR68" s="92">
        <f>AP68/AQ68</f>
        <v>0</v>
      </c>
      <c r="AS68" s="90"/>
      <c r="AT68" s="96">
        <v>5</v>
      </c>
      <c r="AU68" s="92">
        <f>AS68/AT68</f>
        <v>0</v>
      </c>
      <c r="AV68" s="90"/>
      <c r="AW68" s="96">
        <v>5</v>
      </c>
      <c r="AX68" s="92">
        <f>AV68/AW68</f>
        <v>0</v>
      </c>
      <c r="AY68" s="90"/>
      <c r="AZ68" s="96">
        <v>5</v>
      </c>
      <c r="BA68" s="92">
        <f>AY68/AZ68</f>
        <v>0</v>
      </c>
      <c r="BB68" s="90"/>
      <c r="BC68" s="96">
        <v>5</v>
      </c>
      <c r="BD68" s="92">
        <f>BB68/BC68</f>
        <v>0</v>
      </c>
      <c r="BE68" s="90"/>
      <c r="BF68" s="96">
        <v>5</v>
      </c>
      <c r="BG68" s="92">
        <f>BE68/BF68</f>
        <v>0</v>
      </c>
      <c r="BH68" s="90"/>
      <c r="BI68" s="96">
        <v>5</v>
      </c>
      <c r="BJ68" s="92">
        <f>BH68/BI68</f>
        <v>0</v>
      </c>
      <c r="BK68" s="90"/>
      <c r="BL68" s="96">
        <v>5</v>
      </c>
      <c r="BM68" s="92">
        <f>BK68/BL68</f>
        <v>0</v>
      </c>
      <c r="BN68" s="90"/>
      <c r="BO68" s="96">
        <v>5</v>
      </c>
      <c r="BP68" s="92">
        <f>BN68/BO68</f>
        <v>0</v>
      </c>
      <c r="BQ68" s="90"/>
      <c r="BR68" s="96">
        <v>5</v>
      </c>
      <c r="BS68" s="92">
        <f>BQ68/BR68</f>
        <v>0</v>
      </c>
      <c r="BT68" s="90"/>
      <c r="BU68" s="96">
        <v>5</v>
      </c>
      <c r="BV68" s="92">
        <f>BT68/BU68</f>
        <v>0</v>
      </c>
      <c r="BW68" s="90"/>
      <c r="BX68" s="96">
        <v>5</v>
      </c>
      <c r="BY68" s="92">
        <f>BW68/BX68</f>
        <v>0</v>
      </c>
      <c r="BZ68" s="90"/>
      <c r="CA68" s="96">
        <v>5</v>
      </c>
      <c r="CB68" s="92">
        <f>BZ68/CA68</f>
        <v>0</v>
      </c>
      <c r="CC68" s="90"/>
      <c r="CD68" s="96">
        <v>5</v>
      </c>
      <c r="CE68" s="92">
        <f>CC68/CD68</f>
        <v>0</v>
      </c>
      <c r="CF68" s="90"/>
      <c r="CG68" s="96">
        <v>5</v>
      </c>
      <c r="CH68" s="92">
        <f>CF68/CG68</f>
        <v>0</v>
      </c>
      <c r="CI68" s="90"/>
      <c r="CJ68" s="96">
        <v>5</v>
      </c>
      <c r="CK68" s="92">
        <f>CI68/CJ68</f>
        <v>0</v>
      </c>
      <c r="CL68" s="90"/>
      <c r="CM68" s="96">
        <v>5</v>
      </c>
      <c r="CN68" s="92">
        <f>CL68/CM68</f>
        <v>0</v>
      </c>
      <c r="CO68" s="90"/>
      <c r="CP68" s="96">
        <v>5</v>
      </c>
      <c r="CQ68" s="92">
        <f>CO68/CP68</f>
        <v>0</v>
      </c>
      <c r="CR68" s="90"/>
      <c r="CS68" s="96">
        <v>5</v>
      </c>
      <c r="CT68" s="92">
        <f>CR68/CS68</f>
        <v>0</v>
      </c>
      <c r="CU68" s="90"/>
      <c r="CV68" s="96">
        <v>5</v>
      </c>
      <c r="CW68" s="92">
        <f>CU68/CV68</f>
        <v>0</v>
      </c>
      <c r="CX68" s="90"/>
      <c r="CY68" s="96">
        <v>5</v>
      </c>
      <c r="CZ68" s="92">
        <f>CX68/CY68</f>
        <v>0</v>
      </c>
      <c r="DA68" s="90"/>
      <c r="DB68" s="96">
        <v>5</v>
      </c>
      <c r="DC68" s="92">
        <f>DA68/DB68</f>
        <v>0</v>
      </c>
      <c r="DD68" s="90"/>
      <c r="DE68" s="96">
        <v>5</v>
      </c>
      <c r="DF68" s="92">
        <f>DD68/DE68</f>
        <v>0</v>
      </c>
      <c r="DG68" s="90"/>
      <c r="DH68" s="96">
        <v>5</v>
      </c>
      <c r="DI68" s="92">
        <f>DG68/DH68</f>
        <v>0</v>
      </c>
      <c r="DJ68" s="90"/>
      <c r="DK68" s="96">
        <v>5</v>
      </c>
      <c r="DL68" s="92">
        <f>DJ68/DK68</f>
        <v>0</v>
      </c>
      <c r="DM68" s="90"/>
      <c r="DN68" s="96">
        <v>5</v>
      </c>
      <c r="DO68" s="92">
        <f>DM68/DN68</f>
        <v>0</v>
      </c>
      <c r="DP68" s="90"/>
      <c r="DQ68" s="96">
        <v>5</v>
      </c>
      <c r="DR68" s="92">
        <f>DP68/DQ68</f>
        <v>0</v>
      </c>
      <c r="DS68" s="90"/>
      <c r="DT68" s="96">
        <v>5</v>
      </c>
      <c r="DU68" s="92">
        <f>DS68/DT68</f>
        <v>0</v>
      </c>
      <c r="DV68" s="90"/>
      <c r="DW68" s="96">
        <v>5</v>
      </c>
      <c r="DX68" s="92">
        <f>DV68/DW68</f>
        <v>0</v>
      </c>
      <c r="DY68" s="90"/>
      <c r="DZ68" s="96">
        <v>5</v>
      </c>
      <c r="EA68" s="92">
        <f>DY68/DZ68</f>
        <v>0</v>
      </c>
      <c r="EB68" s="90"/>
      <c r="EC68" s="96">
        <v>5</v>
      </c>
      <c r="ED68" s="92">
        <f>EB68/EC68</f>
        <v>0</v>
      </c>
      <c r="EE68" s="90"/>
      <c r="EF68" s="96">
        <v>5</v>
      </c>
      <c r="EG68" s="92">
        <f>EE68/EF68</f>
        <v>0</v>
      </c>
      <c r="EH68" s="90"/>
      <c r="EI68" s="96">
        <v>5</v>
      </c>
      <c r="EJ68" s="92">
        <f>EH68/EI68</f>
        <v>0</v>
      </c>
      <c r="EK68" s="90"/>
      <c r="EL68" s="96">
        <v>5</v>
      </c>
      <c r="EM68" s="92">
        <f>EK68/EL68</f>
        <v>0</v>
      </c>
      <c r="EN68" s="90"/>
      <c r="EO68" s="96">
        <v>5</v>
      </c>
      <c r="EP68" s="92">
        <f>EN68/EO68</f>
        <v>0</v>
      </c>
      <c r="EQ68" s="85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  <v>0</v>
      </c>
      <c r="ER68" s="162" t="str">
        <f t="array" ref="ER68">_xlfn.IFS(EQ68&gt;=91.5%,"MENSUAL",EQ68&gt;=75%,"QUINCENAL",EQ68&lt;75%,"SEMANAL")</f>
        <v>SEMANAL</v>
      </c>
    </row>
    <row r="69" ht="16" customHeight="1" spans="1:148" x14ac:dyDescent="0.25">
      <c r="A69" s="183" t="s">
        <v>160</v>
      </c>
      <c r="B69" s="166"/>
      <c r="C69" s="102"/>
      <c r="D69" s="103">
        <v>5</v>
      </c>
      <c r="E69" s="104">
        <f t="shared" ref="E69" si="1200">C69/D69</f>
        <v>0</v>
      </c>
      <c r="F69" s="102"/>
      <c r="G69" s="103">
        <v>5</v>
      </c>
      <c r="H69" s="104">
        <f t="shared" ref="H69" si="1201">F69/G69</f>
        <v>0</v>
      </c>
      <c r="I69" s="105"/>
      <c r="J69" s="103">
        <v>5</v>
      </c>
      <c r="K69" s="104">
        <f t="shared" ref="K69" si="1202">I69/J69</f>
        <v>0</v>
      </c>
      <c r="L69" s="105"/>
      <c r="M69" s="103">
        <v>5</v>
      </c>
      <c r="N69" s="104">
        <f t="shared" ref="N69" si="1203">L69/M69</f>
        <v>0</v>
      </c>
      <c r="O69" s="106"/>
      <c r="P69" s="107">
        <v>5</v>
      </c>
      <c r="Q69" s="104">
        <f t="shared" ref="Q69" si="1204">O69/P69</f>
        <v>0</v>
      </c>
      <c r="R69" s="102"/>
      <c r="S69" s="107">
        <v>5</v>
      </c>
      <c r="T69" s="104">
        <f t="shared" ref="T69" si="1205">R69/S69</f>
        <v>0</v>
      </c>
      <c r="U69" s="102"/>
      <c r="V69" s="107">
        <v>5</v>
      </c>
      <c r="W69" s="104">
        <f t="shared" ref="W69" si="1206">U69/V69</f>
        <v>0</v>
      </c>
      <c r="X69" s="102"/>
      <c r="Y69" s="107">
        <v>5</v>
      </c>
      <c r="Z69" s="104">
        <f t="shared" ref="Z69" si="1207">X69/Y69</f>
        <v>0</v>
      </c>
      <c r="AA69" s="106"/>
      <c r="AB69" s="107">
        <v>5</v>
      </c>
      <c r="AC69" s="104">
        <f t="shared" ref="AC69" si="1208">AA69/AB69</f>
        <v>0</v>
      </c>
      <c r="AD69" s="106"/>
      <c r="AE69" s="107">
        <v>5</v>
      </c>
      <c r="AF69" s="104">
        <f t="shared" ref="AF69" si="1209">AD69/AE69</f>
        <v>0</v>
      </c>
      <c r="AG69" s="106"/>
      <c r="AH69" s="107">
        <v>5</v>
      </c>
      <c r="AI69" s="104">
        <f t="shared" ref="AI69" si="1210">AG69/AH69</f>
        <v>0</v>
      </c>
      <c r="AJ69" s="106"/>
      <c r="AK69" s="107">
        <v>5</v>
      </c>
      <c r="AL69" s="104">
        <f t="shared" ref="AL69" si="1211">AJ69/AK69</f>
        <v>0</v>
      </c>
      <c r="AM69" s="102"/>
      <c r="AN69" s="1">
        <v>5</v>
      </c>
      <c r="AO69" s="104">
        <f t="shared" ref="AO69" si="1212">AM69/AN69</f>
        <v>0</v>
      </c>
      <c r="AP69" s="102"/>
      <c r="AQ69" s="1">
        <v>5</v>
      </c>
      <c r="AR69" s="104">
        <f t="shared" ref="AR69" si="1213">AP69/AQ69</f>
        <v>0</v>
      </c>
      <c r="AS69" s="102"/>
      <c r="AT69" s="1">
        <v>5</v>
      </c>
      <c r="AU69" s="104">
        <f t="shared" ref="AU69" si="1214">AS69/AT69</f>
        <v>0</v>
      </c>
      <c r="AV69" s="102"/>
      <c r="AW69" s="1">
        <v>5</v>
      </c>
      <c r="AX69" s="104">
        <f t="shared" ref="AX69" si="1215">AV69/AW69</f>
        <v>0</v>
      </c>
      <c r="AY69" s="102"/>
      <c r="AZ69" s="1">
        <v>5</v>
      </c>
      <c r="BA69" s="104">
        <f t="shared" ref="BA69" si="1216">AY69/AZ69</f>
        <v>0</v>
      </c>
      <c r="BB69" s="102"/>
      <c r="BC69" s="1">
        <v>5</v>
      </c>
      <c r="BD69" s="104">
        <f t="shared" ref="BD69" si="1217">BB69/BC69</f>
        <v>0</v>
      </c>
      <c r="BE69" s="102"/>
      <c r="BF69" s="1">
        <v>5</v>
      </c>
      <c r="BG69" s="104">
        <f t="shared" ref="BG69" si="1218">BE69/BF69</f>
        <v>0</v>
      </c>
      <c r="BH69" s="102"/>
      <c r="BI69" s="1">
        <v>5</v>
      </c>
      <c r="BJ69" s="104">
        <f t="shared" ref="BJ69" si="1219">BH69/BI69</f>
        <v>0</v>
      </c>
      <c r="BK69" s="102"/>
      <c r="BL69" s="1">
        <v>5</v>
      </c>
      <c r="BM69" s="104">
        <f t="shared" ref="BM69" si="1220">BK69/BL69</f>
        <v>0</v>
      </c>
      <c r="BN69" s="102"/>
      <c r="BO69" s="1">
        <v>5</v>
      </c>
      <c r="BP69" s="104">
        <f t="shared" ref="BP69" si="1221">BN69/BO69</f>
        <v>0</v>
      </c>
      <c r="BQ69" s="102"/>
      <c r="BR69" s="1">
        <v>5</v>
      </c>
      <c r="BS69" s="104">
        <f t="shared" ref="BS69" si="1222">BQ69/BR69</f>
        <v>0</v>
      </c>
      <c r="BT69" s="102"/>
      <c r="BU69" s="1">
        <v>5</v>
      </c>
      <c r="BV69" s="104">
        <f t="shared" ref="BV69" si="1223">BT69/BU69</f>
        <v>0</v>
      </c>
      <c r="BW69" s="102"/>
      <c r="BX69" s="1">
        <v>5</v>
      </c>
      <c r="BY69" s="104">
        <f t="shared" ref="BY69" si="1224">BW69/BX69</f>
        <v>0</v>
      </c>
      <c r="BZ69" s="102"/>
      <c r="CA69" s="1">
        <v>5</v>
      </c>
      <c r="CB69" s="104">
        <f t="shared" ref="CB69" si="1225">BZ69/CA69</f>
        <v>0</v>
      </c>
      <c r="CC69" s="102"/>
      <c r="CD69" s="1">
        <v>5</v>
      </c>
      <c r="CE69" s="104">
        <f t="shared" ref="CE69" si="1226">CC69/CD69</f>
        <v>0</v>
      </c>
      <c r="CF69" s="102"/>
      <c r="CG69" s="1">
        <v>5</v>
      </c>
      <c r="CH69" s="104">
        <f t="shared" ref="CH69" si="1227">CF69/CG69</f>
        <v>0</v>
      </c>
      <c r="CI69" s="102"/>
      <c r="CJ69" s="1">
        <v>5</v>
      </c>
      <c r="CK69" s="104">
        <f t="shared" ref="CK69" si="1228">CI69/CJ69</f>
        <v>0</v>
      </c>
      <c r="CL69" s="102"/>
      <c r="CM69" s="1">
        <v>5</v>
      </c>
      <c r="CN69" s="104">
        <f t="shared" ref="CN69" si="1229">CL69/CM69</f>
        <v>0</v>
      </c>
      <c r="CO69" s="102"/>
      <c r="CP69" s="1">
        <v>5</v>
      </c>
      <c r="CQ69" s="104">
        <f t="shared" ref="CQ69" si="1230">CO69/CP69</f>
        <v>0</v>
      </c>
      <c r="CR69" s="102"/>
      <c r="CS69" s="1">
        <v>5</v>
      </c>
      <c r="CT69" s="104">
        <f t="shared" ref="CT69" si="1231">CR69/CS69</f>
        <v>0</v>
      </c>
      <c r="CU69" s="102"/>
      <c r="CV69" s="1">
        <v>5</v>
      </c>
      <c r="CW69" s="104">
        <f t="shared" ref="CW69" si="1232">CU69/CV69</f>
        <v>0</v>
      </c>
      <c r="CX69" s="102"/>
      <c r="CY69" s="1">
        <v>5</v>
      </c>
      <c r="CZ69" s="104">
        <f t="shared" ref="CZ69" si="1233">CX69/CY69</f>
        <v>0</v>
      </c>
      <c r="DA69" s="102"/>
      <c r="DB69" s="1">
        <v>5</v>
      </c>
      <c r="DC69" s="104">
        <f t="shared" ref="DC69" si="1234">DA69/DB69</f>
        <v>0</v>
      </c>
      <c r="DD69" s="102"/>
      <c r="DE69" s="1">
        <v>5</v>
      </c>
      <c r="DF69" s="104">
        <f t="shared" ref="DF69" si="1235">DD69/DE69</f>
        <v>0</v>
      </c>
      <c r="DG69" s="102"/>
      <c r="DH69" s="1">
        <v>5</v>
      </c>
      <c r="DI69" s="104">
        <f t="shared" ref="DI69" si="1236">DG69/DH69</f>
        <v>0</v>
      </c>
      <c r="DJ69" s="102"/>
      <c r="DK69" s="1">
        <v>5</v>
      </c>
      <c r="DL69" s="104">
        <f t="shared" ref="DL69" si="1237">DJ69/DK69</f>
        <v>0</v>
      </c>
      <c r="DM69" s="102"/>
      <c r="DN69" s="1">
        <v>5</v>
      </c>
      <c r="DO69" s="104">
        <f t="shared" ref="DO69" si="1238">DM69/DN69</f>
        <v>0</v>
      </c>
      <c r="DP69" s="102"/>
      <c r="DQ69" s="1">
        <v>5</v>
      </c>
      <c r="DR69" s="104">
        <f t="shared" ref="DR69" si="1239">DP69/DQ69</f>
        <v>0</v>
      </c>
      <c r="DS69" s="102"/>
      <c r="DT69" s="1">
        <v>5</v>
      </c>
      <c r="DU69" s="104">
        <f t="shared" ref="DU69" si="1240">DS69/DT69</f>
        <v>0</v>
      </c>
      <c r="DV69" s="102"/>
      <c r="DW69" s="1">
        <v>5</v>
      </c>
      <c r="DX69" s="104">
        <f t="shared" ref="DX69" si="1241">DV69/DW69</f>
        <v>0</v>
      </c>
      <c r="DY69" s="102"/>
      <c r="DZ69" s="1">
        <v>5</v>
      </c>
      <c r="EA69" s="104">
        <f t="shared" ref="EA69" si="1242">DY69/DZ69</f>
        <v>0</v>
      </c>
      <c r="EB69" s="102"/>
      <c r="EC69" s="1">
        <v>5</v>
      </c>
      <c r="ED69" s="104">
        <f t="shared" ref="ED69" si="1243">EB69/EC69</f>
        <v>0</v>
      </c>
      <c r="EE69" s="102"/>
      <c r="EF69" s="1">
        <v>5</v>
      </c>
      <c r="EG69" s="104">
        <f t="shared" ref="EG69" si="1244">EE69/EF69</f>
        <v>0</v>
      </c>
      <c r="EH69" s="102"/>
      <c r="EI69" s="1">
        <v>5</v>
      </c>
      <c r="EJ69" s="104">
        <f t="shared" ref="EJ69" si="1245">EH69/EI69</f>
        <v>0</v>
      </c>
      <c r="EK69" s="102"/>
      <c r="EL69" s="1">
        <v>5</v>
      </c>
      <c r="EM69" s="104">
        <f t="shared" ref="EM69" si="1246">EK69/EL69</f>
        <v>0</v>
      </c>
      <c r="EN69" s="102"/>
      <c r="EO69" s="1">
        <v>5</v>
      </c>
      <c r="EP69" s="104">
        <f t="shared" ref="EP69" si="1247">EN69/EO69</f>
        <v>0</v>
      </c>
      <c r="EQ69" s="85">
        <f t="array" ref="EQ69">IFERROR(_xlfn.LET(
_xlpm.datos,CHOOSE({1;2;3;4;5;6;7;8;9;10;11;12;13;13;14;15;16;17;18;19;20;21;22;23;23;24;25;26;27;28;29;30;31;32;33;34;35;36;37;38;39;40;41;42;43;44;45;46;47},E69,H69,K69,N69,Q69,T69,W69,Z69,AC69,AF69,AI69,AL69,AO69,AR69,AU69,AX69,BA69,BD69,BG69,BJ69,BP69,BS69,BV69,BY69,CB69,CE69,CH69,CK69,CN69,CQ69,CT69,CW69,CZ69,DC69,DF69,DI69,DL69,DO69,DR69,DU69,DX69,EA69,ED69,EG69,EJ69,EM69,EP69),
AVERAGE(_xlfn._xlws.FILTER(_xlpm.datos,(_xlpm.datos&lt;&gt;0)*(_xlpm.datos&lt;&gt;"")))
),0)</f>
        <v>0</v>
      </c>
      <c r="ER69" s="162" t="str">
        <f t="array" ref="ER69">_xlfn.IFS(EQ69&gt;=91.5%,"MENSUAL",EQ69&gt;=75%,"QUINCENAL",EQ69&lt;75%,"SEMANAL")</f>
        <v>SEMANAL</v>
      </c>
    </row>
    <row r="70" ht="16" customHeight="1" spans="1:148" x14ac:dyDescent="0.25">
      <c r="A70" s="183" t="s">
        <v>161</v>
      </c>
      <c r="B70" s="166"/>
      <c r="C70" s="90"/>
      <c r="D70" s="91">
        <v>5</v>
      </c>
      <c r="E70" s="92">
        <f>C70/D70</f>
        <v>0</v>
      </c>
      <c r="F70" s="90"/>
      <c r="G70" s="91">
        <v>5</v>
      </c>
      <c r="H70" s="92">
        <f>F70/G70</f>
        <v>0</v>
      </c>
      <c r="I70" s="93"/>
      <c r="J70" s="91">
        <v>5</v>
      </c>
      <c r="K70" s="92">
        <f>I70/J70</f>
        <v>0</v>
      </c>
      <c r="L70" s="93"/>
      <c r="M70" s="91">
        <v>5</v>
      </c>
      <c r="N70" s="92">
        <f>L70/M70</f>
        <v>0</v>
      </c>
      <c r="O70" s="94"/>
      <c r="P70" s="95">
        <v>5</v>
      </c>
      <c r="Q70" s="92">
        <f>O70/P70</f>
        <v>0</v>
      </c>
      <c r="R70" s="90"/>
      <c r="S70" s="95">
        <v>5</v>
      </c>
      <c r="T70" s="92">
        <f>R70/S70</f>
        <v>0</v>
      </c>
      <c r="U70" s="90"/>
      <c r="V70" s="95">
        <v>5</v>
      </c>
      <c r="W70" s="92">
        <f>U70/V70</f>
        <v>0</v>
      </c>
      <c r="X70" s="90"/>
      <c r="Y70" s="95">
        <v>5</v>
      </c>
      <c r="Z70" s="92">
        <f>X70/Y70</f>
        <v>0</v>
      </c>
      <c r="AA70" s="94"/>
      <c r="AB70" s="95">
        <v>5</v>
      </c>
      <c r="AC70" s="92">
        <f>AA70/AB70</f>
        <v>0</v>
      </c>
      <c r="AD70" s="94"/>
      <c r="AE70" s="95">
        <v>5</v>
      </c>
      <c r="AF70" s="92">
        <f>AD70/AE70</f>
        <v>0</v>
      </c>
      <c r="AG70" s="94"/>
      <c r="AH70" s="95">
        <v>5</v>
      </c>
      <c r="AI70" s="92">
        <f>AG70/AH70</f>
        <v>0</v>
      </c>
      <c r="AJ70" s="94"/>
      <c r="AK70" s="95">
        <v>5</v>
      </c>
      <c r="AL70" s="92">
        <f>AJ70/AK70</f>
        <v>0</v>
      </c>
      <c r="AM70" s="90"/>
      <c r="AN70" s="96">
        <v>5</v>
      </c>
      <c r="AO70" s="92">
        <f>AM70/AN70</f>
        <v>0</v>
      </c>
      <c r="AP70" s="90"/>
      <c r="AQ70" s="96">
        <v>5</v>
      </c>
      <c r="AR70" s="92">
        <f>AP70/AQ70</f>
        <v>0</v>
      </c>
      <c r="AS70" s="90"/>
      <c r="AT70" s="96">
        <v>5</v>
      </c>
      <c r="AU70" s="92">
        <f>AS70/AT70</f>
        <v>0</v>
      </c>
      <c r="AV70" s="90"/>
      <c r="AW70" s="96">
        <v>5</v>
      </c>
      <c r="AX70" s="92">
        <f>AV70/AW70</f>
        <v>0</v>
      </c>
      <c r="AY70" s="90"/>
      <c r="AZ70" s="96">
        <v>5</v>
      </c>
      <c r="BA70" s="92">
        <f>AY70/AZ70</f>
        <v>0</v>
      </c>
      <c r="BB70" s="90"/>
      <c r="BC70" s="96">
        <v>5</v>
      </c>
      <c r="BD70" s="92">
        <f>BB70/BC70</f>
        <v>0</v>
      </c>
      <c r="BE70" s="90"/>
      <c r="BF70" s="96">
        <v>5</v>
      </c>
      <c r="BG70" s="92">
        <f>BE70/BF70</f>
        <v>0</v>
      </c>
      <c r="BH70" s="90"/>
      <c r="BI70" s="96">
        <v>5</v>
      </c>
      <c r="BJ70" s="92">
        <f>BH70/BI70</f>
        <v>0</v>
      </c>
      <c r="BK70" s="90"/>
      <c r="BL70" s="96">
        <v>5</v>
      </c>
      <c r="BM70" s="92">
        <f>BK70/BL70</f>
        <v>0</v>
      </c>
      <c r="BN70" s="90"/>
      <c r="BO70" s="96">
        <v>5</v>
      </c>
      <c r="BP70" s="92">
        <f>BN70/BO70</f>
        <v>0</v>
      </c>
      <c r="BQ70" s="90"/>
      <c r="BR70" s="96">
        <v>5</v>
      </c>
      <c r="BS70" s="92">
        <f>BQ70/BR70</f>
        <v>0</v>
      </c>
      <c r="BT70" s="90"/>
      <c r="BU70" s="96">
        <v>5</v>
      </c>
      <c r="BV70" s="92">
        <f>BT70/BU70</f>
        <v>0</v>
      </c>
      <c r="BW70" s="90"/>
      <c r="BX70" s="96">
        <v>5</v>
      </c>
      <c r="BY70" s="92">
        <f>BW70/BX70</f>
        <v>0</v>
      </c>
      <c r="BZ70" s="90"/>
      <c r="CA70" s="96">
        <v>5</v>
      </c>
      <c r="CB70" s="92">
        <f>BZ70/CA70</f>
        <v>0</v>
      </c>
      <c r="CC70" s="90"/>
      <c r="CD70" s="96">
        <v>5</v>
      </c>
      <c r="CE70" s="92">
        <f>CC70/CD70</f>
        <v>0</v>
      </c>
      <c r="CF70" s="90"/>
      <c r="CG70" s="96">
        <v>5</v>
      </c>
      <c r="CH70" s="92">
        <f>CF70/CG70</f>
        <v>0</v>
      </c>
      <c r="CI70" s="90"/>
      <c r="CJ70" s="96">
        <v>5</v>
      </c>
      <c r="CK70" s="92">
        <f>CI70/CJ70</f>
        <v>0</v>
      </c>
      <c r="CL70" s="90"/>
      <c r="CM70" s="96">
        <v>5</v>
      </c>
      <c r="CN70" s="92">
        <f>CL70/CM70</f>
        <v>0</v>
      </c>
      <c r="CO70" s="90"/>
      <c r="CP70" s="96">
        <v>5</v>
      </c>
      <c r="CQ70" s="92">
        <f>CO70/CP70</f>
        <v>0</v>
      </c>
      <c r="CR70" s="90"/>
      <c r="CS70" s="96">
        <v>5</v>
      </c>
      <c r="CT70" s="92">
        <f>CR70/CS70</f>
        <v>0</v>
      </c>
      <c r="CU70" s="90"/>
      <c r="CV70" s="96">
        <v>5</v>
      </c>
      <c r="CW70" s="92">
        <f>CU70/CV70</f>
        <v>0</v>
      </c>
      <c r="CX70" s="90"/>
      <c r="CY70" s="96">
        <v>5</v>
      </c>
      <c r="CZ70" s="92">
        <f>CX70/CY70</f>
        <v>0</v>
      </c>
      <c r="DA70" s="90"/>
      <c r="DB70" s="96">
        <v>5</v>
      </c>
      <c r="DC70" s="92">
        <f>DA70/DB70</f>
        <v>0</v>
      </c>
      <c r="DD70" s="90"/>
      <c r="DE70" s="96">
        <v>5</v>
      </c>
      <c r="DF70" s="92">
        <f>DD70/DE70</f>
        <v>0</v>
      </c>
      <c r="DG70" s="90"/>
      <c r="DH70" s="96">
        <v>5</v>
      </c>
      <c r="DI70" s="92">
        <f>DG70/DH70</f>
        <v>0</v>
      </c>
      <c r="DJ70" s="90"/>
      <c r="DK70" s="96">
        <v>5</v>
      </c>
      <c r="DL70" s="92">
        <f>DJ70/DK70</f>
        <v>0</v>
      </c>
      <c r="DM70" s="90"/>
      <c r="DN70" s="96">
        <v>5</v>
      </c>
      <c r="DO70" s="92">
        <f>DM70/DN70</f>
        <v>0</v>
      </c>
      <c r="DP70" s="90"/>
      <c r="DQ70" s="96">
        <v>5</v>
      </c>
      <c r="DR70" s="92">
        <f>DP70/DQ70</f>
        <v>0</v>
      </c>
      <c r="DS70" s="90"/>
      <c r="DT70" s="96">
        <v>5</v>
      </c>
      <c r="DU70" s="92">
        <f>DS70/DT70</f>
        <v>0</v>
      </c>
      <c r="DV70" s="90"/>
      <c r="DW70" s="96">
        <v>5</v>
      </c>
      <c r="DX70" s="92">
        <f>DV70/DW70</f>
        <v>0</v>
      </c>
      <c r="DY70" s="90"/>
      <c r="DZ70" s="96">
        <v>5</v>
      </c>
      <c r="EA70" s="92">
        <f>DY70/DZ70</f>
        <v>0</v>
      </c>
      <c r="EB70" s="90"/>
      <c r="EC70" s="96">
        <v>5</v>
      </c>
      <c r="ED70" s="92">
        <f>EB70/EC70</f>
        <v>0</v>
      </c>
      <c r="EE70" s="90"/>
      <c r="EF70" s="96">
        <v>5</v>
      </c>
      <c r="EG70" s="92">
        <f>EE70/EF70</f>
        <v>0</v>
      </c>
      <c r="EH70" s="90"/>
      <c r="EI70" s="96">
        <v>5</v>
      </c>
      <c r="EJ70" s="92">
        <f>EH70/EI70</f>
        <v>0</v>
      </c>
      <c r="EK70" s="90"/>
      <c r="EL70" s="96">
        <v>5</v>
      </c>
      <c r="EM70" s="92">
        <f>EK70/EL70</f>
        <v>0</v>
      </c>
      <c r="EN70" s="90"/>
      <c r="EO70" s="96">
        <v>5</v>
      </c>
      <c r="EP70" s="92">
        <f>EN70/EO70</f>
        <v>0</v>
      </c>
      <c r="EQ70" s="85">
        <f t="array" ref="EQ70">IFERROR(_xlfn.LET(
_xlpm.datos,CHOOSE({1;2;3;4;5;6;7;8;9;10;11;12;13;13;14;15;16;17;18;19;20;21;22;23;23;24;25;26;27;28;29;30;31;32;33;34;35;36;37;38;39;40;41;42;43;44;45;46;47},E70,H70,K70,N70,Q70,T70,W70,Z70,AC70,AF70,AI70,AL70,AO70,AR70,AU70,AX70,BA70,BD70,BG70,BJ70,BP70,BS70,BV70,BY70,CB70,CE70,CH70,CK70,CN70,CQ70,CT70,CW70,CZ70,DC70,DF70,DI70,DL70,DO70,DR70,DU70,DX70,EA70,ED70,EG70,EJ70,EM70,EP70),
AVERAGE(_xlfn._xlws.FILTER(_xlpm.datos,(_xlpm.datos&lt;&gt;0)*(_xlpm.datos&lt;&gt;"")))
),0)</f>
        <v>0</v>
      </c>
      <c r="ER70" s="162" t="str">
        <f t="array" ref="ER70">_xlfn.IFS(EQ70&gt;=91.5%,"MENSUAL",EQ70&gt;=75%,"QUINCENAL",EQ70&lt;75%,"SEMANAL")</f>
        <v>SEMANAL</v>
      </c>
    </row>
    <row r="71" ht="21.5" customHeight="1" spans="1:148" x14ac:dyDescent="0.25">
      <c r="A71" s="183" t="s">
        <v>162</v>
      </c>
      <c r="B71" s="166"/>
      <c r="C71" s="102"/>
      <c r="D71" s="103">
        <v>5</v>
      </c>
      <c r="E71" s="104">
        <f t="shared" ref="E71" si="1248">C71/D71</f>
        <v>0</v>
      </c>
      <c r="F71" s="102"/>
      <c r="G71" s="103">
        <v>5</v>
      </c>
      <c r="H71" s="104">
        <f t="shared" ref="H71" si="1249">F71/G71</f>
        <v>0</v>
      </c>
      <c r="I71" s="105"/>
      <c r="J71" s="103">
        <v>5</v>
      </c>
      <c r="K71" s="104">
        <f t="shared" ref="K71" si="1250">I71/J71</f>
        <v>0</v>
      </c>
      <c r="L71" s="105"/>
      <c r="M71" s="103">
        <v>5</v>
      </c>
      <c r="N71" s="104">
        <f t="shared" ref="N71" si="1251">L71/M71</f>
        <v>0</v>
      </c>
      <c r="O71" s="106"/>
      <c r="P71" s="107">
        <v>5</v>
      </c>
      <c r="Q71" s="104">
        <f t="shared" ref="Q71" si="1252">O71/P71</f>
        <v>0</v>
      </c>
      <c r="R71" s="102"/>
      <c r="S71" s="107">
        <v>5</v>
      </c>
      <c r="T71" s="104">
        <f t="shared" ref="T71" si="1253">R71/S71</f>
        <v>0</v>
      </c>
      <c r="U71" s="102"/>
      <c r="V71" s="107">
        <v>5</v>
      </c>
      <c r="W71" s="104">
        <f t="shared" ref="W71" si="1254">U71/V71</f>
        <v>0</v>
      </c>
      <c r="X71" s="102"/>
      <c r="Y71" s="107">
        <v>5</v>
      </c>
      <c r="Z71" s="104">
        <f t="shared" ref="Z71" si="1255">X71/Y71</f>
        <v>0</v>
      </c>
      <c r="AA71" s="106"/>
      <c r="AB71" s="107">
        <v>5</v>
      </c>
      <c r="AC71" s="104">
        <f t="shared" ref="AC71" si="1256">AA71/AB71</f>
        <v>0</v>
      </c>
      <c r="AD71" s="106"/>
      <c r="AE71" s="107">
        <v>5</v>
      </c>
      <c r="AF71" s="104">
        <f t="shared" ref="AF71" si="1257">AD71/AE71</f>
        <v>0</v>
      </c>
      <c r="AG71" s="106"/>
      <c r="AH71" s="107">
        <v>5</v>
      </c>
      <c r="AI71" s="104">
        <f t="shared" ref="AI71" si="1258">AG71/AH71</f>
        <v>0</v>
      </c>
      <c r="AJ71" s="106"/>
      <c r="AK71" s="107">
        <v>5</v>
      </c>
      <c r="AL71" s="104">
        <f t="shared" ref="AL71" si="1259">AJ71/AK71</f>
        <v>0</v>
      </c>
      <c r="AM71" s="102"/>
      <c r="AN71" s="1">
        <v>5</v>
      </c>
      <c r="AO71" s="104">
        <f t="shared" ref="AO71" si="1260">AM71/AN71</f>
        <v>0</v>
      </c>
      <c r="AP71" s="102"/>
      <c r="AQ71" s="1">
        <v>5</v>
      </c>
      <c r="AR71" s="104">
        <f t="shared" ref="AR71" si="1261">AP71/AQ71</f>
        <v>0</v>
      </c>
      <c r="AS71" s="102"/>
      <c r="AT71" s="1">
        <v>5</v>
      </c>
      <c r="AU71" s="104">
        <f t="shared" ref="AU71" si="1262">AS71/AT71</f>
        <v>0</v>
      </c>
      <c r="AV71" s="102"/>
      <c r="AW71" s="1">
        <v>5</v>
      </c>
      <c r="AX71" s="104">
        <f t="shared" ref="AX71" si="1263">AV71/AW71</f>
        <v>0</v>
      </c>
      <c r="AY71" s="102"/>
      <c r="AZ71" s="1">
        <v>5</v>
      </c>
      <c r="BA71" s="104">
        <f t="shared" ref="BA71" si="1264">AY71/AZ71</f>
        <v>0</v>
      </c>
      <c r="BB71" s="102"/>
      <c r="BC71" s="1">
        <v>5</v>
      </c>
      <c r="BD71" s="104">
        <f t="shared" ref="BD71" si="1265">BB71/BC71</f>
        <v>0</v>
      </c>
      <c r="BE71" s="102"/>
      <c r="BF71" s="1">
        <v>5</v>
      </c>
      <c r="BG71" s="104">
        <f t="shared" ref="BG71" si="1266">BE71/BF71</f>
        <v>0</v>
      </c>
      <c r="BH71" s="102"/>
      <c r="BI71" s="1">
        <v>5</v>
      </c>
      <c r="BJ71" s="104">
        <f t="shared" ref="BJ71" si="1267">BH71/BI71</f>
        <v>0</v>
      </c>
      <c r="BK71" s="102"/>
      <c r="BL71" s="1">
        <v>5</v>
      </c>
      <c r="BM71" s="104">
        <f t="shared" ref="BM71" si="1268">BK71/BL71</f>
        <v>0</v>
      </c>
      <c r="BN71" s="102"/>
      <c r="BO71" s="1">
        <v>5</v>
      </c>
      <c r="BP71" s="104">
        <f t="shared" ref="BP71" si="1269">BN71/BO71</f>
        <v>0</v>
      </c>
      <c r="BQ71" s="102"/>
      <c r="BR71" s="1">
        <v>5</v>
      </c>
      <c r="BS71" s="104">
        <f t="shared" ref="BS71" si="1270">BQ71/BR71</f>
        <v>0</v>
      </c>
      <c r="BT71" s="102"/>
      <c r="BU71" s="1">
        <v>5</v>
      </c>
      <c r="BV71" s="104">
        <f t="shared" ref="BV71" si="1271">BT71/BU71</f>
        <v>0</v>
      </c>
      <c r="BW71" s="102"/>
      <c r="BX71" s="1">
        <v>5</v>
      </c>
      <c r="BY71" s="104">
        <f t="shared" ref="BY71" si="1272">BW71/BX71</f>
        <v>0</v>
      </c>
      <c r="BZ71" s="102"/>
      <c r="CA71" s="1">
        <v>5</v>
      </c>
      <c r="CB71" s="104">
        <f t="shared" ref="CB71" si="1273">BZ71/CA71</f>
        <v>0</v>
      </c>
      <c r="CC71" s="102"/>
      <c r="CD71" s="1">
        <v>5</v>
      </c>
      <c r="CE71" s="104">
        <f t="shared" ref="CE71" si="1274">CC71/CD71</f>
        <v>0</v>
      </c>
      <c r="CF71" s="102"/>
      <c r="CG71" s="1">
        <v>5</v>
      </c>
      <c r="CH71" s="104">
        <f t="shared" ref="CH71" si="1275">CF71/CG71</f>
        <v>0</v>
      </c>
      <c r="CI71" s="102"/>
      <c r="CJ71" s="1">
        <v>5</v>
      </c>
      <c r="CK71" s="104">
        <f t="shared" ref="CK71" si="1276">CI71/CJ71</f>
        <v>0</v>
      </c>
      <c r="CL71" s="102"/>
      <c r="CM71" s="1">
        <v>5</v>
      </c>
      <c r="CN71" s="104">
        <f t="shared" ref="CN71" si="1277">CL71/CM71</f>
        <v>0</v>
      </c>
      <c r="CO71" s="102"/>
      <c r="CP71" s="1">
        <v>5</v>
      </c>
      <c r="CQ71" s="104">
        <f t="shared" ref="CQ71" si="1278">CO71/CP71</f>
        <v>0</v>
      </c>
      <c r="CR71" s="102"/>
      <c r="CS71" s="1">
        <v>5</v>
      </c>
      <c r="CT71" s="104">
        <f t="shared" ref="CT71" si="1279">CR71/CS71</f>
        <v>0</v>
      </c>
      <c r="CU71" s="102"/>
      <c r="CV71" s="1">
        <v>5</v>
      </c>
      <c r="CW71" s="104">
        <f t="shared" ref="CW71" si="1280">CU71/CV71</f>
        <v>0</v>
      </c>
      <c r="CX71" s="102"/>
      <c r="CY71" s="1">
        <v>5</v>
      </c>
      <c r="CZ71" s="104">
        <f t="shared" ref="CZ71" si="1281">CX71/CY71</f>
        <v>0</v>
      </c>
      <c r="DA71" s="102"/>
      <c r="DB71" s="1">
        <v>5</v>
      </c>
      <c r="DC71" s="104">
        <f t="shared" ref="DC71" si="1282">DA71/DB71</f>
        <v>0</v>
      </c>
      <c r="DD71" s="102"/>
      <c r="DE71" s="1">
        <v>5</v>
      </c>
      <c r="DF71" s="104">
        <f t="shared" ref="DF71" si="1283">DD71/DE71</f>
        <v>0</v>
      </c>
      <c r="DG71" s="102"/>
      <c r="DH71" s="1">
        <v>5</v>
      </c>
      <c r="DI71" s="104">
        <f t="shared" ref="DI71" si="1284">DG71/DH71</f>
        <v>0</v>
      </c>
      <c r="DJ71" s="102"/>
      <c r="DK71" s="1">
        <v>5</v>
      </c>
      <c r="DL71" s="104">
        <f t="shared" ref="DL71" si="1285">DJ71/DK71</f>
        <v>0</v>
      </c>
      <c r="DM71" s="102"/>
      <c r="DN71" s="1">
        <v>5</v>
      </c>
      <c r="DO71" s="104">
        <f t="shared" ref="DO71" si="1286">DM71/DN71</f>
        <v>0</v>
      </c>
      <c r="DP71" s="102"/>
      <c r="DQ71" s="1">
        <v>5</v>
      </c>
      <c r="DR71" s="104">
        <f t="shared" ref="DR71" si="1287">DP71/DQ71</f>
        <v>0</v>
      </c>
      <c r="DS71" s="102"/>
      <c r="DT71" s="1">
        <v>5</v>
      </c>
      <c r="DU71" s="104">
        <f t="shared" ref="DU71" si="1288">DS71/DT71</f>
        <v>0</v>
      </c>
      <c r="DV71" s="102"/>
      <c r="DW71" s="1">
        <v>5</v>
      </c>
      <c r="DX71" s="104">
        <f t="shared" ref="DX71" si="1289">DV71/DW71</f>
        <v>0</v>
      </c>
      <c r="DY71" s="102"/>
      <c r="DZ71" s="1">
        <v>5</v>
      </c>
      <c r="EA71" s="104">
        <f t="shared" ref="EA71" si="1290">DY71/DZ71</f>
        <v>0</v>
      </c>
      <c r="EB71" s="102"/>
      <c r="EC71" s="1">
        <v>5</v>
      </c>
      <c r="ED71" s="104">
        <f t="shared" ref="ED71" si="1291">EB71/EC71</f>
        <v>0</v>
      </c>
      <c r="EE71" s="102"/>
      <c r="EF71" s="1">
        <v>5</v>
      </c>
      <c r="EG71" s="104">
        <f t="shared" ref="EG71" si="1292">EE71/EF71</f>
        <v>0</v>
      </c>
      <c r="EH71" s="102"/>
      <c r="EI71" s="1">
        <v>5</v>
      </c>
      <c r="EJ71" s="104">
        <f t="shared" ref="EJ71" si="1293">EH71/EI71</f>
        <v>0</v>
      </c>
      <c r="EK71" s="102"/>
      <c r="EL71" s="1">
        <v>5</v>
      </c>
      <c r="EM71" s="104">
        <f t="shared" ref="EM71" si="1294">EK71/EL71</f>
        <v>0</v>
      </c>
      <c r="EN71" s="102"/>
      <c r="EO71" s="1">
        <v>5</v>
      </c>
      <c r="EP71" s="104">
        <f t="shared" ref="EP71" si="1295">EN71/EO71</f>
        <v>0</v>
      </c>
      <c r="EQ71" s="85">
        <f t="array" ref="EQ71">IFERROR(_xlfn.LET(
_xlpm.datos,CHOOSE({1;2;3;4;5;6;7;8;9;10;11;12;13;13;14;15;16;17;18;19;20;21;22;23;23;24;25;26;27;28;29;30;31;32;33;34;35;36;37;38;39;40;41;42;43;44;45;46;47},E71,H71,K71,N71,Q71,T71,W71,Z71,AC71,AF71,AI71,AL71,AO71,AR71,AU71,AX71,BA71,BD71,BG71,BJ71,BP71,BS71,BV71,BY71,CB71,CE71,CH71,CK71,CN71,CQ71,CT71,CW71,CZ71,DC71,DF71,DI71,DL71,DO71,DR71,DU71,DX71,EA71,ED71,EG71,EJ71,EM71,EP71),
AVERAGE(_xlfn._xlws.FILTER(_xlpm.datos,(_xlpm.datos&lt;&gt;0)*(_xlpm.datos&lt;&gt;"")))
),0)</f>
        <v>0</v>
      </c>
      <c r="ER71" s="162" t="str">
        <f t="array" ref="ER71">_xlfn.IFS(EQ71&gt;=91.5%,"MENSUAL",EQ71&gt;=75%,"QUINCENAL",EQ71&lt;75%,"SEMANAL")</f>
        <v>SEMANAL</v>
      </c>
    </row>
    <row r="72" ht="16" customHeight="1" spans="1:148" x14ac:dyDescent="0.25">
      <c r="A72" s="183" t="s">
        <v>163</v>
      </c>
      <c r="B72" s="166"/>
      <c r="C72" s="90"/>
      <c r="D72" s="91">
        <v>5</v>
      </c>
      <c r="E72" s="92">
        <f>C72/D72</f>
        <v>0</v>
      </c>
      <c r="F72" s="90"/>
      <c r="G72" s="91">
        <v>5</v>
      </c>
      <c r="H72" s="92">
        <f>F72/G72</f>
        <v>0</v>
      </c>
      <c r="I72" s="93"/>
      <c r="J72" s="91">
        <v>5</v>
      </c>
      <c r="K72" s="92">
        <f>I72/J72</f>
        <v>0</v>
      </c>
      <c r="L72" s="93"/>
      <c r="M72" s="91">
        <v>5</v>
      </c>
      <c r="N72" s="92">
        <f>L72/M72</f>
        <v>0</v>
      </c>
      <c r="O72" s="94"/>
      <c r="P72" s="95">
        <v>5</v>
      </c>
      <c r="Q72" s="92">
        <f>O72/P72</f>
        <v>0</v>
      </c>
      <c r="R72" s="90"/>
      <c r="S72" s="95">
        <v>5</v>
      </c>
      <c r="T72" s="92">
        <f>R72/S72</f>
        <v>0</v>
      </c>
      <c r="U72" s="90"/>
      <c r="V72" s="95">
        <v>5</v>
      </c>
      <c r="W72" s="92">
        <f>U72/V72</f>
        <v>0</v>
      </c>
      <c r="X72" s="90"/>
      <c r="Y72" s="95">
        <v>5</v>
      </c>
      <c r="Z72" s="92">
        <f>X72/Y72</f>
        <v>0</v>
      </c>
      <c r="AA72" s="94"/>
      <c r="AB72" s="95">
        <v>5</v>
      </c>
      <c r="AC72" s="92">
        <f>AA72/AB72</f>
        <v>0</v>
      </c>
      <c r="AD72" s="94"/>
      <c r="AE72" s="95">
        <v>5</v>
      </c>
      <c r="AF72" s="92">
        <f>AD72/AE72</f>
        <v>0</v>
      </c>
      <c r="AG72" s="94"/>
      <c r="AH72" s="95">
        <v>5</v>
      </c>
      <c r="AI72" s="92">
        <f>AG72/AH72</f>
        <v>0</v>
      </c>
      <c r="AJ72" s="94"/>
      <c r="AK72" s="95">
        <v>5</v>
      </c>
      <c r="AL72" s="92">
        <f>AJ72/AK72</f>
        <v>0</v>
      </c>
      <c r="AM72" s="90"/>
      <c r="AN72" s="96">
        <v>5</v>
      </c>
      <c r="AO72" s="92">
        <f>AM72/AN72</f>
        <v>0</v>
      </c>
      <c r="AP72" s="90"/>
      <c r="AQ72" s="96">
        <v>5</v>
      </c>
      <c r="AR72" s="92">
        <f>AP72/AQ72</f>
        <v>0</v>
      </c>
      <c r="AS72" s="90"/>
      <c r="AT72" s="96">
        <v>5</v>
      </c>
      <c r="AU72" s="92">
        <f>AS72/AT72</f>
        <v>0</v>
      </c>
      <c r="AV72" s="90"/>
      <c r="AW72" s="96">
        <v>5</v>
      </c>
      <c r="AX72" s="92">
        <f>AV72/AW72</f>
        <v>0</v>
      </c>
      <c r="AY72" s="90"/>
      <c r="AZ72" s="96">
        <v>5</v>
      </c>
      <c r="BA72" s="92">
        <f>AY72/AZ72</f>
        <v>0</v>
      </c>
      <c r="BB72" s="90"/>
      <c r="BC72" s="96">
        <v>5</v>
      </c>
      <c r="BD72" s="92">
        <f>BB72/BC72</f>
        <v>0</v>
      </c>
      <c r="BE72" s="90"/>
      <c r="BF72" s="96">
        <v>5</v>
      </c>
      <c r="BG72" s="92">
        <f>BE72/BF72</f>
        <v>0</v>
      </c>
      <c r="BH72" s="90"/>
      <c r="BI72" s="96">
        <v>5</v>
      </c>
      <c r="BJ72" s="92">
        <f>BH72/BI72</f>
        <v>0</v>
      </c>
      <c r="BK72" s="90"/>
      <c r="BL72" s="96">
        <v>5</v>
      </c>
      <c r="BM72" s="92">
        <f>BK72/BL72</f>
        <v>0</v>
      </c>
      <c r="BN72" s="90"/>
      <c r="BO72" s="96">
        <v>5</v>
      </c>
      <c r="BP72" s="92">
        <f>BN72/BO72</f>
        <v>0</v>
      </c>
      <c r="BQ72" s="90"/>
      <c r="BR72" s="96">
        <v>5</v>
      </c>
      <c r="BS72" s="92">
        <f>BQ72/BR72</f>
        <v>0</v>
      </c>
      <c r="BT72" s="90"/>
      <c r="BU72" s="96">
        <v>5</v>
      </c>
      <c r="BV72" s="92">
        <f>BT72/BU72</f>
        <v>0</v>
      </c>
      <c r="BW72" s="90"/>
      <c r="BX72" s="96">
        <v>5</v>
      </c>
      <c r="BY72" s="92">
        <f>BW72/BX72</f>
        <v>0</v>
      </c>
      <c r="BZ72" s="90"/>
      <c r="CA72" s="96">
        <v>5</v>
      </c>
      <c r="CB72" s="92">
        <f>BZ72/CA72</f>
        <v>0</v>
      </c>
      <c r="CC72" s="90"/>
      <c r="CD72" s="96">
        <v>5</v>
      </c>
      <c r="CE72" s="92">
        <f>CC72/CD72</f>
        <v>0</v>
      </c>
      <c r="CF72" s="90"/>
      <c r="CG72" s="96">
        <v>5</v>
      </c>
      <c r="CH72" s="92">
        <f>CF72/CG72</f>
        <v>0</v>
      </c>
      <c r="CI72" s="90"/>
      <c r="CJ72" s="96">
        <v>5</v>
      </c>
      <c r="CK72" s="92">
        <f>CI72/CJ72</f>
        <v>0</v>
      </c>
      <c r="CL72" s="90"/>
      <c r="CM72" s="96">
        <v>5</v>
      </c>
      <c r="CN72" s="92">
        <f>CL72/CM72</f>
        <v>0</v>
      </c>
      <c r="CO72" s="90"/>
      <c r="CP72" s="96">
        <v>5</v>
      </c>
      <c r="CQ72" s="92">
        <f>CO72/CP72</f>
        <v>0</v>
      </c>
      <c r="CR72" s="90"/>
      <c r="CS72" s="96">
        <v>5</v>
      </c>
      <c r="CT72" s="92">
        <f>CR72/CS72</f>
        <v>0</v>
      </c>
      <c r="CU72" s="90"/>
      <c r="CV72" s="96">
        <v>5</v>
      </c>
      <c r="CW72" s="92">
        <f>CU72/CV72</f>
        <v>0</v>
      </c>
      <c r="CX72" s="90"/>
      <c r="CY72" s="96">
        <v>5</v>
      </c>
      <c r="CZ72" s="92">
        <f>CX72/CY72</f>
        <v>0</v>
      </c>
      <c r="DA72" s="90"/>
      <c r="DB72" s="96">
        <v>5</v>
      </c>
      <c r="DC72" s="92">
        <f>DA72/DB72</f>
        <v>0</v>
      </c>
      <c r="DD72" s="90"/>
      <c r="DE72" s="96">
        <v>5</v>
      </c>
      <c r="DF72" s="92">
        <f>DD72/DE72</f>
        <v>0</v>
      </c>
      <c r="DG72" s="90"/>
      <c r="DH72" s="96">
        <v>5</v>
      </c>
      <c r="DI72" s="92">
        <f>DG72/DH72</f>
        <v>0</v>
      </c>
      <c r="DJ72" s="90"/>
      <c r="DK72" s="96">
        <v>5</v>
      </c>
      <c r="DL72" s="92">
        <f>DJ72/DK72</f>
        <v>0</v>
      </c>
      <c r="DM72" s="90"/>
      <c r="DN72" s="96">
        <v>5</v>
      </c>
      <c r="DO72" s="92">
        <f>DM72/DN72</f>
        <v>0</v>
      </c>
      <c r="DP72" s="90"/>
      <c r="DQ72" s="96">
        <v>5</v>
      </c>
      <c r="DR72" s="92">
        <f>DP72/DQ72</f>
        <v>0</v>
      </c>
      <c r="DS72" s="90"/>
      <c r="DT72" s="96">
        <v>5</v>
      </c>
      <c r="DU72" s="92">
        <f>DS72/DT72</f>
        <v>0</v>
      </c>
      <c r="DV72" s="90"/>
      <c r="DW72" s="96">
        <v>5</v>
      </c>
      <c r="DX72" s="92">
        <f>DV72/DW72</f>
        <v>0</v>
      </c>
      <c r="DY72" s="90"/>
      <c r="DZ72" s="96">
        <v>5</v>
      </c>
      <c r="EA72" s="92">
        <f>DY72/DZ72</f>
        <v>0</v>
      </c>
      <c r="EB72" s="90"/>
      <c r="EC72" s="96">
        <v>5</v>
      </c>
      <c r="ED72" s="92">
        <f>EB72/EC72</f>
        <v>0</v>
      </c>
      <c r="EE72" s="90"/>
      <c r="EF72" s="96">
        <v>5</v>
      </c>
      <c r="EG72" s="92">
        <f>EE72/EF72</f>
        <v>0</v>
      </c>
      <c r="EH72" s="90"/>
      <c r="EI72" s="96">
        <v>5</v>
      </c>
      <c r="EJ72" s="92">
        <f>EH72/EI72</f>
        <v>0</v>
      </c>
      <c r="EK72" s="90"/>
      <c r="EL72" s="96">
        <v>5</v>
      </c>
      <c r="EM72" s="92">
        <f>EK72/EL72</f>
        <v>0</v>
      </c>
      <c r="EN72" s="90"/>
      <c r="EO72" s="96">
        <v>5</v>
      </c>
      <c r="EP72" s="92">
        <f>EN72/EO72</f>
        <v>0</v>
      </c>
      <c r="EQ72" s="85">
        <f t="array" ref="EQ72">IFERROR(_xlfn.LET(
_xlpm.datos,CHOOSE({1;2;3;4;5;6;7;8;9;10;11;12;13;13;14;15;16;17;18;19;20;21;22;23;23;24;25;26;27;28;29;30;31;32;33;34;35;36;37;38;39;40;41;42;43;44;45;46;47},E72,H72,K72,N72,Q72,T72,W72,Z72,AC72,AF72,AI72,AL72,AO72,AR72,AU72,AX72,BA72,BD72,BG72,BJ72,BP72,BS72,BV72,BY72,CB72,CE72,CH72,CK72,CN72,CQ72,CT72,CW72,CZ72,DC72,DF72,DI72,DL72,DO72,DR72,DU72,DX72,EA72,ED72,EG72,EJ72,EM72,EP72),
AVERAGE(_xlfn._xlws.FILTER(_xlpm.datos,(_xlpm.datos&lt;&gt;0)*(_xlpm.datos&lt;&gt;"")))
),0)</f>
        <v>0</v>
      </c>
      <c r="ER72" s="162" t="str">
        <f t="array" ref="ER72">_xlfn.IFS(EQ72&gt;=91.5%,"MENSUAL",EQ72&gt;=75%,"QUINCENAL",EQ72&lt;75%,"SEMANAL")</f>
        <v>SEMANAL</v>
      </c>
    </row>
    <row r="73" ht="16" customHeight="1" spans="1:148" x14ac:dyDescent="0.25">
      <c r="A73" s="183" t="s">
        <v>164</v>
      </c>
      <c r="B73" s="166"/>
      <c r="C73" s="102"/>
      <c r="D73" s="103">
        <v>5</v>
      </c>
      <c r="E73" s="104">
        <f t="shared" ref="E73" si="1296">C73/D73</f>
        <v>0</v>
      </c>
      <c r="F73" s="102"/>
      <c r="G73" s="103">
        <v>5</v>
      </c>
      <c r="H73" s="104">
        <f t="shared" ref="H73" si="1297">F73/G73</f>
        <v>0</v>
      </c>
      <c r="I73" s="105"/>
      <c r="J73" s="103">
        <v>5</v>
      </c>
      <c r="K73" s="104">
        <f t="shared" ref="K73" si="1298">I73/J73</f>
        <v>0</v>
      </c>
      <c r="L73" s="105"/>
      <c r="M73" s="103">
        <v>5</v>
      </c>
      <c r="N73" s="104">
        <f t="shared" ref="N73" si="1299">L73/M73</f>
        <v>0</v>
      </c>
      <c r="O73" s="106"/>
      <c r="P73" s="107">
        <v>5</v>
      </c>
      <c r="Q73" s="104">
        <f t="shared" ref="Q73" si="1300">O73/P73</f>
        <v>0</v>
      </c>
      <c r="R73" s="102"/>
      <c r="S73" s="107">
        <v>5</v>
      </c>
      <c r="T73" s="104">
        <f t="shared" ref="T73" si="1301">R73/S73</f>
        <v>0</v>
      </c>
      <c r="U73" s="102"/>
      <c r="V73" s="107">
        <v>5</v>
      </c>
      <c r="W73" s="104">
        <f t="shared" ref="W73" si="1302">U73/V73</f>
        <v>0</v>
      </c>
      <c r="X73" s="102"/>
      <c r="Y73" s="107">
        <v>5</v>
      </c>
      <c r="Z73" s="104">
        <f t="shared" ref="Z73" si="1303">X73/Y73</f>
        <v>0</v>
      </c>
      <c r="AA73" s="106"/>
      <c r="AB73" s="107">
        <v>5</v>
      </c>
      <c r="AC73" s="104">
        <f t="shared" ref="AC73" si="1304">AA73/AB73</f>
        <v>0</v>
      </c>
      <c r="AD73" s="106"/>
      <c r="AE73" s="107">
        <v>5</v>
      </c>
      <c r="AF73" s="104">
        <f t="shared" ref="AF73" si="1305">AD73/AE73</f>
        <v>0</v>
      </c>
      <c r="AG73" s="106"/>
      <c r="AH73" s="107">
        <v>5</v>
      </c>
      <c r="AI73" s="104">
        <f t="shared" ref="AI73" si="1306">AG73/AH73</f>
        <v>0</v>
      </c>
      <c r="AJ73" s="106"/>
      <c r="AK73" s="107">
        <v>5</v>
      </c>
      <c r="AL73" s="104">
        <f t="shared" ref="AL73" si="1307">AJ73/AK73</f>
        <v>0</v>
      </c>
      <c r="AM73" s="102"/>
      <c r="AN73" s="1">
        <v>5</v>
      </c>
      <c r="AO73" s="104">
        <f t="shared" ref="AO73" si="1308">AM73/AN73</f>
        <v>0</v>
      </c>
      <c r="AP73" s="102"/>
      <c r="AQ73" s="1">
        <v>5</v>
      </c>
      <c r="AR73" s="104">
        <f t="shared" ref="AR73" si="1309">AP73/AQ73</f>
        <v>0</v>
      </c>
      <c r="AS73" s="102"/>
      <c r="AT73" s="1">
        <v>5</v>
      </c>
      <c r="AU73" s="104">
        <f t="shared" ref="AU73" si="1310">AS73/AT73</f>
        <v>0</v>
      </c>
      <c r="AV73" s="102"/>
      <c r="AW73" s="1">
        <v>5</v>
      </c>
      <c r="AX73" s="104">
        <f t="shared" ref="AX73" si="1311">AV73/AW73</f>
        <v>0</v>
      </c>
      <c r="AY73" s="102"/>
      <c r="AZ73" s="1">
        <v>5</v>
      </c>
      <c r="BA73" s="104">
        <f t="shared" ref="BA73" si="1312">AY73/AZ73</f>
        <v>0</v>
      </c>
      <c r="BB73" s="102"/>
      <c r="BC73" s="1">
        <v>5</v>
      </c>
      <c r="BD73" s="104">
        <f t="shared" ref="BD73" si="1313">BB73/BC73</f>
        <v>0</v>
      </c>
      <c r="BE73" s="102"/>
      <c r="BF73" s="1">
        <v>5</v>
      </c>
      <c r="BG73" s="104">
        <f t="shared" ref="BG73" si="1314">BE73/BF73</f>
        <v>0</v>
      </c>
      <c r="BH73" s="102"/>
      <c r="BI73" s="1">
        <v>5</v>
      </c>
      <c r="BJ73" s="104">
        <f t="shared" ref="BJ73" si="1315">BH73/BI73</f>
        <v>0</v>
      </c>
      <c r="BK73" s="102"/>
      <c r="BL73" s="1">
        <v>5</v>
      </c>
      <c r="BM73" s="104">
        <f t="shared" ref="BM73" si="1316">BK73/BL73</f>
        <v>0</v>
      </c>
      <c r="BN73" s="102"/>
      <c r="BO73" s="1">
        <v>5</v>
      </c>
      <c r="BP73" s="104">
        <f t="shared" ref="BP73" si="1317">BN73/BO73</f>
        <v>0</v>
      </c>
      <c r="BQ73" s="102"/>
      <c r="BR73" s="1">
        <v>5</v>
      </c>
      <c r="BS73" s="104">
        <f t="shared" ref="BS73" si="1318">BQ73/BR73</f>
        <v>0</v>
      </c>
      <c r="BT73" s="102"/>
      <c r="BU73" s="1">
        <v>5</v>
      </c>
      <c r="BV73" s="104">
        <f t="shared" ref="BV73" si="1319">BT73/BU73</f>
        <v>0</v>
      </c>
      <c r="BW73" s="102"/>
      <c r="BX73" s="1">
        <v>5</v>
      </c>
      <c r="BY73" s="104">
        <f t="shared" ref="BY73" si="1320">BW73/BX73</f>
        <v>0</v>
      </c>
      <c r="BZ73" s="102"/>
      <c r="CA73" s="1">
        <v>5</v>
      </c>
      <c r="CB73" s="104">
        <f t="shared" ref="CB73" si="1321">BZ73/CA73</f>
        <v>0</v>
      </c>
      <c r="CC73" s="102"/>
      <c r="CD73" s="1">
        <v>5</v>
      </c>
      <c r="CE73" s="104">
        <f t="shared" ref="CE73" si="1322">CC73/CD73</f>
        <v>0</v>
      </c>
      <c r="CF73" s="102"/>
      <c r="CG73" s="1">
        <v>5</v>
      </c>
      <c r="CH73" s="104">
        <f t="shared" ref="CH73" si="1323">CF73/CG73</f>
        <v>0</v>
      </c>
      <c r="CI73" s="102"/>
      <c r="CJ73" s="1">
        <v>5</v>
      </c>
      <c r="CK73" s="104">
        <f t="shared" ref="CK73" si="1324">CI73/CJ73</f>
        <v>0</v>
      </c>
      <c r="CL73" s="102"/>
      <c r="CM73" s="1">
        <v>5</v>
      </c>
      <c r="CN73" s="104">
        <f t="shared" ref="CN73" si="1325">CL73/CM73</f>
        <v>0</v>
      </c>
      <c r="CO73" s="102"/>
      <c r="CP73" s="1">
        <v>5</v>
      </c>
      <c r="CQ73" s="104">
        <f t="shared" ref="CQ73" si="1326">CO73/CP73</f>
        <v>0</v>
      </c>
      <c r="CR73" s="102"/>
      <c r="CS73" s="1">
        <v>5</v>
      </c>
      <c r="CT73" s="104">
        <f t="shared" ref="CT73" si="1327">CR73/CS73</f>
        <v>0</v>
      </c>
      <c r="CU73" s="102"/>
      <c r="CV73" s="1">
        <v>5</v>
      </c>
      <c r="CW73" s="104">
        <f t="shared" ref="CW73" si="1328">CU73/CV73</f>
        <v>0</v>
      </c>
      <c r="CX73" s="102"/>
      <c r="CY73" s="1">
        <v>5</v>
      </c>
      <c r="CZ73" s="104">
        <f t="shared" ref="CZ73" si="1329">CX73/CY73</f>
        <v>0</v>
      </c>
      <c r="DA73" s="102"/>
      <c r="DB73" s="1">
        <v>5</v>
      </c>
      <c r="DC73" s="104">
        <f t="shared" ref="DC73" si="1330">DA73/DB73</f>
        <v>0</v>
      </c>
      <c r="DD73" s="102"/>
      <c r="DE73" s="1">
        <v>5</v>
      </c>
      <c r="DF73" s="104">
        <f t="shared" ref="DF73" si="1331">DD73/DE73</f>
        <v>0</v>
      </c>
      <c r="DG73" s="102"/>
      <c r="DH73" s="1">
        <v>5</v>
      </c>
      <c r="DI73" s="104">
        <f t="shared" ref="DI73" si="1332">DG73/DH73</f>
        <v>0</v>
      </c>
      <c r="DJ73" s="102"/>
      <c r="DK73" s="1">
        <v>5</v>
      </c>
      <c r="DL73" s="104">
        <f t="shared" ref="DL73" si="1333">DJ73/DK73</f>
        <v>0</v>
      </c>
      <c r="DM73" s="102"/>
      <c r="DN73" s="1">
        <v>5</v>
      </c>
      <c r="DO73" s="104">
        <f t="shared" ref="DO73" si="1334">DM73/DN73</f>
        <v>0</v>
      </c>
      <c r="DP73" s="102"/>
      <c r="DQ73" s="1">
        <v>5</v>
      </c>
      <c r="DR73" s="104">
        <f t="shared" ref="DR73" si="1335">DP73/DQ73</f>
        <v>0</v>
      </c>
      <c r="DS73" s="102"/>
      <c r="DT73" s="1">
        <v>5</v>
      </c>
      <c r="DU73" s="104">
        <f t="shared" ref="DU73" si="1336">DS73/DT73</f>
        <v>0</v>
      </c>
      <c r="DV73" s="102"/>
      <c r="DW73" s="1">
        <v>5</v>
      </c>
      <c r="DX73" s="104">
        <f t="shared" ref="DX73" si="1337">DV73/DW73</f>
        <v>0</v>
      </c>
      <c r="DY73" s="102"/>
      <c r="DZ73" s="1">
        <v>5</v>
      </c>
      <c r="EA73" s="104">
        <f t="shared" ref="EA73" si="1338">DY73/DZ73</f>
        <v>0</v>
      </c>
      <c r="EB73" s="102"/>
      <c r="EC73" s="1">
        <v>5</v>
      </c>
      <c r="ED73" s="104">
        <f t="shared" ref="ED73" si="1339">EB73/EC73</f>
        <v>0</v>
      </c>
      <c r="EE73" s="102"/>
      <c r="EF73" s="1">
        <v>5</v>
      </c>
      <c r="EG73" s="104">
        <f t="shared" ref="EG73" si="1340">EE73/EF73</f>
        <v>0</v>
      </c>
      <c r="EH73" s="102"/>
      <c r="EI73" s="1">
        <v>5</v>
      </c>
      <c r="EJ73" s="104">
        <f t="shared" ref="EJ73" si="1341">EH73/EI73</f>
        <v>0</v>
      </c>
      <c r="EK73" s="102"/>
      <c r="EL73" s="1">
        <v>5</v>
      </c>
      <c r="EM73" s="104">
        <f t="shared" ref="EM73" si="1342">EK73/EL73</f>
        <v>0</v>
      </c>
      <c r="EN73" s="102"/>
      <c r="EO73" s="1">
        <v>5</v>
      </c>
      <c r="EP73" s="104">
        <f t="shared" ref="EP73" si="1343">EN73/EO73</f>
        <v>0</v>
      </c>
      <c r="EQ73" s="85">
        <f t="array" ref="EQ73">IFERROR(_xlfn.LET(
_xlpm.datos,CHOOSE({1;2;3;4;5;6;7;8;9;10;11;12;13;13;14;15;16;17;18;19;20;21;22;23;23;24;25;26;27;28;29;30;31;32;33;34;35;36;37;38;39;40;41;42;43;44;45;46;47},E73,H73,K73,N73,Q73,T73,W73,Z73,AC73,AF73,AI73,AL73,AO73,AR73,AU73,AX73,BA73,BD73,BG73,BJ73,BP73,BS73,BV73,BY73,CB73,CE73,CH73,CK73,CN73,CQ73,CT73,CW73,CZ73,DC73,DF73,DI73,DL73,DO73,DR73,DU73,DX73,EA73,ED73,EG73,EJ73,EM73,EP73),
AVERAGE(_xlfn._xlws.FILTER(_xlpm.datos,(_xlpm.datos&lt;&gt;0)*(_xlpm.datos&lt;&gt;"")))
),0)</f>
        <v>0</v>
      </c>
      <c r="ER73" s="162" t="str">
        <f t="array" ref="ER73">_xlfn.IFS(EQ73&gt;=91.5%,"MENSUAL",EQ73&gt;=75%,"QUINCENAL",EQ73&lt;75%,"SEMANAL")</f>
        <v>SEMANAL</v>
      </c>
    </row>
    <row r="74" ht="16" customHeight="1" spans="1:148" x14ac:dyDescent="0.25">
      <c r="A74" s="183" t="s">
        <v>165</v>
      </c>
      <c r="B74" s="166"/>
      <c r="C74" s="90"/>
      <c r="D74" s="91">
        <v>5</v>
      </c>
      <c r="E74" s="92">
        <f>C74/D74</f>
        <v>0</v>
      </c>
      <c r="F74" s="90"/>
      <c r="G74" s="91">
        <v>5</v>
      </c>
      <c r="H74" s="92">
        <f>F74/G74</f>
        <v>0</v>
      </c>
      <c r="I74" s="93"/>
      <c r="J74" s="91">
        <v>5</v>
      </c>
      <c r="K74" s="92">
        <f>I74/J74</f>
        <v>0</v>
      </c>
      <c r="L74" s="93"/>
      <c r="M74" s="91">
        <v>5</v>
      </c>
      <c r="N74" s="92">
        <f>L74/M74</f>
        <v>0</v>
      </c>
      <c r="O74" s="94"/>
      <c r="P74" s="95">
        <v>5</v>
      </c>
      <c r="Q74" s="92">
        <f>O74/P74</f>
        <v>0</v>
      </c>
      <c r="R74" s="90"/>
      <c r="S74" s="95">
        <v>5</v>
      </c>
      <c r="T74" s="92">
        <f>R74/S74</f>
        <v>0</v>
      </c>
      <c r="U74" s="90"/>
      <c r="V74" s="95">
        <v>5</v>
      </c>
      <c r="W74" s="92">
        <f>U74/V74</f>
        <v>0</v>
      </c>
      <c r="X74" s="90"/>
      <c r="Y74" s="95">
        <v>5</v>
      </c>
      <c r="Z74" s="92">
        <f>X74/Y74</f>
        <v>0</v>
      </c>
      <c r="AA74" s="94"/>
      <c r="AB74" s="95">
        <v>5</v>
      </c>
      <c r="AC74" s="92">
        <f>AA74/AB74</f>
        <v>0</v>
      </c>
      <c r="AD74" s="94"/>
      <c r="AE74" s="95">
        <v>5</v>
      </c>
      <c r="AF74" s="92">
        <f>AD74/AE74</f>
        <v>0</v>
      </c>
      <c r="AG74" s="94"/>
      <c r="AH74" s="95">
        <v>5</v>
      </c>
      <c r="AI74" s="92">
        <f>AG74/AH74</f>
        <v>0</v>
      </c>
      <c r="AJ74" s="94"/>
      <c r="AK74" s="95">
        <v>5</v>
      </c>
      <c r="AL74" s="92">
        <f>AJ74/AK74</f>
        <v>0</v>
      </c>
      <c r="AM74" s="90"/>
      <c r="AN74" s="96">
        <v>5</v>
      </c>
      <c r="AO74" s="92">
        <f>AM74/AN74</f>
        <v>0</v>
      </c>
      <c r="AP74" s="90"/>
      <c r="AQ74" s="96">
        <v>5</v>
      </c>
      <c r="AR74" s="92">
        <f>AP74/AQ74</f>
        <v>0</v>
      </c>
      <c r="AS74" s="90"/>
      <c r="AT74" s="96">
        <v>5</v>
      </c>
      <c r="AU74" s="92">
        <f>AS74/AT74</f>
        <v>0</v>
      </c>
      <c r="AV74" s="90"/>
      <c r="AW74" s="96">
        <v>5</v>
      </c>
      <c r="AX74" s="92">
        <f>AV74/AW74</f>
        <v>0</v>
      </c>
      <c r="AY74" s="90"/>
      <c r="AZ74" s="96">
        <v>5</v>
      </c>
      <c r="BA74" s="92">
        <f>AY74/AZ74</f>
        <v>0</v>
      </c>
      <c r="BB74" s="90"/>
      <c r="BC74" s="96">
        <v>5</v>
      </c>
      <c r="BD74" s="92">
        <f>BB74/BC74</f>
        <v>0</v>
      </c>
      <c r="BE74" s="90"/>
      <c r="BF74" s="96">
        <v>5</v>
      </c>
      <c r="BG74" s="92">
        <f>BE74/BF74</f>
        <v>0</v>
      </c>
      <c r="BH74" s="90"/>
      <c r="BI74" s="96">
        <v>5</v>
      </c>
      <c r="BJ74" s="92">
        <f>BH74/BI74</f>
        <v>0</v>
      </c>
      <c r="BK74" s="90"/>
      <c r="BL74" s="96">
        <v>5</v>
      </c>
      <c r="BM74" s="92">
        <f>BK74/BL74</f>
        <v>0</v>
      </c>
      <c r="BN74" s="90"/>
      <c r="BO74" s="96">
        <v>5</v>
      </c>
      <c r="BP74" s="92">
        <f>BN74/BO74</f>
        <v>0</v>
      </c>
      <c r="BQ74" s="90"/>
      <c r="BR74" s="96">
        <v>5</v>
      </c>
      <c r="BS74" s="92">
        <f>BQ74/BR74</f>
        <v>0</v>
      </c>
      <c r="BT74" s="90"/>
      <c r="BU74" s="96">
        <v>5</v>
      </c>
      <c r="BV74" s="92">
        <f>BT74/BU74</f>
        <v>0</v>
      </c>
      <c r="BW74" s="90"/>
      <c r="BX74" s="96">
        <v>5</v>
      </c>
      <c r="BY74" s="92">
        <f>BW74/BX74</f>
        <v>0</v>
      </c>
      <c r="BZ74" s="90"/>
      <c r="CA74" s="96">
        <v>5</v>
      </c>
      <c r="CB74" s="92">
        <f>BZ74/CA74</f>
        <v>0</v>
      </c>
      <c r="CC74" s="90"/>
      <c r="CD74" s="96">
        <v>5</v>
      </c>
      <c r="CE74" s="92">
        <f>CC74/CD74</f>
        <v>0</v>
      </c>
      <c r="CF74" s="90"/>
      <c r="CG74" s="96">
        <v>5</v>
      </c>
      <c r="CH74" s="92">
        <f>CF74/CG74</f>
        <v>0</v>
      </c>
      <c r="CI74" s="90"/>
      <c r="CJ74" s="96">
        <v>5</v>
      </c>
      <c r="CK74" s="92">
        <f>CI74/CJ74</f>
        <v>0</v>
      </c>
      <c r="CL74" s="90"/>
      <c r="CM74" s="96">
        <v>5</v>
      </c>
      <c r="CN74" s="92">
        <f>CL74/CM74</f>
        <v>0</v>
      </c>
      <c r="CO74" s="90"/>
      <c r="CP74" s="96">
        <v>5</v>
      </c>
      <c r="CQ74" s="92">
        <f>CO74/CP74</f>
        <v>0</v>
      </c>
      <c r="CR74" s="90"/>
      <c r="CS74" s="96">
        <v>5</v>
      </c>
      <c r="CT74" s="92">
        <f>CR74/CS74</f>
        <v>0</v>
      </c>
      <c r="CU74" s="90"/>
      <c r="CV74" s="96">
        <v>5</v>
      </c>
      <c r="CW74" s="92">
        <f>CU74/CV74</f>
        <v>0</v>
      </c>
      <c r="CX74" s="90"/>
      <c r="CY74" s="96">
        <v>5</v>
      </c>
      <c r="CZ74" s="92">
        <f>CX74/CY74</f>
        <v>0</v>
      </c>
      <c r="DA74" s="90"/>
      <c r="DB74" s="96">
        <v>5</v>
      </c>
      <c r="DC74" s="92">
        <f>DA74/DB74</f>
        <v>0</v>
      </c>
      <c r="DD74" s="90"/>
      <c r="DE74" s="96">
        <v>5</v>
      </c>
      <c r="DF74" s="92">
        <f>DD74/DE74</f>
        <v>0</v>
      </c>
      <c r="DG74" s="90"/>
      <c r="DH74" s="96">
        <v>5</v>
      </c>
      <c r="DI74" s="92">
        <f>DG74/DH74</f>
        <v>0</v>
      </c>
      <c r="DJ74" s="90"/>
      <c r="DK74" s="96">
        <v>5</v>
      </c>
      <c r="DL74" s="92">
        <f>DJ74/DK74</f>
        <v>0</v>
      </c>
      <c r="DM74" s="90"/>
      <c r="DN74" s="96">
        <v>5</v>
      </c>
      <c r="DO74" s="92">
        <f>DM74/DN74</f>
        <v>0</v>
      </c>
      <c r="DP74" s="90"/>
      <c r="DQ74" s="96">
        <v>5</v>
      </c>
      <c r="DR74" s="92">
        <f>DP74/DQ74</f>
        <v>0</v>
      </c>
      <c r="DS74" s="90"/>
      <c r="DT74" s="96">
        <v>5</v>
      </c>
      <c r="DU74" s="92">
        <f>DS74/DT74</f>
        <v>0</v>
      </c>
      <c r="DV74" s="90"/>
      <c r="DW74" s="96">
        <v>5</v>
      </c>
      <c r="DX74" s="92">
        <f>DV74/DW74</f>
        <v>0</v>
      </c>
      <c r="DY74" s="90"/>
      <c r="DZ74" s="96">
        <v>5</v>
      </c>
      <c r="EA74" s="92">
        <f>DY74/DZ74</f>
        <v>0</v>
      </c>
      <c r="EB74" s="90"/>
      <c r="EC74" s="96">
        <v>5</v>
      </c>
      <c r="ED74" s="92">
        <f>EB74/EC74</f>
        <v>0</v>
      </c>
      <c r="EE74" s="90"/>
      <c r="EF74" s="96">
        <v>5</v>
      </c>
      <c r="EG74" s="92">
        <f>EE74/EF74</f>
        <v>0</v>
      </c>
      <c r="EH74" s="90"/>
      <c r="EI74" s="96">
        <v>5</v>
      </c>
      <c r="EJ74" s="92">
        <f>EH74/EI74</f>
        <v>0</v>
      </c>
      <c r="EK74" s="90"/>
      <c r="EL74" s="96">
        <v>5</v>
      </c>
      <c r="EM74" s="92">
        <f>EK74/EL74</f>
        <v>0</v>
      </c>
      <c r="EN74" s="90"/>
      <c r="EO74" s="96">
        <v>5</v>
      </c>
      <c r="EP74" s="92">
        <f>EN74/EO74</f>
        <v>0</v>
      </c>
      <c r="EQ74" s="85">
        <f t="array" ref="EQ74">IFERROR(_xlfn.LET(
_xlpm.datos,CHOOSE({1;2;3;4;5;6;7;8;9;10;11;12;13;13;14;15;16;17;18;19;20;21;22;23;23;24;25;26;27;28;29;30;31;32;33;34;35;36;37;38;39;40;41;42;43;44;45;46;47},E74,H74,K74,N74,Q74,T74,W74,Z74,AC74,AF74,AI74,AL74,AO74,AR74,AU74,AX74,BA74,BD74,BG74,BJ74,BP74,BS74,BV74,BY74,CB74,CE74,CH74,CK74,CN74,CQ74,CT74,CW74,CZ74,DC74,DF74,DI74,DL74,DO74,DR74,DU74,DX74,EA74,ED74,EG74,EJ74,EM74,EP74),
AVERAGE(_xlfn._xlws.FILTER(_xlpm.datos,(_xlpm.datos&lt;&gt;0)*(_xlpm.datos&lt;&gt;"")))
),0)</f>
        <v>0</v>
      </c>
      <c r="ER74" s="162" t="str">
        <f t="array" ref="ER74">_xlfn.IFS(EQ74&gt;=91.5%,"MENSUAL",EQ74&gt;=75%,"QUINCENAL",EQ74&lt;75%,"SEMANAL")</f>
        <v>SEMANAL</v>
      </c>
    </row>
    <row r="75" ht="16" customHeight="1" spans="1:148" x14ac:dyDescent="0.25">
      <c r="A75" s="183" t="s">
        <v>166</v>
      </c>
      <c r="B75" s="166"/>
      <c r="C75" s="102"/>
      <c r="D75" s="103">
        <v>5</v>
      </c>
      <c r="E75" s="104">
        <f t="shared" ref="E75" si="1344">C75/D75</f>
        <v>0</v>
      </c>
      <c r="F75" s="102"/>
      <c r="G75" s="103">
        <v>5</v>
      </c>
      <c r="H75" s="104">
        <f t="shared" ref="H75" si="1345">F75/G75</f>
        <v>0</v>
      </c>
      <c r="I75" s="105"/>
      <c r="J75" s="103">
        <v>5</v>
      </c>
      <c r="K75" s="104">
        <f t="shared" ref="K75" si="1346">I75/J75</f>
        <v>0</v>
      </c>
      <c r="L75" s="105"/>
      <c r="M75" s="103">
        <v>5</v>
      </c>
      <c r="N75" s="104">
        <f t="shared" ref="N75" si="1347">L75/M75</f>
        <v>0</v>
      </c>
      <c r="O75" s="106"/>
      <c r="P75" s="107">
        <v>5</v>
      </c>
      <c r="Q75" s="104">
        <f t="shared" ref="Q75" si="1348">O75/P75</f>
        <v>0</v>
      </c>
      <c r="R75" s="102"/>
      <c r="S75" s="107">
        <v>5</v>
      </c>
      <c r="T75" s="104">
        <f t="shared" ref="T75" si="1349">R75/S75</f>
        <v>0</v>
      </c>
      <c r="U75" s="102"/>
      <c r="V75" s="107">
        <v>5</v>
      </c>
      <c r="W75" s="104">
        <f t="shared" ref="W75" si="1350">U75/V75</f>
        <v>0</v>
      </c>
      <c r="X75" s="102"/>
      <c r="Y75" s="107">
        <v>5</v>
      </c>
      <c r="Z75" s="104">
        <f t="shared" ref="Z75" si="1351">X75/Y75</f>
        <v>0</v>
      </c>
      <c r="AA75" s="106"/>
      <c r="AB75" s="107">
        <v>5</v>
      </c>
      <c r="AC75" s="104">
        <f t="shared" ref="AC75" si="1352">AA75/AB75</f>
        <v>0</v>
      </c>
      <c r="AD75" s="106"/>
      <c r="AE75" s="107">
        <v>5</v>
      </c>
      <c r="AF75" s="104">
        <f t="shared" ref="AF75" si="1353">AD75/AE75</f>
        <v>0</v>
      </c>
      <c r="AG75" s="106"/>
      <c r="AH75" s="107">
        <v>5</v>
      </c>
      <c r="AI75" s="104">
        <f t="shared" ref="AI75" si="1354">AG75/AH75</f>
        <v>0</v>
      </c>
      <c r="AJ75" s="106"/>
      <c r="AK75" s="107">
        <v>5</v>
      </c>
      <c r="AL75" s="104">
        <f t="shared" ref="AL75" si="1355">AJ75/AK75</f>
        <v>0</v>
      </c>
      <c r="AM75" s="102"/>
      <c r="AN75" s="1">
        <v>5</v>
      </c>
      <c r="AO75" s="104">
        <f t="shared" ref="AO75" si="1356">AM75/AN75</f>
        <v>0</v>
      </c>
      <c r="AP75" s="102"/>
      <c r="AQ75" s="1">
        <v>5</v>
      </c>
      <c r="AR75" s="104">
        <f t="shared" ref="AR75" si="1357">AP75/AQ75</f>
        <v>0</v>
      </c>
      <c r="AS75" s="102"/>
      <c r="AT75" s="1">
        <v>5</v>
      </c>
      <c r="AU75" s="104">
        <f t="shared" ref="AU75" si="1358">AS75/AT75</f>
        <v>0</v>
      </c>
      <c r="AV75" s="102"/>
      <c r="AW75" s="1">
        <v>5</v>
      </c>
      <c r="AX75" s="104">
        <f t="shared" ref="AX75" si="1359">AV75/AW75</f>
        <v>0</v>
      </c>
      <c r="AY75" s="102"/>
      <c r="AZ75" s="1">
        <v>5</v>
      </c>
      <c r="BA75" s="104">
        <f t="shared" ref="BA75" si="1360">AY75/AZ75</f>
        <v>0</v>
      </c>
      <c r="BB75" s="102"/>
      <c r="BC75" s="1">
        <v>5</v>
      </c>
      <c r="BD75" s="104">
        <f t="shared" ref="BD75" si="1361">BB75/BC75</f>
        <v>0</v>
      </c>
      <c r="BE75" s="102"/>
      <c r="BF75" s="1">
        <v>5</v>
      </c>
      <c r="BG75" s="104">
        <f t="shared" ref="BG75" si="1362">BE75/BF75</f>
        <v>0</v>
      </c>
      <c r="BH75" s="102"/>
      <c r="BI75" s="1">
        <v>5</v>
      </c>
      <c r="BJ75" s="104">
        <f t="shared" ref="BJ75" si="1363">BH75/BI75</f>
        <v>0</v>
      </c>
      <c r="BK75" s="102"/>
      <c r="BL75" s="1">
        <v>5</v>
      </c>
      <c r="BM75" s="104">
        <f t="shared" ref="BM75" si="1364">BK75/BL75</f>
        <v>0</v>
      </c>
      <c r="BN75" s="102"/>
      <c r="BO75" s="1">
        <v>5</v>
      </c>
      <c r="BP75" s="104">
        <f t="shared" ref="BP75" si="1365">BN75/BO75</f>
        <v>0</v>
      </c>
      <c r="BQ75" s="102"/>
      <c r="BR75" s="1">
        <v>5</v>
      </c>
      <c r="BS75" s="104">
        <f t="shared" ref="BS75" si="1366">BQ75/BR75</f>
        <v>0</v>
      </c>
      <c r="BT75" s="102"/>
      <c r="BU75" s="1">
        <v>5</v>
      </c>
      <c r="BV75" s="104">
        <f t="shared" ref="BV75" si="1367">BT75/BU75</f>
        <v>0</v>
      </c>
      <c r="BW75" s="102"/>
      <c r="BX75" s="1">
        <v>5</v>
      </c>
      <c r="BY75" s="104">
        <f t="shared" ref="BY75" si="1368">BW75/BX75</f>
        <v>0</v>
      </c>
      <c r="BZ75" s="102"/>
      <c r="CA75" s="1">
        <v>5</v>
      </c>
      <c r="CB75" s="104">
        <f t="shared" ref="CB75" si="1369">BZ75/CA75</f>
        <v>0</v>
      </c>
      <c r="CC75" s="102"/>
      <c r="CD75" s="1">
        <v>5</v>
      </c>
      <c r="CE75" s="104">
        <f t="shared" ref="CE75" si="1370">CC75/CD75</f>
        <v>0</v>
      </c>
      <c r="CF75" s="102"/>
      <c r="CG75" s="1">
        <v>5</v>
      </c>
      <c r="CH75" s="104">
        <f t="shared" ref="CH75" si="1371">CF75/CG75</f>
        <v>0</v>
      </c>
      <c r="CI75" s="102"/>
      <c r="CJ75" s="1">
        <v>5</v>
      </c>
      <c r="CK75" s="104">
        <f t="shared" ref="CK75" si="1372">CI75/CJ75</f>
        <v>0</v>
      </c>
      <c r="CL75" s="102"/>
      <c r="CM75" s="1">
        <v>5</v>
      </c>
      <c r="CN75" s="104">
        <f t="shared" ref="CN75" si="1373">CL75/CM75</f>
        <v>0</v>
      </c>
      <c r="CO75" s="102"/>
      <c r="CP75" s="1">
        <v>5</v>
      </c>
      <c r="CQ75" s="104">
        <f t="shared" ref="CQ75" si="1374">CO75/CP75</f>
        <v>0</v>
      </c>
      <c r="CR75" s="102"/>
      <c r="CS75" s="1">
        <v>5</v>
      </c>
      <c r="CT75" s="104">
        <f t="shared" ref="CT75" si="1375">CR75/CS75</f>
        <v>0</v>
      </c>
      <c r="CU75" s="102"/>
      <c r="CV75" s="1">
        <v>5</v>
      </c>
      <c r="CW75" s="104">
        <f t="shared" ref="CW75" si="1376">CU75/CV75</f>
        <v>0</v>
      </c>
      <c r="CX75" s="102"/>
      <c r="CY75" s="1">
        <v>5</v>
      </c>
      <c r="CZ75" s="104">
        <f t="shared" ref="CZ75" si="1377">CX75/CY75</f>
        <v>0</v>
      </c>
      <c r="DA75" s="102"/>
      <c r="DB75" s="1">
        <v>5</v>
      </c>
      <c r="DC75" s="104">
        <f t="shared" ref="DC75" si="1378">DA75/DB75</f>
        <v>0</v>
      </c>
      <c r="DD75" s="102"/>
      <c r="DE75" s="1">
        <v>5</v>
      </c>
      <c r="DF75" s="104">
        <f t="shared" ref="DF75" si="1379">DD75/DE75</f>
        <v>0</v>
      </c>
      <c r="DG75" s="102"/>
      <c r="DH75" s="1">
        <v>5</v>
      </c>
      <c r="DI75" s="104">
        <f t="shared" ref="DI75" si="1380">DG75/DH75</f>
        <v>0</v>
      </c>
      <c r="DJ75" s="102"/>
      <c r="DK75" s="1">
        <v>5</v>
      </c>
      <c r="DL75" s="104">
        <f t="shared" ref="DL75" si="1381">DJ75/DK75</f>
        <v>0</v>
      </c>
      <c r="DM75" s="102"/>
      <c r="DN75" s="1">
        <v>5</v>
      </c>
      <c r="DO75" s="104">
        <f t="shared" ref="DO75" si="1382">DM75/DN75</f>
        <v>0</v>
      </c>
      <c r="DP75" s="102"/>
      <c r="DQ75" s="1">
        <v>5</v>
      </c>
      <c r="DR75" s="104">
        <f t="shared" ref="DR75" si="1383">DP75/DQ75</f>
        <v>0</v>
      </c>
      <c r="DS75" s="102"/>
      <c r="DT75" s="1">
        <v>5</v>
      </c>
      <c r="DU75" s="104">
        <f t="shared" ref="DU75" si="1384">DS75/DT75</f>
        <v>0</v>
      </c>
      <c r="DV75" s="102"/>
      <c r="DW75" s="1">
        <v>5</v>
      </c>
      <c r="DX75" s="104">
        <f t="shared" ref="DX75" si="1385">DV75/DW75</f>
        <v>0</v>
      </c>
      <c r="DY75" s="102"/>
      <c r="DZ75" s="1">
        <v>5</v>
      </c>
      <c r="EA75" s="104">
        <f t="shared" ref="EA75" si="1386">DY75/DZ75</f>
        <v>0</v>
      </c>
      <c r="EB75" s="102"/>
      <c r="EC75" s="1">
        <v>5</v>
      </c>
      <c r="ED75" s="104">
        <f t="shared" ref="ED75" si="1387">EB75/EC75</f>
        <v>0</v>
      </c>
      <c r="EE75" s="102"/>
      <c r="EF75" s="1">
        <v>5</v>
      </c>
      <c r="EG75" s="104">
        <f t="shared" ref="EG75" si="1388">EE75/EF75</f>
        <v>0</v>
      </c>
      <c r="EH75" s="102"/>
      <c r="EI75" s="1">
        <v>5</v>
      </c>
      <c r="EJ75" s="104">
        <f t="shared" ref="EJ75" si="1389">EH75/EI75</f>
        <v>0</v>
      </c>
      <c r="EK75" s="102"/>
      <c r="EL75" s="1">
        <v>5</v>
      </c>
      <c r="EM75" s="104">
        <f t="shared" ref="EM75" si="1390">EK75/EL75</f>
        <v>0</v>
      </c>
      <c r="EN75" s="102"/>
      <c r="EO75" s="1">
        <v>5</v>
      </c>
      <c r="EP75" s="104">
        <f t="shared" ref="EP75" si="1391">EN75/EO75</f>
        <v>0</v>
      </c>
      <c r="EQ75" s="85">
        <f t="array" ref="EQ75">IFERROR(_xlfn.LET(
_xlpm.datos,CHOOSE({1;2;3;4;5;6;7;8;9;10;11;12;13;13;14;15;16;17;18;19;20;21;22;23;23;24;25;26;27;28;29;30;31;32;33;34;35;36;37;38;39;40;41;42;43;44;45;46;47},E75,H75,K75,N75,Q75,T75,W75,Z75,AC75,AF75,AI75,AL75,AO75,AR75,AU75,AX75,BA75,BD75,BG75,BJ75,BP75,BS75,BV75,BY75,CB75,CE75,CH75,CK75,CN75,CQ75,CT75,CW75,CZ75,DC75,DF75,DI75,DL75,DO75,DR75,DU75,DX75,EA75,ED75,EG75,EJ75,EM75,EP75),
AVERAGE(_xlfn._xlws.FILTER(_xlpm.datos,(_xlpm.datos&lt;&gt;0)*(_xlpm.datos&lt;&gt;"")))
),0)</f>
        <v>0</v>
      </c>
      <c r="ER75" s="162" t="str">
        <f t="array" ref="ER75">_xlfn.IFS(EQ75&gt;=91.5%,"MENSUAL",EQ75&gt;=75%,"QUINCENAL",EQ75&lt;75%,"SEMANAL")</f>
        <v>SEMANAL</v>
      </c>
    </row>
    <row r="76" ht="21.5" customHeight="1" spans="1:148" x14ac:dyDescent="0.25">
      <c r="A76" s="183" t="s">
        <v>167</v>
      </c>
      <c r="B76" s="166"/>
      <c r="C76" s="90"/>
      <c r="D76" s="91">
        <v>5</v>
      </c>
      <c r="E76" s="92">
        <f>C76/D76</f>
        <v>0</v>
      </c>
      <c r="F76" s="90"/>
      <c r="G76" s="91">
        <v>5</v>
      </c>
      <c r="H76" s="92">
        <f>F76/G76</f>
        <v>0</v>
      </c>
      <c r="I76" s="93"/>
      <c r="J76" s="91">
        <v>5</v>
      </c>
      <c r="K76" s="92">
        <f>I76/J76</f>
        <v>0</v>
      </c>
      <c r="L76" s="93"/>
      <c r="M76" s="91">
        <v>5</v>
      </c>
      <c r="N76" s="92">
        <f>L76/M76</f>
        <v>0</v>
      </c>
      <c r="O76" s="94"/>
      <c r="P76" s="95">
        <v>5</v>
      </c>
      <c r="Q76" s="92">
        <f>O76/P76</f>
        <v>0</v>
      </c>
      <c r="R76" s="90"/>
      <c r="S76" s="95">
        <v>5</v>
      </c>
      <c r="T76" s="92">
        <f>R76/S76</f>
        <v>0</v>
      </c>
      <c r="U76" s="90"/>
      <c r="V76" s="95">
        <v>5</v>
      </c>
      <c r="W76" s="92">
        <f>U76/V76</f>
        <v>0</v>
      </c>
      <c r="X76" s="90"/>
      <c r="Y76" s="95">
        <v>5</v>
      </c>
      <c r="Z76" s="92">
        <f>X76/Y76</f>
        <v>0</v>
      </c>
      <c r="AA76" s="94"/>
      <c r="AB76" s="95">
        <v>5</v>
      </c>
      <c r="AC76" s="92">
        <f>AA76/AB76</f>
        <v>0</v>
      </c>
      <c r="AD76" s="94"/>
      <c r="AE76" s="95">
        <v>5</v>
      </c>
      <c r="AF76" s="92">
        <f>AD76/AE76</f>
        <v>0</v>
      </c>
      <c r="AG76" s="94"/>
      <c r="AH76" s="95">
        <v>5</v>
      </c>
      <c r="AI76" s="92">
        <f>AG76/AH76</f>
        <v>0</v>
      </c>
      <c r="AJ76" s="94"/>
      <c r="AK76" s="95">
        <v>5</v>
      </c>
      <c r="AL76" s="92">
        <f>AJ76/AK76</f>
        <v>0</v>
      </c>
      <c r="AM76" s="90"/>
      <c r="AN76" s="96">
        <v>5</v>
      </c>
      <c r="AO76" s="92">
        <f>AM76/AN76</f>
        <v>0</v>
      </c>
      <c r="AP76" s="90"/>
      <c r="AQ76" s="96">
        <v>5</v>
      </c>
      <c r="AR76" s="92">
        <f>AP76/AQ76</f>
        <v>0</v>
      </c>
      <c r="AS76" s="90"/>
      <c r="AT76" s="96">
        <v>5</v>
      </c>
      <c r="AU76" s="92">
        <f>AS76/AT76</f>
        <v>0</v>
      </c>
      <c r="AV76" s="90"/>
      <c r="AW76" s="96">
        <v>5</v>
      </c>
      <c r="AX76" s="92">
        <f>AV76/AW76</f>
        <v>0</v>
      </c>
      <c r="AY76" s="90"/>
      <c r="AZ76" s="96">
        <v>5</v>
      </c>
      <c r="BA76" s="92">
        <f>AY76/AZ76</f>
        <v>0</v>
      </c>
      <c r="BB76" s="90"/>
      <c r="BC76" s="96">
        <v>5</v>
      </c>
      <c r="BD76" s="92">
        <f>BB76/BC76</f>
        <v>0</v>
      </c>
      <c r="BE76" s="90"/>
      <c r="BF76" s="96">
        <v>5</v>
      </c>
      <c r="BG76" s="92">
        <f>BE76/BF76</f>
        <v>0</v>
      </c>
      <c r="BH76" s="90"/>
      <c r="BI76" s="96">
        <v>5</v>
      </c>
      <c r="BJ76" s="92">
        <f>BH76/BI76</f>
        <v>0</v>
      </c>
      <c r="BK76" s="90"/>
      <c r="BL76" s="96">
        <v>5</v>
      </c>
      <c r="BM76" s="92">
        <f>BK76/BL76</f>
        <v>0</v>
      </c>
      <c r="BN76" s="90"/>
      <c r="BO76" s="96">
        <v>5</v>
      </c>
      <c r="BP76" s="92">
        <f>BN76/BO76</f>
        <v>0</v>
      </c>
      <c r="BQ76" s="90"/>
      <c r="BR76" s="96">
        <v>5</v>
      </c>
      <c r="BS76" s="92">
        <f>BQ76/BR76</f>
        <v>0</v>
      </c>
      <c r="BT76" s="90"/>
      <c r="BU76" s="96">
        <v>5</v>
      </c>
      <c r="BV76" s="92">
        <f>BT76/BU76</f>
        <v>0</v>
      </c>
      <c r="BW76" s="90"/>
      <c r="BX76" s="96">
        <v>5</v>
      </c>
      <c r="BY76" s="92">
        <f>BW76/BX76</f>
        <v>0</v>
      </c>
      <c r="BZ76" s="90"/>
      <c r="CA76" s="96">
        <v>5</v>
      </c>
      <c r="CB76" s="92">
        <f>BZ76/CA76</f>
        <v>0</v>
      </c>
      <c r="CC76" s="90"/>
      <c r="CD76" s="96">
        <v>5</v>
      </c>
      <c r="CE76" s="92">
        <f>CC76/CD76</f>
        <v>0</v>
      </c>
      <c r="CF76" s="90"/>
      <c r="CG76" s="96">
        <v>5</v>
      </c>
      <c r="CH76" s="92">
        <f>CF76/CG76</f>
        <v>0</v>
      </c>
      <c r="CI76" s="90"/>
      <c r="CJ76" s="96">
        <v>5</v>
      </c>
      <c r="CK76" s="92">
        <f>CI76/CJ76</f>
        <v>0</v>
      </c>
      <c r="CL76" s="90"/>
      <c r="CM76" s="96">
        <v>5</v>
      </c>
      <c r="CN76" s="92">
        <f>CL76/CM76</f>
        <v>0</v>
      </c>
      <c r="CO76" s="90"/>
      <c r="CP76" s="96">
        <v>5</v>
      </c>
      <c r="CQ76" s="92">
        <f>CO76/CP76</f>
        <v>0</v>
      </c>
      <c r="CR76" s="90"/>
      <c r="CS76" s="96">
        <v>5</v>
      </c>
      <c r="CT76" s="92">
        <f>CR76/CS76</f>
        <v>0</v>
      </c>
      <c r="CU76" s="90"/>
      <c r="CV76" s="96">
        <v>5</v>
      </c>
      <c r="CW76" s="92">
        <f>CU76/CV76</f>
        <v>0</v>
      </c>
      <c r="CX76" s="90"/>
      <c r="CY76" s="96">
        <v>5</v>
      </c>
      <c r="CZ76" s="92">
        <f>CX76/CY76</f>
        <v>0</v>
      </c>
      <c r="DA76" s="90"/>
      <c r="DB76" s="96">
        <v>5</v>
      </c>
      <c r="DC76" s="92">
        <f>DA76/DB76</f>
        <v>0</v>
      </c>
      <c r="DD76" s="90"/>
      <c r="DE76" s="96">
        <v>5</v>
      </c>
      <c r="DF76" s="92">
        <f>DD76/DE76</f>
        <v>0</v>
      </c>
      <c r="DG76" s="90"/>
      <c r="DH76" s="96">
        <v>5</v>
      </c>
      <c r="DI76" s="92">
        <f>DG76/DH76</f>
        <v>0</v>
      </c>
      <c r="DJ76" s="90"/>
      <c r="DK76" s="96">
        <v>5</v>
      </c>
      <c r="DL76" s="92">
        <f>DJ76/DK76</f>
        <v>0</v>
      </c>
      <c r="DM76" s="90"/>
      <c r="DN76" s="96">
        <v>5</v>
      </c>
      <c r="DO76" s="92">
        <f>DM76/DN76</f>
        <v>0</v>
      </c>
      <c r="DP76" s="90"/>
      <c r="DQ76" s="96">
        <v>5</v>
      </c>
      <c r="DR76" s="92">
        <f>DP76/DQ76</f>
        <v>0</v>
      </c>
      <c r="DS76" s="90"/>
      <c r="DT76" s="96">
        <v>5</v>
      </c>
      <c r="DU76" s="92">
        <f>DS76/DT76</f>
        <v>0</v>
      </c>
      <c r="DV76" s="90"/>
      <c r="DW76" s="96">
        <v>5</v>
      </c>
      <c r="DX76" s="92">
        <f>DV76/DW76</f>
        <v>0</v>
      </c>
      <c r="DY76" s="90"/>
      <c r="DZ76" s="96">
        <v>5</v>
      </c>
      <c r="EA76" s="92">
        <f>DY76/DZ76</f>
        <v>0</v>
      </c>
      <c r="EB76" s="90"/>
      <c r="EC76" s="96">
        <v>5</v>
      </c>
      <c r="ED76" s="92">
        <f>EB76/EC76</f>
        <v>0</v>
      </c>
      <c r="EE76" s="90"/>
      <c r="EF76" s="96">
        <v>5</v>
      </c>
      <c r="EG76" s="92">
        <f>EE76/EF76</f>
        <v>0</v>
      </c>
      <c r="EH76" s="90"/>
      <c r="EI76" s="96">
        <v>5</v>
      </c>
      <c r="EJ76" s="92">
        <f>EH76/EI76</f>
        <v>0</v>
      </c>
      <c r="EK76" s="90"/>
      <c r="EL76" s="96">
        <v>5</v>
      </c>
      <c r="EM76" s="92">
        <f>EK76/EL76</f>
        <v>0</v>
      </c>
      <c r="EN76" s="90"/>
      <c r="EO76" s="96">
        <v>5</v>
      </c>
      <c r="EP76" s="92">
        <f>EN76/EO76</f>
        <v>0</v>
      </c>
      <c r="EQ76" s="85">
        <f t="array" ref="EQ76">IFERROR(_xlfn.LET(
_xlpm.datos,CHOOSE({1;2;3;4;5;6;7;8;9;10;11;12;13;13;14;15;16;17;18;19;20;21;22;23;23;24;25;26;27;28;29;30;31;32;33;34;35;36;37;38;39;40;41;42;43;44;45;46;47},E76,H76,K76,N76,Q76,T76,W76,Z76,AC76,AF76,AI76,AL76,AO76,AR76,AU76,AX76,BA76,BD76,BG76,BJ76,BP76,BS76,BV76,BY76,CB76,CE76,CH76,CK76,CN76,CQ76,CT76,CW76,CZ76,DC76,DF76,DI76,DL76,DO76,DR76,DU76,DX76,EA76,ED76,EG76,EJ76,EM76,EP76),
AVERAGE(_xlfn._xlws.FILTER(_xlpm.datos,(_xlpm.datos&lt;&gt;0)*(_xlpm.datos&lt;&gt;"")))
),0)</f>
        <v>0</v>
      </c>
      <c r="ER76" s="162" t="str">
        <f t="array" ref="ER76">_xlfn.IFS(EQ76&gt;=91.5%,"MENSUAL",EQ76&gt;=75%,"QUINCENAL",EQ76&lt;75%,"SEMANAL")</f>
        <v>SEMANAL</v>
      </c>
    </row>
    <row r="77" ht="16" customHeight="1" spans="1:148" x14ac:dyDescent="0.25">
      <c r="A77" s="184" t="s">
        <v>118</v>
      </c>
      <c r="B77" s="166"/>
      <c r="C77" s="102"/>
      <c r="D77" s="103">
        <v>5</v>
      </c>
      <c r="E77" s="104">
        <f t="shared" ref="E77" si="1392">C77/D77</f>
        <v>0</v>
      </c>
      <c r="F77" s="102"/>
      <c r="G77" s="103">
        <v>5</v>
      </c>
      <c r="H77" s="104">
        <f t="shared" ref="H77" si="1393">F77/G77</f>
        <v>0</v>
      </c>
      <c r="I77" s="105"/>
      <c r="J77" s="103">
        <v>5</v>
      </c>
      <c r="K77" s="104">
        <f t="shared" ref="K77" si="1394">I77/J77</f>
        <v>0</v>
      </c>
      <c r="L77" s="105"/>
      <c r="M77" s="103">
        <v>5</v>
      </c>
      <c r="N77" s="104">
        <f t="shared" ref="N77" si="1395">L77/M77</f>
        <v>0</v>
      </c>
      <c r="O77" s="106"/>
      <c r="P77" s="107">
        <v>5</v>
      </c>
      <c r="Q77" s="104">
        <f t="shared" ref="Q77" si="1396">O77/P77</f>
        <v>0</v>
      </c>
      <c r="R77" s="102"/>
      <c r="S77" s="107">
        <v>5</v>
      </c>
      <c r="T77" s="104">
        <f t="shared" ref="T77" si="1397">R77/S77</f>
        <v>0</v>
      </c>
      <c r="U77" s="102"/>
      <c r="V77" s="107">
        <v>5</v>
      </c>
      <c r="W77" s="104">
        <f t="shared" ref="W77" si="1398">U77/V77</f>
        <v>0</v>
      </c>
      <c r="X77" s="102"/>
      <c r="Y77" s="107">
        <v>5</v>
      </c>
      <c r="Z77" s="104">
        <f t="shared" ref="Z77" si="1399">X77/Y77</f>
        <v>0</v>
      </c>
      <c r="AA77" s="106"/>
      <c r="AB77" s="107">
        <v>5</v>
      </c>
      <c r="AC77" s="104">
        <f t="shared" ref="AC77" si="1400">AA77/AB77</f>
        <v>0</v>
      </c>
      <c r="AD77" s="106"/>
      <c r="AE77" s="107">
        <v>5</v>
      </c>
      <c r="AF77" s="104">
        <f t="shared" ref="AF77" si="1401">AD77/AE77</f>
        <v>0</v>
      </c>
      <c r="AG77" s="106"/>
      <c r="AH77" s="107">
        <v>5</v>
      </c>
      <c r="AI77" s="104">
        <f t="shared" ref="AI77" si="1402">AG77/AH77</f>
        <v>0</v>
      </c>
      <c r="AJ77" s="106"/>
      <c r="AK77" s="107">
        <v>5</v>
      </c>
      <c r="AL77" s="104">
        <f t="shared" ref="AL77" si="1403">AJ77/AK77</f>
        <v>0</v>
      </c>
      <c r="AM77" s="102"/>
      <c r="AN77" s="1">
        <v>5</v>
      </c>
      <c r="AO77" s="104">
        <f t="shared" ref="AO77" si="1404">AM77/AN77</f>
        <v>0</v>
      </c>
      <c r="AP77" s="102"/>
      <c r="AQ77" s="1">
        <v>5</v>
      </c>
      <c r="AR77" s="104">
        <f t="shared" ref="AR77" si="1405">AP77/AQ77</f>
        <v>0</v>
      </c>
      <c r="AS77" s="102"/>
      <c r="AT77" s="1">
        <v>5</v>
      </c>
      <c r="AU77" s="104">
        <f t="shared" ref="AU77" si="1406">AS77/AT77</f>
        <v>0</v>
      </c>
      <c r="AV77" s="102"/>
      <c r="AW77" s="1">
        <v>5</v>
      </c>
      <c r="AX77" s="104">
        <f t="shared" ref="AX77" si="1407">AV77/AW77</f>
        <v>0</v>
      </c>
      <c r="AY77" s="102"/>
      <c r="AZ77" s="1">
        <v>5</v>
      </c>
      <c r="BA77" s="104">
        <f t="shared" ref="BA77" si="1408">AY77/AZ77</f>
        <v>0</v>
      </c>
      <c r="BB77" s="102"/>
      <c r="BC77" s="1">
        <v>5</v>
      </c>
      <c r="BD77" s="104">
        <f t="shared" ref="BD77" si="1409">BB77/BC77</f>
        <v>0</v>
      </c>
      <c r="BE77" s="102"/>
      <c r="BF77" s="1">
        <v>5</v>
      </c>
      <c r="BG77" s="104">
        <f t="shared" ref="BG77" si="1410">BE77/BF77</f>
        <v>0</v>
      </c>
      <c r="BH77" s="102"/>
      <c r="BI77" s="1">
        <v>5</v>
      </c>
      <c r="BJ77" s="104">
        <f t="shared" ref="BJ77" si="1411">BH77/BI77</f>
        <v>0</v>
      </c>
      <c r="BK77" s="102"/>
      <c r="BL77" s="1">
        <v>5</v>
      </c>
      <c r="BM77" s="104">
        <f t="shared" ref="BM77" si="1412">BK77/BL77</f>
        <v>0</v>
      </c>
      <c r="BN77" s="102"/>
      <c r="BO77" s="1">
        <v>5</v>
      </c>
      <c r="BP77" s="104">
        <f t="shared" ref="BP77" si="1413">BN77/BO77</f>
        <v>0</v>
      </c>
      <c r="BQ77" s="102"/>
      <c r="BR77" s="1">
        <v>5</v>
      </c>
      <c r="BS77" s="104">
        <f t="shared" ref="BS77" si="1414">BQ77/BR77</f>
        <v>0</v>
      </c>
      <c r="BT77" s="102"/>
      <c r="BU77" s="1">
        <v>5</v>
      </c>
      <c r="BV77" s="104">
        <f t="shared" ref="BV77" si="1415">BT77/BU77</f>
        <v>0</v>
      </c>
      <c r="BW77" s="102"/>
      <c r="BX77" s="1">
        <v>5</v>
      </c>
      <c r="BY77" s="104">
        <f t="shared" ref="BY77" si="1416">BW77/BX77</f>
        <v>0</v>
      </c>
      <c r="BZ77" s="102"/>
      <c r="CA77" s="1">
        <v>5</v>
      </c>
      <c r="CB77" s="104">
        <f t="shared" ref="CB77" si="1417">BZ77/CA77</f>
        <v>0</v>
      </c>
      <c r="CC77" s="102"/>
      <c r="CD77" s="1">
        <v>5</v>
      </c>
      <c r="CE77" s="104">
        <f t="shared" ref="CE77" si="1418">CC77/CD77</f>
        <v>0</v>
      </c>
      <c r="CF77" s="102"/>
      <c r="CG77" s="1">
        <v>5</v>
      </c>
      <c r="CH77" s="104">
        <f t="shared" ref="CH77" si="1419">CF77/CG77</f>
        <v>0</v>
      </c>
      <c r="CI77" s="102"/>
      <c r="CJ77" s="1">
        <v>5</v>
      </c>
      <c r="CK77" s="104">
        <f t="shared" ref="CK77" si="1420">CI77/CJ77</f>
        <v>0</v>
      </c>
      <c r="CL77" s="102"/>
      <c r="CM77" s="1">
        <v>5</v>
      </c>
      <c r="CN77" s="104">
        <f t="shared" ref="CN77" si="1421">CL77/CM77</f>
        <v>0</v>
      </c>
      <c r="CO77" s="102"/>
      <c r="CP77" s="1">
        <v>5</v>
      </c>
      <c r="CQ77" s="104">
        <f t="shared" ref="CQ77" si="1422">CO77/CP77</f>
        <v>0</v>
      </c>
      <c r="CR77" s="102"/>
      <c r="CS77" s="1">
        <v>5</v>
      </c>
      <c r="CT77" s="104">
        <f t="shared" ref="CT77" si="1423">CR77/CS77</f>
        <v>0</v>
      </c>
      <c r="CU77" s="102"/>
      <c r="CV77" s="1">
        <v>5</v>
      </c>
      <c r="CW77" s="104">
        <f t="shared" ref="CW77" si="1424">CU77/CV77</f>
        <v>0</v>
      </c>
      <c r="CX77" s="102"/>
      <c r="CY77" s="1">
        <v>5</v>
      </c>
      <c r="CZ77" s="104">
        <f t="shared" ref="CZ77" si="1425">CX77/CY77</f>
        <v>0</v>
      </c>
      <c r="DA77" s="102"/>
      <c r="DB77" s="1">
        <v>5</v>
      </c>
      <c r="DC77" s="104">
        <f t="shared" ref="DC77" si="1426">DA77/DB77</f>
        <v>0</v>
      </c>
      <c r="DD77" s="102"/>
      <c r="DE77" s="1">
        <v>5</v>
      </c>
      <c r="DF77" s="104">
        <f t="shared" ref="DF77" si="1427">DD77/DE77</f>
        <v>0</v>
      </c>
      <c r="DG77" s="102"/>
      <c r="DH77" s="1">
        <v>5</v>
      </c>
      <c r="DI77" s="104">
        <f t="shared" ref="DI77" si="1428">DG77/DH77</f>
        <v>0</v>
      </c>
      <c r="DJ77" s="102"/>
      <c r="DK77" s="1">
        <v>5</v>
      </c>
      <c r="DL77" s="104">
        <f t="shared" ref="DL77" si="1429">DJ77/DK77</f>
        <v>0</v>
      </c>
      <c r="DM77" s="102"/>
      <c r="DN77" s="1">
        <v>5</v>
      </c>
      <c r="DO77" s="104">
        <f t="shared" ref="DO77" si="1430">DM77/DN77</f>
        <v>0</v>
      </c>
      <c r="DP77" s="102"/>
      <c r="DQ77" s="1">
        <v>5</v>
      </c>
      <c r="DR77" s="104">
        <f t="shared" ref="DR77" si="1431">DP77/DQ77</f>
        <v>0</v>
      </c>
      <c r="DS77" s="102"/>
      <c r="DT77" s="1">
        <v>5</v>
      </c>
      <c r="DU77" s="104">
        <f t="shared" ref="DU77" si="1432">DS77/DT77</f>
        <v>0</v>
      </c>
      <c r="DV77" s="102"/>
      <c r="DW77" s="1">
        <v>5</v>
      </c>
      <c r="DX77" s="104">
        <f t="shared" ref="DX77" si="1433">DV77/DW77</f>
        <v>0</v>
      </c>
      <c r="DY77" s="102"/>
      <c r="DZ77" s="1">
        <v>5</v>
      </c>
      <c r="EA77" s="104">
        <f t="shared" ref="EA77" si="1434">DY77/DZ77</f>
        <v>0</v>
      </c>
      <c r="EB77" s="102"/>
      <c r="EC77" s="1">
        <v>5</v>
      </c>
      <c r="ED77" s="104">
        <f t="shared" ref="ED77" si="1435">EB77/EC77</f>
        <v>0</v>
      </c>
      <c r="EE77" s="102"/>
      <c r="EF77" s="1">
        <v>5</v>
      </c>
      <c r="EG77" s="104">
        <f t="shared" ref="EG77" si="1436">EE77/EF77</f>
        <v>0</v>
      </c>
      <c r="EH77" s="102"/>
      <c r="EI77" s="1">
        <v>5</v>
      </c>
      <c r="EJ77" s="104">
        <f t="shared" ref="EJ77" si="1437">EH77/EI77</f>
        <v>0</v>
      </c>
      <c r="EK77" s="102"/>
      <c r="EL77" s="1">
        <v>5</v>
      </c>
      <c r="EM77" s="104">
        <f t="shared" ref="EM77" si="1438">EK77/EL77</f>
        <v>0</v>
      </c>
      <c r="EN77" s="102"/>
      <c r="EO77" s="1">
        <v>5</v>
      </c>
      <c r="EP77" s="104">
        <f t="shared" ref="EP77" si="1439">EN77/EO77</f>
        <v>0</v>
      </c>
      <c r="EQ77" s="85">
        <f t="array" ref="EQ77">IFERROR(_xlfn.LET(
_xlpm.datos,CHOOSE({1;2;3;4;5;6;7;8;9;10;11;12;13;13;14;15;16;17;18;19;20;21;22;23;23;24;25;26;27;28;29;30;31;32;33;34;35;36;37;38;39;40;41;42;43;44;45;46;47},E77,H77,K77,N77,Q77,T77,W77,Z77,AC77,AF77,AI77,AL77,AO77,AR77,AU77,AX77,BA77,BD77,BG77,BJ77,BP77,BS77,BV77,BY77,CB77,CE77,CH77,CK77,CN77,CQ77,CT77,CW77,CZ77,DC77,DF77,DI77,DL77,DO77,DR77,DU77,DX77,EA77,ED77,EG77,EJ77,EM77,EP77),
AVERAGE(_xlfn._xlws.FILTER(_xlpm.datos,(_xlpm.datos&lt;&gt;0)*(_xlpm.datos&lt;&gt;"")))
),0)</f>
        <v>0</v>
      </c>
      <c r="ER77" s="162" t="str">
        <f t="array" ref="ER77">_xlfn.IFS(EQ77&gt;=91.5%,"MENSUAL",EQ77&gt;=75%,"QUINCENAL",EQ77&lt;75%,"SEMANAL")</f>
        <v>SEMANAL</v>
      </c>
    </row>
    <row r="78" ht="16" customHeight="1" spans="1:148" x14ac:dyDescent="0.25">
      <c r="A78" s="185" t="s">
        <v>130</v>
      </c>
      <c r="B78" s="186"/>
      <c r="C78" s="126"/>
      <c r="D78" s="127"/>
      <c r="E78" s="82">
        <f>AVERAGE(E79:E86)</f>
        <v>0</v>
      </c>
      <c r="F78" s="126"/>
      <c r="G78" s="127"/>
      <c r="H78" s="82">
        <f>AVERAGE(H79:H86)</f>
        <v>0</v>
      </c>
      <c r="I78" s="126"/>
      <c r="J78" s="127"/>
      <c r="K78" s="82">
        <f>AVERAGE(K79:K86)</f>
        <v>0</v>
      </c>
      <c r="L78" s="126"/>
      <c r="M78" s="127"/>
      <c r="N78" s="82">
        <f>AVERAGE(N79:N86)</f>
        <v>0</v>
      </c>
      <c r="O78" s="126"/>
      <c r="P78" s="127"/>
      <c r="Q78" s="82">
        <f>AVERAGE(Q79:Q86)</f>
        <v>0</v>
      </c>
      <c r="R78" s="126"/>
      <c r="S78" s="127"/>
      <c r="T78" s="82">
        <f>AVERAGE(T79:T86)</f>
        <v>0</v>
      </c>
      <c r="U78" s="126"/>
      <c r="V78" s="127"/>
      <c r="W78" s="82">
        <f>AVERAGE(W79:W86)</f>
        <v>0</v>
      </c>
      <c r="X78" s="126"/>
      <c r="Y78" s="127"/>
      <c r="Z78" s="82">
        <f>AVERAGE(Z79:Z86)</f>
        <v>0</v>
      </c>
      <c r="AA78" s="126"/>
      <c r="AB78" s="127"/>
      <c r="AC78" s="82">
        <f>AVERAGE(AC79:AC86)</f>
        <v>0</v>
      </c>
      <c r="AD78" s="126"/>
      <c r="AE78" s="127"/>
      <c r="AF78" s="82">
        <f>AVERAGE(AF79:AF86)</f>
        <v>0</v>
      </c>
      <c r="AG78" s="126"/>
      <c r="AH78" s="127"/>
      <c r="AI78" s="82">
        <f>AVERAGE(AI79:AI86)</f>
        <v>0</v>
      </c>
      <c r="AJ78" s="126"/>
      <c r="AK78" s="127"/>
      <c r="AL78" s="82">
        <f>AVERAGE(AL79:AL86)</f>
        <v>0</v>
      </c>
      <c r="AM78" s="126"/>
      <c r="AN78" s="136"/>
      <c r="AO78" s="82">
        <f>AVERAGE(AO79:AO86)</f>
        <v>0</v>
      </c>
      <c r="AP78" s="128"/>
      <c r="AQ78" s="129"/>
      <c r="AR78" s="82">
        <f>AVERAGE(AR79:AR86)</f>
        <v>0</v>
      </c>
      <c r="AS78" s="130"/>
      <c r="AT78" s="129"/>
      <c r="AU78" s="82">
        <f>AVERAGE(AU79:AU86)</f>
        <v>0</v>
      </c>
      <c r="AV78" s="126"/>
      <c r="AW78" s="136"/>
      <c r="AX78" s="82">
        <f>AVERAGE(AX79:AX86)</f>
        <v>0</v>
      </c>
      <c r="AY78" s="137"/>
      <c r="AZ78" s="138"/>
      <c r="BA78" s="82">
        <f>AVERAGE(BA79:BA86)</f>
        <v>0</v>
      </c>
      <c r="BB78" s="128"/>
      <c r="BC78" s="132"/>
      <c r="BD78" s="82">
        <f>AVERAGE(BD79:BD86)</f>
        <v>0</v>
      </c>
      <c r="BE78" s="128"/>
      <c r="BF78" s="132"/>
      <c r="BG78" s="82">
        <f>AVERAGE(BG79:BG86)</f>
        <v>0</v>
      </c>
      <c r="BH78" s="128"/>
      <c r="BI78" s="132"/>
      <c r="BJ78" s="82">
        <f>AVERAGE(BJ79:BJ86)</f>
        <v>0</v>
      </c>
      <c r="BK78" s="128"/>
      <c r="BL78" s="132"/>
      <c r="BM78" s="82">
        <f>AVERAGE(BM79:BM86)</f>
        <v>0</v>
      </c>
      <c r="BN78" s="128"/>
      <c r="BO78" s="132"/>
      <c r="BP78" s="82">
        <f>AVERAGE(BP79:BP86)</f>
        <v>0</v>
      </c>
      <c r="BQ78" s="128"/>
      <c r="BR78" s="132"/>
      <c r="BS78" s="82">
        <f>AVERAGE(BS79:BS86)</f>
        <v>0</v>
      </c>
      <c r="BT78" s="128"/>
      <c r="BU78" s="132"/>
      <c r="BV78" s="82">
        <f>AVERAGE(BV79:BV86)</f>
        <v>0</v>
      </c>
      <c r="BW78" s="128"/>
      <c r="BX78" s="132"/>
      <c r="BY78" s="82">
        <f>AVERAGE(BY79:BY86)</f>
        <v>0</v>
      </c>
      <c r="BZ78" s="126"/>
      <c r="CA78" s="127"/>
      <c r="CB78" s="82">
        <f>AVERAGE(CB79:CB86)</f>
        <v>0</v>
      </c>
      <c r="CC78" s="126"/>
      <c r="CD78" s="127"/>
      <c r="CE78" s="82">
        <f>AVERAGE(CE79:CE86)</f>
        <v>0</v>
      </c>
      <c r="CF78" s="126"/>
      <c r="CG78" s="127"/>
      <c r="CH78" s="82">
        <f>AVERAGE(CH79:CH86)</f>
        <v>0</v>
      </c>
      <c r="CI78" s="126"/>
      <c r="CJ78" s="127"/>
      <c r="CK78" s="82">
        <f>AVERAGE(CK79:CK86)</f>
        <v>0</v>
      </c>
      <c r="CL78" s="126"/>
      <c r="CM78" s="127"/>
      <c r="CN78" s="82">
        <f>AVERAGE(CN79:CN86)</f>
        <v>0</v>
      </c>
      <c r="CO78" s="126"/>
      <c r="CP78" s="127"/>
      <c r="CQ78" s="82">
        <f>AVERAGE(CQ79:CQ86)</f>
        <v>0</v>
      </c>
      <c r="CR78" s="126"/>
      <c r="CS78" s="127"/>
      <c r="CT78" s="82">
        <f>AVERAGE(CT79:CT86)</f>
        <v>0</v>
      </c>
      <c r="CU78" s="126"/>
      <c r="CV78" s="127"/>
      <c r="CW78" s="82">
        <f>AVERAGE(CW79:CW86)</f>
        <v>0</v>
      </c>
      <c r="CX78" s="126"/>
      <c r="CY78" s="127"/>
      <c r="CZ78" s="82">
        <f>AVERAGE(CZ79:CZ86)</f>
        <v>0</v>
      </c>
      <c r="DA78" s="126"/>
      <c r="DB78" s="127"/>
      <c r="DC78" s="82">
        <f>AVERAGE(DC79:DC86)</f>
        <v>0</v>
      </c>
      <c r="DD78" s="126"/>
      <c r="DE78" s="127"/>
      <c r="DF78" s="82">
        <f>AVERAGE(DF79:DF86)</f>
        <v>0</v>
      </c>
      <c r="DG78" s="126"/>
      <c r="DH78" s="127"/>
      <c r="DI78" s="82">
        <f>AVERAGE(DI79:DI86)</f>
        <v>0</v>
      </c>
      <c r="DJ78" s="126"/>
      <c r="DK78" s="127"/>
      <c r="DL78" s="82">
        <f>AVERAGE(DL79:DL86)</f>
        <v>0</v>
      </c>
      <c r="DM78" s="126"/>
      <c r="DN78" s="127"/>
      <c r="DO78" s="82">
        <f>AVERAGE(DO79:DO86)</f>
        <v>0</v>
      </c>
      <c r="DP78" s="126"/>
      <c r="DQ78" s="127"/>
      <c r="DR78" s="82">
        <f>AVERAGE(DR79:DR86)</f>
        <v>0</v>
      </c>
      <c r="DS78" s="126"/>
      <c r="DT78" s="127"/>
      <c r="DU78" s="82">
        <f>AVERAGE(DU79:DU86)</f>
        <v>0</v>
      </c>
      <c r="DV78" s="126"/>
      <c r="DW78" s="127"/>
      <c r="DX78" s="82">
        <f>AVERAGE(DX79:DX86)</f>
        <v>0</v>
      </c>
      <c r="DY78" s="126"/>
      <c r="DZ78" s="127"/>
      <c r="EA78" s="82">
        <f>AVERAGE(EA79:EA86)</f>
        <v>0</v>
      </c>
      <c r="EB78" s="126"/>
      <c r="EC78" s="127"/>
      <c r="ED78" s="82">
        <f>AVERAGE(ED79:ED86)</f>
        <v>0</v>
      </c>
      <c r="EE78" s="126"/>
      <c r="EF78" s="127"/>
      <c r="EG78" s="82">
        <f>AVERAGE(EG79:EG86)</f>
        <v>0</v>
      </c>
      <c r="EH78" s="126"/>
      <c r="EI78" s="127"/>
      <c r="EJ78" s="82">
        <f>AVERAGE(EJ79:EJ86)</f>
        <v>0</v>
      </c>
      <c r="EK78" s="126"/>
      <c r="EL78" s="127"/>
      <c r="EM78" s="82">
        <f>AVERAGE(EM79:EM86)</f>
        <v>0</v>
      </c>
      <c r="EN78" s="126"/>
      <c r="EO78" s="127"/>
      <c r="EP78" s="82">
        <f>AVERAGE(EP79:EP86)</f>
        <v>0</v>
      </c>
      <c r="EQ78" s="85">
        <f t="array" ref="EQ78">IFERROR(_xlfn.LET(
_xlpm.datos,CHOOSE({1;2;3;4;5;6;7;8;9;10;11;12;13;13;14;15;16;17;18;19;20;21;22;23;23;24;25;26;27;28;29;30;31;32;33;34;35;36;37;38;39;40;41;42;43;44;45;46;47},E78,H78,K78,N78,Q78,T78,W78,Z78,AC78,AF78,AI78,AL78,AO78,AR78,AU78,AX78,BA78,BD78,BG78,BJ78,BP78,BS78,BV78,BY78,CB78,CE78,CH78,CK78,CN78,CQ78,CT78,CW78,CZ78,DC78,DF78,DI78,DL78,DO78,DR78,DU78,DX78,EA78,ED78,EG78,EJ78,EM78,EP78),
AVERAGE(_xlfn._xlws.FILTER(_xlpm.datos,(_xlpm.datos&lt;&gt;0)*(_xlpm.datos&lt;&gt;"")))
),0)</f>
        <v>0</v>
      </c>
      <c r="ER78" s="162" t="str">
        <f t="array" ref="ER78">_xlfn.IFS(EQ78&gt;=91.5%,"MENSUAL",EQ78&gt;=75%,"QUINCENAL",EQ78&lt;75%,"SEMANAL")</f>
        <v>SEMANAL</v>
      </c>
    </row>
    <row r="79" ht="16" customHeight="1" spans="1:148" x14ac:dyDescent="0.25">
      <c r="A79" s="181" t="s">
        <v>168</v>
      </c>
      <c r="B79" s="187"/>
      <c r="C79" s="90"/>
      <c r="D79" s="91">
        <v>5</v>
      </c>
      <c r="E79" s="92">
        <f>C79/D79</f>
        <v>0</v>
      </c>
      <c r="F79" s="90"/>
      <c r="G79" s="91">
        <v>5</v>
      </c>
      <c r="H79" s="92">
        <f>F79/G79</f>
        <v>0</v>
      </c>
      <c r="I79" s="93"/>
      <c r="J79" s="91">
        <v>5</v>
      </c>
      <c r="K79" s="92">
        <f>I79/J79</f>
        <v>0</v>
      </c>
      <c r="L79" s="93"/>
      <c r="M79" s="91">
        <v>5</v>
      </c>
      <c r="N79" s="92">
        <f>L79/M79</f>
        <v>0</v>
      </c>
      <c r="O79" s="94"/>
      <c r="P79" s="95">
        <v>5</v>
      </c>
      <c r="Q79" s="92">
        <f>O79/P79</f>
        <v>0</v>
      </c>
      <c r="R79" s="90"/>
      <c r="S79" s="95">
        <v>5</v>
      </c>
      <c r="T79" s="92">
        <f>R79/S79</f>
        <v>0</v>
      </c>
      <c r="U79" s="90"/>
      <c r="V79" s="95">
        <v>5</v>
      </c>
      <c r="W79" s="92">
        <f>U79/V79</f>
        <v>0</v>
      </c>
      <c r="X79" s="90"/>
      <c r="Y79" s="95">
        <v>5</v>
      </c>
      <c r="Z79" s="92">
        <f>X79/Y79</f>
        <v>0</v>
      </c>
      <c r="AA79" s="94"/>
      <c r="AB79" s="95">
        <v>5</v>
      </c>
      <c r="AC79" s="92">
        <f>AA79/AB79</f>
        <v>0</v>
      </c>
      <c r="AD79" s="94"/>
      <c r="AE79" s="95">
        <v>5</v>
      </c>
      <c r="AF79" s="92">
        <f>AD79/AE79</f>
        <v>0</v>
      </c>
      <c r="AG79" s="94"/>
      <c r="AH79" s="95">
        <v>5</v>
      </c>
      <c r="AI79" s="92">
        <f>AG79/AH79</f>
        <v>0</v>
      </c>
      <c r="AJ79" s="94"/>
      <c r="AK79" s="95">
        <v>5</v>
      </c>
      <c r="AL79" s="92">
        <f>AJ79/AK79</f>
        <v>0</v>
      </c>
      <c r="AM79" s="90"/>
      <c r="AN79" s="96">
        <v>5</v>
      </c>
      <c r="AO79" s="92">
        <f>AM79/AN79</f>
        <v>0</v>
      </c>
      <c r="AP79" s="90"/>
      <c r="AQ79" s="96">
        <v>5</v>
      </c>
      <c r="AR79" s="92">
        <f>AP79/AQ79</f>
        <v>0</v>
      </c>
      <c r="AS79" s="90"/>
      <c r="AT79" s="96">
        <v>5</v>
      </c>
      <c r="AU79" s="92">
        <f>AS79/AT79</f>
        <v>0</v>
      </c>
      <c r="AV79" s="90"/>
      <c r="AW79" s="96">
        <v>5</v>
      </c>
      <c r="AX79" s="92">
        <f>AV79/AW79</f>
        <v>0</v>
      </c>
      <c r="AY79" s="90"/>
      <c r="AZ79" s="96">
        <v>5</v>
      </c>
      <c r="BA79" s="92">
        <f>AY79/AZ79</f>
        <v>0</v>
      </c>
      <c r="BB79" s="90"/>
      <c r="BC79" s="96">
        <v>5</v>
      </c>
      <c r="BD79" s="92">
        <f>BB79/BC79</f>
        <v>0</v>
      </c>
      <c r="BE79" s="90"/>
      <c r="BF79" s="96">
        <v>5</v>
      </c>
      <c r="BG79" s="92">
        <f>BE79/BF79</f>
        <v>0</v>
      </c>
      <c r="BH79" s="90"/>
      <c r="BI79" s="96">
        <v>5</v>
      </c>
      <c r="BJ79" s="92">
        <f>BH79/BI79</f>
        <v>0</v>
      </c>
      <c r="BK79" s="90"/>
      <c r="BL79" s="96">
        <v>5</v>
      </c>
      <c r="BM79" s="92">
        <f>BK79/BL79</f>
        <v>0</v>
      </c>
      <c r="BN79" s="90"/>
      <c r="BO79" s="96">
        <v>5</v>
      </c>
      <c r="BP79" s="92">
        <f>BN79/BO79</f>
        <v>0</v>
      </c>
      <c r="BQ79" s="90"/>
      <c r="BR79" s="96">
        <v>5</v>
      </c>
      <c r="BS79" s="92">
        <f>BQ79/BR79</f>
        <v>0</v>
      </c>
      <c r="BT79" s="90"/>
      <c r="BU79" s="96">
        <v>5</v>
      </c>
      <c r="BV79" s="92">
        <f>BT79/BU79</f>
        <v>0</v>
      </c>
      <c r="BW79" s="90"/>
      <c r="BX79" s="96">
        <v>5</v>
      </c>
      <c r="BY79" s="92">
        <f>BW79/BX79</f>
        <v>0</v>
      </c>
      <c r="BZ79" s="90"/>
      <c r="CA79" s="96">
        <v>5</v>
      </c>
      <c r="CB79" s="92">
        <f>BZ79/CA79</f>
        <v>0</v>
      </c>
      <c r="CC79" s="90"/>
      <c r="CD79" s="96">
        <v>5</v>
      </c>
      <c r="CE79" s="92">
        <f>CC79/CD79</f>
        <v>0</v>
      </c>
      <c r="CF79" s="90"/>
      <c r="CG79" s="96">
        <v>5</v>
      </c>
      <c r="CH79" s="92">
        <f>CF79/CG79</f>
        <v>0</v>
      </c>
      <c r="CI79" s="90"/>
      <c r="CJ79" s="96">
        <v>5</v>
      </c>
      <c r="CK79" s="92">
        <f>CI79/CJ79</f>
        <v>0</v>
      </c>
      <c r="CL79" s="90"/>
      <c r="CM79" s="96">
        <v>5</v>
      </c>
      <c r="CN79" s="92">
        <f>CL79/CM79</f>
        <v>0</v>
      </c>
      <c r="CO79" s="90"/>
      <c r="CP79" s="96">
        <v>5</v>
      </c>
      <c r="CQ79" s="92">
        <f>CO79/CP79</f>
        <v>0</v>
      </c>
      <c r="CR79" s="90"/>
      <c r="CS79" s="96">
        <v>5</v>
      </c>
      <c r="CT79" s="92">
        <f>CR79/CS79</f>
        <v>0</v>
      </c>
      <c r="CU79" s="90"/>
      <c r="CV79" s="96">
        <v>5</v>
      </c>
      <c r="CW79" s="92">
        <f>CU79/CV79</f>
        <v>0</v>
      </c>
      <c r="CX79" s="90"/>
      <c r="CY79" s="96">
        <v>5</v>
      </c>
      <c r="CZ79" s="92">
        <f>CX79/CY79</f>
        <v>0</v>
      </c>
      <c r="DA79" s="90"/>
      <c r="DB79" s="96">
        <v>5</v>
      </c>
      <c r="DC79" s="92">
        <f>DA79/DB79</f>
        <v>0</v>
      </c>
      <c r="DD79" s="90"/>
      <c r="DE79" s="96">
        <v>5</v>
      </c>
      <c r="DF79" s="92">
        <f>DD79/DE79</f>
        <v>0</v>
      </c>
      <c r="DG79" s="90"/>
      <c r="DH79" s="96">
        <v>5</v>
      </c>
      <c r="DI79" s="92">
        <f>DG79/DH79</f>
        <v>0</v>
      </c>
      <c r="DJ79" s="90"/>
      <c r="DK79" s="96">
        <v>5</v>
      </c>
      <c r="DL79" s="92">
        <f>DJ79/DK79</f>
        <v>0</v>
      </c>
      <c r="DM79" s="90"/>
      <c r="DN79" s="96">
        <v>5</v>
      </c>
      <c r="DO79" s="92">
        <f>DM79/DN79</f>
        <v>0</v>
      </c>
      <c r="DP79" s="90"/>
      <c r="DQ79" s="96">
        <v>5</v>
      </c>
      <c r="DR79" s="92">
        <f>DP79/DQ79</f>
        <v>0</v>
      </c>
      <c r="DS79" s="90"/>
      <c r="DT79" s="96">
        <v>5</v>
      </c>
      <c r="DU79" s="92">
        <f>DS79/DT79</f>
        <v>0</v>
      </c>
      <c r="DV79" s="90"/>
      <c r="DW79" s="96">
        <v>5</v>
      </c>
      <c r="DX79" s="92">
        <f>DV79/DW79</f>
        <v>0</v>
      </c>
      <c r="DY79" s="90"/>
      <c r="DZ79" s="96">
        <v>5</v>
      </c>
      <c r="EA79" s="92">
        <f>DY79/DZ79</f>
        <v>0</v>
      </c>
      <c r="EB79" s="90"/>
      <c r="EC79" s="96">
        <v>5</v>
      </c>
      <c r="ED79" s="92">
        <f>EB79/EC79</f>
        <v>0</v>
      </c>
      <c r="EE79" s="90"/>
      <c r="EF79" s="96">
        <v>5</v>
      </c>
      <c r="EG79" s="92">
        <f>EE79/EF79</f>
        <v>0</v>
      </c>
      <c r="EH79" s="90"/>
      <c r="EI79" s="96">
        <v>5</v>
      </c>
      <c r="EJ79" s="92">
        <f>EH79/EI79</f>
        <v>0</v>
      </c>
      <c r="EK79" s="90"/>
      <c r="EL79" s="96">
        <v>5</v>
      </c>
      <c r="EM79" s="92">
        <f>EK79/EL79</f>
        <v>0</v>
      </c>
      <c r="EN79" s="90"/>
      <c r="EO79" s="96">
        <v>5</v>
      </c>
      <c r="EP79" s="92">
        <f>EN79/EO79</f>
        <v>0</v>
      </c>
      <c r="EQ79" s="85">
        <f t="array" ref="EQ79">IFERROR(_xlfn.LET(
_xlpm.datos,CHOOSE({1;2;3;4;5;6;7;8;9;10;11;12;13;13;14;15;16;17;18;19;20;21;22;23;23;24;25;26;27;28;29;30;31;32;33;34;35;36;37;38;39;40;41;42;43;44;45;46;47},E79,H79,K79,N79,Q79,T79,W79,Z79,AC79,AF79,AI79,AL79,AO79,AR79,AU79,AX79,BA79,BD79,BG79,BJ79,BP79,BS79,BV79,BY79,CB79,CE79,CH79,CK79,CN79,CQ79,CT79,CW79,CZ79,DC79,DF79,DI79,DL79,DO79,DR79,DU79,DX79,EA79,ED79,EG79,EJ79,EM79,EP79),
AVERAGE(_xlfn._xlws.FILTER(_xlpm.datos,(_xlpm.datos&lt;&gt;0)*(_xlpm.datos&lt;&gt;"")))
),0)</f>
        <v>0</v>
      </c>
      <c r="ER79" s="162" t="str">
        <f t="array" ref="ER79">_xlfn.IFS(EQ79&gt;=91.5%,"MENSUAL",EQ79&gt;=75%,"QUINCENAL",EQ79&lt;75%,"SEMANAL")</f>
        <v>SEMANAL</v>
      </c>
    </row>
    <row r="80" ht="16" customHeight="1" spans="1:148" x14ac:dyDescent="0.25">
      <c r="A80" s="183" t="s">
        <v>169</v>
      </c>
      <c r="B80" s="188"/>
      <c r="C80" s="102"/>
      <c r="D80" s="103">
        <v>5</v>
      </c>
      <c r="E80" s="104">
        <f t="shared" ref="E80" si="1440">C80/D80</f>
        <v>0</v>
      </c>
      <c r="F80" s="102"/>
      <c r="G80" s="103">
        <v>5</v>
      </c>
      <c r="H80" s="104">
        <f t="shared" ref="H80" si="1441">F80/G80</f>
        <v>0</v>
      </c>
      <c r="I80" s="105"/>
      <c r="J80" s="103">
        <v>5</v>
      </c>
      <c r="K80" s="104">
        <f t="shared" ref="K80" si="1442">I80/J80</f>
        <v>0</v>
      </c>
      <c r="L80" s="105"/>
      <c r="M80" s="103">
        <v>5</v>
      </c>
      <c r="N80" s="104">
        <f t="shared" ref="N80" si="1443">L80/M80</f>
        <v>0</v>
      </c>
      <c r="O80" s="106"/>
      <c r="P80" s="107">
        <v>5</v>
      </c>
      <c r="Q80" s="104">
        <f t="shared" ref="Q80" si="1444">O80/P80</f>
        <v>0</v>
      </c>
      <c r="R80" s="102"/>
      <c r="S80" s="107">
        <v>5</v>
      </c>
      <c r="T80" s="104">
        <f t="shared" ref="T80" si="1445">R80/S80</f>
        <v>0</v>
      </c>
      <c r="U80" s="102"/>
      <c r="V80" s="107">
        <v>5</v>
      </c>
      <c r="W80" s="104">
        <f t="shared" ref="W80" si="1446">U80/V80</f>
        <v>0</v>
      </c>
      <c r="X80" s="102"/>
      <c r="Y80" s="107">
        <v>5</v>
      </c>
      <c r="Z80" s="104">
        <f t="shared" ref="Z80" si="1447">X80/Y80</f>
        <v>0</v>
      </c>
      <c r="AA80" s="106"/>
      <c r="AB80" s="107">
        <v>5</v>
      </c>
      <c r="AC80" s="104">
        <f t="shared" ref="AC80" si="1448">AA80/AB80</f>
        <v>0</v>
      </c>
      <c r="AD80" s="106"/>
      <c r="AE80" s="107">
        <v>5</v>
      </c>
      <c r="AF80" s="104">
        <f t="shared" ref="AF80" si="1449">AD80/AE80</f>
        <v>0</v>
      </c>
      <c r="AG80" s="106"/>
      <c r="AH80" s="107">
        <v>5</v>
      </c>
      <c r="AI80" s="104">
        <f t="shared" ref="AI80" si="1450">AG80/AH80</f>
        <v>0</v>
      </c>
      <c r="AJ80" s="106"/>
      <c r="AK80" s="107">
        <v>5</v>
      </c>
      <c r="AL80" s="104">
        <f t="shared" ref="AL80" si="1451">AJ80/AK80</f>
        <v>0</v>
      </c>
      <c r="AM80" s="102"/>
      <c r="AN80" s="1">
        <v>5</v>
      </c>
      <c r="AO80" s="104">
        <f t="shared" ref="AO80" si="1452">AM80/AN80</f>
        <v>0</v>
      </c>
      <c r="AP80" s="102"/>
      <c r="AQ80" s="1">
        <v>5</v>
      </c>
      <c r="AR80" s="104">
        <f t="shared" ref="AR80" si="1453">AP80/AQ80</f>
        <v>0</v>
      </c>
      <c r="AS80" s="102"/>
      <c r="AT80" s="1">
        <v>5</v>
      </c>
      <c r="AU80" s="104">
        <f t="shared" ref="AU80" si="1454">AS80/AT80</f>
        <v>0</v>
      </c>
      <c r="AV80" s="102"/>
      <c r="AW80" s="1">
        <v>5</v>
      </c>
      <c r="AX80" s="104">
        <f t="shared" ref="AX80" si="1455">AV80/AW80</f>
        <v>0</v>
      </c>
      <c r="AY80" s="102"/>
      <c r="AZ80" s="1">
        <v>5</v>
      </c>
      <c r="BA80" s="104">
        <f t="shared" ref="BA80" si="1456">AY80/AZ80</f>
        <v>0</v>
      </c>
      <c r="BB80" s="102"/>
      <c r="BC80" s="1">
        <v>5</v>
      </c>
      <c r="BD80" s="104">
        <f t="shared" ref="BD80" si="1457">BB80/BC80</f>
        <v>0</v>
      </c>
      <c r="BE80" s="102"/>
      <c r="BF80" s="1">
        <v>5</v>
      </c>
      <c r="BG80" s="104">
        <f t="shared" ref="BG80" si="1458">BE80/BF80</f>
        <v>0</v>
      </c>
      <c r="BH80" s="102"/>
      <c r="BI80" s="1">
        <v>5</v>
      </c>
      <c r="BJ80" s="104">
        <f t="shared" ref="BJ80" si="1459">BH80/BI80</f>
        <v>0</v>
      </c>
      <c r="BK80" s="102"/>
      <c r="BL80" s="1">
        <v>5</v>
      </c>
      <c r="BM80" s="104">
        <f t="shared" ref="BM80" si="1460">BK80/BL80</f>
        <v>0</v>
      </c>
      <c r="BN80" s="102"/>
      <c r="BO80" s="1">
        <v>5</v>
      </c>
      <c r="BP80" s="104">
        <f t="shared" ref="BP80" si="1461">BN80/BO80</f>
        <v>0</v>
      </c>
      <c r="BQ80" s="102"/>
      <c r="BR80" s="1">
        <v>5</v>
      </c>
      <c r="BS80" s="104">
        <f t="shared" ref="BS80" si="1462">BQ80/BR80</f>
        <v>0</v>
      </c>
      <c r="BT80" s="102"/>
      <c r="BU80" s="1">
        <v>5</v>
      </c>
      <c r="BV80" s="104">
        <f t="shared" ref="BV80" si="1463">BT80/BU80</f>
        <v>0</v>
      </c>
      <c r="BW80" s="102"/>
      <c r="BX80" s="1">
        <v>5</v>
      </c>
      <c r="BY80" s="104">
        <f t="shared" ref="BY80" si="1464">BW80/BX80</f>
        <v>0</v>
      </c>
      <c r="BZ80" s="102"/>
      <c r="CA80" s="1">
        <v>5</v>
      </c>
      <c r="CB80" s="104">
        <f t="shared" ref="CB80" si="1465">BZ80/CA80</f>
        <v>0</v>
      </c>
      <c r="CC80" s="102"/>
      <c r="CD80" s="1">
        <v>5</v>
      </c>
      <c r="CE80" s="104">
        <f t="shared" ref="CE80" si="1466">CC80/CD80</f>
        <v>0</v>
      </c>
      <c r="CF80" s="102"/>
      <c r="CG80" s="1">
        <v>5</v>
      </c>
      <c r="CH80" s="104">
        <f t="shared" ref="CH80" si="1467">CF80/CG80</f>
        <v>0</v>
      </c>
      <c r="CI80" s="102"/>
      <c r="CJ80" s="1">
        <v>5</v>
      </c>
      <c r="CK80" s="104">
        <f t="shared" ref="CK80" si="1468">CI80/CJ80</f>
        <v>0</v>
      </c>
      <c r="CL80" s="102"/>
      <c r="CM80" s="1">
        <v>5</v>
      </c>
      <c r="CN80" s="104">
        <f t="shared" ref="CN80" si="1469">CL80/CM80</f>
        <v>0</v>
      </c>
      <c r="CO80" s="102"/>
      <c r="CP80" s="1">
        <v>5</v>
      </c>
      <c r="CQ80" s="104">
        <f t="shared" ref="CQ80" si="1470">CO80/CP80</f>
        <v>0</v>
      </c>
      <c r="CR80" s="102"/>
      <c r="CS80" s="1">
        <v>5</v>
      </c>
      <c r="CT80" s="104">
        <f t="shared" ref="CT80" si="1471">CR80/CS80</f>
        <v>0</v>
      </c>
      <c r="CU80" s="102"/>
      <c r="CV80" s="1">
        <v>5</v>
      </c>
      <c r="CW80" s="104">
        <f t="shared" ref="CW80" si="1472">CU80/CV80</f>
        <v>0</v>
      </c>
      <c r="CX80" s="102"/>
      <c r="CY80" s="1">
        <v>5</v>
      </c>
      <c r="CZ80" s="104">
        <f t="shared" ref="CZ80" si="1473">CX80/CY80</f>
        <v>0</v>
      </c>
      <c r="DA80" s="102"/>
      <c r="DB80" s="1">
        <v>5</v>
      </c>
      <c r="DC80" s="104">
        <f t="shared" ref="DC80" si="1474">DA80/DB80</f>
        <v>0</v>
      </c>
      <c r="DD80" s="102"/>
      <c r="DE80" s="1">
        <v>5</v>
      </c>
      <c r="DF80" s="104">
        <f t="shared" ref="DF80" si="1475">DD80/DE80</f>
        <v>0</v>
      </c>
      <c r="DG80" s="102"/>
      <c r="DH80" s="1">
        <v>5</v>
      </c>
      <c r="DI80" s="104">
        <f t="shared" ref="DI80" si="1476">DG80/DH80</f>
        <v>0</v>
      </c>
      <c r="DJ80" s="102"/>
      <c r="DK80" s="1">
        <v>5</v>
      </c>
      <c r="DL80" s="104">
        <f t="shared" ref="DL80" si="1477">DJ80/DK80</f>
        <v>0</v>
      </c>
      <c r="DM80" s="102"/>
      <c r="DN80" s="1">
        <v>5</v>
      </c>
      <c r="DO80" s="104">
        <f t="shared" ref="DO80" si="1478">DM80/DN80</f>
        <v>0</v>
      </c>
      <c r="DP80" s="102"/>
      <c r="DQ80" s="1">
        <v>5</v>
      </c>
      <c r="DR80" s="104">
        <f t="shared" ref="DR80" si="1479">DP80/DQ80</f>
        <v>0</v>
      </c>
      <c r="DS80" s="102"/>
      <c r="DT80" s="1">
        <v>5</v>
      </c>
      <c r="DU80" s="104">
        <f t="shared" ref="DU80" si="1480">DS80/DT80</f>
        <v>0</v>
      </c>
      <c r="DV80" s="102"/>
      <c r="DW80" s="1">
        <v>5</v>
      </c>
      <c r="DX80" s="104">
        <f t="shared" ref="DX80" si="1481">DV80/DW80</f>
        <v>0</v>
      </c>
      <c r="DY80" s="102"/>
      <c r="DZ80" s="1">
        <v>5</v>
      </c>
      <c r="EA80" s="104">
        <f t="shared" ref="EA80" si="1482">DY80/DZ80</f>
        <v>0</v>
      </c>
      <c r="EB80" s="102"/>
      <c r="EC80" s="1">
        <v>5</v>
      </c>
      <c r="ED80" s="104">
        <f t="shared" ref="ED80" si="1483">EB80/EC80</f>
        <v>0</v>
      </c>
      <c r="EE80" s="102"/>
      <c r="EF80" s="1">
        <v>5</v>
      </c>
      <c r="EG80" s="104">
        <f t="shared" ref="EG80" si="1484">EE80/EF80</f>
        <v>0</v>
      </c>
      <c r="EH80" s="102"/>
      <c r="EI80" s="1">
        <v>5</v>
      </c>
      <c r="EJ80" s="104">
        <f t="shared" ref="EJ80" si="1485">EH80/EI80</f>
        <v>0</v>
      </c>
      <c r="EK80" s="102"/>
      <c r="EL80" s="1">
        <v>5</v>
      </c>
      <c r="EM80" s="104">
        <f t="shared" ref="EM80" si="1486">EK80/EL80</f>
        <v>0</v>
      </c>
      <c r="EN80" s="102"/>
      <c r="EO80" s="1">
        <v>5</v>
      </c>
      <c r="EP80" s="104">
        <f t="shared" ref="EP80" si="1487">EN80/EO80</f>
        <v>0</v>
      </c>
      <c r="EQ80" s="85">
        <f t="array" ref="EQ80">IFERROR(_xlfn.LET(
_xlpm.datos,CHOOSE({1;2;3;4;5;6;7;8;9;10;11;12;13;13;14;15;16;17;18;19;20;21;22;23;23;24;25;26;27;28;29;30;31;32;33;34;35;36;37;38;39;40;41;42;43;44;45;46;47},E80,H80,K80,N80,Q80,T80,W80,Z80,AC80,AF80,AI80,AL80,AO80,AR80,AU80,AX80,BA80,BD80,BG80,BJ80,BP80,BS80,BV80,BY80,CB80,CE80,CH80,CK80,CN80,CQ80,CT80,CW80,CZ80,DC80,DF80,DI80,DL80,DO80,DR80,DU80,DX80,EA80,ED80,EG80,EJ80,EM80,EP80),
AVERAGE(_xlfn._xlws.FILTER(_xlpm.datos,(_xlpm.datos&lt;&gt;0)*(_xlpm.datos&lt;&gt;"")))
),0)</f>
        <v>0</v>
      </c>
      <c r="ER80" s="162" t="str">
        <f t="array" ref="ER80">_xlfn.IFS(EQ80&gt;=91.5%,"MENSUAL",EQ80&gt;=75%,"QUINCENAL",EQ80&lt;75%,"SEMANAL")</f>
        <v>SEMANAL</v>
      </c>
    </row>
    <row r="81" ht="16" customHeight="1" spans="1:148" x14ac:dyDescent="0.25">
      <c r="A81" s="183" t="s">
        <v>170</v>
      </c>
      <c r="B81" s="189"/>
      <c r="C81" s="90"/>
      <c r="D81" s="91">
        <v>5</v>
      </c>
      <c r="E81" s="92">
        <f>C81/D81</f>
        <v>0</v>
      </c>
      <c r="F81" s="90"/>
      <c r="G81" s="91">
        <v>5</v>
      </c>
      <c r="H81" s="92">
        <f>F81/G81</f>
        <v>0</v>
      </c>
      <c r="I81" s="93"/>
      <c r="J81" s="91">
        <v>5</v>
      </c>
      <c r="K81" s="92">
        <f>I81/J81</f>
        <v>0</v>
      </c>
      <c r="L81" s="93"/>
      <c r="M81" s="91">
        <v>5</v>
      </c>
      <c r="N81" s="92">
        <f>L81/M81</f>
        <v>0</v>
      </c>
      <c r="O81" s="94"/>
      <c r="P81" s="95">
        <v>5</v>
      </c>
      <c r="Q81" s="92">
        <f>O81/P81</f>
        <v>0</v>
      </c>
      <c r="R81" s="90"/>
      <c r="S81" s="95">
        <v>5</v>
      </c>
      <c r="T81" s="92">
        <f>R81/S81</f>
        <v>0</v>
      </c>
      <c r="U81" s="90"/>
      <c r="V81" s="95">
        <v>5</v>
      </c>
      <c r="W81" s="92">
        <f>U81/V81</f>
        <v>0</v>
      </c>
      <c r="X81" s="90"/>
      <c r="Y81" s="95">
        <v>5</v>
      </c>
      <c r="Z81" s="92">
        <f>X81/Y81</f>
        <v>0</v>
      </c>
      <c r="AA81" s="94"/>
      <c r="AB81" s="95">
        <v>5</v>
      </c>
      <c r="AC81" s="92">
        <f>AA81/AB81</f>
        <v>0</v>
      </c>
      <c r="AD81" s="94"/>
      <c r="AE81" s="95">
        <v>5</v>
      </c>
      <c r="AF81" s="92">
        <f>AD81/AE81</f>
        <v>0</v>
      </c>
      <c r="AG81" s="94"/>
      <c r="AH81" s="95">
        <v>5</v>
      </c>
      <c r="AI81" s="92">
        <f>AG81/AH81</f>
        <v>0</v>
      </c>
      <c r="AJ81" s="94"/>
      <c r="AK81" s="95">
        <v>5</v>
      </c>
      <c r="AL81" s="92">
        <f>AJ81/AK81</f>
        <v>0</v>
      </c>
      <c r="AM81" s="90"/>
      <c r="AN81" s="96">
        <v>5</v>
      </c>
      <c r="AO81" s="92">
        <f>AM81/AN81</f>
        <v>0</v>
      </c>
      <c r="AP81" s="90"/>
      <c r="AQ81" s="96">
        <v>5</v>
      </c>
      <c r="AR81" s="92">
        <f>AP81/AQ81</f>
        <v>0</v>
      </c>
      <c r="AS81" s="90"/>
      <c r="AT81" s="96">
        <v>5</v>
      </c>
      <c r="AU81" s="92">
        <f>AS81/AT81</f>
        <v>0</v>
      </c>
      <c r="AV81" s="90"/>
      <c r="AW81" s="96">
        <v>5</v>
      </c>
      <c r="AX81" s="92">
        <f>AV81/AW81</f>
        <v>0</v>
      </c>
      <c r="AY81" s="90"/>
      <c r="AZ81" s="96">
        <v>5</v>
      </c>
      <c r="BA81" s="92">
        <f>AY81/AZ81</f>
        <v>0</v>
      </c>
      <c r="BB81" s="90"/>
      <c r="BC81" s="96">
        <v>5</v>
      </c>
      <c r="BD81" s="92">
        <f>BB81/BC81</f>
        <v>0</v>
      </c>
      <c r="BE81" s="90"/>
      <c r="BF81" s="96">
        <v>5</v>
      </c>
      <c r="BG81" s="92">
        <f>BE81/BF81</f>
        <v>0</v>
      </c>
      <c r="BH81" s="90"/>
      <c r="BI81" s="96">
        <v>5</v>
      </c>
      <c r="BJ81" s="92">
        <f>BH81/BI81</f>
        <v>0</v>
      </c>
      <c r="BK81" s="90"/>
      <c r="BL81" s="96">
        <v>5</v>
      </c>
      <c r="BM81" s="92">
        <f>BK81/BL81</f>
        <v>0</v>
      </c>
      <c r="BN81" s="90"/>
      <c r="BO81" s="96">
        <v>5</v>
      </c>
      <c r="BP81" s="92">
        <f>BN81/BO81</f>
        <v>0</v>
      </c>
      <c r="BQ81" s="90"/>
      <c r="BR81" s="96">
        <v>5</v>
      </c>
      <c r="BS81" s="92">
        <f>BQ81/BR81</f>
        <v>0</v>
      </c>
      <c r="BT81" s="90"/>
      <c r="BU81" s="96">
        <v>5</v>
      </c>
      <c r="BV81" s="92">
        <f>BT81/BU81</f>
        <v>0</v>
      </c>
      <c r="BW81" s="90"/>
      <c r="BX81" s="96">
        <v>5</v>
      </c>
      <c r="BY81" s="92">
        <f>BW81/BX81</f>
        <v>0</v>
      </c>
      <c r="BZ81" s="90"/>
      <c r="CA81" s="96">
        <v>5</v>
      </c>
      <c r="CB81" s="92">
        <f>BZ81/CA81</f>
        <v>0</v>
      </c>
      <c r="CC81" s="90"/>
      <c r="CD81" s="96">
        <v>5</v>
      </c>
      <c r="CE81" s="92">
        <f>CC81/CD81</f>
        <v>0</v>
      </c>
      <c r="CF81" s="90"/>
      <c r="CG81" s="96">
        <v>5</v>
      </c>
      <c r="CH81" s="92">
        <f>CF81/CG81</f>
        <v>0</v>
      </c>
      <c r="CI81" s="90"/>
      <c r="CJ81" s="96">
        <v>5</v>
      </c>
      <c r="CK81" s="92">
        <f>CI81/CJ81</f>
        <v>0</v>
      </c>
      <c r="CL81" s="90"/>
      <c r="CM81" s="96">
        <v>5</v>
      </c>
      <c r="CN81" s="92">
        <f>CL81/CM81</f>
        <v>0</v>
      </c>
      <c r="CO81" s="90"/>
      <c r="CP81" s="96">
        <v>5</v>
      </c>
      <c r="CQ81" s="92">
        <f>CO81/CP81</f>
        <v>0</v>
      </c>
      <c r="CR81" s="90"/>
      <c r="CS81" s="96">
        <v>5</v>
      </c>
      <c r="CT81" s="92">
        <f>CR81/CS81</f>
        <v>0</v>
      </c>
      <c r="CU81" s="90"/>
      <c r="CV81" s="96">
        <v>5</v>
      </c>
      <c r="CW81" s="92">
        <f>CU81/CV81</f>
        <v>0</v>
      </c>
      <c r="CX81" s="90"/>
      <c r="CY81" s="96">
        <v>5</v>
      </c>
      <c r="CZ81" s="92">
        <f>CX81/CY81</f>
        <v>0</v>
      </c>
      <c r="DA81" s="90"/>
      <c r="DB81" s="96">
        <v>5</v>
      </c>
      <c r="DC81" s="92">
        <f>DA81/DB81</f>
        <v>0</v>
      </c>
      <c r="DD81" s="90"/>
      <c r="DE81" s="96">
        <v>5</v>
      </c>
      <c r="DF81" s="92">
        <f>DD81/DE81</f>
        <v>0</v>
      </c>
      <c r="DG81" s="90"/>
      <c r="DH81" s="96">
        <v>5</v>
      </c>
      <c r="DI81" s="92">
        <f>DG81/DH81</f>
        <v>0</v>
      </c>
      <c r="DJ81" s="90"/>
      <c r="DK81" s="96">
        <v>5</v>
      </c>
      <c r="DL81" s="92">
        <f>DJ81/DK81</f>
        <v>0</v>
      </c>
      <c r="DM81" s="90"/>
      <c r="DN81" s="96">
        <v>5</v>
      </c>
      <c r="DO81" s="92">
        <f>DM81/DN81</f>
        <v>0</v>
      </c>
      <c r="DP81" s="90"/>
      <c r="DQ81" s="96">
        <v>5</v>
      </c>
      <c r="DR81" s="92">
        <f>DP81/DQ81</f>
        <v>0</v>
      </c>
      <c r="DS81" s="90"/>
      <c r="DT81" s="96">
        <v>5</v>
      </c>
      <c r="DU81" s="92">
        <f>DS81/DT81</f>
        <v>0</v>
      </c>
      <c r="DV81" s="90"/>
      <c r="DW81" s="96">
        <v>5</v>
      </c>
      <c r="DX81" s="92">
        <f>DV81/DW81</f>
        <v>0</v>
      </c>
      <c r="DY81" s="90"/>
      <c r="DZ81" s="96">
        <v>5</v>
      </c>
      <c r="EA81" s="92">
        <f>DY81/DZ81</f>
        <v>0</v>
      </c>
      <c r="EB81" s="90"/>
      <c r="EC81" s="96">
        <v>5</v>
      </c>
      <c r="ED81" s="92">
        <f>EB81/EC81</f>
        <v>0</v>
      </c>
      <c r="EE81" s="90"/>
      <c r="EF81" s="96">
        <v>5</v>
      </c>
      <c r="EG81" s="92">
        <f>EE81/EF81</f>
        <v>0</v>
      </c>
      <c r="EH81" s="90"/>
      <c r="EI81" s="96">
        <v>5</v>
      </c>
      <c r="EJ81" s="92">
        <f>EH81/EI81</f>
        <v>0</v>
      </c>
      <c r="EK81" s="90"/>
      <c r="EL81" s="96">
        <v>5</v>
      </c>
      <c r="EM81" s="92">
        <f>EK81/EL81</f>
        <v>0</v>
      </c>
      <c r="EN81" s="90"/>
      <c r="EO81" s="96">
        <v>5</v>
      </c>
      <c r="EP81" s="92">
        <f>EN81/EO81</f>
        <v>0</v>
      </c>
      <c r="EQ81" s="85">
        <f t="array" ref="EQ81">IFERROR(_xlfn.LET(
_xlpm.datos,CHOOSE({1;2;3;4;5;6;7;8;9;10;11;12;13;13;14;15;16;17;18;19;20;21;22;23;23;24;25;26;27;28;29;30;31;32;33;34;35;36;37;38;39;40;41;42;43;44;45;46;47},E81,H81,K81,N81,Q81,T81,W81,Z81,AC81,AF81,AI81,AL81,AO81,AR81,AU81,AX81,BA81,BD81,BG81,BJ81,BP81,BS81,BV81,BY81,CB81,CE81,CH81,CK81,CN81,CQ81,CT81,CW81,CZ81,DC81,DF81,DI81,DL81,DO81,DR81,DU81,DX81,EA81,ED81,EG81,EJ81,EM81,EP81),
AVERAGE(_xlfn._xlws.FILTER(_xlpm.datos,(_xlpm.datos&lt;&gt;0)*(_xlpm.datos&lt;&gt;"")))
),0)</f>
        <v>0</v>
      </c>
      <c r="ER81" s="162" t="str">
        <f t="array" ref="ER81">_xlfn.IFS(EQ81&gt;=91.5%,"MENSUAL",EQ81&gt;=75%,"QUINCENAL",EQ81&lt;75%,"SEMANAL")</f>
        <v>SEMANAL</v>
      </c>
    </row>
    <row r="82" ht="16" customHeight="1" spans="1:148" x14ac:dyDescent="0.25">
      <c r="A82" s="183" t="s">
        <v>171</v>
      </c>
      <c r="B82" s="189"/>
      <c r="C82" s="102"/>
      <c r="D82" s="103">
        <v>5</v>
      </c>
      <c r="E82" s="104">
        <f t="shared" ref="E82" si="1488">C82/D82</f>
        <v>0</v>
      </c>
      <c r="F82" s="102"/>
      <c r="G82" s="103">
        <v>5</v>
      </c>
      <c r="H82" s="104">
        <f t="shared" ref="H82" si="1489">F82/G82</f>
        <v>0</v>
      </c>
      <c r="I82" s="105"/>
      <c r="J82" s="103">
        <v>5</v>
      </c>
      <c r="K82" s="104">
        <f t="shared" ref="K82" si="1490">I82/J82</f>
        <v>0</v>
      </c>
      <c r="L82" s="105"/>
      <c r="M82" s="103">
        <v>5</v>
      </c>
      <c r="N82" s="104">
        <f t="shared" ref="N82" si="1491">L82/M82</f>
        <v>0</v>
      </c>
      <c r="O82" s="106"/>
      <c r="P82" s="107">
        <v>5</v>
      </c>
      <c r="Q82" s="104">
        <f t="shared" ref="Q82" si="1492">O82/P82</f>
        <v>0</v>
      </c>
      <c r="R82" s="102"/>
      <c r="S82" s="107">
        <v>5</v>
      </c>
      <c r="T82" s="104">
        <f t="shared" ref="T82" si="1493">R82/S82</f>
        <v>0</v>
      </c>
      <c r="U82" s="102"/>
      <c r="V82" s="107">
        <v>5</v>
      </c>
      <c r="W82" s="104">
        <f t="shared" ref="W82" si="1494">U82/V82</f>
        <v>0</v>
      </c>
      <c r="X82" s="102"/>
      <c r="Y82" s="107">
        <v>5</v>
      </c>
      <c r="Z82" s="104">
        <f t="shared" ref="Z82" si="1495">X82/Y82</f>
        <v>0</v>
      </c>
      <c r="AA82" s="106"/>
      <c r="AB82" s="107">
        <v>5</v>
      </c>
      <c r="AC82" s="104">
        <f t="shared" ref="AC82" si="1496">AA82/AB82</f>
        <v>0</v>
      </c>
      <c r="AD82" s="106"/>
      <c r="AE82" s="107">
        <v>5</v>
      </c>
      <c r="AF82" s="104">
        <f t="shared" ref="AF82" si="1497">AD82/AE82</f>
        <v>0</v>
      </c>
      <c r="AG82" s="106"/>
      <c r="AH82" s="107">
        <v>5</v>
      </c>
      <c r="AI82" s="104">
        <f t="shared" ref="AI82" si="1498">AG82/AH82</f>
        <v>0</v>
      </c>
      <c r="AJ82" s="106"/>
      <c r="AK82" s="107">
        <v>5</v>
      </c>
      <c r="AL82" s="104">
        <f t="shared" ref="AL82" si="1499">AJ82/AK82</f>
        <v>0</v>
      </c>
      <c r="AM82" s="102"/>
      <c r="AN82" s="1">
        <v>5</v>
      </c>
      <c r="AO82" s="104">
        <f t="shared" ref="AO82" si="1500">AM82/AN82</f>
        <v>0</v>
      </c>
      <c r="AP82" s="102"/>
      <c r="AQ82" s="1">
        <v>5</v>
      </c>
      <c r="AR82" s="104">
        <f t="shared" ref="AR82" si="1501">AP82/AQ82</f>
        <v>0</v>
      </c>
      <c r="AS82" s="102"/>
      <c r="AT82" s="1">
        <v>5</v>
      </c>
      <c r="AU82" s="104">
        <f t="shared" ref="AU82" si="1502">AS82/AT82</f>
        <v>0</v>
      </c>
      <c r="AV82" s="102"/>
      <c r="AW82" s="1">
        <v>5</v>
      </c>
      <c r="AX82" s="104">
        <f t="shared" ref="AX82" si="1503">AV82/AW82</f>
        <v>0</v>
      </c>
      <c r="AY82" s="102"/>
      <c r="AZ82" s="1">
        <v>5</v>
      </c>
      <c r="BA82" s="104">
        <f t="shared" ref="BA82" si="1504">AY82/AZ82</f>
        <v>0</v>
      </c>
      <c r="BB82" s="102"/>
      <c r="BC82" s="1">
        <v>5</v>
      </c>
      <c r="BD82" s="104">
        <f t="shared" ref="BD82" si="1505">BB82/BC82</f>
        <v>0</v>
      </c>
      <c r="BE82" s="102"/>
      <c r="BF82" s="1">
        <v>5</v>
      </c>
      <c r="BG82" s="104">
        <f t="shared" ref="BG82" si="1506">BE82/BF82</f>
        <v>0</v>
      </c>
      <c r="BH82" s="102"/>
      <c r="BI82" s="1">
        <v>5</v>
      </c>
      <c r="BJ82" s="104">
        <f t="shared" ref="BJ82" si="1507">BH82/BI82</f>
        <v>0</v>
      </c>
      <c r="BK82" s="102"/>
      <c r="BL82" s="1">
        <v>5</v>
      </c>
      <c r="BM82" s="104">
        <f t="shared" ref="BM82" si="1508">BK82/BL82</f>
        <v>0</v>
      </c>
      <c r="BN82" s="102"/>
      <c r="BO82" s="1">
        <v>5</v>
      </c>
      <c r="BP82" s="104">
        <f t="shared" ref="BP82" si="1509">BN82/BO82</f>
        <v>0</v>
      </c>
      <c r="BQ82" s="102"/>
      <c r="BR82" s="1">
        <v>5</v>
      </c>
      <c r="BS82" s="104">
        <f t="shared" ref="BS82" si="1510">BQ82/BR82</f>
        <v>0</v>
      </c>
      <c r="BT82" s="102"/>
      <c r="BU82" s="1">
        <v>5</v>
      </c>
      <c r="BV82" s="104">
        <f t="shared" ref="BV82" si="1511">BT82/BU82</f>
        <v>0</v>
      </c>
      <c r="BW82" s="102"/>
      <c r="BX82" s="1">
        <v>5</v>
      </c>
      <c r="BY82" s="104">
        <f t="shared" ref="BY82" si="1512">BW82/BX82</f>
        <v>0</v>
      </c>
      <c r="BZ82" s="102"/>
      <c r="CA82" s="1">
        <v>5</v>
      </c>
      <c r="CB82" s="104">
        <f t="shared" ref="CB82" si="1513">BZ82/CA82</f>
        <v>0</v>
      </c>
      <c r="CC82" s="102"/>
      <c r="CD82" s="1">
        <v>5</v>
      </c>
      <c r="CE82" s="104">
        <f t="shared" ref="CE82" si="1514">CC82/CD82</f>
        <v>0</v>
      </c>
      <c r="CF82" s="102"/>
      <c r="CG82" s="1">
        <v>5</v>
      </c>
      <c r="CH82" s="104">
        <f t="shared" ref="CH82" si="1515">CF82/CG82</f>
        <v>0</v>
      </c>
      <c r="CI82" s="102"/>
      <c r="CJ82" s="1">
        <v>5</v>
      </c>
      <c r="CK82" s="104">
        <f t="shared" ref="CK82" si="1516">CI82/CJ82</f>
        <v>0</v>
      </c>
      <c r="CL82" s="102"/>
      <c r="CM82" s="1">
        <v>5</v>
      </c>
      <c r="CN82" s="104">
        <f t="shared" ref="CN82" si="1517">CL82/CM82</f>
        <v>0</v>
      </c>
      <c r="CO82" s="102"/>
      <c r="CP82" s="1">
        <v>5</v>
      </c>
      <c r="CQ82" s="104">
        <f t="shared" ref="CQ82" si="1518">CO82/CP82</f>
        <v>0</v>
      </c>
      <c r="CR82" s="102"/>
      <c r="CS82" s="1">
        <v>5</v>
      </c>
      <c r="CT82" s="104">
        <f t="shared" ref="CT82" si="1519">CR82/CS82</f>
        <v>0</v>
      </c>
      <c r="CU82" s="102"/>
      <c r="CV82" s="1">
        <v>5</v>
      </c>
      <c r="CW82" s="104">
        <f t="shared" ref="CW82" si="1520">CU82/CV82</f>
        <v>0</v>
      </c>
      <c r="CX82" s="102"/>
      <c r="CY82" s="1">
        <v>5</v>
      </c>
      <c r="CZ82" s="104">
        <f t="shared" ref="CZ82" si="1521">CX82/CY82</f>
        <v>0</v>
      </c>
      <c r="DA82" s="102"/>
      <c r="DB82" s="1">
        <v>5</v>
      </c>
      <c r="DC82" s="104">
        <f t="shared" ref="DC82" si="1522">DA82/DB82</f>
        <v>0</v>
      </c>
      <c r="DD82" s="102"/>
      <c r="DE82" s="1">
        <v>5</v>
      </c>
      <c r="DF82" s="104">
        <f t="shared" ref="DF82" si="1523">DD82/DE82</f>
        <v>0</v>
      </c>
      <c r="DG82" s="102"/>
      <c r="DH82" s="1">
        <v>5</v>
      </c>
      <c r="DI82" s="104">
        <f t="shared" ref="DI82" si="1524">DG82/DH82</f>
        <v>0</v>
      </c>
      <c r="DJ82" s="102"/>
      <c r="DK82" s="1">
        <v>5</v>
      </c>
      <c r="DL82" s="104">
        <f t="shared" ref="DL82" si="1525">DJ82/DK82</f>
        <v>0</v>
      </c>
      <c r="DM82" s="102"/>
      <c r="DN82" s="1">
        <v>5</v>
      </c>
      <c r="DO82" s="104">
        <f t="shared" ref="DO82" si="1526">DM82/DN82</f>
        <v>0</v>
      </c>
      <c r="DP82" s="102"/>
      <c r="DQ82" s="1">
        <v>5</v>
      </c>
      <c r="DR82" s="104">
        <f t="shared" ref="DR82" si="1527">DP82/DQ82</f>
        <v>0</v>
      </c>
      <c r="DS82" s="102"/>
      <c r="DT82" s="1">
        <v>5</v>
      </c>
      <c r="DU82" s="104">
        <f t="shared" ref="DU82" si="1528">DS82/DT82</f>
        <v>0</v>
      </c>
      <c r="DV82" s="102"/>
      <c r="DW82" s="1">
        <v>5</v>
      </c>
      <c r="DX82" s="104">
        <f t="shared" ref="DX82" si="1529">DV82/DW82</f>
        <v>0</v>
      </c>
      <c r="DY82" s="102"/>
      <c r="DZ82" s="1">
        <v>5</v>
      </c>
      <c r="EA82" s="104">
        <f t="shared" ref="EA82" si="1530">DY82/DZ82</f>
        <v>0</v>
      </c>
      <c r="EB82" s="102"/>
      <c r="EC82" s="1">
        <v>5</v>
      </c>
      <c r="ED82" s="104">
        <f t="shared" ref="ED82" si="1531">EB82/EC82</f>
        <v>0</v>
      </c>
      <c r="EE82" s="102"/>
      <c r="EF82" s="1">
        <v>5</v>
      </c>
      <c r="EG82" s="104">
        <f t="shared" ref="EG82" si="1532">EE82/EF82</f>
        <v>0</v>
      </c>
      <c r="EH82" s="102"/>
      <c r="EI82" s="1">
        <v>5</v>
      </c>
      <c r="EJ82" s="104">
        <f t="shared" ref="EJ82" si="1533">EH82/EI82</f>
        <v>0</v>
      </c>
      <c r="EK82" s="102"/>
      <c r="EL82" s="1">
        <v>5</v>
      </c>
      <c r="EM82" s="104">
        <f t="shared" ref="EM82" si="1534">EK82/EL82</f>
        <v>0</v>
      </c>
      <c r="EN82" s="102"/>
      <c r="EO82" s="1">
        <v>5</v>
      </c>
      <c r="EP82" s="104">
        <f t="shared" ref="EP82" si="1535">EN82/EO82</f>
        <v>0</v>
      </c>
      <c r="EQ82" s="85">
        <f t="array" ref="EQ82">IFERROR(_xlfn.LET(
_xlpm.datos,CHOOSE({1;2;3;4;5;6;7;8;9;10;11;12;13;13;14;15;16;17;18;19;20;21;22;23;23;24;25;26;27;28;29;30;31;32;33;34;35;36;37;38;39;40;41;42;43;44;45;46;47},E82,H82,K82,N82,Q82,T82,W82,Z82,AC82,AF82,AI82,AL82,AO82,AR82,AU82,AX82,BA82,BD82,BG82,BJ82,BP82,BS82,BV82,BY82,CB82,CE82,CH82,CK82,CN82,CQ82,CT82,CW82,CZ82,DC82,DF82,DI82,DL82,DO82,DR82,DU82,DX82,EA82,ED82,EG82,EJ82,EM82,EP82),
AVERAGE(_xlfn._xlws.FILTER(_xlpm.datos,(_xlpm.datos&lt;&gt;0)*(_xlpm.datos&lt;&gt;"")))
),0)</f>
        <v>0</v>
      </c>
      <c r="ER82" s="162" t="str">
        <f t="array" ref="ER82">_xlfn.IFS(EQ82&gt;=91.5%,"MENSUAL",EQ82&gt;=75%,"QUINCENAL",EQ82&lt;75%,"SEMANAL")</f>
        <v>SEMANAL</v>
      </c>
    </row>
    <row r="83" ht="16" customHeight="1" spans="1:148" x14ac:dyDescent="0.25">
      <c r="A83" s="183" t="s">
        <v>172</v>
      </c>
      <c r="B83" s="189"/>
      <c r="C83" s="90"/>
      <c r="D83" s="91">
        <v>5</v>
      </c>
      <c r="E83" s="92">
        <f>C83/D83</f>
        <v>0</v>
      </c>
      <c r="F83" s="90"/>
      <c r="G83" s="91">
        <v>5</v>
      </c>
      <c r="H83" s="92">
        <f>F83/G83</f>
        <v>0</v>
      </c>
      <c r="I83" s="93"/>
      <c r="J83" s="91">
        <v>5</v>
      </c>
      <c r="K83" s="92">
        <f>I83/J83</f>
        <v>0</v>
      </c>
      <c r="L83" s="93"/>
      <c r="M83" s="91">
        <v>5</v>
      </c>
      <c r="N83" s="92">
        <f>L83/M83</f>
        <v>0</v>
      </c>
      <c r="O83" s="94"/>
      <c r="P83" s="95">
        <v>5</v>
      </c>
      <c r="Q83" s="92">
        <f>O83/P83</f>
        <v>0</v>
      </c>
      <c r="R83" s="90"/>
      <c r="S83" s="95">
        <v>5</v>
      </c>
      <c r="T83" s="92">
        <f>R83/S83</f>
        <v>0</v>
      </c>
      <c r="U83" s="90"/>
      <c r="V83" s="95">
        <v>5</v>
      </c>
      <c r="W83" s="92">
        <f>U83/V83</f>
        <v>0</v>
      </c>
      <c r="X83" s="90"/>
      <c r="Y83" s="95">
        <v>5</v>
      </c>
      <c r="Z83" s="92">
        <f>X83/Y83</f>
        <v>0</v>
      </c>
      <c r="AA83" s="94"/>
      <c r="AB83" s="95">
        <v>5</v>
      </c>
      <c r="AC83" s="92">
        <f>AA83/AB83</f>
        <v>0</v>
      </c>
      <c r="AD83" s="94"/>
      <c r="AE83" s="95">
        <v>5</v>
      </c>
      <c r="AF83" s="92">
        <f>AD83/AE83</f>
        <v>0</v>
      </c>
      <c r="AG83" s="94"/>
      <c r="AH83" s="95">
        <v>5</v>
      </c>
      <c r="AI83" s="92">
        <f>AG83/AH83</f>
        <v>0</v>
      </c>
      <c r="AJ83" s="94"/>
      <c r="AK83" s="95">
        <v>5</v>
      </c>
      <c r="AL83" s="92">
        <f>AJ83/AK83</f>
        <v>0</v>
      </c>
      <c r="AM83" s="90"/>
      <c r="AN83" s="96">
        <v>5</v>
      </c>
      <c r="AO83" s="92">
        <f>AM83/AN83</f>
        <v>0</v>
      </c>
      <c r="AP83" s="90"/>
      <c r="AQ83" s="96">
        <v>5</v>
      </c>
      <c r="AR83" s="92">
        <f>AP83/AQ83</f>
        <v>0</v>
      </c>
      <c r="AS83" s="90"/>
      <c r="AT83" s="96">
        <v>5</v>
      </c>
      <c r="AU83" s="92">
        <f>AS83/AT83</f>
        <v>0</v>
      </c>
      <c r="AV83" s="90"/>
      <c r="AW83" s="96">
        <v>5</v>
      </c>
      <c r="AX83" s="92">
        <f>AV83/AW83</f>
        <v>0</v>
      </c>
      <c r="AY83" s="90"/>
      <c r="AZ83" s="96">
        <v>5</v>
      </c>
      <c r="BA83" s="92">
        <f>AY83/AZ83</f>
        <v>0</v>
      </c>
      <c r="BB83" s="90"/>
      <c r="BC83" s="96">
        <v>5</v>
      </c>
      <c r="BD83" s="92">
        <f>BB83/BC83</f>
        <v>0</v>
      </c>
      <c r="BE83" s="90"/>
      <c r="BF83" s="96">
        <v>5</v>
      </c>
      <c r="BG83" s="92">
        <f>BE83/BF83</f>
        <v>0</v>
      </c>
      <c r="BH83" s="90"/>
      <c r="BI83" s="96">
        <v>5</v>
      </c>
      <c r="BJ83" s="92">
        <f>BH83/BI83</f>
        <v>0</v>
      </c>
      <c r="BK83" s="90"/>
      <c r="BL83" s="96">
        <v>5</v>
      </c>
      <c r="BM83" s="92">
        <f>BK83/BL83</f>
        <v>0</v>
      </c>
      <c r="BN83" s="90"/>
      <c r="BO83" s="96">
        <v>5</v>
      </c>
      <c r="BP83" s="92">
        <f>BN83/BO83</f>
        <v>0</v>
      </c>
      <c r="BQ83" s="90"/>
      <c r="BR83" s="96">
        <v>5</v>
      </c>
      <c r="BS83" s="92">
        <f>BQ83/BR83</f>
        <v>0</v>
      </c>
      <c r="BT83" s="90"/>
      <c r="BU83" s="96">
        <v>5</v>
      </c>
      <c r="BV83" s="92">
        <f>BT83/BU83</f>
        <v>0</v>
      </c>
      <c r="BW83" s="90"/>
      <c r="BX83" s="96">
        <v>5</v>
      </c>
      <c r="BY83" s="92">
        <f>BW83/BX83</f>
        <v>0</v>
      </c>
      <c r="BZ83" s="90"/>
      <c r="CA83" s="96">
        <v>5</v>
      </c>
      <c r="CB83" s="92">
        <f>BZ83/CA83</f>
        <v>0</v>
      </c>
      <c r="CC83" s="90"/>
      <c r="CD83" s="96">
        <v>5</v>
      </c>
      <c r="CE83" s="92">
        <f>CC83/CD83</f>
        <v>0</v>
      </c>
      <c r="CF83" s="90"/>
      <c r="CG83" s="96">
        <v>5</v>
      </c>
      <c r="CH83" s="92">
        <f>CF83/CG83</f>
        <v>0</v>
      </c>
      <c r="CI83" s="90"/>
      <c r="CJ83" s="96">
        <v>5</v>
      </c>
      <c r="CK83" s="92">
        <f>CI83/CJ83</f>
        <v>0</v>
      </c>
      <c r="CL83" s="90"/>
      <c r="CM83" s="96">
        <v>5</v>
      </c>
      <c r="CN83" s="92">
        <f>CL83/CM83</f>
        <v>0</v>
      </c>
      <c r="CO83" s="90"/>
      <c r="CP83" s="96">
        <v>5</v>
      </c>
      <c r="CQ83" s="92">
        <f>CO83/CP83</f>
        <v>0</v>
      </c>
      <c r="CR83" s="90"/>
      <c r="CS83" s="96">
        <v>5</v>
      </c>
      <c r="CT83" s="92">
        <f>CR83/CS83</f>
        <v>0</v>
      </c>
      <c r="CU83" s="90"/>
      <c r="CV83" s="96">
        <v>5</v>
      </c>
      <c r="CW83" s="92">
        <f>CU83/CV83</f>
        <v>0</v>
      </c>
      <c r="CX83" s="90"/>
      <c r="CY83" s="96">
        <v>5</v>
      </c>
      <c r="CZ83" s="92">
        <f>CX83/CY83</f>
        <v>0</v>
      </c>
      <c r="DA83" s="90"/>
      <c r="DB83" s="96">
        <v>5</v>
      </c>
      <c r="DC83" s="92">
        <f>DA83/DB83</f>
        <v>0</v>
      </c>
      <c r="DD83" s="90"/>
      <c r="DE83" s="96">
        <v>5</v>
      </c>
      <c r="DF83" s="92">
        <f>DD83/DE83</f>
        <v>0</v>
      </c>
      <c r="DG83" s="90"/>
      <c r="DH83" s="96">
        <v>5</v>
      </c>
      <c r="DI83" s="92">
        <f>DG83/DH83</f>
        <v>0</v>
      </c>
      <c r="DJ83" s="90"/>
      <c r="DK83" s="96">
        <v>5</v>
      </c>
      <c r="DL83" s="92">
        <f>DJ83/DK83</f>
        <v>0</v>
      </c>
      <c r="DM83" s="90"/>
      <c r="DN83" s="96">
        <v>5</v>
      </c>
      <c r="DO83" s="92">
        <f>DM83/DN83</f>
        <v>0</v>
      </c>
      <c r="DP83" s="90"/>
      <c r="DQ83" s="96">
        <v>5</v>
      </c>
      <c r="DR83" s="92">
        <f>DP83/DQ83</f>
        <v>0</v>
      </c>
      <c r="DS83" s="90"/>
      <c r="DT83" s="96">
        <v>5</v>
      </c>
      <c r="DU83" s="92">
        <f>DS83/DT83</f>
        <v>0</v>
      </c>
      <c r="DV83" s="90"/>
      <c r="DW83" s="96">
        <v>5</v>
      </c>
      <c r="DX83" s="92">
        <f>DV83/DW83</f>
        <v>0</v>
      </c>
      <c r="DY83" s="90"/>
      <c r="DZ83" s="96">
        <v>5</v>
      </c>
      <c r="EA83" s="92">
        <f>DY83/DZ83</f>
        <v>0</v>
      </c>
      <c r="EB83" s="90"/>
      <c r="EC83" s="96">
        <v>5</v>
      </c>
      <c r="ED83" s="92">
        <f>EB83/EC83</f>
        <v>0</v>
      </c>
      <c r="EE83" s="90"/>
      <c r="EF83" s="96">
        <v>5</v>
      </c>
      <c r="EG83" s="92">
        <f>EE83/EF83</f>
        <v>0</v>
      </c>
      <c r="EH83" s="90"/>
      <c r="EI83" s="96">
        <v>5</v>
      </c>
      <c r="EJ83" s="92">
        <f>EH83/EI83</f>
        <v>0</v>
      </c>
      <c r="EK83" s="90"/>
      <c r="EL83" s="96">
        <v>5</v>
      </c>
      <c r="EM83" s="92">
        <f>EK83/EL83</f>
        <v>0</v>
      </c>
      <c r="EN83" s="90"/>
      <c r="EO83" s="96">
        <v>5</v>
      </c>
      <c r="EP83" s="92">
        <f>EN83/EO83</f>
        <v>0</v>
      </c>
      <c r="EQ83" s="85">
        <f t="array" ref="EQ83">IFERROR(_xlfn.LET(
_xlpm.datos,CHOOSE({1;2;3;4;5;6;7;8;9;10;11;12;13;13;14;15;16;17;18;19;20;21;22;23;23;24;25;26;27;28;29;30;31;32;33;34;35;36;37;38;39;40;41;42;43;44;45;46;47},E83,H83,K83,N83,Q83,T83,W83,Z83,AC83,AF83,AI83,AL83,AO83,AR83,AU83,AX83,BA83,BD83,BG83,BJ83,BP83,BS83,BV83,BY83,CB83,CE83,CH83,CK83,CN83,CQ83,CT83,CW83,CZ83,DC83,DF83,DI83,DL83,DO83,DR83,DU83,DX83,EA83,ED83,EG83,EJ83,EM83,EP83),
AVERAGE(_xlfn._xlws.FILTER(_xlpm.datos,(_xlpm.datos&lt;&gt;0)*(_xlpm.datos&lt;&gt;"")))
),0)</f>
        <v>0</v>
      </c>
      <c r="ER83" s="162" t="str">
        <f t="array" ref="ER83">_xlfn.IFS(EQ83&gt;=91.5%,"MENSUAL",EQ83&gt;=75%,"QUINCENAL",EQ83&lt;75%,"SEMANAL")</f>
        <v>SEMANAL</v>
      </c>
    </row>
    <row r="84" ht="16" customHeight="1" spans="1:148" x14ac:dyDescent="0.25">
      <c r="A84" s="183" t="s">
        <v>173</v>
      </c>
      <c r="B84" s="189"/>
      <c r="C84" s="102"/>
      <c r="D84" s="103">
        <v>5</v>
      </c>
      <c r="E84" s="104">
        <f t="shared" ref="E84" si="1536">C84/D84</f>
        <v>0</v>
      </c>
      <c r="F84" s="102"/>
      <c r="G84" s="103">
        <v>5</v>
      </c>
      <c r="H84" s="104">
        <f t="shared" ref="H84" si="1537">F84/G84</f>
        <v>0</v>
      </c>
      <c r="I84" s="105"/>
      <c r="J84" s="103">
        <v>5</v>
      </c>
      <c r="K84" s="104">
        <f t="shared" ref="K84" si="1538">I84/J84</f>
        <v>0</v>
      </c>
      <c r="L84" s="105"/>
      <c r="M84" s="103">
        <v>5</v>
      </c>
      <c r="N84" s="104">
        <f t="shared" ref="N84" si="1539">L84/M84</f>
        <v>0</v>
      </c>
      <c r="O84" s="106"/>
      <c r="P84" s="107">
        <v>5</v>
      </c>
      <c r="Q84" s="104">
        <f t="shared" ref="Q84" si="1540">O84/P84</f>
        <v>0</v>
      </c>
      <c r="R84" s="102"/>
      <c r="S84" s="107">
        <v>5</v>
      </c>
      <c r="T84" s="104">
        <f t="shared" ref="T84" si="1541">R84/S84</f>
        <v>0</v>
      </c>
      <c r="U84" s="102"/>
      <c r="V84" s="107">
        <v>5</v>
      </c>
      <c r="W84" s="104">
        <f t="shared" ref="W84" si="1542">U84/V84</f>
        <v>0</v>
      </c>
      <c r="X84" s="102"/>
      <c r="Y84" s="107">
        <v>5</v>
      </c>
      <c r="Z84" s="104">
        <f t="shared" ref="Z84" si="1543">X84/Y84</f>
        <v>0</v>
      </c>
      <c r="AA84" s="106"/>
      <c r="AB84" s="107">
        <v>5</v>
      </c>
      <c r="AC84" s="104">
        <f t="shared" ref="AC84" si="1544">AA84/AB84</f>
        <v>0</v>
      </c>
      <c r="AD84" s="106"/>
      <c r="AE84" s="107">
        <v>5</v>
      </c>
      <c r="AF84" s="104">
        <f t="shared" ref="AF84" si="1545">AD84/AE84</f>
        <v>0</v>
      </c>
      <c r="AG84" s="106"/>
      <c r="AH84" s="107">
        <v>5</v>
      </c>
      <c r="AI84" s="104">
        <f t="shared" ref="AI84" si="1546">AG84/AH84</f>
        <v>0</v>
      </c>
      <c r="AJ84" s="106"/>
      <c r="AK84" s="107">
        <v>5</v>
      </c>
      <c r="AL84" s="104">
        <f t="shared" ref="AL84" si="1547">AJ84/AK84</f>
        <v>0</v>
      </c>
      <c r="AM84" s="102"/>
      <c r="AN84" s="1">
        <v>5</v>
      </c>
      <c r="AO84" s="104">
        <f t="shared" ref="AO84" si="1548">AM84/AN84</f>
        <v>0</v>
      </c>
      <c r="AP84" s="102"/>
      <c r="AQ84" s="1">
        <v>5</v>
      </c>
      <c r="AR84" s="104">
        <f t="shared" ref="AR84" si="1549">AP84/AQ84</f>
        <v>0</v>
      </c>
      <c r="AS84" s="102"/>
      <c r="AT84" s="1">
        <v>5</v>
      </c>
      <c r="AU84" s="104">
        <f t="shared" ref="AU84" si="1550">AS84/AT84</f>
        <v>0</v>
      </c>
      <c r="AV84" s="102"/>
      <c r="AW84" s="1">
        <v>5</v>
      </c>
      <c r="AX84" s="104">
        <f t="shared" ref="AX84" si="1551">AV84/AW84</f>
        <v>0</v>
      </c>
      <c r="AY84" s="102"/>
      <c r="AZ84" s="1">
        <v>5</v>
      </c>
      <c r="BA84" s="104">
        <f t="shared" ref="BA84" si="1552">AY84/AZ84</f>
        <v>0</v>
      </c>
      <c r="BB84" s="102"/>
      <c r="BC84" s="1">
        <v>5</v>
      </c>
      <c r="BD84" s="104">
        <f t="shared" ref="BD84" si="1553">BB84/BC84</f>
        <v>0</v>
      </c>
      <c r="BE84" s="102"/>
      <c r="BF84" s="1">
        <v>5</v>
      </c>
      <c r="BG84" s="104">
        <f t="shared" ref="BG84" si="1554">BE84/BF84</f>
        <v>0</v>
      </c>
      <c r="BH84" s="102"/>
      <c r="BI84" s="1">
        <v>5</v>
      </c>
      <c r="BJ84" s="104">
        <f t="shared" ref="BJ84" si="1555">BH84/BI84</f>
        <v>0</v>
      </c>
      <c r="BK84" s="102"/>
      <c r="BL84" s="1">
        <v>5</v>
      </c>
      <c r="BM84" s="104">
        <f t="shared" ref="BM84" si="1556">BK84/BL84</f>
        <v>0</v>
      </c>
      <c r="BN84" s="102"/>
      <c r="BO84" s="1">
        <v>5</v>
      </c>
      <c r="BP84" s="104">
        <f t="shared" ref="BP84" si="1557">BN84/BO84</f>
        <v>0</v>
      </c>
      <c r="BQ84" s="102"/>
      <c r="BR84" s="1">
        <v>5</v>
      </c>
      <c r="BS84" s="104">
        <f t="shared" ref="BS84" si="1558">BQ84/BR84</f>
        <v>0</v>
      </c>
      <c r="BT84" s="102"/>
      <c r="BU84" s="1">
        <v>5</v>
      </c>
      <c r="BV84" s="104">
        <f t="shared" ref="BV84" si="1559">BT84/BU84</f>
        <v>0</v>
      </c>
      <c r="BW84" s="102"/>
      <c r="BX84" s="1">
        <v>5</v>
      </c>
      <c r="BY84" s="104">
        <f t="shared" ref="BY84" si="1560">BW84/BX84</f>
        <v>0</v>
      </c>
      <c r="BZ84" s="102"/>
      <c r="CA84" s="1">
        <v>5</v>
      </c>
      <c r="CB84" s="104">
        <f t="shared" ref="CB84" si="1561">BZ84/CA84</f>
        <v>0</v>
      </c>
      <c r="CC84" s="102"/>
      <c r="CD84" s="1">
        <v>5</v>
      </c>
      <c r="CE84" s="104">
        <f t="shared" ref="CE84" si="1562">CC84/CD84</f>
        <v>0</v>
      </c>
      <c r="CF84" s="102"/>
      <c r="CG84" s="1">
        <v>5</v>
      </c>
      <c r="CH84" s="104">
        <f t="shared" ref="CH84" si="1563">CF84/CG84</f>
        <v>0</v>
      </c>
      <c r="CI84" s="102"/>
      <c r="CJ84" s="1">
        <v>5</v>
      </c>
      <c r="CK84" s="104">
        <f t="shared" ref="CK84" si="1564">CI84/CJ84</f>
        <v>0</v>
      </c>
      <c r="CL84" s="102"/>
      <c r="CM84" s="1">
        <v>5</v>
      </c>
      <c r="CN84" s="104">
        <f t="shared" ref="CN84" si="1565">CL84/CM84</f>
        <v>0</v>
      </c>
      <c r="CO84" s="102"/>
      <c r="CP84" s="1">
        <v>5</v>
      </c>
      <c r="CQ84" s="104">
        <f t="shared" ref="CQ84" si="1566">CO84/CP84</f>
        <v>0</v>
      </c>
      <c r="CR84" s="102"/>
      <c r="CS84" s="1">
        <v>5</v>
      </c>
      <c r="CT84" s="104">
        <f t="shared" ref="CT84" si="1567">CR84/CS84</f>
        <v>0</v>
      </c>
      <c r="CU84" s="102"/>
      <c r="CV84" s="1">
        <v>5</v>
      </c>
      <c r="CW84" s="104">
        <f t="shared" ref="CW84" si="1568">CU84/CV84</f>
        <v>0</v>
      </c>
      <c r="CX84" s="102"/>
      <c r="CY84" s="1">
        <v>5</v>
      </c>
      <c r="CZ84" s="104">
        <f t="shared" ref="CZ84" si="1569">CX84/CY84</f>
        <v>0</v>
      </c>
      <c r="DA84" s="102"/>
      <c r="DB84" s="1">
        <v>5</v>
      </c>
      <c r="DC84" s="104">
        <f t="shared" ref="DC84" si="1570">DA84/DB84</f>
        <v>0</v>
      </c>
      <c r="DD84" s="102"/>
      <c r="DE84" s="1">
        <v>5</v>
      </c>
      <c r="DF84" s="104">
        <f t="shared" ref="DF84" si="1571">DD84/DE84</f>
        <v>0</v>
      </c>
      <c r="DG84" s="102"/>
      <c r="DH84" s="1">
        <v>5</v>
      </c>
      <c r="DI84" s="104">
        <f t="shared" ref="DI84" si="1572">DG84/DH84</f>
        <v>0</v>
      </c>
      <c r="DJ84" s="102"/>
      <c r="DK84" s="1">
        <v>5</v>
      </c>
      <c r="DL84" s="104">
        <f t="shared" ref="DL84" si="1573">DJ84/DK84</f>
        <v>0</v>
      </c>
      <c r="DM84" s="102"/>
      <c r="DN84" s="1">
        <v>5</v>
      </c>
      <c r="DO84" s="104">
        <f t="shared" ref="DO84" si="1574">DM84/DN84</f>
        <v>0</v>
      </c>
      <c r="DP84" s="102"/>
      <c r="DQ84" s="1">
        <v>5</v>
      </c>
      <c r="DR84" s="104">
        <f t="shared" ref="DR84" si="1575">DP84/DQ84</f>
        <v>0</v>
      </c>
      <c r="DS84" s="102"/>
      <c r="DT84" s="1">
        <v>5</v>
      </c>
      <c r="DU84" s="104">
        <f t="shared" ref="DU84" si="1576">DS84/DT84</f>
        <v>0</v>
      </c>
      <c r="DV84" s="102"/>
      <c r="DW84" s="1">
        <v>5</v>
      </c>
      <c r="DX84" s="104">
        <f t="shared" ref="DX84" si="1577">DV84/DW84</f>
        <v>0</v>
      </c>
      <c r="DY84" s="102"/>
      <c r="DZ84" s="1">
        <v>5</v>
      </c>
      <c r="EA84" s="104">
        <f t="shared" ref="EA84" si="1578">DY84/DZ84</f>
        <v>0</v>
      </c>
      <c r="EB84" s="102"/>
      <c r="EC84" s="1">
        <v>5</v>
      </c>
      <c r="ED84" s="104">
        <f t="shared" ref="ED84" si="1579">EB84/EC84</f>
        <v>0</v>
      </c>
      <c r="EE84" s="102"/>
      <c r="EF84" s="1">
        <v>5</v>
      </c>
      <c r="EG84" s="104">
        <f t="shared" ref="EG84" si="1580">EE84/EF84</f>
        <v>0</v>
      </c>
      <c r="EH84" s="102"/>
      <c r="EI84" s="1">
        <v>5</v>
      </c>
      <c r="EJ84" s="104">
        <f t="shared" ref="EJ84" si="1581">EH84/EI84</f>
        <v>0</v>
      </c>
      <c r="EK84" s="102"/>
      <c r="EL84" s="1">
        <v>5</v>
      </c>
      <c r="EM84" s="104">
        <f t="shared" ref="EM84" si="1582">EK84/EL84</f>
        <v>0</v>
      </c>
      <c r="EN84" s="102"/>
      <c r="EO84" s="1">
        <v>5</v>
      </c>
      <c r="EP84" s="104">
        <f t="shared" ref="EP84" si="1583">EN84/EO84</f>
        <v>0</v>
      </c>
      <c r="EQ84" s="85">
        <f t="array" ref="EQ84">IFERROR(_xlfn.LET(
_xlpm.datos,CHOOSE({1;2;3;4;5;6;7;8;9;10;11;12;13;13;14;15;16;17;18;19;20;21;22;23;23;24;25;26;27;28;29;30;31;32;33;34;35;36;37;38;39;40;41;42;43;44;45;46;47},E84,H84,K84,N84,Q84,T84,W84,Z84,AC84,AF84,AI84,AL84,AO84,AR84,AU84,AX84,BA84,BD84,BG84,BJ84,BP84,BS84,BV84,BY84,CB84,CE84,CH84,CK84,CN84,CQ84,CT84,CW84,CZ84,DC84,DF84,DI84,DL84,DO84,DR84,DU84,DX84,EA84,ED84,EG84,EJ84,EM84,EP84),
AVERAGE(_xlfn._xlws.FILTER(_xlpm.datos,(_xlpm.datos&lt;&gt;0)*(_xlpm.datos&lt;&gt;"")))
),0)</f>
        <v>0</v>
      </c>
      <c r="ER84" s="162" t="str">
        <f t="array" ref="ER84">_xlfn.IFS(EQ84&gt;=91.5%,"MENSUAL",EQ84&gt;=75%,"QUINCENAL",EQ84&lt;75%,"SEMANAL")</f>
        <v>SEMANAL</v>
      </c>
    </row>
    <row r="85" ht="16" customHeight="1" spans="1:148" x14ac:dyDescent="0.25">
      <c r="A85" s="183" t="s">
        <v>174</v>
      </c>
      <c r="B85" s="190"/>
      <c r="C85" s="90"/>
      <c r="D85" s="91">
        <v>5</v>
      </c>
      <c r="E85" s="92">
        <f>C85/D85</f>
        <v>0</v>
      </c>
      <c r="F85" s="90"/>
      <c r="G85" s="91">
        <v>5</v>
      </c>
      <c r="H85" s="92">
        <f>F85/G85</f>
        <v>0</v>
      </c>
      <c r="I85" s="93"/>
      <c r="J85" s="91">
        <v>5</v>
      </c>
      <c r="K85" s="92">
        <f>I85/J85</f>
        <v>0</v>
      </c>
      <c r="L85" s="93"/>
      <c r="M85" s="91">
        <v>5</v>
      </c>
      <c r="N85" s="92">
        <f>L85/M85</f>
        <v>0</v>
      </c>
      <c r="O85" s="94"/>
      <c r="P85" s="95">
        <v>5</v>
      </c>
      <c r="Q85" s="92">
        <f>O85/P85</f>
        <v>0</v>
      </c>
      <c r="R85" s="90"/>
      <c r="S85" s="95">
        <v>5</v>
      </c>
      <c r="T85" s="92">
        <f>R85/S85</f>
        <v>0</v>
      </c>
      <c r="U85" s="90"/>
      <c r="V85" s="95">
        <v>5</v>
      </c>
      <c r="W85" s="92">
        <f>U85/V85</f>
        <v>0</v>
      </c>
      <c r="X85" s="90"/>
      <c r="Y85" s="95">
        <v>5</v>
      </c>
      <c r="Z85" s="92">
        <f>X85/Y85</f>
        <v>0</v>
      </c>
      <c r="AA85" s="94"/>
      <c r="AB85" s="95">
        <v>5</v>
      </c>
      <c r="AC85" s="92">
        <f>AA85/AB85</f>
        <v>0</v>
      </c>
      <c r="AD85" s="94"/>
      <c r="AE85" s="95">
        <v>5</v>
      </c>
      <c r="AF85" s="92">
        <f>AD85/AE85</f>
        <v>0</v>
      </c>
      <c r="AG85" s="94"/>
      <c r="AH85" s="95">
        <v>5</v>
      </c>
      <c r="AI85" s="92">
        <f>AG85/AH85</f>
        <v>0</v>
      </c>
      <c r="AJ85" s="94"/>
      <c r="AK85" s="95">
        <v>5</v>
      </c>
      <c r="AL85" s="92">
        <f>AJ85/AK85</f>
        <v>0</v>
      </c>
      <c r="AM85" s="90"/>
      <c r="AN85" s="96">
        <v>5</v>
      </c>
      <c r="AO85" s="92">
        <f>AM85/AN85</f>
        <v>0</v>
      </c>
      <c r="AP85" s="90"/>
      <c r="AQ85" s="96">
        <v>5</v>
      </c>
      <c r="AR85" s="92">
        <f>AP85/AQ85</f>
        <v>0</v>
      </c>
      <c r="AS85" s="90"/>
      <c r="AT85" s="96">
        <v>5</v>
      </c>
      <c r="AU85" s="92">
        <f>AS85/AT85</f>
        <v>0</v>
      </c>
      <c r="AV85" s="90"/>
      <c r="AW85" s="96">
        <v>5</v>
      </c>
      <c r="AX85" s="92">
        <f>AV85/AW85</f>
        <v>0</v>
      </c>
      <c r="AY85" s="90"/>
      <c r="AZ85" s="96">
        <v>5</v>
      </c>
      <c r="BA85" s="92">
        <f>AY85/AZ85</f>
        <v>0</v>
      </c>
      <c r="BB85" s="90"/>
      <c r="BC85" s="96">
        <v>5</v>
      </c>
      <c r="BD85" s="92">
        <f>BB85/BC85</f>
        <v>0</v>
      </c>
      <c r="BE85" s="90"/>
      <c r="BF85" s="96">
        <v>5</v>
      </c>
      <c r="BG85" s="92">
        <f>BE85/BF85</f>
        <v>0</v>
      </c>
      <c r="BH85" s="90"/>
      <c r="BI85" s="96">
        <v>5</v>
      </c>
      <c r="BJ85" s="92">
        <f>BH85/BI85</f>
        <v>0</v>
      </c>
      <c r="BK85" s="90"/>
      <c r="BL85" s="96">
        <v>5</v>
      </c>
      <c r="BM85" s="92">
        <f>BK85/BL85</f>
        <v>0</v>
      </c>
      <c r="BN85" s="90"/>
      <c r="BO85" s="96">
        <v>5</v>
      </c>
      <c r="BP85" s="92">
        <f>BN85/BO85</f>
        <v>0</v>
      </c>
      <c r="BQ85" s="90"/>
      <c r="BR85" s="96">
        <v>5</v>
      </c>
      <c r="BS85" s="92">
        <f>BQ85/BR85</f>
        <v>0</v>
      </c>
      <c r="BT85" s="90"/>
      <c r="BU85" s="96">
        <v>5</v>
      </c>
      <c r="BV85" s="92">
        <f>BT85/BU85</f>
        <v>0</v>
      </c>
      <c r="BW85" s="90"/>
      <c r="BX85" s="96">
        <v>5</v>
      </c>
      <c r="BY85" s="92">
        <f>BW85/BX85</f>
        <v>0</v>
      </c>
      <c r="BZ85" s="90"/>
      <c r="CA85" s="96">
        <v>5</v>
      </c>
      <c r="CB85" s="92">
        <f>BZ85/CA85</f>
        <v>0</v>
      </c>
      <c r="CC85" s="90"/>
      <c r="CD85" s="96">
        <v>5</v>
      </c>
      <c r="CE85" s="92">
        <f>CC85/CD85</f>
        <v>0</v>
      </c>
      <c r="CF85" s="90"/>
      <c r="CG85" s="96">
        <v>5</v>
      </c>
      <c r="CH85" s="92">
        <f>CF85/CG85</f>
        <v>0</v>
      </c>
      <c r="CI85" s="90"/>
      <c r="CJ85" s="96">
        <v>5</v>
      </c>
      <c r="CK85" s="92">
        <f>CI85/CJ85</f>
        <v>0</v>
      </c>
      <c r="CL85" s="90"/>
      <c r="CM85" s="96">
        <v>5</v>
      </c>
      <c r="CN85" s="92">
        <f>CL85/CM85</f>
        <v>0</v>
      </c>
      <c r="CO85" s="90"/>
      <c r="CP85" s="96">
        <v>5</v>
      </c>
      <c r="CQ85" s="92">
        <f>CO85/CP85</f>
        <v>0</v>
      </c>
      <c r="CR85" s="90"/>
      <c r="CS85" s="96">
        <v>5</v>
      </c>
      <c r="CT85" s="92">
        <f>CR85/CS85</f>
        <v>0</v>
      </c>
      <c r="CU85" s="90"/>
      <c r="CV85" s="96">
        <v>5</v>
      </c>
      <c r="CW85" s="92">
        <f>CU85/CV85</f>
        <v>0</v>
      </c>
      <c r="CX85" s="90"/>
      <c r="CY85" s="96">
        <v>5</v>
      </c>
      <c r="CZ85" s="92">
        <f>CX85/CY85</f>
        <v>0</v>
      </c>
      <c r="DA85" s="90"/>
      <c r="DB85" s="96">
        <v>5</v>
      </c>
      <c r="DC85" s="92">
        <f>DA85/DB85</f>
        <v>0</v>
      </c>
      <c r="DD85" s="90"/>
      <c r="DE85" s="96">
        <v>5</v>
      </c>
      <c r="DF85" s="92">
        <f>DD85/DE85</f>
        <v>0</v>
      </c>
      <c r="DG85" s="90"/>
      <c r="DH85" s="96">
        <v>5</v>
      </c>
      <c r="DI85" s="92">
        <f>DG85/DH85</f>
        <v>0</v>
      </c>
      <c r="DJ85" s="90"/>
      <c r="DK85" s="96">
        <v>5</v>
      </c>
      <c r="DL85" s="92">
        <f>DJ85/DK85</f>
        <v>0</v>
      </c>
      <c r="DM85" s="90"/>
      <c r="DN85" s="96">
        <v>5</v>
      </c>
      <c r="DO85" s="92">
        <f>DM85/DN85</f>
        <v>0</v>
      </c>
      <c r="DP85" s="90"/>
      <c r="DQ85" s="96">
        <v>5</v>
      </c>
      <c r="DR85" s="92">
        <f>DP85/DQ85</f>
        <v>0</v>
      </c>
      <c r="DS85" s="90"/>
      <c r="DT85" s="96">
        <v>5</v>
      </c>
      <c r="DU85" s="92">
        <f>DS85/DT85</f>
        <v>0</v>
      </c>
      <c r="DV85" s="90"/>
      <c r="DW85" s="96">
        <v>5</v>
      </c>
      <c r="DX85" s="92">
        <f>DV85/DW85</f>
        <v>0</v>
      </c>
      <c r="DY85" s="90"/>
      <c r="DZ85" s="96">
        <v>5</v>
      </c>
      <c r="EA85" s="92">
        <f>DY85/DZ85</f>
        <v>0</v>
      </c>
      <c r="EB85" s="90"/>
      <c r="EC85" s="96">
        <v>5</v>
      </c>
      <c r="ED85" s="92">
        <f>EB85/EC85</f>
        <v>0</v>
      </c>
      <c r="EE85" s="90"/>
      <c r="EF85" s="96">
        <v>5</v>
      </c>
      <c r="EG85" s="92">
        <f>EE85/EF85</f>
        <v>0</v>
      </c>
      <c r="EH85" s="90"/>
      <c r="EI85" s="96">
        <v>5</v>
      </c>
      <c r="EJ85" s="92">
        <f>EH85/EI85</f>
        <v>0</v>
      </c>
      <c r="EK85" s="90"/>
      <c r="EL85" s="96">
        <v>5</v>
      </c>
      <c r="EM85" s="92">
        <f>EK85/EL85</f>
        <v>0</v>
      </c>
      <c r="EN85" s="90"/>
      <c r="EO85" s="96">
        <v>5</v>
      </c>
      <c r="EP85" s="92">
        <f>EN85/EO85</f>
        <v>0</v>
      </c>
      <c r="EQ85" s="85">
        <f t="array" ref="EQ85">IFERROR(_xlfn.LET(
_xlpm.datos,CHOOSE({1;2;3;4;5;6;7;8;9;10;11;12;13;13;14;15;16;17;18;19;20;21;22;23;23;24;25;26;27;28;29;30;31;32;33;34;35;36;37;38;39;40;41;42;43;44;45;46;47},E85,H85,K85,N85,Q85,T85,W85,Z85,AC85,AF85,AI85,AL85,AO85,AR85,AU85,AX85,BA85,BD85,BG85,BJ85,BP85,BS85,BV85,BY85,CB85,CE85,CH85,CK85,CN85,CQ85,CT85,CW85,CZ85,DC85,DF85,DI85,DL85,DO85,DR85,DU85,DX85,EA85,ED85,EG85,EJ85,EM85,EP85),
AVERAGE(_xlfn._xlws.FILTER(_xlpm.datos,(_xlpm.datos&lt;&gt;0)*(_xlpm.datos&lt;&gt;"")))
),0)</f>
        <v>0</v>
      </c>
      <c r="ER85" s="162" t="str">
        <f t="array" ref="ER85">_xlfn.IFS(EQ85&gt;=91.5%,"MENSUAL",EQ85&gt;=75%,"QUINCENAL",EQ85&lt;75%,"SEMANAL")</f>
        <v>SEMANAL</v>
      </c>
    </row>
    <row r="86" ht="21.5" customHeight="1" spans="1:148" x14ac:dyDescent="0.25">
      <c r="A86" s="184" t="s">
        <v>175</v>
      </c>
      <c r="B86" s="191"/>
      <c r="C86" s="151"/>
      <c r="D86" s="152">
        <v>5</v>
      </c>
      <c r="E86" s="153">
        <f t="shared" ref="E86" si="1584">C86/D86</f>
        <v>0</v>
      </c>
      <c r="F86" s="151"/>
      <c r="G86" s="152">
        <v>5</v>
      </c>
      <c r="H86" s="153">
        <f t="shared" ref="H86" si="1585">F86/G86</f>
        <v>0</v>
      </c>
      <c r="I86" s="154"/>
      <c r="J86" s="152">
        <v>5</v>
      </c>
      <c r="K86" s="153">
        <f t="shared" ref="K86" si="1586">I86/J86</f>
        <v>0</v>
      </c>
      <c r="L86" s="154"/>
      <c r="M86" s="152">
        <v>5</v>
      </c>
      <c r="N86" s="153">
        <f t="shared" ref="N86" si="1587">L86/M86</f>
        <v>0</v>
      </c>
      <c r="O86" s="155"/>
      <c r="P86" s="156">
        <v>5</v>
      </c>
      <c r="Q86" s="153">
        <f t="shared" ref="Q86" si="1588">O86/P86</f>
        <v>0</v>
      </c>
      <c r="R86" s="151"/>
      <c r="S86" s="156">
        <v>5</v>
      </c>
      <c r="T86" s="153">
        <f t="shared" ref="T86" si="1589">R86/S86</f>
        <v>0</v>
      </c>
      <c r="U86" s="151"/>
      <c r="V86" s="156">
        <v>5</v>
      </c>
      <c r="W86" s="153">
        <f t="shared" ref="W86" si="1590">U86/V86</f>
        <v>0</v>
      </c>
      <c r="X86" s="151"/>
      <c r="Y86" s="156">
        <v>5</v>
      </c>
      <c r="Z86" s="153">
        <f t="shared" ref="Z86" si="1591">X86/Y86</f>
        <v>0</v>
      </c>
      <c r="AA86" s="155"/>
      <c r="AB86" s="156">
        <v>5</v>
      </c>
      <c r="AC86" s="153">
        <f t="shared" ref="AC86" si="1592">AA86/AB86</f>
        <v>0</v>
      </c>
      <c r="AD86" s="155"/>
      <c r="AE86" s="156">
        <v>5</v>
      </c>
      <c r="AF86" s="153">
        <f t="shared" ref="AF86" si="1593">AD86/AE86</f>
        <v>0</v>
      </c>
      <c r="AG86" s="155"/>
      <c r="AH86" s="156">
        <v>5</v>
      </c>
      <c r="AI86" s="153">
        <f t="shared" ref="AI86" si="1594">AG86/AH86</f>
        <v>0</v>
      </c>
      <c r="AJ86" s="155"/>
      <c r="AK86" s="156">
        <v>5</v>
      </c>
      <c r="AL86" s="153">
        <f t="shared" ref="AL86" si="1595">AJ86/AK86</f>
        <v>0</v>
      </c>
      <c r="AM86" s="151"/>
      <c r="AN86" s="157">
        <v>5</v>
      </c>
      <c r="AO86" s="153">
        <f t="shared" ref="AO86" si="1596">AM86/AN86</f>
        <v>0</v>
      </c>
      <c r="AP86" s="151"/>
      <c r="AQ86" s="157">
        <v>5</v>
      </c>
      <c r="AR86" s="153">
        <f t="shared" ref="AR86" si="1597">AP86/AQ86</f>
        <v>0</v>
      </c>
      <c r="AS86" s="151"/>
      <c r="AT86" s="157">
        <v>5</v>
      </c>
      <c r="AU86" s="153">
        <f t="shared" ref="AU86" si="1598">AS86/AT86</f>
        <v>0</v>
      </c>
      <c r="AV86" s="151"/>
      <c r="AW86" s="157">
        <v>5</v>
      </c>
      <c r="AX86" s="153">
        <f t="shared" ref="AX86" si="1599">AV86/AW86</f>
        <v>0</v>
      </c>
      <c r="AY86" s="151"/>
      <c r="AZ86" s="157">
        <v>5</v>
      </c>
      <c r="BA86" s="153">
        <f t="shared" ref="BA86" si="1600">AY86/AZ86</f>
        <v>0</v>
      </c>
      <c r="BB86" s="151"/>
      <c r="BC86" s="157">
        <v>5</v>
      </c>
      <c r="BD86" s="153">
        <f t="shared" ref="BD86" si="1601">BB86/BC86</f>
        <v>0</v>
      </c>
      <c r="BE86" s="151"/>
      <c r="BF86" s="157">
        <v>5</v>
      </c>
      <c r="BG86" s="153">
        <f t="shared" ref="BG86" si="1602">BE86/BF86</f>
        <v>0</v>
      </c>
      <c r="BH86" s="151"/>
      <c r="BI86" s="157">
        <v>5</v>
      </c>
      <c r="BJ86" s="153">
        <f t="shared" ref="BJ86" si="1603">BH86/BI86</f>
        <v>0</v>
      </c>
      <c r="BK86" s="151"/>
      <c r="BL86" s="157">
        <v>5</v>
      </c>
      <c r="BM86" s="153">
        <f t="shared" ref="BM86" si="1604">BK86/BL86</f>
        <v>0</v>
      </c>
      <c r="BN86" s="151"/>
      <c r="BO86" s="157">
        <v>5</v>
      </c>
      <c r="BP86" s="153">
        <f t="shared" ref="BP86" si="1605">BN86/BO86</f>
        <v>0</v>
      </c>
      <c r="BQ86" s="151"/>
      <c r="BR86" s="157">
        <v>5</v>
      </c>
      <c r="BS86" s="153">
        <f t="shared" ref="BS86" si="1606">BQ86/BR86</f>
        <v>0</v>
      </c>
      <c r="BT86" s="151"/>
      <c r="BU86" s="157">
        <v>5</v>
      </c>
      <c r="BV86" s="153">
        <f t="shared" ref="BV86" si="1607">BT86/BU86</f>
        <v>0</v>
      </c>
      <c r="BW86" s="151"/>
      <c r="BX86" s="157">
        <v>5</v>
      </c>
      <c r="BY86" s="153">
        <f t="shared" ref="BY86" si="1608">BW86/BX86</f>
        <v>0</v>
      </c>
      <c r="BZ86" s="151"/>
      <c r="CA86" s="157">
        <v>5</v>
      </c>
      <c r="CB86" s="153">
        <f t="shared" ref="CB86" si="1609">BZ86/CA86</f>
        <v>0</v>
      </c>
      <c r="CC86" s="151"/>
      <c r="CD86" s="157">
        <v>5</v>
      </c>
      <c r="CE86" s="153">
        <f t="shared" ref="CE86" si="1610">CC86/CD86</f>
        <v>0</v>
      </c>
      <c r="CF86" s="151"/>
      <c r="CG86" s="157">
        <v>5</v>
      </c>
      <c r="CH86" s="153">
        <f t="shared" ref="CH86" si="1611">CF86/CG86</f>
        <v>0</v>
      </c>
      <c r="CI86" s="151"/>
      <c r="CJ86" s="157">
        <v>5</v>
      </c>
      <c r="CK86" s="153">
        <f t="shared" ref="CK86" si="1612">CI86/CJ86</f>
        <v>0</v>
      </c>
      <c r="CL86" s="151"/>
      <c r="CM86" s="157">
        <v>5</v>
      </c>
      <c r="CN86" s="153">
        <f t="shared" ref="CN86" si="1613">CL86/CM86</f>
        <v>0</v>
      </c>
      <c r="CO86" s="151"/>
      <c r="CP86" s="157">
        <v>5</v>
      </c>
      <c r="CQ86" s="153">
        <f t="shared" ref="CQ86" si="1614">CO86/CP86</f>
        <v>0</v>
      </c>
      <c r="CR86" s="151"/>
      <c r="CS86" s="157">
        <v>5</v>
      </c>
      <c r="CT86" s="153">
        <f t="shared" ref="CT86" si="1615">CR86/CS86</f>
        <v>0</v>
      </c>
      <c r="CU86" s="151"/>
      <c r="CV86" s="157">
        <v>5</v>
      </c>
      <c r="CW86" s="153">
        <f t="shared" ref="CW86" si="1616">CU86/CV86</f>
        <v>0</v>
      </c>
      <c r="CX86" s="151"/>
      <c r="CY86" s="157">
        <v>5</v>
      </c>
      <c r="CZ86" s="153">
        <f t="shared" ref="CZ86" si="1617">CX86/CY86</f>
        <v>0</v>
      </c>
      <c r="DA86" s="151"/>
      <c r="DB86" s="157">
        <v>5</v>
      </c>
      <c r="DC86" s="153">
        <f t="shared" ref="DC86" si="1618">DA86/DB86</f>
        <v>0</v>
      </c>
      <c r="DD86" s="151"/>
      <c r="DE86" s="157">
        <v>5</v>
      </c>
      <c r="DF86" s="153">
        <f t="shared" ref="DF86" si="1619">DD86/DE86</f>
        <v>0</v>
      </c>
      <c r="DG86" s="151"/>
      <c r="DH86" s="157">
        <v>5</v>
      </c>
      <c r="DI86" s="153">
        <f t="shared" ref="DI86" si="1620">DG86/DH86</f>
        <v>0</v>
      </c>
      <c r="DJ86" s="151"/>
      <c r="DK86" s="157">
        <v>5</v>
      </c>
      <c r="DL86" s="153">
        <f t="shared" ref="DL86" si="1621">DJ86/DK86</f>
        <v>0</v>
      </c>
      <c r="DM86" s="151"/>
      <c r="DN86" s="157">
        <v>5</v>
      </c>
      <c r="DO86" s="153">
        <f t="shared" ref="DO86" si="1622">DM86/DN86</f>
        <v>0</v>
      </c>
      <c r="DP86" s="151"/>
      <c r="DQ86" s="157">
        <v>5</v>
      </c>
      <c r="DR86" s="153">
        <f t="shared" ref="DR86" si="1623">DP86/DQ86</f>
        <v>0</v>
      </c>
      <c r="DS86" s="151"/>
      <c r="DT86" s="157">
        <v>5</v>
      </c>
      <c r="DU86" s="153">
        <f t="shared" ref="DU86" si="1624">DS86/DT86</f>
        <v>0</v>
      </c>
      <c r="DV86" s="151"/>
      <c r="DW86" s="157">
        <v>5</v>
      </c>
      <c r="DX86" s="153">
        <f t="shared" ref="DX86" si="1625">DV86/DW86</f>
        <v>0</v>
      </c>
      <c r="DY86" s="151"/>
      <c r="DZ86" s="157">
        <v>5</v>
      </c>
      <c r="EA86" s="153">
        <f t="shared" ref="EA86" si="1626">DY86/DZ86</f>
        <v>0</v>
      </c>
      <c r="EB86" s="151"/>
      <c r="EC86" s="157">
        <v>5</v>
      </c>
      <c r="ED86" s="153">
        <f t="shared" ref="ED86" si="1627">EB86/EC86</f>
        <v>0</v>
      </c>
      <c r="EE86" s="151"/>
      <c r="EF86" s="157">
        <v>5</v>
      </c>
      <c r="EG86" s="153">
        <f t="shared" ref="EG86" si="1628">EE86/EF86</f>
        <v>0</v>
      </c>
      <c r="EH86" s="151"/>
      <c r="EI86" s="157">
        <v>5</v>
      </c>
      <c r="EJ86" s="153">
        <f t="shared" ref="EJ86" si="1629">EH86/EI86</f>
        <v>0</v>
      </c>
      <c r="EK86" s="151"/>
      <c r="EL86" s="157">
        <v>5</v>
      </c>
      <c r="EM86" s="153">
        <f t="shared" ref="EM86" si="1630">EK86/EL86</f>
        <v>0</v>
      </c>
      <c r="EN86" s="151"/>
      <c r="EO86" s="157">
        <v>5</v>
      </c>
      <c r="EP86" s="153">
        <f t="shared" ref="EP86" si="1631">EN86/EO86</f>
        <v>0</v>
      </c>
      <c r="EQ86" s="85">
        <f t="array" ref="EQ86">IFERROR(_xlfn.LET(
_xlpm.datos,CHOOSE({1;2;3;4;5;6;7;8;9;10;11;12;13;13;14;15;16;17;18;19;20;21;22;23;23;24;25;26;27;28;29;30;31;32;33;34;35;36;37;38;39;40;41;42;43;44;45;46;47},E86,H86,K86,N86,Q86,T86,W86,Z86,AC86,AF86,AI86,AL86,AO86,AR86,AU86,AX86,BA86,BD86,BG86,BJ86,BP86,BS86,BV86,BY86,CB86,CE86,CH86,CK86,CN86,CQ86,CT86,CW86,CZ86,DC86,DF86,DI86,DL86,DO86,DR86,DU86,DX86,EA86,ED86,EG86,EJ86,EM86,EP86),
AVERAGE(_xlfn._xlws.FILTER(_xlpm.datos,(_xlpm.datos&lt;&gt;0)*(_xlpm.datos&lt;&gt;"")))
),0)</f>
        <v>0</v>
      </c>
      <c r="ER86" s="162" t="str">
        <f t="array" ref="ER86">_xlfn.IFS(EQ86&gt;=91.5%,"MENSUAL",EQ86&gt;=75%,"QUINCENAL",EQ86&lt;75%,"SEMANAL")</f>
        <v>SEMANAL</v>
      </c>
    </row>
    <row r="87" spans="88:100" x14ac:dyDescent="0.25">
      <c r="CJ87" s="12"/>
      <c r="CP87" s="12"/>
      <c r="CS87" s="12"/>
      <c r="CV87" s="12"/>
    </row>
    <row r="88" spans="88:100" x14ac:dyDescent="0.25">
      <c r="CJ88" s="12"/>
      <c r="CP88" s="12"/>
      <c r="CS88" s="12"/>
      <c r="CV88" s="12"/>
    </row>
    <row r="89" spans="88:100" x14ac:dyDescent="0.25">
      <c r="CJ89" s="12"/>
      <c r="CP89" s="12"/>
      <c r="CS89" s="12"/>
      <c r="CV89" s="12"/>
    </row>
    <row r="90" spans="88:100" x14ac:dyDescent="0.25">
      <c r="CJ90" s="12"/>
      <c r="CP90" s="12"/>
      <c r="CS90" s="12"/>
      <c r="CV90" s="12"/>
    </row>
    <row r="91" spans="88:100" x14ac:dyDescent="0.25">
      <c r="CJ91" s="12"/>
      <c r="CP91" s="12"/>
      <c r="CS91" s="12"/>
      <c r="CV91" s="12"/>
    </row>
    <row r="92" spans="88:100" x14ac:dyDescent="0.25">
      <c r="CJ92" s="12"/>
      <c r="CP92" s="12"/>
      <c r="CS92" s="12"/>
      <c r="CV92" s="12"/>
    </row>
    <row r="93" spans="88:100" x14ac:dyDescent="0.25">
      <c r="CJ93" s="12"/>
      <c r="CP93" s="12"/>
      <c r="CS93" s="12"/>
      <c r="CV93" s="12"/>
    </row>
    <row r="94" spans="88:100" x14ac:dyDescent="0.25">
      <c r="CJ94" s="12"/>
      <c r="CP94" s="12"/>
      <c r="CS94" s="12"/>
      <c r="CV94" s="12"/>
    </row>
    <row r="95" spans="52:100" x14ac:dyDescent="0.25">
      <c r="AZ95" s="160"/>
      <c r="CJ95" s="12"/>
      <c r="CP95" s="12"/>
      <c r="CS95" s="12"/>
      <c r="CV95" s="12"/>
    </row>
    <row r="96" spans="88:100" x14ac:dyDescent="0.25">
      <c r="CJ96" s="12"/>
      <c r="CP96" s="12"/>
      <c r="CS96" s="12"/>
      <c r="CV96" s="12"/>
    </row>
    <row r="97" spans="88:100" x14ac:dyDescent="0.25">
      <c r="CJ97" s="12"/>
      <c r="CP97" s="12"/>
      <c r="CS97" s="12"/>
      <c r="CV97" s="12"/>
    </row>
    <row r="98" spans="88:100" x14ac:dyDescent="0.25">
      <c r="CJ98" s="12"/>
      <c r="CS98" s="12"/>
      <c r="CV98" s="12"/>
    </row>
    <row r="99" spans="88:100" x14ac:dyDescent="0.25">
      <c r="CJ99" s="12"/>
      <c r="CS99" s="12"/>
      <c r="CV99" s="12"/>
    </row>
    <row r="100" spans="88:100" x14ac:dyDescent="0.25">
      <c r="CJ100" s="12"/>
      <c r="CS100" s="12"/>
      <c r="CV100" s="12"/>
    </row>
    <row r="101" spans="88:100" x14ac:dyDescent="0.25">
      <c r="CJ101" s="12"/>
      <c r="CV101" s="12"/>
    </row>
    <row r="102" spans="88:88" x14ac:dyDescent="0.25">
      <c r="CJ102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86">
    <cfRule type="containsText" dxfId="3" priority="1">
      <formula>NOT(ISERROR(SEARCH("QUINCENAL",ER8)))</formula>
    </cfRule>
    <cfRule type="containsText" dxfId="4" priority="2">
      <formula>NOT(ISERROR(SEARCH("MENSUAL",ER8)))</formula>
    </cfRule>
    <cfRule type="containsText" dxfId="5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81"/>
  <sheetViews>
    <sheetView workbookViewId="0" zoomScale="60" zoomScaleNormal="60">
      <pane xSplit="1" topLeftCell="B1" activePane="topRight" state="frozen"/>
      <selection pane="topRight" activeCell="G9" sqref="G9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176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AVERAGE(E9:E15)</f>
        <v>0</v>
      </c>
      <c r="F8" s="80"/>
      <c r="G8" s="83"/>
      <c r="H8" s="82">
        <f>AVERAGE(H9:H15)</f>
        <v>0</v>
      </c>
      <c r="I8" s="80"/>
      <c r="J8" s="83"/>
      <c r="K8" s="82">
        <f>AVERAGE(K9:K15)</f>
        <v>0</v>
      </c>
      <c r="L8" s="80"/>
      <c r="M8" s="83"/>
      <c r="N8" s="82">
        <f>AVERAGE(N9:N15)</f>
        <v>0</v>
      </c>
      <c r="O8" s="80"/>
      <c r="P8" s="83"/>
      <c r="Q8" s="82">
        <f>AVERAGE(Q9:Q15)</f>
        <v>0</v>
      </c>
      <c r="R8" s="80"/>
      <c r="S8" s="83"/>
      <c r="T8" s="82">
        <f>AVERAGE(T9:T15)</f>
        <v>0</v>
      </c>
      <c r="U8" s="80"/>
      <c r="V8" s="83"/>
      <c r="W8" s="82">
        <f>AVERAGE(W9:W15)</f>
        <v>0</v>
      </c>
      <c r="X8" s="80"/>
      <c r="Y8" s="83"/>
      <c r="Z8" s="82">
        <f>AVERAGE(Z9:Z15)</f>
        <v>0</v>
      </c>
      <c r="AA8" s="80"/>
      <c r="AB8" s="83"/>
      <c r="AC8" s="82">
        <f>AVERAGE(AC9:AC15)</f>
        <v>0</v>
      </c>
      <c r="AD8" s="80"/>
      <c r="AE8" s="83"/>
      <c r="AF8" s="82">
        <f>AVERAGE(AF9:AF15)</f>
        <v>0</v>
      </c>
      <c r="AG8" s="80"/>
      <c r="AH8" s="83"/>
      <c r="AI8" s="82">
        <f>AVERAGE(AI9:AI15)</f>
        <v>0</v>
      </c>
      <c r="AJ8" s="80"/>
      <c r="AK8" s="83"/>
      <c r="AL8" s="82">
        <f>AVERAGE(AL9:AL15)</f>
        <v>0</v>
      </c>
      <c r="AM8" s="80"/>
      <c r="AN8" s="83"/>
      <c r="AO8" s="82">
        <f>AVERAGE(AO9:AO15)</f>
        <v>0</v>
      </c>
      <c r="AP8" s="80"/>
      <c r="AQ8" s="83"/>
      <c r="AR8" s="82">
        <f>AVERAGE(AR9:AR15)</f>
        <v>0</v>
      </c>
      <c r="AS8" s="80"/>
      <c r="AT8" s="83"/>
      <c r="AU8" s="82">
        <f>AVERAGE(AU9:AU15)</f>
        <v>0</v>
      </c>
      <c r="AV8" s="80"/>
      <c r="AW8" s="83"/>
      <c r="AX8" s="82">
        <f>AVERAGE(AX9:AX15)</f>
        <v>0</v>
      </c>
      <c r="AY8" s="80"/>
      <c r="AZ8" s="83"/>
      <c r="BA8" s="82">
        <f>AVERAGE(BA9:BA15)</f>
        <v>0</v>
      </c>
      <c r="BB8" s="80"/>
      <c r="BC8" s="83"/>
      <c r="BD8" s="82">
        <f>AVERAGE(BD9:BD15)</f>
        <v>0</v>
      </c>
      <c r="BE8" s="80"/>
      <c r="BF8" s="83"/>
      <c r="BG8" s="82">
        <f>AVERAGE(BG9:BG15)</f>
        <v>0</v>
      </c>
      <c r="BH8" s="80"/>
      <c r="BI8" s="83"/>
      <c r="BJ8" s="82">
        <f>AVERAGE(BJ9:BJ15)</f>
        <v>0</v>
      </c>
      <c r="BK8" s="80"/>
      <c r="BL8" s="83"/>
      <c r="BM8" s="82">
        <f>AVERAGE(BM9:BM15)</f>
        <v>0</v>
      </c>
      <c r="BN8" s="80"/>
      <c r="BO8" s="83"/>
      <c r="BP8" s="82">
        <f>AVERAGE(BP9:BP15)</f>
        <v>0</v>
      </c>
      <c r="BQ8" s="80"/>
      <c r="BR8" s="83"/>
      <c r="BS8" s="82">
        <f>AVERAGE(BS9:BS15)</f>
        <v>0</v>
      </c>
      <c r="BT8" s="80"/>
      <c r="BU8" s="83"/>
      <c r="BV8" s="82">
        <f>AVERAGE(BV9:BV15)</f>
        <v>0</v>
      </c>
      <c r="BW8" s="80"/>
      <c r="BX8" s="83"/>
      <c r="BY8" s="82">
        <f>AVERAGE(BY9:BY15)</f>
        <v>0</v>
      </c>
      <c r="BZ8" s="80"/>
      <c r="CA8" s="83"/>
      <c r="CB8" s="82">
        <f>AVERAGE(CB9:CB15)</f>
        <v>0</v>
      </c>
      <c r="CC8" s="80"/>
      <c r="CD8" s="83"/>
      <c r="CE8" s="82">
        <f>AVERAGE(CE9:CE15)</f>
        <v>0</v>
      </c>
      <c r="CF8" s="80"/>
      <c r="CG8" s="83"/>
      <c r="CH8" s="82">
        <f>AVERAGE(CH9:CH15)</f>
        <v>0</v>
      </c>
      <c r="CI8" s="80"/>
      <c r="CJ8" s="83"/>
      <c r="CK8" s="82">
        <f>AVERAGE(CK9:CK15)</f>
        <v>0</v>
      </c>
      <c r="CL8" s="80"/>
      <c r="CM8" s="83"/>
      <c r="CN8" s="82">
        <f>AVERAGE(CN9:CN15)</f>
        <v>0</v>
      </c>
      <c r="CO8" s="80"/>
      <c r="CP8" s="83"/>
      <c r="CQ8" s="82">
        <f>AVERAGE(CQ9:CQ15)</f>
        <v>0</v>
      </c>
      <c r="CR8" s="80"/>
      <c r="CS8" s="83"/>
      <c r="CT8" s="82">
        <f>AVERAGE(CT9:CT15)</f>
        <v>0</v>
      </c>
      <c r="CU8" s="80"/>
      <c r="CV8" s="83"/>
      <c r="CW8" s="82">
        <f>AVERAGE(CW9:CW15)</f>
        <v>0</v>
      </c>
      <c r="CX8" s="80"/>
      <c r="CY8" s="83"/>
      <c r="CZ8" s="82">
        <f>AVERAGE(CZ9:CZ15)</f>
        <v>0</v>
      </c>
      <c r="DA8" s="80"/>
      <c r="DB8" s="83"/>
      <c r="DC8" s="82">
        <f>AVERAGE(DC9:DC15)</f>
        <v>0</v>
      </c>
      <c r="DD8" s="80"/>
      <c r="DE8" s="83"/>
      <c r="DF8" s="82">
        <f>AVERAGE(DF9:DF15)</f>
        <v>0</v>
      </c>
      <c r="DG8" s="80"/>
      <c r="DH8" s="83"/>
      <c r="DI8" s="82">
        <f>AVERAGE(DI9:DI15)</f>
        <v>0</v>
      </c>
      <c r="DJ8" s="80"/>
      <c r="DK8" s="83"/>
      <c r="DL8" s="82">
        <f>AVERAGE(DL9:DL15)</f>
        <v>0</v>
      </c>
      <c r="DM8" s="80"/>
      <c r="DN8" s="83"/>
      <c r="DO8" s="82">
        <f>AVERAGE(DO9:DO15)</f>
        <v>0</v>
      </c>
      <c r="DP8" s="80"/>
      <c r="DQ8" s="83"/>
      <c r="DR8" s="82">
        <f>AVERAGE(DR9:DR15)</f>
        <v>0</v>
      </c>
      <c r="DS8" s="80"/>
      <c r="DT8" s="83"/>
      <c r="DU8" s="82">
        <f>AVERAGE(DU9:DU15)</f>
        <v>0</v>
      </c>
      <c r="DV8" s="80"/>
      <c r="DW8" s="83"/>
      <c r="DX8" s="82">
        <f>AVERAGE(DX9:DX15)</f>
        <v>0</v>
      </c>
      <c r="DY8" s="80"/>
      <c r="DZ8" s="83"/>
      <c r="EA8" s="82">
        <f>AVERAGE(EA9:EA15)</f>
        <v>0</v>
      </c>
      <c r="EB8" s="80"/>
      <c r="EC8" s="83"/>
      <c r="ED8" s="82">
        <f>AVERAGE(ED9:ED15)</f>
        <v>0</v>
      </c>
      <c r="EE8" s="80"/>
      <c r="EF8" s="83"/>
      <c r="EG8" s="82">
        <f>AVERAGE(EG9:EG15)</f>
        <v>0</v>
      </c>
      <c r="EH8" s="80"/>
      <c r="EI8" s="83"/>
      <c r="EJ8" s="82">
        <f>AVERAGE(EJ9:EJ15)</f>
        <v>0</v>
      </c>
      <c r="EK8" s="80"/>
      <c r="EL8" s="83"/>
      <c r="EM8" s="82">
        <f>AVERAGE(EM9:EM15)</f>
        <v>0</v>
      </c>
      <c r="EN8" s="80"/>
      <c r="EO8" s="83"/>
      <c r="EP8" s="82">
        <f>AVERAGE(EP9:EP15)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102"/>
      <c r="D9" s="103">
        <v>5</v>
      </c>
      <c r="E9" s="104">
        <f t="shared" ref="E9:E15" si="0">C9/D9</f>
        <v>0</v>
      </c>
      <c r="F9" s="102"/>
      <c r="G9" s="103">
        <v>5</v>
      </c>
      <c r="H9" s="104">
        <f t="shared" ref="H9:H15" si="1">F9/G9</f>
        <v>0</v>
      </c>
      <c r="I9" s="105"/>
      <c r="J9" s="103">
        <v>5</v>
      </c>
      <c r="K9" s="104">
        <f t="shared" ref="K9:K15" si="2">I9/J9</f>
        <v>0</v>
      </c>
      <c r="L9" s="105"/>
      <c r="M9" s="103">
        <v>5</v>
      </c>
      <c r="N9" s="104">
        <f t="shared" ref="N9:N15" si="3">L9/M9</f>
        <v>0</v>
      </c>
      <c r="O9" s="106"/>
      <c r="P9" s="107">
        <v>5</v>
      </c>
      <c r="Q9" s="104">
        <f t="shared" ref="Q9:Q15" si="4">O9/P9</f>
        <v>0</v>
      </c>
      <c r="R9" s="102"/>
      <c r="S9" s="107">
        <v>5</v>
      </c>
      <c r="T9" s="104">
        <f t="shared" ref="T9:T15" si="5">R9/S9</f>
        <v>0</v>
      </c>
      <c r="U9" s="102"/>
      <c r="V9" s="107">
        <v>5</v>
      </c>
      <c r="W9" s="104">
        <f t="shared" ref="W9:W15" si="6">U9/V9</f>
        <v>0</v>
      </c>
      <c r="X9" s="102"/>
      <c r="Y9" s="107">
        <v>5</v>
      </c>
      <c r="Z9" s="104">
        <f t="shared" ref="Z9:Z15" si="7">X9/Y9</f>
        <v>0</v>
      </c>
      <c r="AA9" s="106"/>
      <c r="AB9" s="107">
        <v>5</v>
      </c>
      <c r="AC9" s="104">
        <f t="shared" ref="AC9:AC15" si="8">AA9/AB9</f>
        <v>0</v>
      </c>
      <c r="AD9" s="106"/>
      <c r="AE9" s="107">
        <v>5</v>
      </c>
      <c r="AF9" s="104">
        <f t="shared" ref="AF9:AF15" si="9">AD9/AE9</f>
        <v>0</v>
      </c>
      <c r="AG9" s="106"/>
      <c r="AH9" s="107">
        <v>5</v>
      </c>
      <c r="AI9" s="104">
        <f t="shared" ref="AI9:AI15" si="10">AG9/AH9</f>
        <v>0</v>
      </c>
      <c r="AJ9" s="106"/>
      <c r="AK9" s="107">
        <v>5</v>
      </c>
      <c r="AL9" s="104">
        <f t="shared" ref="AL9:AL15" si="11">AJ9/AK9</f>
        <v>0</v>
      </c>
      <c r="AM9" s="102"/>
      <c r="AN9" s="1">
        <v>5</v>
      </c>
      <c r="AO9" s="104">
        <f t="shared" ref="AO9:AO15" si="12">AM9/AN9</f>
        <v>0</v>
      </c>
      <c r="AP9" s="102"/>
      <c r="AQ9" s="1">
        <v>5</v>
      </c>
      <c r="AR9" s="104">
        <f t="shared" ref="AR9:AR15" si="13">AP9/AQ9</f>
        <v>0</v>
      </c>
      <c r="AS9" s="102"/>
      <c r="AT9" s="1">
        <v>5</v>
      </c>
      <c r="AU9" s="104">
        <f t="shared" ref="AU9:AU15" si="14">AS9/AT9</f>
        <v>0</v>
      </c>
      <c r="AV9" s="102"/>
      <c r="AW9" s="1">
        <v>5</v>
      </c>
      <c r="AX9" s="104">
        <f t="shared" ref="AX9:AX15" si="15">AV9/AW9</f>
        <v>0</v>
      </c>
      <c r="AY9" s="102"/>
      <c r="AZ9" s="1">
        <v>5</v>
      </c>
      <c r="BA9" s="104">
        <f t="shared" ref="BA9:BA15" si="16">AY9/AZ9</f>
        <v>0</v>
      </c>
      <c r="BB9" s="102"/>
      <c r="BC9" s="1">
        <v>5</v>
      </c>
      <c r="BD9" s="104">
        <f t="shared" ref="BD9:BD15" si="17">BB9/BC9</f>
        <v>0</v>
      </c>
      <c r="BE9" s="102"/>
      <c r="BF9" s="1">
        <v>5</v>
      </c>
      <c r="BG9" s="104">
        <f t="shared" ref="BG9:BG15" si="18">BE9/BF9</f>
        <v>0</v>
      </c>
      <c r="BH9" s="102"/>
      <c r="BI9" s="1">
        <v>5</v>
      </c>
      <c r="BJ9" s="104">
        <f t="shared" ref="BJ9:BJ15" si="19">BH9/BI9</f>
        <v>0</v>
      </c>
      <c r="BK9" s="102"/>
      <c r="BL9" s="1">
        <v>5</v>
      </c>
      <c r="BM9" s="104">
        <f t="shared" ref="BM9:BM15" si="20">BK9/BL9</f>
        <v>0</v>
      </c>
      <c r="BN9" s="102"/>
      <c r="BO9" s="1">
        <v>5</v>
      </c>
      <c r="BP9" s="104">
        <f t="shared" ref="BP9:BP15" si="21">BN9/BO9</f>
        <v>0</v>
      </c>
      <c r="BQ9" s="102"/>
      <c r="BR9" s="1">
        <v>5</v>
      </c>
      <c r="BS9" s="104">
        <f t="shared" ref="BS9:BS15" si="22">BQ9/BR9</f>
        <v>0</v>
      </c>
      <c r="BT9" s="102"/>
      <c r="BU9" s="1">
        <v>5</v>
      </c>
      <c r="BV9" s="104">
        <f t="shared" ref="BV9:BV15" si="23">BT9/BU9</f>
        <v>0</v>
      </c>
      <c r="BW9" s="102"/>
      <c r="BX9" s="1">
        <v>5</v>
      </c>
      <c r="BY9" s="104">
        <f t="shared" ref="BY9:BY15" si="24">BW9/BX9</f>
        <v>0</v>
      </c>
      <c r="BZ9" s="102"/>
      <c r="CA9" s="1">
        <v>5</v>
      </c>
      <c r="CB9" s="104">
        <f t="shared" ref="CB9:CB15" si="25">BZ9/CA9</f>
        <v>0</v>
      </c>
      <c r="CC9" s="102"/>
      <c r="CD9" s="1">
        <v>5</v>
      </c>
      <c r="CE9" s="104">
        <f t="shared" ref="CE9:CE15" si="26">CC9/CD9</f>
        <v>0</v>
      </c>
      <c r="CF9" s="102"/>
      <c r="CG9" s="1">
        <v>5</v>
      </c>
      <c r="CH9" s="104">
        <f t="shared" ref="CH9:CH15" si="27">CF9/CG9</f>
        <v>0</v>
      </c>
      <c r="CI9" s="102"/>
      <c r="CJ9" s="1">
        <v>5</v>
      </c>
      <c r="CK9" s="104">
        <f t="shared" ref="CK9:CK15" si="28">CI9/CJ9</f>
        <v>0</v>
      </c>
      <c r="CL9" s="102"/>
      <c r="CM9" s="1">
        <v>5</v>
      </c>
      <c r="CN9" s="104">
        <f t="shared" ref="CN9:CN15" si="29">CL9/CM9</f>
        <v>0</v>
      </c>
      <c r="CO9" s="102"/>
      <c r="CP9" s="1">
        <v>5</v>
      </c>
      <c r="CQ9" s="104">
        <f t="shared" ref="CQ9:CQ15" si="30">CO9/CP9</f>
        <v>0</v>
      </c>
      <c r="CR9" s="102"/>
      <c r="CS9" s="1">
        <v>5</v>
      </c>
      <c r="CT9" s="104">
        <f t="shared" ref="CT9:CT15" si="31">CR9/CS9</f>
        <v>0</v>
      </c>
      <c r="CU9" s="102"/>
      <c r="CV9" s="1">
        <v>5</v>
      </c>
      <c r="CW9" s="104">
        <f t="shared" ref="CW9:CW15" si="32">CU9/CV9</f>
        <v>0</v>
      </c>
      <c r="CX9" s="102"/>
      <c r="CY9" s="1">
        <v>5</v>
      </c>
      <c r="CZ9" s="104">
        <f t="shared" ref="CZ9:CZ15" si="33">CX9/CY9</f>
        <v>0</v>
      </c>
      <c r="DA9" s="102"/>
      <c r="DB9" s="1">
        <v>5</v>
      </c>
      <c r="DC9" s="104">
        <f t="shared" ref="DC9:DC15" si="34">DA9/DB9</f>
        <v>0</v>
      </c>
      <c r="DD9" s="102"/>
      <c r="DE9" s="1">
        <v>5</v>
      </c>
      <c r="DF9" s="104">
        <f t="shared" ref="DF9:DF15" si="35">DD9/DE9</f>
        <v>0</v>
      </c>
      <c r="DG9" s="102"/>
      <c r="DH9" s="1">
        <v>5</v>
      </c>
      <c r="DI9" s="104">
        <f t="shared" ref="DI9:DI15" si="36">DG9/DH9</f>
        <v>0</v>
      </c>
      <c r="DJ9" s="102"/>
      <c r="DK9" s="1">
        <v>5</v>
      </c>
      <c r="DL9" s="104">
        <f t="shared" ref="DL9:DL15" si="37">DJ9/DK9</f>
        <v>0</v>
      </c>
      <c r="DM9" s="102"/>
      <c r="DN9" s="1">
        <v>5</v>
      </c>
      <c r="DO9" s="104">
        <f t="shared" ref="DO9:DO15" si="38">DM9/DN9</f>
        <v>0</v>
      </c>
      <c r="DP9" s="102"/>
      <c r="DQ9" s="1">
        <v>5</v>
      </c>
      <c r="DR9" s="104">
        <f t="shared" ref="DR9:DR15" si="39">DP9/DQ9</f>
        <v>0</v>
      </c>
      <c r="DS9" s="102"/>
      <c r="DT9" s="1">
        <v>5</v>
      </c>
      <c r="DU9" s="104">
        <f t="shared" ref="DU9:DU15" si="40">DS9/DT9</f>
        <v>0</v>
      </c>
      <c r="DV9" s="102"/>
      <c r="DW9" s="1">
        <v>5</v>
      </c>
      <c r="DX9" s="104">
        <f t="shared" ref="DX9:DX15" si="41">DV9/DW9</f>
        <v>0</v>
      </c>
      <c r="DY9" s="102"/>
      <c r="DZ9" s="1">
        <v>5</v>
      </c>
      <c r="EA9" s="104">
        <f t="shared" ref="EA9:EA15" si="42">DY9/DZ9</f>
        <v>0</v>
      </c>
      <c r="EB9" s="102"/>
      <c r="EC9" s="1">
        <v>5</v>
      </c>
      <c r="ED9" s="104">
        <f t="shared" ref="ED9:ED15" si="43">EB9/EC9</f>
        <v>0</v>
      </c>
      <c r="EE9" s="102"/>
      <c r="EF9" s="1">
        <v>5</v>
      </c>
      <c r="EG9" s="104">
        <f t="shared" ref="EG9:EG15" si="44">EE9/EF9</f>
        <v>0</v>
      </c>
      <c r="EH9" s="102"/>
      <c r="EI9" s="1">
        <v>5</v>
      </c>
      <c r="EJ9" s="104">
        <f t="shared" ref="EJ9:EJ15" si="45">EH9/EI9</f>
        <v>0</v>
      </c>
      <c r="EK9" s="102"/>
      <c r="EL9" s="1">
        <v>5</v>
      </c>
      <c r="EM9" s="104">
        <f t="shared" ref="EM9:EM15" si="46">EK9/EL9</f>
        <v>0</v>
      </c>
      <c r="EN9" s="102"/>
      <c r="EO9" s="1">
        <v>5</v>
      </c>
      <c r="EP9" s="104">
        <f t="shared" ref="EP9:EP15" si="47"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si="0"/>
        <v>0</v>
      </c>
      <c r="F10" s="102"/>
      <c r="G10" s="103">
        <v>5</v>
      </c>
      <c r="H10" s="104">
        <f t="shared" si="1"/>
        <v>0</v>
      </c>
      <c r="I10" s="105"/>
      <c r="J10" s="103">
        <v>5</v>
      </c>
      <c r="K10" s="104">
        <f t="shared" si="2"/>
        <v>0</v>
      </c>
      <c r="L10" s="105"/>
      <c r="M10" s="103">
        <v>5</v>
      </c>
      <c r="N10" s="104">
        <f t="shared" si="3"/>
        <v>0</v>
      </c>
      <c r="O10" s="106"/>
      <c r="P10" s="107">
        <v>5</v>
      </c>
      <c r="Q10" s="104">
        <f t="shared" si="4"/>
        <v>0</v>
      </c>
      <c r="R10" s="102"/>
      <c r="S10" s="107">
        <v>5</v>
      </c>
      <c r="T10" s="104">
        <f t="shared" si="5"/>
        <v>0</v>
      </c>
      <c r="U10" s="102"/>
      <c r="V10" s="107">
        <v>5</v>
      </c>
      <c r="W10" s="104">
        <f t="shared" si="6"/>
        <v>0</v>
      </c>
      <c r="X10" s="102"/>
      <c r="Y10" s="107">
        <v>5</v>
      </c>
      <c r="Z10" s="104">
        <f t="shared" si="7"/>
        <v>0</v>
      </c>
      <c r="AA10" s="106"/>
      <c r="AB10" s="107">
        <v>5</v>
      </c>
      <c r="AC10" s="104">
        <f t="shared" si="8"/>
        <v>0</v>
      </c>
      <c r="AD10" s="106"/>
      <c r="AE10" s="107">
        <v>5</v>
      </c>
      <c r="AF10" s="104">
        <f t="shared" si="9"/>
        <v>0</v>
      </c>
      <c r="AG10" s="106"/>
      <c r="AH10" s="107">
        <v>5</v>
      </c>
      <c r="AI10" s="104">
        <f t="shared" si="10"/>
        <v>0</v>
      </c>
      <c r="AJ10" s="106"/>
      <c r="AK10" s="107">
        <v>5</v>
      </c>
      <c r="AL10" s="104">
        <f t="shared" si="11"/>
        <v>0</v>
      </c>
      <c r="AM10" s="102"/>
      <c r="AN10" s="1">
        <v>5</v>
      </c>
      <c r="AO10" s="104">
        <f t="shared" si="12"/>
        <v>0</v>
      </c>
      <c r="AP10" s="102"/>
      <c r="AQ10" s="1">
        <v>5</v>
      </c>
      <c r="AR10" s="104">
        <f t="shared" si="13"/>
        <v>0</v>
      </c>
      <c r="AS10" s="102"/>
      <c r="AT10" s="1">
        <v>5</v>
      </c>
      <c r="AU10" s="104">
        <f t="shared" si="14"/>
        <v>0</v>
      </c>
      <c r="AV10" s="102"/>
      <c r="AW10" s="1">
        <v>5</v>
      </c>
      <c r="AX10" s="104">
        <f t="shared" si="15"/>
        <v>0</v>
      </c>
      <c r="AY10" s="102"/>
      <c r="AZ10" s="1">
        <v>5</v>
      </c>
      <c r="BA10" s="104">
        <f t="shared" si="16"/>
        <v>0</v>
      </c>
      <c r="BB10" s="102"/>
      <c r="BC10" s="1">
        <v>5</v>
      </c>
      <c r="BD10" s="104">
        <f t="shared" si="17"/>
        <v>0</v>
      </c>
      <c r="BE10" s="102"/>
      <c r="BF10" s="1">
        <v>5</v>
      </c>
      <c r="BG10" s="104">
        <f t="shared" si="18"/>
        <v>0</v>
      </c>
      <c r="BH10" s="102"/>
      <c r="BI10" s="1">
        <v>5</v>
      </c>
      <c r="BJ10" s="104">
        <f t="shared" si="19"/>
        <v>0</v>
      </c>
      <c r="BK10" s="102"/>
      <c r="BL10" s="1">
        <v>5</v>
      </c>
      <c r="BM10" s="104">
        <f t="shared" si="20"/>
        <v>0</v>
      </c>
      <c r="BN10" s="102"/>
      <c r="BO10" s="1">
        <v>5</v>
      </c>
      <c r="BP10" s="104">
        <f t="shared" si="21"/>
        <v>0</v>
      </c>
      <c r="BQ10" s="102"/>
      <c r="BR10" s="1">
        <v>5</v>
      </c>
      <c r="BS10" s="104">
        <f t="shared" si="22"/>
        <v>0</v>
      </c>
      <c r="BT10" s="102"/>
      <c r="BU10" s="1">
        <v>5</v>
      </c>
      <c r="BV10" s="104">
        <f t="shared" si="23"/>
        <v>0</v>
      </c>
      <c r="BW10" s="102"/>
      <c r="BX10" s="1">
        <v>5</v>
      </c>
      <c r="BY10" s="104">
        <f t="shared" si="24"/>
        <v>0</v>
      </c>
      <c r="BZ10" s="102"/>
      <c r="CA10" s="1">
        <v>5</v>
      </c>
      <c r="CB10" s="104">
        <f t="shared" si="25"/>
        <v>0</v>
      </c>
      <c r="CC10" s="102"/>
      <c r="CD10" s="1">
        <v>5</v>
      </c>
      <c r="CE10" s="104">
        <f t="shared" si="26"/>
        <v>0</v>
      </c>
      <c r="CF10" s="102"/>
      <c r="CG10" s="1">
        <v>5</v>
      </c>
      <c r="CH10" s="104">
        <f t="shared" si="27"/>
        <v>0</v>
      </c>
      <c r="CI10" s="102"/>
      <c r="CJ10" s="1">
        <v>5</v>
      </c>
      <c r="CK10" s="104">
        <f t="shared" si="28"/>
        <v>0</v>
      </c>
      <c r="CL10" s="102"/>
      <c r="CM10" s="1">
        <v>5</v>
      </c>
      <c r="CN10" s="104">
        <f t="shared" si="29"/>
        <v>0</v>
      </c>
      <c r="CO10" s="102"/>
      <c r="CP10" s="1">
        <v>5</v>
      </c>
      <c r="CQ10" s="104">
        <f t="shared" si="30"/>
        <v>0</v>
      </c>
      <c r="CR10" s="102"/>
      <c r="CS10" s="1">
        <v>5</v>
      </c>
      <c r="CT10" s="104">
        <f t="shared" si="31"/>
        <v>0</v>
      </c>
      <c r="CU10" s="102"/>
      <c r="CV10" s="1">
        <v>5</v>
      </c>
      <c r="CW10" s="104">
        <f t="shared" si="32"/>
        <v>0</v>
      </c>
      <c r="CX10" s="102"/>
      <c r="CY10" s="1">
        <v>5</v>
      </c>
      <c r="CZ10" s="104">
        <f t="shared" si="33"/>
        <v>0</v>
      </c>
      <c r="DA10" s="102"/>
      <c r="DB10" s="1">
        <v>5</v>
      </c>
      <c r="DC10" s="104">
        <f t="shared" si="34"/>
        <v>0</v>
      </c>
      <c r="DD10" s="102"/>
      <c r="DE10" s="1">
        <v>5</v>
      </c>
      <c r="DF10" s="104">
        <f t="shared" si="35"/>
        <v>0</v>
      </c>
      <c r="DG10" s="102"/>
      <c r="DH10" s="1">
        <v>5</v>
      </c>
      <c r="DI10" s="104">
        <f t="shared" si="36"/>
        <v>0</v>
      </c>
      <c r="DJ10" s="102"/>
      <c r="DK10" s="1">
        <v>5</v>
      </c>
      <c r="DL10" s="104">
        <f t="shared" si="37"/>
        <v>0</v>
      </c>
      <c r="DM10" s="102"/>
      <c r="DN10" s="1">
        <v>5</v>
      </c>
      <c r="DO10" s="104">
        <f t="shared" si="38"/>
        <v>0</v>
      </c>
      <c r="DP10" s="102"/>
      <c r="DQ10" s="1">
        <v>5</v>
      </c>
      <c r="DR10" s="104">
        <f t="shared" si="39"/>
        <v>0</v>
      </c>
      <c r="DS10" s="102"/>
      <c r="DT10" s="1">
        <v>5</v>
      </c>
      <c r="DU10" s="104">
        <f t="shared" si="40"/>
        <v>0</v>
      </c>
      <c r="DV10" s="102"/>
      <c r="DW10" s="1">
        <v>5</v>
      </c>
      <c r="DX10" s="104">
        <f t="shared" si="41"/>
        <v>0</v>
      </c>
      <c r="DY10" s="102"/>
      <c r="DZ10" s="1">
        <v>5</v>
      </c>
      <c r="EA10" s="104">
        <f t="shared" si="42"/>
        <v>0</v>
      </c>
      <c r="EB10" s="102"/>
      <c r="EC10" s="1">
        <v>5</v>
      </c>
      <c r="ED10" s="104">
        <f t="shared" si="43"/>
        <v>0</v>
      </c>
      <c r="EE10" s="102"/>
      <c r="EF10" s="1">
        <v>5</v>
      </c>
      <c r="EG10" s="104">
        <f t="shared" si="44"/>
        <v>0</v>
      </c>
      <c r="EH10" s="102"/>
      <c r="EI10" s="1">
        <v>5</v>
      </c>
      <c r="EJ10" s="104">
        <f t="shared" si="45"/>
        <v>0</v>
      </c>
      <c r="EK10" s="102"/>
      <c r="EL10" s="1">
        <v>5</v>
      </c>
      <c r="EM10" s="104">
        <f t="shared" si="46"/>
        <v>0</v>
      </c>
      <c r="EN10" s="102"/>
      <c r="EO10" s="1">
        <v>5</v>
      </c>
      <c r="EP10" s="104">
        <f t="shared" si="47"/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136</v>
      </c>
      <c r="B11" s="101"/>
      <c r="C11" s="102"/>
      <c r="D11" s="103">
        <v>5</v>
      </c>
      <c r="E11" s="104">
        <f t="shared" si="0"/>
        <v>0</v>
      </c>
      <c r="F11" s="102"/>
      <c r="G11" s="103">
        <v>5</v>
      </c>
      <c r="H11" s="104">
        <f t="shared" si="1"/>
        <v>0</v>
      </c>
      <c r="I11" s="105"/>
      <c r="J11" s="103">
        <v>5</v>
      </c>
      <c r="K11" s="104">
        <f t="shared" si="2"/>
        <v>0</v>
      </c>
      <c r="L11" s="105"/>
      <c r="M11" s="103">
        <v>5</v>
      </c>
      <c r="N11" s="104">
        <f t="shared" si="3"/>
        <v>0</v>
      </c>
      <c r="O11" s="106"/>
      <c r="P11" s="107">
        <v>5</v>
      </c>
      <c r="Q11" s="104">
        <f t="shared" si="4"/>
        <v>0</v>
      </c>
      <c r="R11" s="102"/>
      <c r="S11" s="107">
        <v>5</v>
      </c>
      <c r="T11" s="104">
        <f t="shared" si="5"/>
        <v>0</v>
      </c>
      <c r="U11" s="102"/>
      <c r="V11" s="107">
        <v>5</v>
      </c>
      <c r="W11" s="104">
        <f t="shared" si="6"/>
        <v>0</v>
      </c>
      <c r="X11" s="102"/>
      <c r="Y11" s="107">
        <v>5</v>
      </c>
      <c r="Z11" s="104">
        <f t="shared" si="7"/>
        <v>0</v>
      </c>
      <c r="AA11" s="106"/>
      <c r="AB11" s="107">
        <v>5</v>
      </c>
      <c r="AC11" s="104">
        <f t="shared" si="8"/>
        <v>0</v>
      </c>
      <c r="AD11" s="106"/>
      <c r="AE11" s="107">
        <v>5</v>
      </c>
      <c r="AF11" s="104">
        <f t="shared" si="9"/>
        <v>0</v>
      </c>
      <c r="AG11" s="106"/>
      <c r="AH11" s="107">
        <v>5</v>
      </c>
      <c r="AI11" s="104">
        <f t="shared" si="10"/>
        <v>0</v>
      </c>
      <c r="AJ11" s="106"/>
      <c r="AK11" s="107">
        <v>5</v>
      </c>
      <c r="AL11" s="104">
        <f t="shared" si="11"/>
        <v>0</v>
      </c>
      <c r="AM11" s="102"/>
      <c r="AN11" s="1">
        <v>5</v>
      </c>
      <c r="AO11" s="104">
        <f t="shared" si="12"/>
        <v>0</v>
      </c>
      <c r="AP11" s="102"/>
      <c r="AQ11" s="1">
        <v>5</v>
      </c>
      <c r="AR11" s="104">
        <f t="shared" si="13"/>
        <v>0</v>
      </c>
      <c r="AS11" s="102"/>
      <c r="AT11" s="1">
        <v>5</v>
      </c>
      <c r="AU11" s="104">
        <f t="shared" si="14"/>
        <v>0</v>
      </c>
      <c r="AV11" s="102"/>
      <c r="AW11" s="1">
        <v>5</v>
      </c>
      <c r="AX11" s="104">
        <f t="shared" si="15"/>
        <v>0</v>
      </c>
      <c r="AY11" s="102"/>
      <c r="AZ11" s="1">
        <v>5</v>
      </c>
      <c r="BA11" s="104">
        <f t="shared" si="16"/>
        <v>0</v>
      </c>
      <c r="BB11" s="102"/>
      <c r="BC11" s="1">
        <v>5</v>
      </c>
      <c r="BD11" s="104">
        <f t="shared" si="17"/>
        <v>0</v>
      </c>
      <c r="BE11" s="102"/>
      <c r="BF11" s="1">
        <v>5</v>
      </c>
      <c r="BG11" s="104">
        <f t="shared" si="18"/>
        <v>0</v>
      </c>
      <c r="BH11" s="102"/>
      <c r="BI11" s="1">
        <v>5</v>
      </c>
      <c r="BJ11" s="104">
        <f t="shared" si="19"/>
        <v>0</v>
      </c>
      <c r="BK11" s="102"/>
      <c r="BL11" s="1">
        <v>5</v>
      </c>
      <c r="BM11" s="104">
        <f t="shared" si="20"/>
        <v>0</v>
      </c>
      <c r="BN11" s="102"/>
      <c r="BO11" s="1">
        <v>5</v>
      </c>
      <c r="BP11" s="104">
        <f t="shared" si="21"/>
        <v>0</v>
      </c>
      <c r="BQ11" s="102"/>
      <c r="BR11" s="1">
        <v>5</v>
      </c>
      <c r="BS11" s="104">
        <f t="shared" si="22"/>
        <v>0</v>
      </c>
      <c r="BT11" s="102"/>
      <c r="BU11" s="1">
        <v>5</v>
      </c>
      <c r="BV11" s="104">
        <f t="shared" si="23"/>
        <v>0</v>
      </c>
      <c r="BW11" s="102"/>
      <c r="BX11" s="1">
        <v>5</v>
      </c>
      <c r="BY11" s="104">
        <f t="shared" si="24"/>
        <v>0</v>
      </c>
      <c r="BZ11" s="102"/>
      <c r="CA11" s="1">
        <v>5</v>
      </c>
      <c r="CB11" s="104">
        <f t="shared" si="25"/>
        <v>0</v>
      </c>
      <c r="CC11" s="102"/>
      <c r="CD11" s="1">
        <v>5</v>
      </c>
      <c r="CE11" s="104">
        <f t="shared" si="26"/>
        <v>0</v>
      </c>
      <c r="CF11" s="102"/>
      <c r="CG11" s="1">
        <v>5</v>
      </c>
      <c r="CH11" s="104">
        <f t="shared" si="27"/>
        <v>0</v>
      </c>
      <c r="CI11" s="102"/>
      <c r="CJ11" s="1">
        <v>5</v>
      </c>
      <c r="CK11" s="104">
        <f t="shared" si="28"/>
        <v>0</v>
      </c>
      <c r="CL11" s="102"/>
      <c r="CM11" s="1">
        <v>5</v>
      </c>
      <c r="CN11" s="104">
        <f t="shared" si="29"/>
        <v>0</v>
      </c>
      <c r="CO11" s="102"/>
      <c r="CP11" s="1">
        <v>5</v>
      </c>
      <c r="CQ11" s="104">
        <f t="shared" si="30"/>
        <v>0</v>
      </c>
      <c r="CR11" s="102"/>
      <c r="CS11" s="1">
        <v>5</v>
      </c>
      <c r="CT11" s="104">
        <f t="shared" si="31"/>
        <v>0</v>
      </c>
      <c r="CU11" s="102"/>
      <c r="CV11" s="1">
        <v>5</v>
      </c>
      <c r="CW11" s="104">
        <f t="shared" si="32"/>
        <v>0</v>
      </c>
      <c r="CX11" s="102"/>
      <c r="CY11" s="1">
        <v>5</v>
      </c>
      <c r="CZ11" s="104">
        <f t="shared" si="33"/>
        <v>0</v>
      </c>
      <c r="DA11" s="102"/>
      <c r="DB11" s="1">
        <v>5</v>
      </c>
      <c r="DC11" s="104">
        <f t="shared" si="34"/>
        <v>0</v>
      </c>
      <c r="DD11" s="102"/>
      <c r="DE11" s="1">
        <v>5</v>
      </c>
      <c r="DF11" s="104">
        <f t="shared" si="35"/>
        <v>0</v>
      </c>
      <c r="DG11" s="102"/>
      <c r="DH11" s="1">
        <v>5</v>
      </c>
      <c r="DI11" s="104">
        <f t="shared" si="36"/>
        <v>0</v>
      </c>
      <c r="DJ11" s="102"/>
      <c r="DK11" s="1">
        <v>5</v>
      </c>
      <c r="DL11" s="104">
        <f t="shared" si="37"/>
        <v>0</v>
      </c>
      <c r="DM11" s="102"/>
      <c r="DN11" s="1">
        <v>5</v>
      </c>
      <c r="DO11" s="104">
        <f t="shared" si="38"/>
        <v>0</v>
      </c>
      <c r="DP11" s="102"/>
      <c r="DQ11" s="1">
        <v>5</v>
      </c>
      <c r="DR11" s="104">
        <f t="shared" si="39"/>
        <v>0</v>
      </c>
      <c r="DS11" s="102"/>
      <c r="DT11" s="1">
        <v>5</v>
      </c>
      <c r="DU11" s="104">
        <f t="shared" si="40"/>
        <v>0</v>
      </c>
      <c r="DV11" s="102"/>
      <c r="DW11" s="1">
        <v>5</v>
      </c>
      <c r="DX11" s="104">
        <f t="shared" si="41"/>
        <v>0</v>
      </c>
      <c r="DY11" s="102"/>
      <c r="DZ11" s="1">
        <v>5</v>
      </c>
      <c r="EA11" s="104">
        <f t="shared" si="42"/>
        <v>0</v>
      </c>
      <c r="EB11" s="102"/>
      <c r="EC11" s="1">
        <v>5</v>
      </c>
      <c r="ED11" s="104">
        <f t="shared" si="43"/>
        <v>0</v>
      </c>
      <c r="EE11" s="102"/>
      <c r="EF11" s="1">
        <v>5</v>
      </c>
      <c r="EG11" s="104">
        <f t="shared" si="44"/>
        <v>0</v>
      </c>
      <c r="EH11" s="102"/>
      <c r="EI11" s="1">
        <v>5</v>
      </c>
      <c r="EJ11" s="104">
        <f t="shared" si="45"/>
        <v>0</v>
      </c>
      <c r="EK11" s="102"/>
      <c r="EL11" s="1">
        <v>5</v>
      </c>
      <c r="EM11" s="104">
        <f t="shared" si="46"/>
        <v>0</v>
      </c>
      <c r="EN11" s="102"/>
      <c r="EO11" s="1">
        <v>5</v>
      </c>
      <c r="EP11" s="104">
        <f t="shared" si="47"/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si="0"/>
        <v>0</v>
      </c>
      <c r="F12" s="102"/>
      <c r="G12" s="103">
        <v>5</v>
      </c>
      <c r="H12" s="104">
        <f t="shared" si="1"/>
        <v>0</v>
      </c>
      <c r="I12" s="105"/>
      <c r="J12" s="103">
        <v>5</v>
      </c>
      <c r="K12" s="104">
        <f t="shared" si="2"/>
        <v>0</v>
      </c>
      <c r="L12" s="105"/>
      <c r="M12" s="103">
        <v>5</v>
      </c>
      <c r="N12" s="104">
        <f t="shared" si="3"/>
        <v>0</v>
      </c>
      <c r="O12" s="106"/>
      <c r="P12" s="107">
        <v>5</v>
      </c>
      <c r="Q12" s="104">
        <f t="shared" si="4"/>
        <v>0</v>
      </c>
      <c r="R12" s="102"/>
      <c r="S12" s="107">
        <v>5</v>
      </c>
      <c r="T12" s="104">
        <f t="shared" si="5"/>
        <v>0</v>
      </c>
      <c r="U12" s="102"/>
      <c r="V12" s="107">
        <v>5</v>
      </c>
      <c r="W12" s="104">
        <f t="shared" si="6"/>
        <v>0</v>
      </c>
      <c r="X12" s="102"/>
      <c r="Y12" s="107">
        <v>5</v>
      </c>
      <c r="Z12" s="104">
        <f t="shared" si="7"/>
        <v>0</v>
      </c>
      <c r="AA12" s="106"/>
      <c r="AB12" s="107">
        <v>5</v>
      </c>
      <c r="AC12" s="104">
        <f t="shared" si="8"/>
        <v>0</v>
      </c>
      <c r="AD12" s="106"/>
      <c r="AE12" s="107">
        <v>5</v>
      </c>
      <c r="AF12" s="104">
        <f t="shared" si="9"/>
        <v>0</v>
      </c>
      <c r="AG12" s="106"/>
      <c r="AH12" s="107">
        <v>5</v>
      </c>
      <c r="AI12" s="104">
        <f t="shared" si="10"/>
        <v>0</v>
      </c>
      <c r="AJ12" s="106"/>
      <c r="AK12" s="107">
        <v>5</v>
      </c>
      <c r="AL12" s="104">
        <f t="shared" si="11"/>
        <v>0</v>
      </c>
      <c r="AM12" s="102"/>
      <c r="AN12" s="1">
        <v>5</v>
      </c>
      <c r="AO12" s="104">
        <f t="shared" si="12"/>
        <v>0</v>
      </c>
      <c r="AP12" s="102"/>
      <c r="AQ12" s="1">
        <v>5</v>
      </c>
      <c r="AR12" s="104">
        <f t="shared" si="13"/>
        <v>0</v>
      </c>
      <c r="AS12" s="102"/>
      <c r="AT12" s="1">
        <v>5</v>
      </c>
      <c r="AU12" s="104">
        <f t="shared" si="14"/>
        <v>0</v>
      </c>
      <c r="AV12" s="102"/>
      <c r="AW12" s="1">
        <v>5</v>
      </c>
      <c r="AX12" s="104">
        <f t="shared" si="15"/>
        <v>0</v>
      </c>
      <c r="AY12" s="102"/>
      <c r="AZ12" s="1">
        <v>5</v>
      </c>
      <c r="BA12" s="104">
        <f t="shared" si="16"/>
        <v>0</v>
      </c>
      <c r="BB12" s="102"/>
      <c r="BC12" s="1">
        <v>5</v>
      </c>
      <c r="BD12" s="104">
        <f t="shared" si="17"/>
        <v>0</v>
      </c>
      <c r="BE12" s="102"/>
      <c r="BF12" s="1">
        <v>5</v>
      </c>
      <c r="BG12" s="104">
        <f t="shared" si="18"/>
        <v>0</v>
      </c>
      <c r="BH12" s="102"/>
      <c r="BI12" s="1">
        <v>5</v>
      </c>
      <c r="BJ12" s="104">
        <f t="shared" si="19"/>
        <v>0</v>
      </c>
      <c r="BK12" s="102"/>
      <c r="BL12" s="1">
        <v>5</v>
      </c>
      <c r="BM12" s="104">
        <f t="shared" si="20"/>
        <v>0</v>
      </c>
      <c r="BN12" s="102"/>
      <c r="BO12" s="1">
        <v>5</v>
      </c>
      <c r="BP12" s="104">
        <f t="shared" si="21"/>
        <v>0</v>
      </c>
      <c r="BQ12" s="102"/>
      <c r="BR12" s="1">
        <v>5</v>
      </c>
      <c r="BS12" s="104">
        <f t="shared" si="22"/>
        <v>0</v>
      </c>
      <c r="BT12" s="102"/>
      <c r="BU12" s="1">
        <v>5</v>
      </c>
      <c r="BV12" s="104">
        <f t="shared" si="23"/>
        <v>0</v>
      </c>
      <c r="BW12" s="102"/>
      <c r="BX12" s="1">
        <v>5</v>
      </c>
      <c r="BY12" s="104">
        <f t="shared" si="24"/>
        <v>0</v>
      </c>
      <c r="BZ12" s="102"/>
      <c r="CA12" s="1">
        <v>5</v>
      </c>
      <c r="CB12" s="104">
        <f t="shared" si="25"/>
        <v>0</v>
      </c>
      <c r="CC12" s="102"/>
      <c r="CD12" s="1">
        <v>5</v>
      </c>
      <c r="CE12" s="104">
        <f t="shared" si="26"/>
        <v>0</v>
      </c>
      <c r="CF12" s="102"/>
      <c r="CG12" s="1">
        <v>5</v>
      </c>
      <c r="CH12" s="104">
        <f t="shared" si="27"/>
        <v>0</v>
      </c>
      <c r="CI12" s="102"/>
      <c r="CJ12" s="1">
        <v>5</v>
      </c>
      <c r="CK12" s="104">
        <f t="shared" si="28"/>
        <v>0</v>
      </c>
      <c r="CL12" s="102"/>
      <c r="CM12" s="1">
        <v>5</v>
      </c>
      <c r="CN12" s="104">
        <f t="shared" si="29"/>
        <v>0</v>
      </c>
      <c r="CO12" s="102"/>
      <c r="CP12" s="1">
        <v>5</v>
      </c>
      <c r="CQ12" s="104">
        <f t="shared" si="30"/>
        <v>0</v>
      </c>
      <c r="CR12" s="102"/>
      <c r="CS12" s="1">
        <v>5</v>
      </c>
      <c r="CT12" s="104">
        <f t="shared" si="31"/>
        <v>0</v>
      </c>
      <c r="CU12" s="102"/>
      <c r="CV12" s="1">
        <v>5</v>
      </c>
      <c r="CW12" s="104">
        <f t="shared" si="32"/>
        <v>0</v>
      </c>
      <c r="CX12" s="102"/>
      <c r="CY12" s="1">
        <v>5</v>
      </c>
      <c r="CZ12" s="104">
        <f t="shared" si="33"/>
        <v>0</v>
      </c>
      <c r="DA12" s="102"/>
      <c r="DB12" s="1">
        <v>5</v>
      </c>
      <c r="DC12" s="104">
        <f t="shared" si="34"/>
        <v>0</v>
      </c>
      <c r="DD12" s="102"/>
      <c r="DE12" s="1">
        <v>5</v>
      </c>
      <c r="DF12" s="104">
        <f t="shared" si="35"/>
        <v>0</v>
      </c>
      <c r="DG12" s="102"/>
      <c r="DH12" s="1">
        <v>5</v>
      </c>
      <c r="DI12" s="104">
        <f t="shared" si="36"/>
        <v>0</v>
      </c>
      <c r="DJ12" s="102"/>
      <c r="DK12" s="1">
        <v>5</v>
      </c>
      <c r="DL12" s="104">
        <f t="shared" si="37"/>
        <v>0</v>
      </c>
      <c r="DM12" s="102"/>
      <c r="DN12" s="1">
        <v>5</v>
      </c>
      <c r="DO12" s="104">
        <f t="shared" si="38"/>
        <v>0</v>
      </c>
      <c r="DP12" s="102"/>
      <c r="DQ12" s="1">
        <v>5</v>
      </c>
      <c r="DR12" s="104">
        <f t="shared" si="39"/>
        <v>0</v>
      </c>
      <c r="DS12" s="102"/>
      <c r="DT12" s="1">
        <v>5</v>
      </c>
      <c r="DU12" s="104">
        <f t="shared" si="40"/>
        <v>0</v>
      </c>
      <c r="DV12" s="102"/>
      <c r="DW12" s="1">
        <v>5</v>
      </c>
      <c r="DX12" s="104">
        <f t="shared" si="41"/>
        <v>0</v>
      </c>
      <c r="DY12" s="102"/>
      <c r="DZ12" s="1">
        <v>5</v>
      </c>
      <c r="EA12" s="104">
        <f t="shared" si="42"/>
        <v>0</v>
      </c>
      <c r="EB12" s="102"/>
      <c r="EC12" s="1">
        <v>5</v>
      </c>
      <c r="ED12" s="104">
        <f t="shared" si="43"/>
        <v>0</v>
      </c>
      <c r="EE12" s="102"/>
      <c r="EF12" s="1">
        <v>5</v>
      </c>
      <c r="EG12" s="104">
        <f t="shared" si="44"/>
        <v>0</v>
      </c>
      <c r="EH12" s="102"/>
      <c r="EI12" s="1">
        <v>5</v>
      </c>
      <c r="EJ12" s="104">
        <f t="shared" si="45"/>
        <v>0</v>
      </c>
      <c r="EK12" s="102"/>
      <c r="EL12" s="1">
        <v>5</v>
      </c>
      <c r="EM12" s="104">
        <f t="shared" si="46"/>
        <v>0</v>
      </c>
      <c r="EN12" s="102"/>
      <c r="EO12" s="1">
        <v>5</v>
      </c>
      <c r="EP12" s="104">
        <f t="shared" si="47"/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102"/>
      <c r="D13" s="103">
        <v>5</v>
      </c>
      <c r="E13" s="104">
        <f t="shared" si="0"/>
        <v>0</v>
      </c>
      <c r="F13" s="102"/>
      <c r="G13" s="103">
        <v>5</v>
      </c>
      <c r="H13" s="104">
        <f t="shared" si="1"/>
        <v>0</v>
      </c>
      <c r="I13" s="105"/>
      <c r="J13" s="103">
        <v>5</v>
      </c>
      <c r="K13" s="104">
        <f t="shared" si="2"/>
        <v>0</v>
      </c>
      <c r="L13" s="105"/>
      <c r="M13" s="103">
        <v>5</v>
      </c>
      <c r="N13" s="104">
        <f t="shared" si="3"/>
        <v>0</v>
      </c>
      <c r="O13" s="106"/>
      <c r="P13" s="107">
        <v>5</v>
      </c>
      <c r="Q13" s="104">
        <f t="shared" si="4"/>
        <v>0</v>
      </c>
      <c r="R13" s="102"/>
      <c r="S13" s="107">
        <v>5</v>
      </c>
      <c r="T13" s="104">
        <f t="shared" si="5"/>
        <v>0</v>
      </c>
      <c r="U13" s="102"/>
      <c r="V13" s="107">
        <v>5</v>
      </c>
      <c r="W13" s="104">
        <f t="shared" si="6"/>
        <v>0</v>
      </c>
      <c r="X13" s="102"/>
      <c r="Y13" s="107">
        <v>5</v>
      </c>
      <c r="Z13" s="104">
        <f t="shared" si="7"/>
        <v>0</v>
      </c>
      <c r="AA13" s="106"/>
      <c r="AB13" s="107">
        <v>5</v>
      </c>
      <c r="AC13" s="104">
        <f t="shared" si="8"/>
        <v>0</v>
      </c>
      <c r="AD13" s="106"/>
      <c r="AE13" s="107">
        <v>5</v>
      </c>
      <c r="AF13" s="104">
        <f t="shared" si="9"/>
        <v>0</v>
      </c>
      <c r="AG13" s="106"/>
      <c r="AH13" s="107">
        <v>5</v>
      </c>
      <c r="AI13" s="104">
        <f t="shared" si="10"/>
        <v>0</v>
      </c>
      <c r="AJ13" s="106"/>
      <c r="AK13" s="107">
        <v>5</v>
      </c>
      <c r="AL13" s="104">
        <f t="shared" si="11"/>
        <v>0</v>
      </c>
      <c r="AM13" s="102"/>
      <c r="AN13" s="1">
        <v>5</v>
      </c>
      <c r="AO13" s="104">
        <f t="shared" si="12"/>
        <v>0</v>
      </c>
      <c r="AP13" s="102"/>
      <c r="AQ13" s="1">
        <v>5</v>
      </c>
      <c r="AR13" s="104">
        <f t="shared" si="13"/>
        <v>0</v>
      </c>
      <c r="AS13" s="102"/>
      <c r="AT13" s="1">
        <v>5</v>
      </c>
      <c r="AU13" s="104">
        <f t="shared" si="14"/>
        <v>0</v>
      </c>
      <c r="AV13" s="102"/>
      <c r="AW13" s="1">
        <v>5</v>
      </c>
      <c r="AX13" s="104">
        <f t="shared" si="15"/>
        <v>0</v>
      </c>
      <c r="AY13" s="102"/>
      <c r="AZ13" s="1">
        <v>5</v>
      </c>
      <c r="BA13" s="104">
        <f t="shared" si="16"/>
        <v>0</v>
      </c>
      <c r="BB13" s="102"/>
      <c r="BC13" s="1">
        <v>5</v>
      </c>
      <c r="BD13" s="104">
        <f t="shared" si="17"/>
        <v>0</v>
      </c>
      <c r="BE13" s="102"/>
      <c r="BF13" s="1">
        <v>5</v>
      </c>
      <c r="BG13" s="104">
        <f t="shared" si="18"/>
        <v>0</v>
      </c>
      <c r="BH13" s="102"/>
      <c r="BI13" s="1">
        <v>5</v>
      </c>
      <c r="BJ13" s="104">
        <f t="shared" si="19"/>
        <v>0</v>
      </c>
      <c r="BK13" s="102"/>
      <c r="BL13" s="1">
        <v>5</v>
      </c>
      <c r="BM13" s="104">
        <f t="shared" si="20"/>
        <v>0</v>
      </c>
      <c r="BN13" s="102"/>
      <c r="BO13" s="1">
        <v>5</v>
      </c>
      <c r="BP13" s="104">
        <f t="shared" si="21"/>
        <v>0</v>
      </c>
      <c r="BQ13" s="102"/>
      <c r="BR13" s="1">
        <v>5</v>
      </c>
      <c r="BS13" s="104">
        <f t="shared" si="22"/>
        <v>0</v>
      </c>
      <c r="BT13" s="102"/>
      <c r="BU13" s="1">
        <v>5</v>
      </c>
      <c r="BV13" s="104">
        <f t="shared" si="23"/>
        <v>0</v>
      </c>
      <c r="BW13" s="102"/>
      <c r="BX13" s="1">
        <v>5</v>
      </c>
      <c r="BY13" s="104">
        <f t="shared" si="24"/>
        <v>0</v>
      </c>
      <c r="BZ13" s="102"/>
      <c r="CA13" s="1">
        <v>5</v>
      </c>
      <c r="CB13" s="104">
        <f t="shared" si="25"/>
        <v>0</v>
      </c>
      <c r="CC13" s="102"/>
      <c r="CD13" s="1">
        <v>5</v>
      </c>
      <c r="CE13" s="104">
        <f t="shared" si="26"/>
        <v>0</v>
      </c>
      <c r="CF13" s="102"/>
      <c r="CG13" s="1">
        <v>5</v>
      </c>
      <c r="CH13" s="104">
        <f t="shared" si="27"/>
        <v>0</v>
      </c>
      <c r="CI13" s="102"/>
      <c r="CJ13" s="1">
        <v>5</v>
      </c>
      <c r="CK13" s="104">
        <f t="shared" si="28"/>
        <v>0</v>
      </c>
      <c r="CL13" s="102"/>
      <c r="CM13" s="1">
        <v>5</v>
      </c>
      <c r="CN13" s="104">
        <f t="shared" si="29"/>
        <v>0</v>
      </c>
      <c r="CO13" s="102"/>
      <c r="CP13" s="1">
        <v>5</v>
      </c>
      <c r="CQ13" s="104">
        <f t="shared" si="30"/>
        <v>0</v>
      </c>
      <c r="CR13" s="102"/>
      <c r="CS13" s="1">
        <v>5</v>
      </c>
      <c r="CT13" s="104">
        <f t="shared" si="31"/>
        <v>0</v>
      </c>
      <c r="CU13" s="102"/>
      <c r="CV13" s="1">
        <v>5</v>
      </c>
      <c r="CW13" s="104">
        <f t="shared" si="32"/>
        <v>0</v>
      </c>
      <c r="CX13" s="102"/>
      <c r="CY13" s="1">
        <v>5</v>
      </c>
      <c r="CZ13" s="104">
        <f t="shared" si="33"/>
        <v>0</v>
      </c>
      <c r="DA13" s="102"/>
      <c r="DB13" s="1">
        <v>5</v>
      </c>
      <c r="DC13" s="104">
        <f t="shared" si="34"/>
        <v>0</v>
      </c>
      <c r="DD13" s="102"/>
      <c r="DE13" s="1">
        <v>5</v>
      </c>
      <c r="DF13" s="104">
        <f t="shared" si="35"/>
        <v>0</v>
      </c>
      <c r="DG13" s="102"/>
      <c r="DH13" s="1">
        <v>5</v>
      </c>
      <c r="DI13" s="104">
        <f t="shared" si="36"/>
        <v>0</v>
      </c>
      <c r="DJ13" s="102"/>
      <c r="DK13" s="1">
        <v>5</v>
      </c>
      <c r="DL13" s="104">
        <f t="shared" si="37"/>
        <v>0</v>
      </c>
      <c r="DM13" s="102"/>
      <c r="DN13" s="1">
        <v>5</v>
      </c>
      <c r="DO13" s="104">
        <f t="shared" si="38"/>
        <v>0</v>
      </c>
      <c r="DP13" s="102"/>
      <c r="DQ13" s="1">
        <v>5</v>
      </c>
      <c r="DR13" s="104">
        <f t="shared" si="39"/>
        <v>0</v>
      </c>
      <c r="DS13" s="102"/>
      <c r="DT13" s="1">
        <v>5</v>
      </c>
      <c r="DU13" s="104">
        <f t="shared" si="40"/>
        <v>0</v>
      </c>
      <c r="DV13" s="102"/>
      <c r="DW13" s="1">
        <v>5</v>
      </c>
      <c r="DX13" s="104">
        <f t="shared" si="41"/>
        <v>0</v>
      </c>
      <c r="DY13" s="102"/>
      <c r="DZ13" s="1">
        <v>5</v>
      </c>
      <c r="EA13" s="104">
        <f t="shared" si="42"/>
        <v>0</v>
      </c>
      <c r="EB13" s="102"/>
      <c r="EC13" s="1">
        <v>5</v>
      </c>
      <c r="ED13" s="104">
        <f t="shared" si="43"/>
        <v>0</v>
      </c>
      <c r="EE13" s="102"/>
      <c r="EF13" s="1">
        <v>5</v>
      </c>
      <c r="EG13" s="104">
        <f t="shared" si="44"/>
        <v>0</v>
      </c>
      <c r="EH13" s="102"/>
      <c r="EI13" s="1">
        <v>5</v>
      </c>
      <c r="EJ13" s="104">
        <f t="shared" si="45"/>
        <v>0</v>
      </c>
      <c r="EK13" s="102"/>
      <c r="EL13" s="1">
        <v>5</v>
      </c>
      <c r="EM13" s="104">
        <f t="shared" si="46"/>
        <v>0</v>
      </c>
      <c r="EN13" s="102"/>
      <c r="EO13" s="1">
        <v>5</v>
      </c>
      <c r="EP13" s="104">
        <f t="shared" si="47"/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87</v>
      </c>
      <c r="B14" s="101"/>
      <c r="C14" s="102"/>
      <c r="D14" s="103">
        <v>5</v>
      </c>
      <c r="E14" s="104">
        <f t="shared" si="0"/>
        <v>0</v>
      </c>
      <c r="F14" s="102"/>
      <c r="G14" s="103">
        <v>5</v>
      </c>
      <c r="H14" s="104">
        <f t="shared" si="1"/>
        <v>0</v>
      </c>
      <c r="I14" s="105"/>
      <c r="J14" s="103">
        <v>5</v>
      </c>
      <c r="K14" s="104">
        <f t="shared" si="2"/>
        <v>0</v>
      </c>
      <c r="L14" s="105"/>
      <c r="M14" s="103">
        <v>5</v>
      </c>
      <c r="N14" s="104">
        <f t="shared" si="3"/>
        <v>0</v>
      </c>
      <c r="O14" s="106"/>
      <c r="P14" s="107">
        <v>5</v>
      </c>
      <c r="Q14" s="104">
        <f t="shared" si="4"/>
        <v>0</v>
      </c>
      <c r="R14" s="102"/>
      <c r="S14" s="107">
        <v>5</v>
      </c>
      <c r="T14" s="104">
        <f t="shared" si="5"/>
        <v>0</v>
      </c>
      <c r="U14" s="102"/>
      <c r="V14" s="107">
        <v>5</v>
      </c>
      <c r="W14" s="104">
        <f t="shared" si="6"/>
        <v>0</v>
      </c>
      <c r="X14" s="102"/>
      <c r="Y14" s="107">
        <v>5</v>
      </c>
      <c r="Z14" s="104">
        <f t="shared" si="7"/>
        <v>0</v>
      </c>
      <c r="AA14" s="106"/>
      <c r="AB14" s="107">
        <v>5</v>
      </c>
      <c r="AC14" s="104">
        <f t="shared" si="8"/>
        <v>0</v>
      </c>
      <c r="AD14" s="106"/>
      <c r="AE14" s="107">
        <v>5</v>
      </c>
      <c r="AF14" s="104">
        <f t="shared" si="9"/>
        <v>0</v>
      </c>
      <c r="AG14" s="106"/>
      <c r="AH14" s="107">
        <v>5</v>
      </c>
      <c r="AI14" s="104">
        <f t="shared" si="10"/>
        <v>0</v>
      </c>
      <c r="AJ14" s="106"/>
      <c r="AK14" s="107">
        <v>5</v>
      </c>
      <c r="AL14" s="104">
        <f t="shared" si="11"/>
        <v>0</v>
      </c>
      <c r="AM14" s="102"/>
      <c r="AN14" s="1">
        <v>5</v>
      </c>
      <c r="AO14" s="104">
        <f t="shared" si="12"/>
        <v>0</v>
      </c>
      <c r="AP14" s="102"/>
      <c r="AQ14" s="1">
        <v>5</v>
      </c>
      <c r="AR14" s="104">
        <f t="shared" si="13"/>
        <v>0</v>
      </c>
      <c r="AS14" s="102"/>
      <c r="AT14" s="1">
        <v>5</v>
      </c>
      <c r="AU14" s="104">
        <f t="shared" si="14"/>
        <v>0</v>
      </c>
      <c r="AV14" s="102"/>
      <c r="AW14" s="1">
        <v>5</v>
      </c>
      <c r="AX14" s="104">
        <f t="shared" si="15"/>
        <v>0</v>
      </c>
      <c r="AY14" s="102"/>
      <c r="AZ14" s="1">
        <v>5</v>
      </c>
      <c r="BA14" s="104">
        <f t="shared" si="16"/>
        <v>0</v>
      </c>
      <c r="BB14" s="102"/>
      <c r="BC14" s="1">
        <v>5</v>
      </c>
      <c r="BD14" s="104">
        <f t="shared" si="17"/>
        <v>0</v>
      </c>
      <c r="BE14" s="102"/>
      <c r="BF14" s="1">
        <v>5</v>
      </c>
      <c r="BG14" s="104">
        <f t="shared" si="18"/>
        <v>0</v>
      </c>
      <c r="BH14" s="102"/>
      <c r="BI14" s="1">
        <v>5</v>
      </c>
      <c r="BJ14" s="104">
        <f t="shared" si="19"/>
        <v>0</v>
      </c>
      <c r="BK14" s="102"/>
      <c r="BL14" s="1">
        <v>5</v>
      </c>
      <c r="BM14" s="104">
        <f t="shared" si="20"/>
        <v>0</v>
      </c>
      <c r="BN14" s="102"/>
      <c r="BO14" s="1">
        <v>5</v>
      </c>
      <c r="BP14" s="104">
        <f t="shared" si="21"/>
        <v>0</v>
      </c>
      <c r="BQ14" s="102"/>
      <c r="BR14" s="1">
        <v>5</v>
      </c>
      <c r="BS14" s="104">
        <f t="shared" si="22"/>
        <v>0</v>
      </c>
      <c r="BT14" s="102"/>
      <c r="BU14" s="1">
        <v>5</v>
      </c>
      <c r="BV14" s="104">
        <f t="shared" si="23"/>
        <v>0</v>
      </c>
      <c r="BW14" s="102"/>
      <c r="BX14" s="1">
        <v>5</v>
      </c>
      <c r="BY14" s="104">
        <f t="shared" si="24"/>
        <v>0</v>
      </c>
      <c r="BZ14" s="102"/>
      <c r="CA14" s="1">
        <v>5</v>
      </c>
      <c r="CB14" s="104">
        <f t="shared" si="25"/>
        <v>0</v>
      </c>
      <c r="CC14" s="102"/>
      <c r="CD14" s="1">
        <v>5</v>
      </c>
      <c r="CE14" s="104">
        <f t="shared" si="26"/>
        <v>0</v>
      </c>
      <c r="CF14" s="102"/>
      <c r="CG14" s="1">
        <v>5</v>
      </c>
      <c r="CH14" s="104">
        <f t="shared" si="27"/>
        <v>0</v>
      </c>
      <c r="CI14" s="102"/>
      <c r="CJ14" s="1">
        <v>5</v>
      </c>
      <c r="CK14" s="104">
        <f t="shared" si="28"/>
        <v>0</v>
      </c>
      <c r="CL14" s="102"/>
      <c r="CM14" s="1">
        <v>5</v>
      </c>
      <c r="CN14" s="104">
        <f t="shared" si="29"/>
        <v>0</v>
      </c>
      <c r="CO14" s="102"/>
      <c r="CP14" s="1">
        <v>5</v>
      </c>
      <c r="CQ14" s="104">
        <f t="shared" si="30"/>
        <v>0</v>
      </c>
      <c r="CR14" s="102"/>
      <c r="CS14" s="1">
        <v>5</v>
      </c>
      <c r="CT14" s="104">
        <f t="shared" si="31"/>
        <v>0</v>
      </c>
      <c r="CU14" s="102"/>
      <c r="CV14" s="1">
        <v>5</v>
      </c>
      <c r="CW14" s="104">
        <f t="shared" si="32"/>
        <v>0</v>
      </c>
      <c r="CX14" s="102"/>
      <c r="CY14" s="1">
        <v>5</v>
      </c>
      <c r="CZ14" s="104">
        <f t="shared" si="33"/>
        <v>0</v>
      </c>
      <c r="DA14" s="102"/>
      <c r="DB14" s="1">
        <v>5</v>
      </c>
      <c r="DC14" s="104">
        <f t="shared" si="34"/>
        <v>0</v>
      </c>
      <c r="DD14" s="102"/>
      <c r="DE14" s="1">
        <v>5</v>
      </c>
      <c r="DF14" s="104">
        <f t="shared" si="35"/>
        <v>0</v>
      </c>
      <c r="DG14" s="102"/>
      <c r="DH14" s="1">
        <v>5</v>
      </c>
      <c r="DI14" s="104">
        <f t="shared" si="36"/>
        <v>0</v>
      </c>
      <c r="DJ14" s="102"/>
      <c r="DK14" s="1">
        <v>5</v>
      </c>
      <c r="DL14" s="104">
        <f t="shared" si="37"/>
        <v>0</v>
      </c>
      <c r="DM14" s="102"/>
      <c r="DN14" s="1">
        <v>5</v>
      </c>
      <c r="DO14" s="104">
        <f t="shared" si="38"/>
        <v>0</v>
      </c>
      <c r="DP14" s="102"/>
      <c r="DQ14" s="1">
        <v>5</v>
      </c>
      <c r="DR14" s="104">
        <f t="shared" si="39"/>
        <v>0</v>
      </c>
      <c r="DS14" s="102"/>
      <c r="DT14" s="1">
        <v>5</v>
      </c>
      <c r="DU14" s="104">
        <f t="shared" si="40"/>
        <v>0</v>
      </c>
      <c r="DV14" s="102"/>
      <c r="DW14" s="1">
        <v>5</v>
      </c>
      <c r="DX14" s="104">
        <f t="shared" si="41"/>
        <v>0</v>
      </c>
      <c r="DY14" s="102"/>
      <c r="DZ14" s="1">
        <v>5</v>
      </c>
      <c r="EA14" s="104">
        <f t="shared" si="42"/>
        <v>0</v>
      </c>
      <c r="EB14" s="102"/>
      <c r="EC14" s="1">
        <v>5</v>
      </c>
      <c r="ED14" s="104">
        <f t="shared" si="43"/>
        <v>0</v>
      </c>
      <c r="EE14" s="102"/>
      <c r="EF14" s="1">
        <v>5</v>
      </c>
      <c r="EG14" s="104">
        <f t="shared" si="44"/>
        <v>0</v>
      </c>
      <c r="EH14" s="102"/>
      <c r="EI14" s="1">
        <v>5</v>
      </c>
      <c r="EJ14" s="104">
        <f t="shared" si="45"/>
        <v>0</v>
      </c>
      <c r="EK14" s="102"/>
      <c r="EL14" s="1">
        <v>5</v>
      </c>
      <c r="EM14" s="104">
        <f t="shared" si="46"/>
        <v>0</v>
      </c>
      <c r="EN14" s="102"/>
      <c r="EO14" s="1">
        <v>5</v>
      </c>
      <c r="EP14" s="104">
        <f t="shared" si="47"/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46" customHeight="1" spans="1:148" x14ac:dyDescent="0.25">
      <c r="A15" s="100" t="s">
        <v>177</v>
      </c>
      <c r="B15" s="101"/>
      <c r="C15" s="102"/>
      <c r="D15" s="103">
        <v>5</v>
      </c>
      <c r="E15" s="104">
        <f t="shared" si="0"/>
        <v>0</v>
      </c>
      <c r="F15" s="102"/>
      <c r="G15" s="103">
        <v>5</v>
      </c>
      <c r="H15" s="104">
        <f t="shared" si="1"/>
        <v>0</v>
      </c>
      <c r="I15" s="105"/>
      <c r="J15" s="103">
        <v>5</v>
      </c>
      <c r="K15" s="104">
        <f t="shared" si="2"/>
        <v>0</v>
      </c>
      <c r="L15" s="105"/>
      <c r="M15" s="103">
        <v>5</v>
      </c>
      <c r="N15" s="104">
        <f t="shared" si="3"/>
        <v>0</v>
      </c>
      <c r="O15" s="106"/>
      <c r="P15" s="107">
        <v>5</v>
      </c>
      <c r="Q15" s="104">
        <f t="shared" si="4"/>
        <v>0</v>
      </c>
      <c r="R15" s="102"/>
      <c r="S15" s="107">
        <v>5</v>
      </c>
      <c r="T15" s="104">
        <f t="shared" si="5"/>
        <v>0</v>
      </c>
      <c r="U15" s="102"/>
      <c r="V15" s="107">
        <v>5</v>
      </c>
      <c r="W15" s="104">
        <f t="shared" si="6"/>
        <v>0</v>
      </c>
      <c r="X15" s="102"/>
      <c r="Y15" s="107">
        <v>5</v>
      </c>
      <c r="Z15" s="104">
        <f t="shared" si="7"/>
        <v>0</v>
      </c>
      <c r="AA15" s="106"/>
      <c r="AB15" s="107">
        <v>5</v>
      </c>
      <c r="AC15" s="104">
        <f t="shared" si="8"/>
        <v>0</v>
      </c>
      <c r="AD15" s="106"/>
      <c r="AE15" s="107">
        <v>5</v>
      </c>
      <c r="AF15" s="104">
        <f t="shared" si="9"/>
        <v>0</v>
      </c>
      <c r="AG15" s="106"/>
      <c r="AH15" s="107">
        <v>5</v>
      </c>
      <c r="AI15" s="104">
        <f t="shared" si="10"/>
        <v>0</v>
      </c>
      <c r="AJ15" s="106"/>
      <c r="AK15" s="107">
        <v>5</v>
      </c>
      <c r="AL15" s="104">
        <f t="shared" si="11"/>
        <v>0</v>
      </c>
      <c r="AM15" s="102"/>
      <c r="AN15" s="1">
        <v>5</v>
      </c>
      <c r="AO15" s="104">
        <f t="shared" si="12"/>
        <v>0</v>
      </c>
      <c r="AP15" s="102"/>
      <c r="AQ15" s="1">
        <v>5</v>
      </c>
      <c r="AR15" s="104">
        <f t="shared" si="13"/>
        <v>0</v>
      </c>
      <c r="AS15" s="102"/>
      <c r="AT15" s="1">
        <v>5</v>
      </c>
      <c r="AU15" s="104">
        <f t="shared" si="14"/>
        <v>0</v>
      </c>
      <c r="AV15" s="102"/>
      <c r="AW15" s="1">
        <v>5</v>
      </c>
      <c r="AX15" s="104">
        <f t="shared" si="15"/>
        <v>0</v>
      </c>
      <c r="AY15" s="102"/>
      <c r="AZ15" s="1">
        <v>5</v>
      </c>
      <c r="BA15" s="104">
        <f t="shared" si="16"/>
        <v>0</v>
      </c>
      <c r="BB15" s="102"/>
      <c r="BC15" s="1">
        <v>5</v>
      </c>
      <c r="BD15" s="104">
        <f t="shared" si="17"/>
        <v>0</v>
      </c>
      <c r="BE15" s="102"/>
      <c r="BF15" s="1">
        <v>5</v>
      </c>
      <c r="BG15" s="104">
        <f t="shared" si="18"/>
        <v>0</v>
      </c>
      <c r="BH15" s="102"/>
      <c r="BI15" s="1">
        <v>5</v>
      </c>
      <c r="BJ15" s="104">
        <f t="shared" si="19"/>
        <v>0</v>
      </c>
      <c r="BK15" s="102"/>
      <c r="BL15" s="1">
        <v>5</v>
      </c>
      <c r="BM15" s="104">
        <f t="shared" si="20"/>
        <v>0</v>
      </c>
      <c r="BN15" s="102"/>
      <c r="BO15" s="1">
        <v>5</v>
      </c>
      <c r="BP15" s="104">
        <f t="shared" si="21"/>
        <v>0</v>
      </c>
      <c r="BQ15" s="102"/>
      <c r="BR15" s="1">
        <v>5</v>
      </c>
      <c r="BS15" s="104">
        <f t="shared" si="22"/>
        <v>0</v>
      </c>
      <c r="BT15" s="102"/>
      <c r="BU15" s="1">
        <v>5</v>
      </c>
      <c r="BV15" s="104">
        <f t="shared" si="23"/>
        <v>0</v>
      </c>
      <c r="BW15" s="102"/>
      <c r="BX15" s="1">
        <v>5</v>
      </c>
      <c r="BY15" s="104">
        <f t="shared" si="24"/>
        <v>0</v>
      </c>
      <c r="BZ15" s="102"/>
      <c r="CA15" s="1">
        <v>5</v>
      </c>
      <c r="CB15" s="104">
        <f t="shared" si="25"/>
        <v>0</v>
      </c>
      <c r="CC15" s="102"/>
      <c r="CD15" s="1">
        <v>5</v>
      </c>
      <c r="CE15" s="104">
        <f t="shared" si="26"/>
        <v>0</v>
      </c>
      <c r="CF15" s="102"/>
      <c r="CG15" s="1">
        <v>5</v>
      </c>
      <c r="CH15" s="104">
        <f t="shared" si="27"/>
        <v>0</v>
      </c>
      <c r="CI15" s="102"/>
      <c r="CJ15" s="1">
        <v>5</v>
      </c>
      <c r="CK15" s="104">
        <f t="shared" si="28"/>
        <v>0</v>
      </c>
      <c r="CL15" s="102"/>
      <c r="CM15" s="1">
        <v>5</v>
      </c>
      <c r="CN15" s="104">
        <f t="shared" si="29"/>
        <v>0</v>
      </c>
      <c r="CO15" s="102"/>
      <c r="CP15" s="1">
        <v>5</v>
      </c>
      <c r="CQ15" s="104">
        <f t="shared" si="30"/>
        <v>0</v>
      </c>
      <c r="CR15" s="102"/>
      <c r="CS15" s="1">
        <v>5</v>
      </c>
      <c r="CT15" s="104">
        <f t="shared" si="31"/>
        <v>0</v>
      </c>
      <c r="CU15" s="102"/>
      <c r="CV15" s="1">
        <v>5</v>
      </c>
      <c r="CW15" s="104">
        <f t="shared" si="32"/>
        <v>0</v>
      </c>
      <c r="CX15" s="102"/>
      <c r="CY15" s="1">
        <v>5</v>
      </c>
      <c r="CZ15" s="104">
        <f t="shared" si="33"/>
        <v>0</v>
      </c>
      <c r="DA15" s="102"/>
      <c r="DB15" s="1">
        <v>5</v>
      </c>
      <c r="DC15" s="104">
        <f t="shared" si="34"/>
        <v>0</v>
      </c>
      <c r="DD15" s="102"/>
      <c r="DE15" s="1">
        <v>5</v>
      </c>
      <c r="DF15" s="104">
        <f t="shared" si="35"/>
        <v>0</v>
      </c>
      <c r="DG15" s="102"/>
      <c r="DH15" s="1">
        <v>5</v>
      </c>
      <c r="DI15" s="104">
        <f t="shared" si="36"/>
        <v>0</v>
      </c>
      <c r="DJ15" s="102"/>
      <c r="DK15" s="1">
        <v>5</v>
      </c>
      <c r="DL15" s="104">
        <f t="shared" si="37"/>
        <v>0</v>
      </c>
      <c r="DM15" s="102"/>
      <c r="DN15" s="1">
        <v>5</v>
      </c>
      <c r="DO15" s="104">
        <f t="shared" si="38"/>
        <v>0</v>
      </c>
      <c r="DP15" s="102"/>
      <c r="DQ15" s="1">
        <v>5</v>
      </c>
      <c r="DR15" s="104">
        <f t="shared" si="39"/>
        <v>0</v>
      </c>
      <c r="DS15" s="102"/>
      <c r="DT15" s="1">
        <v>5</v>
      </c>
      <c r="DU15" s="104">
        <f t="shared" si="40"/>
        <v>0</v>
      </c>
      <c r="DV15" s="102"/>
      <c r="DW15" s="1">
        <v>5</v>
      </c>
      <c r="DX15" s="104">
        <f t="shared" si="41"/>
        <v>0</v>
      </c>
      <c r="DY15" s="102"/>
      <c r="DZ15" s="1">
        <v>5</v>
      </c>
      <c r="EA15" s="104">
        <f t="shared" si="42"/>
        <v>0</v>
      </c>
      <c r="EB15" s="102"/>
      <c r="EC15" s="1">
        <v>5</v>
      </c>
      <c r="ED15" s="104">
        <f t="shared" si="43"/>
        <v>0</v>
      </c>
      <c r="EE15" s="102"/>
      <c r="EF15" s="1">
        <v>5</v>
      </c>
      <c r="EG15" s="104">
        <f t="shared" si="44"/>
        <v>0</v>
      </c>
      <c r="EH15" s="102"/>
      <c r="EI15" s="1">
        <v>5</v>
      </c>
      <c r="EJ15" s="104">
        <f t="shared" si="45"/>
        <v>0</v>
      </c>
      <c r="EK15" s="102"/>
      <c r="EL15" s="1">
        <v>5</v>
      </c>
      <c r="EM15" s="104">
        <f t="shared" si="46"/>
        <v>0</v>
      </c>
      <c r="EN15" s="102"/>
      <c r="EO15" s="1">
        <v>5</v>
      </c>
      <c r="EP15" s="104">
        <f t="shared" si="47"/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16" customHeight="1" spans="1:148" x14ac:dyDescent="0.25">
      <c r="A16" s="163" t="s">
        <v>89</v>
      </c>
      <c r="B16" s="125"/>
      <c r="C16" s="126"/>
      <c r="D16" s="127"/>
      <c r="E16" s="82">
        <f>AVERAGE(E17:E19)</f>
        <v>0</v>
      </c>
      <c r="F16" s="126"/>
      <c r="G16" s="127"/>
      <c r="H16" s="82">
        <f>AVERAGE(H17:H19)</f>
        <v>0</v>
      </c>
      <c r="I16" s="126"/>
      <c r="J16" s="127"/>
      <c r="K16" s="82">
        <f>AVERAGE(K17:K19)</f>
        <v>0</v>
      </c>
      <c r="L16" s="126"/>
      <c r="M16" s="127"/>
      <c r="N16" s="82">
        <f>AVERAGE(N17:N19)</f>
        <v>0</v>
      </c>
      <c r="O16" s="126"/>
      <c r="P16" s="127"/>
      <c r="Q16" s="82">
        <f>AVERAGE(Q17:Q19)</f>
        <v>0</v>
      </c>
      <c r="R16" s="126"/>
      <c r="S16" s="127"/>
      <c r="T16" s="82">
        <f>AVERAGE(T17:T19)</f>
        <v>0</v>
      </c>
      <c r="U16" s="126"/>
      <c r="V16" s="127"/>
      <c r="W16" s="82">
        <f>AVERAGE(W17:W19)</f>
        <v>0</v>
      </c>
      <c r="X16" s="126"/>
      <c r="Y16" s="127"/>
      <c r="Z16" s="82">
        <f>AVERAGE(Z17:Z19)</f>
        <v>0</v>
      </c>
      <c r="AA16" s="126"/>
      <c r="AB16" s="127"/>
      <c r="AC16" s="82">
        <f>AVERAGE(AC17:AC19)</f>
        <v>0</v>
      </c>
      <c r="AD16" s="126"/>
      <c r="AE16" s="127"/>
      <c r="AF16" s="82">
        <f>AVERAGE(AF17:AF19)</f>
        <v>0</v>
      </c>
      <c r="AG16" s="126"/>
      <c r="AH16" s="127"/>
      <c r="AI16" s="82">
        <f>AVERAGE(AI17:AI19)</f>
        <v>0</v>
      </c>
      <c r="AJ16" s="126"/>
      <c r="AK16" s="127"/>
      <c r="AL16" s="82">
        <f>AVERAGE(AL17:AL19)</f>
        <v>0</v>
      </c>
      <c r="AM16" s="128"/>
      <c r="AN16" s="127"/>
      <c r="AO16" s="82">
        <f>AVERAGE(AO17:AO19)</f>
        <v>0</v>
      </c>
      <c r="AP16" s="128"/>
      <c r="AQ16" s="129"/>
      <c r="AR16" s="82">
        <f>AVERAGE(AR17:AR19)</f>
        <v>0</v>
      </c>
      <c r="AS16" s="130"/>
      <c r="AT16" s="129"/>
      <c r="AU16" s="82">
        <f>AVERAGE(AU17:AU19)</f>
        <v>0</v>
      </c>
      <c r="AV16" s="128"/>
      <c r="AW16" s="127"/>
      <c r="AX16" s="82">
        <f>AVERAGE(AX17:AX19)</f>
        <v>0</v>
      </c>
      <c r="AY16" s="131"/>
      <c r="AZ16" s="132"/>
      <c r="BA16" s="82">
        <f>AVERAGE(BA17:BA19)</f>
        <v>0</v>
      </c>
      <c r="BB16" s="128"/>
      <c r="BC16" s="132"/>
      <c r="BD16" s="82">
        <f>AVERAGE(BD17:BD19)</f>
        <v>0</v>
      </c>
      <c r="BE16" s="128"/>
      <c r="BF16" s="132"/>
      <c r="BG16" s="82">
        <f>AVERAGE(BG17:BG19)</f>
        <v>0</v>
      </c>
      <c r="BH16" s="128"/>
      <c r="BI16" s="132"/>
      <c r="BJ16" s="82">
        <f>AVERAGE(BJ17:BJ19)</f>
        <v>0</v>
      </c>
      <c r="BK16" s="128"/>
      <c r="BL16" s="132"/>
      <c r="BM16" s="82">
        <f>AVERAGE(BM17:BM19)</f>
        <v>0</v>
      </c>
      <c r="BN16" s="128"/>
      <c r="BO16" s="132"/>
      <c r="BP16" s="82">
        <f>AVERAGE(BP17:BP19)</f>
        <v>0</v>
      </c>
      <c r="BQ16" s="128"/>
      <c r="BR16" s="132"/>
      <c r="BS16" s="82">
        <f>AVERAGE(BS17:BS19)</f>
        <v>0</v>
      </c>
      <c r="BT16" s="128"/>
      <c r="BU16" s="132"/>
      <c r="BV16" s="82">
        <f>AVERAGE(BV17:BV19)</f>
        <v>0</v>
      </c>
      <c r="BW16" s="128"/>
      <c r="BX16" s="132"/>
      <c r="BY16" s="82">
        <f>AVERAGE(BY17:BY19)</f>
        <v>0</v>
      </c>
      <c r="BZ16" s="126"/>
      <c r="CA16" s="127"/>
      <c r="CB16" s="82">
        <f>AVERAGE(CB17:CB19)</f>
        <v>0</v>
      </c>
      <c r="CC16" s="126"/>
      <c r="CD16" s="127"/>
      <c r="CE16" s="82">
        <f>AVERAGE(CE17:CE19)</f>
        <v>0</v>
      </c>
      <c r="CF16" s="126"/>
      <c r="CG16" s="127"/>
      <c r="CH16" s="82">
        <f>AVERAGE(CH17:CH19)</f>
        <v>0</v>
      </c>
      <c r="CI16" s="126"/>
      <c r="CJ16" s="127"/>
      <c r="CK16" s="82">
        <f>AVERAGE(CK17:CK19)</f>
        <v>0</v>
      </c>
      <c r="CL16" s="126"/>
      <c r="CM16" s="127"/>
      <c r="CN16" s="82">
        <f>AVERAGE(CN17:CN19)</f>
        <v>0</v>
      </c>
      <c r="CO16" s="126"/>
      <c r="CP16" s="127"/>
      <c r="CQ16" s="82">
        <f>AVERAGE(CQ17:CQ19)</f>
        <v>0</v>
      </c>
      <c r="CR16" s="126"/>
      <c r="CS16" s="127"/>
      <c r="CT16" s="82">
        <f>AVERAGE(CT17:CT19)</f>
        <v>0</v>
      </c>
      <c r="CU16" s="126"/>
      <c r="CV16" s="127"/>
      <c r="CW16" s="82">
        <f>AVERAGE(CW17:CW19)</f>
        <v>0</v>
      </c>
      <c r="CX16" s="126"/>
      <c r="CY16" s="127"/>
      <c r="CZ16" s="82">
        <f>AVERAGE(CZ17:CZ19)</f>
        <v>0</v>
      </c>
      <c r="DA16" s="126"/>
      <c r="DB16" s="127"/>
      <c r="DC16" s="82">
        <f>AVERAGE(DC17:DC19)</f>
        <v>0</v>
      </c>
      <c r="DD16" s="126"/>
      <c r="DE16" s="127"/>
      <c r="DF16" s="82">
        <f>AVERAGE(DF17:DF19)</f>
        <v>0</v>
      </c>
      <c r="DG16" s="126"/>
      <c r="DH16" s="127"/>
      <c r="DI16" s="82">
        <f>AVERAGE(DI17:DI19)</f>
        <v>0</v>
      </c>
      <c r="DJ16" s="126"/>
      <c r="DK16" s="127"/>
      <c r="DL16" s="82">
        <f>AVERAGE(DL17:DL19)</f>
        <v>0</v>
      </c>
      <c r="DM16" s="126"/>
      <c r="DN16" s="127"/>
      <c r="DO16" s="82">
        <f>AVERAGE(DO17:DO19)</f>
        <v>0</v>
      </c>
      <c r="DP16" s="126"/>
      <c r="DQ16" s="127"/>
      <c r="DR16" s="82">
        <f>AVERAGE(DR17:DR19)</f>
        <v>0</v>
      </c>
      <c r="DS16" s="126"/>
      <c r="DT16" s="127"/>
      <c r="DU16" s="82">
        <f>AVERAGE(DU17:DU19)</f>
        <v>0</v>
      </c>
      <c r="DV16" s="126"/>
      <c r="DW16" s="127"/>
      <c r="DX16" s="82">
        <f>AVERAGE(DX17:DX19)</f>
        <v>0</v>
      </c>
      <c r="DY16" s="126"/>
      <c r="DZ16" s="127"/>
      <c r="EA16" s="82">
        <f>AVERAGE(EA17:EA19)</f>
        <v>0</v>
      </c>
      <c r="EB16" s="126"/>
      <c r="EC16" s="127"/>
      <c r="ED16" s="82">
        <f>AVERAGE(ED17:ED19)</f>
        <v>0</v>
      </c>
      <c r="EE16" s="126"/>
      <c r="EF16" s="127"/>
      <c r="EG16" s="82">
        <f>AVERAGE(EG17:EG19)</f>
        <v>0</v>
      </c>
      <c r="EH16" s="126"/>
      <c r="EI16" s="127"/>
      <c r="EJ16" s="82">
        <f>AVERAGE(EJ17:EJ19)</f>
        <v>0</v>
      </c>
      <c r="EK16" s="126"/>
      <c r="EL16" s="127"/>
      <c r="EM16" s="82">
        <f>AVERAGE(EM17:EM19)</f>
        <v>0</v>
      </c>
      <c r="EN16" s="126"/>
      <c r="EO16" s="127"/>
      <c r="EP16" s="82">
        <f>AVERAGE(EP17:EP19)</f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27" customHeight="1" spans="1:148" x14ac:dyDescent="0.25">
      <c r="A17" s="170" t="s">
        <v>140</v>
      </c>
      <c r="B17" s="187"/>
      <c r="C17" s="102"/>
      <c r="D17" s="103">
        <v>5</v>
      </c>
      <c r="E17" s="104">
        <f t="shared" ref="E17:E19" si="48">C17/D17</f>
        <v>0</v>
      </c>
      <c r="F17" s="102"/>
      <c r="G17" s="103">
        <v>5</v>
      </c>
      <c r="H17" s="104">
        <f t="shared" ref="H17:H19" si="49">F17/G17</f>
        <v>0</v>
      </c>
      <c r="I17" s="105"/>
      <c r="J17" s="103">
        <v>5</v>
      </c>
      <c r="K17" s="104">
        <f t="shared" ref="K17:K19" si="50">I17/J17</f>
        <v>0</v>
      </c>
      <c r="L17" s="105"/>
      <c r="M17" s="103">
        <v>5</v>
      </c>
      <c r="N17" s="104">
        <f t="shared" ref="N17:N19" si="51">L17/M17</f>
        <v>0</v>
      </c>
      <c r="O17" s="106"/>
      <c r="P17" s="107">
        <v>5</v>
      </c>
      <c r="Q17" s="104">
        <f t="shared" ref="Q17:Q19" si="52">O17/P17</f>
        <v>0</v>
      </c>
      <c r="R17" s="102"/>
      <c r="S17" s="107">
        <v>5</v>
      </c>
      <c r="T17" s="104">
        <f t="shared" ref="T17:T19" si="53">R17/S17</f>
        <v>0</v>
      </c>
      <c r="U17" s="102"/>
      <c r="V17" s="107">
        <v>5</v>
      </c>
      <c r="W17" s="104">
        <f t="shared" ref="W17:W19" si="54">U17/V17</f>
        <v>0</v>
      </c>
      <c r="X17" s="102"/>
      <c r="Y17" s="107">
        <v>5</v>
      </c>
      <c r="Z17" s="104">
        <f t="shared" ref="Z17:Z19" si="55">X17/Y17</f>
        <v>0</v>
      </c>
      <c r="AA17" s="106"/>
      <c r="AB17" s="107">
        <v>5</v>
      </c>
      <c r="AC17" s="104">
        <f t="shared" ref="AC17:AC19" si="56">AA17/AB17</f>
        <v>0</v>
      </c>
      <c r="AD17" s="106"/>
      <c r="AE17" s="107">
        <v>5</v>
      </c>
      <c r="AF17" s="104">
        <f t="shared" ref="AF17:AF19" si="57">AD17/AE17</f>
        <v>0</v>
      </c>
      <c r="AG17" s="106"/>
      <c r="AH17" s="107">
        <v>5</v>
      </c>
      <c r="AI17" s="104">
        <f t="shared" ref="AI17:AI19" si="58">AG17/AH17</f>
        <v>0</v>
      </c>
      <c r="AJ17" s="106"/>
      <c r="AK17" s="107">
        <v>5</v>
      </c>
      <c r="AL17" s="104">
        <f t="shared" ref="AL17:AL19" si="59">AJ17/AK17</f>
        <v>0</v>
      </c>
      <c r="AM17" s="102"/>
      <c r="AN17" s="1">
        <v>5</v>
      </c>
      <c r="AO17" s="104">
        <f t="shared" ref="AO17:AO19" si="60">AM17/AN17</f>
        <v>0</v>
      </c>
      <c r="AP17" s="102"/>
      <c r="AQ17" s="1">
        <v>5</v>
      </c>
      <c r="AR17" s="104">
        <f t="shared" ref="AR17:AR19" si="61">AP17/AQ17</f>
        <v>0</v>
      </c>
      <c r="AS17" s="102"/>
      <c r="AT17" s="1">
        <v>5</v>
      </c>
      <c r="AU17" s="104">
        <f t="shared" ref="AU17:AU19" si="62">AS17/AT17</f>
        <v>0</v>
      </c>
      <c r="AV17" s="102"/>
      <c r="AW17" s="1">
        <v>5</v>
      </c>
      <c r="AX17" s="104">
        <f t="shared" ref="AX17:AX19" si="63">AV17/AW17</f>
        <v>0</v>
      </c>
      <c r="AY17" s="102"/>
      <c r="AZ17" s="1">
        <v>5</v>
      </c>
      <c r="BA17" s="104">
        <f t="shared" ref="BA17:BA19" si="64">AY17/AZ17</f>
        <v>0</v>
      </c>
      <c r="BB17" s="102"/>
      <c r="BC17" s="1">
        <v>5</v>
      </c>
      <c r="BD17" s="104">
        <f t="shared" ref="BD17:BD19" si="65">BB17/BC17</f>
        <v>0</v>
      </c>
      <c r="BE17" s="102"/>
      <c r="BF17" s="1">
        <v>5</v>
      </c>
      <c r="BG17" s="104">
        <f t="shared" ref="BG17:BG19" si="66">BE17/BF17</f>
        <v>0</v>
      </c>
      <c r="BH17" s="102"/>
      <c r="BI17" s="1">
        <v>5</v>
      </c>
      <c r="BJ17" s="104">
        <f t="shared" ref="BJ17:BJ19" si="67">BH17/BI17</f>
        <v>0</v>
      </c>
      <c r="BK17" s="102"/>
      <c r="BL17" s="1">
        <v>5</v>
      </c>
      <c r="BM17" s="104">
        <f t="shared" ref="BM17:BM19" si="68">BK17/BL17</f>
        <v>0</v>
      </c>
      <c r="BN17" s="102"/>
      <c r="BO17" s="1">
        <v>5</v>
      </c>
      <c r="BP17" s="104">
        <f t="shared" ref="BP17:BP19" si="69">BN17/BO17</f>
        <v>0</v>
      </c>
      <c r="BQ17" s="102"/>
      <c r="BR17" s="1">
        <v>5</v>
      </c>
      <c r="BS17" s="104">
        <f t="shared" ref="BS17:BS19" si="70">BQ17/BR17</f>
        <v>0</v>
      </c>
      <c r="BT17" s="102"/>
      <c r="BU17" s="1">
        <v>5</v>
      </c>
      <c r="BV17" s="104">
        <f t="shared" ref="BV17:BV19" si="71">BT17/BU17</f>
        <v>0</v>
      </c>
      <c r="BW17" s="102"/>
      <c r="BX17" s="1">
        <v>5</v>
      </c>
      <c r="BY17" s="104">
        <f t="shared" ref="BY17:BY19" si="72">BW17/BX17</f>
        <v>0</v>
      </c>
      <c r="BZ17" s="102"/>
      <c r="CA17" s="1">
        <v>5</v>
      </c>
      <c r="CB17" s="104">
        <f t="shared" ref="CB17:CB19" si="73">BZ17/CA17</f>
        <v>0</v>
      </c>
      <c r="CC17" s="102"/>
      <c r="CD17" s="1">
        <v>5</v>
      </c>
      <c r="CE17" s="104">
        <f t="shared" ref="CE17:CE19" si="74">CC17/CD17</f>
        <v>0</v>
      </c>
      <c r="CF17" s="102"/>
      <c r="CG17" s="1">
        <v>5</v>
      </c>
      <c r="CH17" s="104">
        <f t="shared" ref="CH17:CH19" si="75">CF17/CG17</f>
        <v>0</v>
      </c>
      <c r="CI17" s="102"/>
      <c r="CJ17" s="1">
        <v>5</v>
      </c>
      <c r="CK17" s="104">
        <f t="shared" ref="CK17:CK19" si="76">CI17/CJ17</f>
        <v>0</v>
      </c>
      <c r="CL17" s="102"/>
      <c r="CM17" s="1">
        <v>5</v>
      </c>
      <c r="CN17" s="104">
        <f t="shared" ref="CN17:CN19" si="77">CL17/CM17</f>
        <v>0</v>
      </c>
      <c r="CO17" s="102"/>
      <c r="CP17" s="1">
        <v>5</v>
      </c>
      <c r="CQ17" s="104">
        <f t="shared" ref="CQ17:CQ19" si="78">CO17/CP17</f>
        <v>0</v>
      </c>
      <c r="CR17" s="102"/>
      <c r="CS17" s="1">
        <v>5</v>
      </c>
      <c r="CT17" s="104">
        <f t="shared" ref="CT17:CT19" si="79">CR17/CS17</f>
        <v>0</v>
      </c>
      <c r="CU17" s="102"/>
      <c r="CV17" s="1">
        <v>5</v>
      </c>
      <c r="CW17" s="104">
        <f t="shared" ref="CW17:CW19" si="80">CU17/CV17</f>
        <v>0</v>
      </c>
      <c r="CX17" s="102"/>
      <c r="CY17" s="1">
        <v>5</v>
      </c>
      <c r="CZ17" s="104">
        <f t="shared" ref="CZ17:CZ19" si="81">CX17/CY17</f>
        <v>0</v>
      </c>
      <c r="DA17" s="102"/>
      <c r="DB17" s="1">
        <v>5</v>
      </c>
      <c r="DC17" s="104">
        <f t="shared" ref="DC17:DC19" si="82">DA17/DB17</f>
        <v>0</v>
      </c>
      <c r="DD17" s="102"/>
      <c r="DE17" s="1">
        <v>5</v>
      </c>
      <c r="DF17" s="104">
        <f t="shared" ref="DF17:DF19" si="83">DD17/DE17</f>
        <v>0</v>
      </c>
      <c r="DG17" s="102"/>
      <c r="DH17" s="1">
        <v>5</v>
      </c>
      <c r="DI17" s="104">
        <f t="shared" ref="DI17:DI19" si="84">DG17/DH17</f>
        <v>0</v>
      </c>
      <c r="DJ17" s="102"/>
      <c r="DK17" s="1">
        <v>5</v>
      </c>
      <c r="DL17" s="104">
        <f t="shared" ref="DL17:DL19" si="85">DJ17/DK17</f>
        <v>0</v>
      </c>
      <c r="DM17" s="102"/>
      <c r="DN17" s="1">
        <v>5</v>
      </c>
      <c r="DO17" s="104">
        <f t="shared" ref="DO17:DO19" si="86">DM17/DN17</f>
        <v>0</v>
      </c>
      <c r="DP17" s="102"/>
      <c r="DQ17" s="1">
        <v>5</v>
      </c>
      <c r="DR17" s="104">
        <f t="shared" ref="DR17:DR19" si="87">DP17/DQ17</f>
        <v>0</v>
      </c>
      <c r="DS17" s="102"/>
      <c r="DT17" s="1">
        <v>5</v>
      </c>
      <c r="DU17" s="104">
        <f t="shared" ref="DU17:DU19" si="88">DS17/DT17</f>
        <v>0</v>
      </c>
      <c r="DV17" s="102"/>
      <c r="DW17" s="1">
        <v>5</v>
      </c>
      <c r="DX17" s="104">
        <f t="shared" ref="DX17:DX19" si="89">DV17/DW17</f>
        <v>0</v>
      </c>
      <c r="DY17" s="102"/>
      <c r="DZ17" s="1">
        <v>5</v>
      </c>
      <c r="EA17" s="104">
        <f t="shared" ref="EA17:EA19" si="90">DY17/DZ17</f>
        <v>0</v>
      </c>
      <c r="EB17" s="102"/>
      <c r="EC17" s="1">
        <v>5</v>
      </c>
      <c r="ED17" s="104">
        <f t="shared" ref="ED17:ED19" si="91">EB17/EC17</f>
        <v>0</v>
      </c>
      <c r="EE17" s="102"/>
      <c r="EF17" s="1">
        <v>5</v>
      </c>
      <c r="EG17" s="104">
        <f t="shared" ref="EG17:EG19" si="92">EE17/EF17</f>
        <v>0</v>
      </c>
      <c r="EH17" s="102"/>
      <c r="EI17" s="1">
        <v>5</v>
      </c>
      <c r="EJ17" s="104">
        <f t="shared" ref="EJ17:EJ19" si="93">EH17/EI17</f>
        <v>0</v>
      </c>
      <c r="EK17" s="102"/>
      <c r="EL17" s="1">
        <v>5</v>
      </c>
      <c r="EM17" s="104">
        <f t="shared" ref="EM17:EM19" si="94">EK17/EL17</f>
        <v>0</v>
      </c>
      <c r="EN17" s="102"/>
      <c r="EO17" s="1">
        <v>5</v>
      </c>
      <c r="EP17" s="104">
        <f t="shared" ref="EP17:EP19" si="95">EN17/EO17</f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40.5" customHeight="1" spans="1:148" x14ac:dyDescent="0.25">
      <c r="A18" s="169" t="s">
        <v>178</v>
      </c>
      <c r="B18" s="188"/>
      <c r="C18" s="102"/>
      <c r="D18" s="103">
        <v>5</v>
      </c>
      <c r="E18" s="104">
        <f t="shared" si="48"/>
        <v>0</v>
      </c>
      <c r="F18" s="102"/>
      <c r="G18" s="103">
        <v>5</v>
      </c>
      <c r="H18" s="104">
        <f t="shared" si="49"/>
        <v>0</v>
      </c>
      <c r="I18" s="105"/>
      <c r="J18" s="103">
        <v>5</v>
      </c>
      <c r="K18" s="104">
        <f t="shared" si="50"/>
        <v>0</v>
      </c>
      <c r="L18" s="105"/>
      <c r="M18" s="103">
        <v>5</v>
      </c>
      <c r="N18" s="104">
        <f t="shared" si="51"/>
        <v>0</v>
      </c>
      <c r="O18" s="106"/>
      <c r="P18" s="107">
        <v>5</v>
      </c>
      <c r="Q18" s="104">
        <f t="shared" si="52"/>
        <v>0</v>
      </c>
      <c r="R18" s="102"/>
      <c r="S18" s="107">
        <v>5</v>
      </c>
      <c r="T18" s="104">
        <f t="shared" si="53"/>
        <v>0</v>
      </c>
      <c r="U18" s="102"/>
      <c r="V18" s="107">
        <v>5</v>
      </c>
      <c r="W18" s="104">
        <f t="shared" si="54"/>
        <v>0</v>
      </c>
      <c r="X18" s="102"/>
      <c r="Y18" s="107">
        <v>5</v>
      </c>
      <c r="Z18" s="104">
        <f t="shared" si="55"/>
        <v>0</v>
      </c>
      <c r="AA18" s="106"/>
      <c r="AB18" s="107">
        <v>5</v>
      </c>
      <c r="AC18" s="104">
        <f t="shared" si="56"/>
        <v>0</v>
      </c>
      <c r="AD18" s="106"/>
      <c r="AE18" s="107">
        <v>5</v>
      </c>
      <c r="AF18" s="104">
        <f t="shared" si="57"/>
        <v>0</v>
      </c>
      <c r="AG18" s="106"/>
      <c r="AH18" s="107">
        <v>5</v>
      </c>
      <c r="AI18" s="104">
        <f t="shared" si="58"/>
        <v>0</v>
      </c>
      <c r="AJ18" s="106"/>
      <c r="AK18" s="107">
        <v>5</v>
      </c>
      <c r="AL18" s="104">
        <f t="shared" si="59"/>
        <v>0</v>
      </c>
      <c r="AM18" s="102"/>
      <c r="AN18" s="1">
        <v>5</v>
      </c>
      <c r="AO18" s="104">
        <f t="shared" si="60"/>
        <v>0</v>
      </c>
      <c r="AP18" s="102"/>
      <c r="AQ18" s="1">
        <v>5</v>
      </c>
      <c r="AR18" s="104">
        <f t="shared" si="61"/>
        <v>0</v>
      </c>
      <c r="AS18" s="102"/>
      <c r="AT18" s="1">
        <v>5</v>
      </c>
      <c r="AU18" s="104">
        <f t="shared" si="62"/>
        <v>0</v>
      </c>
      <c r="AV18" s="102"/>
      <c r="AW18" s="1">
        <v>5</v>
      </c>
      <c r="AX18" s="104">
        <f t="shared" si="63"/>
        <v>0</v>
      </c>
      <c r="AY18" s="102"/>
      <c r="AZ18" s="1">
        <v>5</v>
      </c>
      <c r="BA18" s="104">
        <f t="shared" si="64"/>
        <v>0</v>
      </c>
      <c r="BB18" s="102"/>
      <c r="BC18" s="1">
        <v>5</v>
      </c>
      <c r="BD18" s="104">
        <f t="shared" si="65"/>
        <v>0</v>
      </c>
      <c r="BE18" s="102"/>
      <c r="BF18" s="1">
        <v>5</v>
      </c>
      <c r="BG18" s="104">
        <f t="shared" si="66"/>
        <v>0</v>
      </c>
      <c r="BH18" s="102"/>
      <c r="BI18" s="1">
        <v>5</v>
      </c>
      <c r="BJ18" s="104">
        <f t="shared" si="67"/>
        <v>0</v>
      </c>
      <c r="BK18" s="102"/>
      <c r="BL18" s="1">
        <v>5</v>
      </c>
      <c r="BM18" s="104">
        <f t="shared" si="68"/>
        <v>0</v>
      </c>
      <c r="BN18" s="102"/>
      <c r="BO18" s="1">
        <v>5</v>
      </c>
      <c r="BP18" s="104">
        <f t="shared" si="69"/>
        <v>0</v>
      </c>
      <c r="BQ18" s="102"/>
      <c r="BR18" s="1">
        <v>5</v>
      </c>
      <c r="BS18" s="104">
        <f t="shared" si="70"/>
        <v>0</v>
      </c>
      <c r="BT18" s="102"/>
      <c r="BU18" s="1">
        <v>5</v>
      </c>
      <c r="BV18" s="104">
        <f t="shared" si="71"/>
        <v>0</v>
      </c>
      <c r="BW18" s="102"/>
      <c r="BX18" s="1">
        <v>5</v>
      </c>
      <c r="BY18" s="104">
        <f t="shared" si="72"/>
        <v>0</v>
      </c>
      <c r="BZ18" s="102"/>
      <c r="CA18" s="1">
        <v>5</v>
      </c>
      <c r="CB18" s="104">
        <f t="shared" si="73"/>
        <v>0</v>
      </c>
      <c r="CC18" s="102"/>
      <c r="CD18" s="1">
        <v>5</v>
      </c>
      <c r="CE18" s="104">
        <f t="shared" si="74"/>
        <v>0</v>
      </c>
      <c r="CF18" s="102"/>
      <c r="CG18" s="1">
        <v>5</v>
      </c>
      <c r="CH18" s="104">
        <f t="shared" si="75"/>
        <v>0</v>
      </c>
      <c r="CI18" s="102"/>
      <c r="CJ18" s="1">
        <v>5</v>
      </c>
      <c r="CK18" s="104">
        <f t="shared" si="76"/>
        <v>0</v>
      </c>
      <c r="CL18" s="102"/>
      <c r="CM18" s="1">
        <v>5</v>
      </c>
      <c r="CN18" s="104">
        <f t="shared" si="77"/>
        <v>0</v>
      </c>
      <c r="CO18" s="102"/>
      <c r="CP18" s="1">
        <v>5</v>
      </c>
      <c r="CQ18" s="104">
        <f t="shared" si="78"/>
        <v>0</v>
      </c>
      <c r="CR18" s="102"/>
      <c r="CS18" s="1">
        <v>5</v>
      </c>
      <c r="CT18" s="104">
        <f t="shared" si="79"/>
        <v>0</v>
      </c>
      <c r="CU18" s="102"/>
      <c r="CV18" s="1">
        <v>5</v>
      </c>
      <c r="CW18" s="104">
        <f t="shared" si="80"/>
        <v>0</v>
      </c>
      <c r="CX18" s="102"/>
      <c r="CY18" s="1">
        <v>5</v>
      </c>
      <c r="CZ18" s="104">
        <f t="shared" si="81"/>
        <v>0</v>
      </c>
      <c r="DA18" s="102"/>
      <c r="DB18" s="1">
        <v>5</v>
      </c>
      <c r="DC18" s="104">
        <f t="shared" si="82"/>
        <v>0</v>
      </c>
      <c r="DD18" s="102"/>
      <c r="DE18" s="1">
        <v>5</v>
      </c>
      <c r="DF18" s="104">
        <f t="shared" si="83"/>
        <v>0</v>
      </c>
      <c r="DG18" s="102"/>
      <c r="DH18" s="1">
        <v>5</v>
      </c>
      <c r="DI18" s="104">
        <f t="shared" si="84"/>
        <v>0</v>
      </c>
      <c r="DJ18" s="102"/>
      <c r="DK18" s="1">
        <v>5</v>
      </c>
      <c r="DL18" s="104">
        <f t="shared" si="85"/>
        <v>0</v>
      </c>
      <c r="DM18" s="102"/>
      <c r="DN18" s="1">
        <v>5</v>
      </c>
      <c r="DO18" s="104">
        <f t="shared" si="86"/>
        <v>0</v>
      </c>
      <c r="DP18" s="102"/>
      <c r="DQ18" s="1">
        <v>5</v>
      </c>
      <c r="DR18" s="104">
        <f t="shared" si="87"/>
        <v>0</v>
      </c>
      <c r="DS18" s="102"/>
      <c r="DT18" s="1">
        <v>5</v>
      </c>
      <c r="DU18" s="104">
        <f t="shared" si="88"/>
        <v>0</v>
      </c>
      <c r="DV18" s="102"/>
      <c r="DW18" s="1">
        <v>5</v>
      </c>
      <c r="DX18" s="104">
        <f t="shared" si="89"/>
        <v>0</v>
      </c>
      <c r="DY18" s="102"/>
      <c r="DZ18" s="1">
        <v>5</v>
      </c>
      <c r="EA18" s="104">
        <f t="shared" si="90"/>
        <v>0</v>
      </c>
      <c r="EB18" s="102"/>
      <c r="EC18" s="1">
        <v>5</v>
      </c>
      <c r="ED18" s="104">
        <f t="shared" si="91"/>
        <v>0</v>
      </c>
      <c r="EE18" s="102"/>
      <c r="EF18" s="1">
        <v>5</v>
      </c>
      <c r="EG18" s="104">
        <f t="shared" si="92"/>
        <v>0</v>
      </c>
      <c r="EH18" s="102"/>
      <c r="EI18" s="1">
        <v>5</v>
      </c>
      <c r="EJ18" s="104">
        <f t="shared" si="93"/>
        <v>0</v>
      </c>
      <c r="EK18" s="102"/>
      <c r="EL18" s="1">
        <v>5</v>
      </c>
      <c r="EM18" s="104">
        <f t="shared" si="94"/>
        <v>0</v>
      </c>
      <c r="EN18" s="102"/>
      <c r="EO18" s="1">
        <v>5</v>
      </c>
      <c r="EP18" s="104">
        <f t="shared" si="95"/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32" customHeight="1" spans="1:148" x14ac:dyDescent="0.25">
      <c r="A19" s="192" t="s">
        <v>91</v>
      </c>
      <c r="B19" s="193"/>
      <c r="C19" s="102"/>
      <c r="D19" s="103">
        <v>5</v>
      </c>
      <c r="E19" s="104">
        <f t="shared" si="48"/>
        <v>0</v>
      </c>
      <c r="F19" s="102"/>
      <c r="G19" s="103">
        <v>5</v>
      </c>
      <c r="H19" s="104">
        <f t="shared" si="49"/>
        <v>0</v>
      </c>
      <c r="I19" s="105"/>
      <c r="J19" s="103">
        <v>5</v>
      </c>
      <c r="K19" s="104">
        <f t="shared" si="50"/>
        <v>0</v>
      </c>
      <c r="L19" s="105"/>
      <c r="M19" s="103">
        <v>5</v>
      </c>
      <c r="N19" s="104">
        <f t="shared" si="51"/>
        <v>0</v>
      </c>
      <c r="O19" s="106"/>
      <c r="P19" s="107">
        <v>5</v>
      </c>
      <c r="Q19" s="104">
        <f t="shared" si="52"/>
        <v>0</v>
      </c>
      <c r="R19" s="102"/>
      <c r="S19" s="107">
        <v>5</v>
      </c>
      <c r="T19" s="104">
        <f t="shared" si="53"/>
        <v>0</v>
      </c>
      <c r="U19" s="102"/>
      <c r="V19" s="107">
        <v>5</v>
      </c>
      <c r="W19" s="104">
        <f t="shared" si="54"/>
        <v>0</v>
      </c>
      <c r="X19" s="102"/>
      <c r="Y19" s="107">
        <v>5</v>
      </c>
      <c r="Z19" s="104">
        <f t="shared" si="55"/>
        <v>0</v>
      </c>
      <c r="AA19" s="106"/>
      <c r="AB19" s="107">
        <v>5</v>
      </c>
      <c r="AC19" s="104">
        <f t="shared" si="56"/>
        <v>0</v>
      </c>
      <c r="AD19" s="106"/>
      <c r="AE19" s="107">
        <v>5</v>
      </c>
      <c r="AF19" s="104">
        <f t="shared" si="57"/>
        <v>0</v>
      </c>
      <c r="AG19" s="106"/>
      <c r="AH19" s="107">
        <v>5</v>
      </c>
      <c r="AI19" s="104">
        <f t="shared" si="58"/>
        <v>0</v>
      </c>
      <c r="AJ19" s="106"/>
      <c r="AK19" s="107">
        <v>5</v>
      </c>
      <c r="AL19" s="104">
        <f t="shared" si="59"/>
        <v>0</v>
      </c>
      <c r="AM19" s="102"/>
      <c r="AN19" s="1">
        <v>5</v>
      </c>
      <c r="AO19" s="104">
        <f t="shared" si="60"/>
        <v>0</v>
      </c>
      <c r="AP19" s="102"/>
      <c r="AQ19" s="1">
        <v>5</v>
      </c>
      <c r="AR19" s="104">
        <f t="shared" si="61"/>
        <v>0</v>
      </c>
      <c r="AS19" s="102"/>
      <c r="AT19" s="1">
        <v>5</v>
      </c>
      <c r="AU19" s="104">
        <f t="shared" si="62"/>
        <v>0</v>
      </c>
      <c r="AV19" s="102"/>
      <c r="AW19" s="1">
        <v>5</v>
      </c>
      <c r="AX19" s="104">
        <f t="shared" si="63"/>
        <v>0</v>
      </c>
      <c r="AY19" s="102"/>
      <c r="AZ19" s="1">
        <v>5</v>
      </c>
      <c r="BA19" s="104">
        <f t="shared" si="64"/>
        <v>0</v>
      </c>
      <c r="BB19" s="102"/>
      <c r="BC19" s="1">
        <v>5</v>
      </c>
      <c r="BD19" s="104">
        <f t="shared" si="65"/>
        <v>0</v>
      </c>
      <c r="BE19" s="102"/>
      <c r="BF19" s="1">
        <v>5</v>
      </c>
      <c r="BG19" s="104">
        <f t="shared" si="66"/>
        <v>0</v>
      </c>
      <c r="BH19" s="102"/>
      <c r="BI19" s="1">
        <v>5</v>
      </c>
      <c r="BJ19" s="104">
        <f t="shared" si="67"/>
        <v>0</v>
      </c>
      <c r="BK19" s="102"/>
      <c r="BL19" s="1">
        <v>5</v>
      </c>
      <c r="BM19" s="104">
        <f t="shared" si="68"/>
        <v>0</v>
      </c>
      <c r="BN19" s="102"/>
      <c r="BO19" s="1">
        <v>5</v>
      </c>
      <c r="BP19" s="104">
        <f t="shared" si="69"/>
        <v>0</v>
      </c>
      <c r="BQ19" s="102"/>
      <c r="BR19" s="1">
        <v>5</v>
      </c>
      <c r="BS19" s="104">
        <f t="shared" si="70"/>
        <v>0</v>
      </c>
      <c r="BT19" s="102"/>
      <c r="BU19" s="1">
        <v>5</v>
      </c>
      <c r="BV19" s="104">
        <f t="shared" si="71"/>
        <v>0</v>
      </c>
      <c r="BW19" s="102"/>
      <c r="BX19" s="1">
        <v>5</v>
      </c>
      <c r="BY19" s="104">
        <f t="shared" si="72"/>
        <v>0</v>
      </c>
      <c r="BZ19" s="102"/>
      <c r="CA19" s="1">
        <v>5</v>
      </c>
      <c r="CB19" s="104">
        <f t="shared" si="73"/>
        <v>0</v>
      </c>
      <c r="CC19" s="102"/>
      <c r="CD19" s="1">
        <v>5</v>
      </c>
      <c r="CE19" s="104">
        <f t="shared" si="74"/>
        <v>0</v>
      </c>
      <c r="CF19" s="102"/>
      <c r="CG19" s="1">
        <v>5</v>
      </c>
      <c r="CH19" s="104">
        <f t="shared" si="75"/>
        <v>0</v>
      </c>
      <c r="CI19" s="102"/>
      <c r="CJ19" s="1">
        <v>5</v>
      </c>
      <c r="CK19" s="104">
        <f t="shared" si="76"/>
        <v>0</v>
      </c>
      <c r="CL19" s="102"/>
      <c r="CM19" s="1">
        <v>5</v>
      </c>
      <c r="CN19" s="104">
        <f t="shared" si="77"/>
        <v>0</v>
      </c>
      <c r="CO19" s="102"/>
      <c r="CP19" s="1">
        <v>5</v>
      </c>
      <c r="CQ19" s="104">
        <f t="shared" si="78"/>
        <v>0</v>
      </c>
      <c r="CR19" s="102"/>
      <c r="CS19" s="1">
        <v>5</v>
      </c>
      <c r="CT19" s="104">
        <f t="shared" si="79"/>
        <v>0</v>
      </c>
      <c r="CU19" s="102"/>
      <c r="CV19" s="1">
        <v>5</v>
      </c>
      <c r="CW19" s="104">
        <f t="shared" si="80"/>
        <v>0</v>
      </c>
      <c r="CX19" s="102"/>
      <c r="CY19" s="1">
        <v>5</v>
      </c>
      <c r="CZ19" s="104">
        <f t="shared" si="81"/>
        <v>0</v>
      </c>
      <c r="DA19" s="102"/>
      <c r="DB19" s="1">
        <v>5</v>
      </c>
      <c r="DC19" s="104">
        <f t="shared" si="82"/>
        <v>0</v>
      </c>
      <c r="DD19" s="102"/>
      <c r="DE19" s="1">
        <v>5</v>
      </c>
      <c r="DF19" s="104">
        <f t="shared" si="83"/>
        <v>0</v>
      </c>
      <c r="DG19" s="102"/>
      <c r="DH19" s="1">
        <v>5</v>
      </c>
      <c r="DI19" s="104">
        <f t="shared" si="84"/>
        <v>0</v>
      </c>
      <c r="DJ19" s="102"/>
      <c r="DK19" s="1">
        <v>5</v>
      </c>
      <c r="DL19" s="104">
        <f t="shared" si="85"/>
        <v>0</v>
      </c>
      <c r="DM19" s="102"/>
      <c r="DN19" s="1">
        <v>5</v>
      </c>
      <c r="DO19" s="104">
        <f t="shared" si="86"/>
        <v>0</v>
      </c>
      <c r="DP19" s="102"/>
      <c r="DQ19" s="1">
        <v>5</v>
      </c>
      <c r="DR19" s="104">
        <f t="shared" si="87"/>
        <v>0</v>
      </c>
      <c r="DS19" s="102"/>
      <c r="DT19" s="1">
        <v>5</v>
      </c>
      <c r="DU19" s="104">
        <f t="shared" si="88"/>
        <v>0</v>
      </c>
      <c r="DV19" s="102"/>
      <c r="DW19" s="1">
        <v>5</v>
      </c>
      <c r="DX19" s="104">
        <f t="shared" si="89"/>
        <v>0</v>
      </c>
      <c r="DY19" s="102"/>
      <c r="DZ19" s="1">
        <v>5</v>
      </c>
      <c r="EA19" s="104">
        <f t="shared" si="90"/>
        <v>0</v>
      </c>
      <c r="EB19" s="102"/>
      <c r="EC19" s="1">
        <v>5</v>
      </c>
      <c r="ED19" s="104">
        <f t="shared" si="91"/>
        <v>0</v>
      </c>
      <c r="EE19" s="102"/>
      <c r="EF19" s="1">
        <v>5</v>
      </c>
      <c r="EG19" s="104">
        <f t="shared" si="92"/>
        <v>0</v>
      </c>
      <c r="EH19" s="102"/>
      <c r="EI19" s="1">
        <v>5</v>
      </c>
      <c r="EJ19" s="104">
        <f t="shared" si="93"/>
        <v>0</v>
      </c>
      <c r="EK19" s="102"/>
      <c r="EL19" s="1">
        <v>5</v>
      </c>
      <c r="EM19" s="104">
        <f t="shared" si="94"/>
        <v>0</v>
      </c>
      <c r="EN19" s="102"/>
      <c r="EO19" s="1">
        <v>5</v>
      </c>
      <c r="EP19" s="104">
        <f t="shared" si="95"/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16" customHeight="1" spans="1:148" x14ac:dyDescent="0.25">
      <c r="A20" s="163" t="s">
        <v>93</v>
      </c>
      <c r="B20" s="125"/>
      <c r="C20" s="126"/>
      <c r="D20" s="127"/>
      <c r="E20" s="82">
        <f>AVERAGE(E21:E32)</f>
        <v>0</v>
      </c>
      <c r="F20" s="126"/>
      <c r="G20" s="127"/>
      <c r="H20" s="82">
        <f>AVERAGE(H21:H32)</f>
        <v>0</v>
      </c>
      <c r="I20" s="126"/>
      <c r="J20" s="127"/>
      <c r="K20" s="82">
        <f>AVERAGE(K21:K32)</f>
        <v>0</v>
      </c>
      <c r="L20" s="126"/>
      <c r="M20" s="127"/>
      <c r="N20" s="82">
        <f>AVERAGE(N21:N32)</f>
        <v>0</v>
      </c>
      <c r="O20" s="126"/>
      <c r="P20" s="127"/>
      <c r="Q20" s="82">
        <f>AVERAGE(Q21:Q32)</f>
        <v>0</v>
      </c>
      <c r="R20" s="126"/>
      <c r="S20" s="127"/>
      <c r="T20" s="82">
        <f>AVERAGE(T21:T32)</f>
        <v>0</v>
      </c>
      <c r="U20" s="126"/>
      <c r="V20" s="127"/>
      <c r="W20" s="82">
        <f>AVERAGE(W21:W32)</f>
        <v>0</v>
      </c>
      <c r="X20" s="126"/>
      <c r="Y20" s="127"/>
      <c r="Z20" s="82">
        <f>AVERAGE(Z21:Z32)</f>
        <v>0</v>
      </c>
      <c r="AA20" s="126"/>
      <c r="AB20" s="127"/>
      <c r="AC20" s="82">
        <f>AVERAGE(AC21:AC32)</f>
        <v>0</v>
      </c>
      <c r="AD20" s="126"/>
      <c r="AE20" s="127"/>
      <c r="AF20" s="82">
        <f>AVERAGE(AF21:AF32)</f>
        <v>0</v>
      </c>
      <c r="AG20" s="126"/>
      <c r="AH20" s="127"/>
      <c r="AI20" s="82">
        <f>AVERAGE(AI21:AI32)</f>
        <v>0</v>
      </c>
      <c r="AJ20" s="126"/>
      <c r="AK20" s="127"/>
      <c r="AL20" s="82">
        <f>AVERAGE(AL21:AL32)</f>
        <v>0</v>
      </c>
      <c r="AM20" s="128"/>
      <c r="AN20" s="127"/>
      <c r="AO20" s="82">
        <f>AVERAGE(AO21:AO32)</f>
        <v>0</v>
      </c>
      <c r="AP20" s="128"/>
      <c r="AQ20" s="129"/>
      <c r="AR20" s="82">
        <f>AVERAGE(AR21:AR32)</f>
        <v>0</v>
      </c>
      <c r="AS20" s="130"/>
      <c r="AT20" s="129"/>
      <c r="AU20" s="82">
        <f>AVERAGE(AU21:AU32)</f>
        <v>0</v>
      </c>
      <c r="AV20" s="128"/>
      <c r="AW20" s="127"/>
      <c r="AX20" s="82">
        <f>AVERAGE(AX21:AX32)</f>
        <v>0</v>
      </c>
      <c r="AY20" s="131"/>
      <c r="AZ20" s="132"/>
      <c r="BA20" s="82">
        <f>AVERAGE(BA21:BA32)</f>
        <v>0</v>
      </c>
      <c r="BB20" s="128"/>
      <c r="BC20" s="132"/>
      <c r="BD20" s="82">
        <f>AVERAGE(BD21:BD32)</f>
        <v>0</v>
      </c>
      <c r="BE20" s="128"/>
      <c r="BF20" s="132"/>
      <c r="BG20" s="82">
        <f>AVERAGE(BG21:BG32)</f>
        <v>0</v>
      </c>
      <c r="BH20" s="128"/>
      <c r="BI20" s="132"/>
      <c r="BJ20" s="82">
        <f>AVERAGE(BJ21:BJ32)</f>
        <v>0</v>
      </c>
      <c r="BK20" s="128"/>
      <c r="BL20" s="132"/>
      <c r="BM20" s="82">
        <f>AVERAGE(BM21:BM32)</f>
        <v>0</v>
      </c>
      <c r="BN20" s="128"/>
      <c r="BO20" s="132"/>
      <c r="BP20" s="82">
        <f>AVERAGE(BP21:BP32)</f>
        <v>0</v>
      </c>
      <c r="BQ20" s="128"/>
      <c r="BR20" s="132"/>
      <c r="BS20" s="82">
        <f>AVERAGE(BS21:BS32)</f>
        <v>0</v>
      </c>
      <c r="BT20" s="128"/>
      <c r="BU20" s="132"/>
      <c r="BV20" s="82">
        <f>AVERAGE(BV21:BV32)</f>
        <v>0</v>
      </c>
      <c r="BW20" s="128"/>
      <c r="BX20" s="132"/>
      <c r="BY20" s="82">
        <f>AVERAGE(BY21:BY32)</f>
        <v>0</v>
      </c>
      <c r="BZ20" s="126"/>
      <c r="CA20" s="127"/>
      <c r="CB20" s="82">
        <f>AVERAGE(CB21:CB32)</f>
        <v>0</v>
      </c>
      <c r="CC20" s="126"/>
      <c r="CD20" s="127"/>
      <c r="CE20" s="82">
        <f>AVERAGE(CE21:CE32)</f>
        <v>0</v>
      </c>
      <c r="CF20" s="126"/>
      <c r="CG20" s="127"/>
      <c r="CH20" s="82">
        <f>AVERAGE(CH21:CH32)</f>
        <v>0</v>
      </c>
      <c r="CI20" s="126"/>
      <c r="CJ20" s="127"/>
      <c r="CK20" s="82">
        <f>AVERAGE(CK21:CK32)</f>
        <v>0</v>
      </c>
      <c r="CL20" s="126"/>
      <c r="CM20" s="127"/>
      <c r="CN20" s="82">
        <f>AVERAGE(CN21:CN32)</f>
        <v>0</v>
      </c>
      <c r="CO20" s="126"/>
      <c r="CP20" s="127"/>
      <c r="CQ20" s="82">
        <f>AVERAGE(CQ21:CQ32)</f>
        <v>0</v>
      </c>
      <c r="CR20" s="126"/>
      <c r="CS20" s="127"/>
      <c r="CT20" s="82">
        <f>AVERAGE(CT21:CT32)</f>
        <v>0</v>
      </c>
      <c r="CU20" s="126"/>
      <c r="CV20" s="127"/>
      <c r="CW20" s="82">
        <f>AVERAGE(CW21:CW32)</f>
        <v>0</v>
      </c>
      <c r="CX20" s="126"/>
      <c r="CY20" s="127"/>
      <c r="CZ20" s="82">
        <f>AVERAGE(CZ21:CZ32)</f>
        <v>0</v>
      </c>
      <c r="DA20" s="126"/>
      <c r="DB20" s="127"/>
      <c r="DC20" s="82">
        <f>AVERAGE(DC21:DC32)</f>
        <v>0</v>
      </c>
      <c r="DD20" s="126"/>
      <c r="DE20" s="127"/>
      <c r="DF20" s="82">
        <f>AVERAGE(DF21:DF32)</f>
        <v>0</v>
      </c>
      <c r="DG20" s="126"/>
      <c r="DH20" s="127"/>
      <c r="DI20" s="82">
        <f>AVERAGE(DI21:DI32)</f>
        <v>0</v>
      </c>
      <c r="DJ20" s="126"/>
      <c r="DK20" s="127"/>
      <c r="DL20" s="82">
        <f>AVERAGE(DL21:DL32)</f>
        <v>0</v>
      </c>
      <c r="DM20" s="126"/>
      <c r="DN20" s="127"/>
      <c r="DO20" s="82">
        <f>AVERAGE(DO21:DO32)</f>
        <v>0</v>
      </c>
      <c r="DP20" s="126"/>
      <c r="DQ20" s="127"/>
      <c r="DR20" s="82">
        <f>AVERAGE(DR21:DR32)</f>
        <v>0</v>
      </c>
      <c r="DS20" s="126"/>
      <c r="DT20" s="127"/>
      <c r="DU20" s="82">
        <f>AVERAGE(DU21:DU32)</f>
        <v>0</v>
      </c>
      <c r="DV20" s="126"/>
      <c r="DW20" s="127"/>
      <c r="DX20" s="82">
        <f>AVERAGE(DX21:DX32)</f>
        <v>0</v>
      </c>
      <c r="DY20" s="126"/>
      <c r="DZ20" s="127"/>
      <c r="EA20" s="82">
        <f>AVERAGE(EA21:EA32)</f>
        <v>0</v>
      </c>
      <c r="EB20" s="126"/>
      <c r="EC20" s="127"/>
      <c r="ED20" s="82">
        <f>AVERAGE(ED21:ED32)</f>
        <v>0</v>
      </c>
      <c r="EE20" s="126"/>
      <c r="EF20" s="127"/>
      <c r="EG20" s="82">
        <f>AVERAGE(EG21:EG32)</f>
        <v>0</v>
      </c>
      <c r="EH20" s="126"/>
      <c r="EI20" s="127"/>
      <c r="EJ20" s="82">
        <f>AVERAGE(EJ21:EJ32)</f>
        <v>0</v>
      </c>
      <c r="EK20" s="126"/>
      <c r="EL20" s="127"/>
      <c r="EM20" s="82">
        <f>AVERAGE(EM21:EM32)</f>
        <v>0</v>
      </c>
      <c r="EN20" s="126"/>
      <c r="EO20" s="127"/>
      <c r="EP20" s="82">
        <f>AVERAGE(EP21:EP32)</f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29.5" customHeight="1" spans="1:148" x14ac:dyDescent="0.25">
      <c r="A21" s="194" t="s">
        <v>94</v>
      </c>
      <c r="B21" s="101"/>
      <c r="C21" s="102"/>
      <c r="D21" s="103">
        <v>5</v>
      </c>
      <c r="E21" s="104">
        <f t="shared" ref="E21:E23" si="96">C21/D21</f>
        <v>0</v>
      </c>
      <c r="F21" s="102"/>
      <c r="G21" s="103">
        <v>5</v>
      </c>
      <c r="H21" s="104">
        <f t="shared" ref="H21:H23" si="97">F21/G21</f>
        <v>0</v>
      </c>
      <c r="I21" s="105"/>
      <c r="J21" s="103">
        <v>5</v>
      </c>
      <c r="K21" s="104">
        <f t="shared" ref="K21:K23" si="98">I21/J21</f>
        <v>0</v>
      </c>
      <c r="L21" s="105"/>
      <c r="M21" s="103">
        <v>5</v>
      </c>
      <c r="N21" s="104">
        <f t="shared" ref="N21:N23" si="99">L21/M21</f>
        <v>0</v>
      </c>
      <c r="O21" s="106"/>
      <c r="P21" s="107">
        <v>5</v>
      </c>
      <c r="Q21" s="104">
        <f t="shared" ref="Q21:Q23" si="100">O21/P21</f>
        <v>0</v>
      </c>
      <c r="R21" s="102"/>
      <c r="S21" s="107">
        <v>5</v>
      </c>
      <c r="T21" s="104">
        <f t="shared" ref="T21:T23" si="101">R21/S21</f>
        <v>0</v>
      </c>
      <c r="U21" s="102"/>
      <c r="V21" s="107">
        <v>5</v>
      </c>
      <c r="W21" s="104">
        <f t="shared" ref="W21:W23" si="102">U21/V21</f>
        <v>0</v>
      </c>
      <c r="X21" s="102"/>
      <c r="Y21" s="107">
        <v>5</v>
      </c>
      <c r="Z21" s="104">
        <f t="shared" ref="Z21:Z23" si="103">X21/Y21</f>
        <v>0</v>
      </c>
      <c r="AA21" s="106"/>
      <c r="AB21" s="107">
        <v>5</v>
      </c>
      <c r="AC21" s="104">
        <f t="shared" ref="AC21:AC23" si="104">AA21/AB21</f>
        <v>0</v>
      </c>
      <c r="AD21" s="106"/>
      <c r="AE21" s="107">
        <v>5</v>
      </c>
      <c r="AF21" s="104">
        <f t="shared" ref="AF21:AF23" si="105">AD21/AE21</f>
        <v>0</v>
      </c>
      <c r="AG21" s="106"/>
      <c r="AH21" s="107">
        <v>5</v>
      </c>
      <c r="AI21" s="104">
        <f t="shared" ref="AI21:AI23" si="106">AG21/AH21</f>
        <v>0</v>
      </c>
      <c r="AJ21" s="106"/>
      <c r="AK21" s="107">
        <v>5</v>
      </c>
      <c r="AL21" s="104">
        <f t="shared" ref="AL21:AL23" si="107">AJ21/AK21</f>
        <v>0</v>
      </c>
      <c r="AM21" s="102"/>
      <c r="AN21" s="1">
        <v>5</v>
      </c>
      <c r="AO21" s="104">
        <f t="shared" ref="AO21:AO23" si="108">AM21/AN21</f>
        <v>0</v>
      </c>
      <c r="AP21" s="102"/>
      <c r="AQ21" s="1">
        <v>5</v>
      </c>
      <c r="AR21" s="104">
        <f t="shared" ref="AR21:AR23" si="109">AP21/AQ21</f>
        <v>0</v>
      </c>
      <c r="AS21" s="102"/>
      <c r="AT21" s="1">
        <v>5</v>
      </c>
      <c r="AU21" s="104">
        <f t="shared" ref="AU21:AU23" si="110">AS21/AT21</f>
        <v>0</v>
      </c>
      <c r="AV21" s="102"/>
      <c r="AW21" s="1">
        <v>5</v>
      </c>
      <c r="AX21" s="104">
        <f t="shared" ref="AX21:AX23" si="111">AV21/AW21</f>
        <v>0</v>
      </c>
      <c r="AY21" s="102"/>
      <c r="AZ21" s="1">
        <v>5</v>
      </c>
      <c r="BA21" s="104">
        <f t="shared" ref="BA21:BA23" si="112">AY21/AZ21</f>
        <v>0</v>
      </c>
      <c r="BB21" s="102"/>
      <c r="BC21" s="1">
        <v>5</v>
      </c>
      <c r="BD21" s="104">
        <f t="shared" ref="BD21:BD23" si="113">BB21/BC21</f>
        <v>0</v>
      </c>
      <c r="BE21" s="102"/>
      <c r="BF21" s="1">
        <v>5</v>
      </c>
      <c r="BG21" s="104">
        <f t="shared" ref="BG21:BG23" si="114">BE21/BF21</f>
        <v>0</v>
      </c>
      <c r="BH21" s="102"/>
      <c r="BI21" s="1">
        <v>5</v>
      </c>
      <c r="BJ21" s="104">
        <f t="shared" ref="BJ21:BJ23" si="115">BH21/BI21</f>
        <v>0</v>
      </c>
      <c r="BK21" s="102"/>
      <c r="BL21" s="1">
        <v>5</v>
      </c>
      <c r="BM21" s="104">
        <f t="shared" ref="BM21:BM32" si="116">BK21/BL21</f>
        <v>0</v>
      </c>
      <c r="BN21" s="102"/>
      <c r="BO21" s="1">
        <v>5</v>
      </c>
      <c r="BP21" s="104">
        <f t="shared" ref="BP21:BP23" si="117">BN21/BO21</f>
        <v>0</v>
      </c>
      <c r="BQ21" s="102"/>
      <c r="BR21" s="1">
        <v>5</v>
      </c>
      <c r="BS21" s="104">
        <f t="shared" ref="BS21:BS23" si="118">BQ21/BR21</f>
        <v>0</v>
      </c>
      <c r="BT21" s="102"/>
      <c r="BU21" s="1">
        <v>5</v>
      </c>
      <c r="BV21" s="104">
        <f t="shared" ref="BV21:BV23" si="119">BT21/BU21</f>
        <v>0</v>
      </c>
      <c r="BW21" s="102"/>
      <c r="BX21" s="1">
        <v>5</v>
      </c>
      <c r="BY21" s="104">
        <f t="shared" ref="BY21:BY23" si="120">BW21/BX21</f>
        <v>0</v>
      </c>
      <c r="BZ21" s="102"/>
      <c r="CA21" s="1">
        <v>5</v>
      </c>
      <c r="CB21" s="104">
        <f t="shared" ref="CB21:CB23" si="121">BZ21/CA21</f>
        <v>0</v>
      </c>
      <c r="CC21" s="102"/>
      <c r="CD21" s="1">
        <v>5</v>
      </c>
      <c r="CE21" s="104">
        <f t="shared" ref="CE21:CE23" si="122">CC21/CD21</f>
        <v>0</v>
      </c>
      <c r="CF21" s="102"/>
      <c r="CG21" s="1">
        <v>5</v>
      </c>
      <c r="CH21" s="104">
        <f t="shared" ref="CH21:CH23" si="123">CF21/CG21</f>
        <v>0</v>
      </c>
      <c r="CI21" s="102"/>
      <c r="CJ21" s="1">
        <v>5</v>
      </c>
      <c r="CK21" s="104">
        <f t="shared" ref="CK21:CK23" si="124">CI21/CJ21</f>
        <v>0</v>
      </c>
      <c r="CL21" s="102"/>
      <c r="CM21" s="1">
        <v>5</v>
      </c>
      <c r="CN21" s="104">
        <f t="shared" ref="CN21:CN23" si="125">CL21/CM21</f>
        <v>0</v>
      </c>
      <c r="CO21" s="102"/>
      <c r="CP21" s="1">
        <v>5</v>
      </c>
      <c r="CQ21" s="104">
        <f t="shared" ref="CQ21:CQ23" si="126">CO21/CP21</f>
        <v>0</v>
      </c>
      <c r="CR21" s="102"/>
      <c r="CS21" s="1">
        <v>5</v>
      </c>
      <c r="CT21" s="104">
        <f t="shared" ref="CT21:CT23" si="127">CR21/CS21</f>
        <v>0</v>
      </c>
      <c r="CU21" s="102"/>
      <c r="CV21" s="1">
        <v>5</v>
      </c>
      <c r="CW21" s="104">
        <f t="shared" ref="CW21:CW23" si="128">CU21/CV21</f>
        <v>0</v>
      </c>
      <c r="CX21" s="102"/>
      <c r="CY21" s="1">
        <v>5</v>
      </c>
      <c r="CZ21" s="104">
        <f t="shared" ref="CZ21:CZ23" si="129">CX21/CY21</f>
        <v>0</v>
      </c>
      <c r="DA21" s="102"/>
      <c r="DB21" s="1">
        <v>5</v>
      </c>
      <c r="DC21" s="104">
        <f t="shared" ref="DC21:DC23" si="130">DA21/DB21</f>
        <v>0</v>
      </c>
      <c r="DD21" s="102"/>
      <c r="DE21" s="1">
        <v>5</v>
      </c>
      <c r="DF21" s="104">
        <f t="shared" ref="DF21:DF23" si="131">DD21/DE21</f>
        <v>0</v>
      </c>
      <c r="DG21" s="102"/>
      <c r="DH21" s="1">
        <v>5</v>
      </c>
      <c r="DI21" s="104">
        <f t="shared" ref="DI21:DI23" si="132">DG21/DH21</f>
        <v>0</v>
      </c>
      <c r="DJ21" s="102"/>
      <c r="DK21" s="1">
        <v>5</v>
      </c>
      <c r="DL21" s="104">
        <f t="shared" ref="DL21:DL23" si="133">DJ21/DK21</f>
        <v>0</v>
      </c>
      <c r="DM21" s="102"/>
      <c r="DN21" s="1">
        <v>5</v>
      </c>
      <c r="DO21" s="104">
        <f t="shared" ref="DO21:DO23" si="134">DM21/DN21</f>
        <v>0</v>
      </c>
      <c r="DP21" s="102"/>
      <c r="DQ21" s="1">
        <v>5</v>
      </c>
      <c r="DR21" s="104">
        <f t="shared" ref="DR21:DR23" si="135">DP21/DQ21</f>
        <v>0</v>
      </c>
      <c r="DS21" s="102"/>
      <c r="DT21" s="1">
        <v>5</v>
      </c>
      <c r="DU21" s="104">
        <f t="shared" ref="DU21:DU23" si="136">DS21/DT21</f>
        <v>0</v>
      </c>
      <c r="DV21" s="102"/>
      <c r="DW21" s="1">
        <v>5</v>
      </c>
      <c r="DX21" s="104">
        <f t="shared" ref="DX21:DX23" si="137">DV21/DW21</f>
        <v>0</v>
      </c>
      <c r="DY21" s="102"/>
      <c r="DZ21" s="1">
        <v>5</v>
      </c>
      <c r="EA21" s="104">
        <f t="shared" ref="EA21:EA23" si="138">DY21/DZ21</f>
        <v>0</v>
      </c>
      <c r="EB21" s="102"/>
      <c r="EC21" s="1">
        <v>5</v>
      </c>
      <c r="ED21" s="104">
        <f t="shared" ref="ED21:ED23" si="139">EB21/EC21</f>
        <v>0</v>
      </c>
      <c r="EE21" s="102"/>
      <c r="EF21" s="1">
        <v>5</v>
      </c>
      <c r="EG21" s="104">
        <f t="shared" ref="EG21:EG23" si="140">EE21/EF21</f>
        <v>0</v>
      </c>
      <c r="EH21" s="102"/>
      <c r="EI21" s="1">
        <v>5</v>
      </c>
      <c r="EJ21" s="104">
        <f t="shared" ref="EJ21:EJ23" si="141">EH21/EI21</f>
        <v>0</v>
      </c>
      <c r="EK21" s="102"/>
      <c r="EL21" s="1">
        <v>5</v>
      </c>
      <c r="EM21" s="104">
        <f t="shared" ref="EM21:EM23" si="142">EK21/EL21</f>
        <v>0</v>
      </c>
      <c r="EN21" s="102"/>
      <c r="EO21" s="1">
        <v>5</v>
      </c>
      <c r="EP21" s="104">
        <f t="shared" ref="EP21:EP23" si="143">EN21/EO21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6" customHeight="1" spans="1:148" x14ac:dyDescent="0.25">
      <c r="A22" s="195" t="s">
        <v>142</v>
      </c>
      <c r="B22" s="101"/>
      <c r="C22" s="102"/>
      <c r="D22" s="103">
        <v>5</v>
      </c>
      <c r="E22" s="104">
        <f t="shared" si="96"/>
        <v>0</v>
      </c>
      <c r="F22" s="102"/>
      <c r="G22" s="103">
        <v>5</v>
      </c>
      <c r="H22" s="104">
        <f t="shared" si="97"/>
        <v>0</v>
      </c>
      <c r="I22" s="105"/>
      <c r="J22" s="103">
        <v>5</v>
      </c>
      <c r="K22" s="104">
        <f t="shared" si="98"/>
        <v>0</v>
      </c>
      <c r="L22" s="105"/>
      <c r="M22" s="103">
        <v>5</v>
      </c>
      <c r="N22" s="104">
        <f t="shared" si="99"/>
        <v>0</v>
      </c>
      <c r="O22" s="106"/>
      <c r="P22" s="107">
        <v>5</v>
      </c>
      <c r="Q22" s="104">
        <f t="shared" si="100"/>
        <v>0</v>
      </c>
      <c r="R22" s="102"/>
      <c r="S22" s="107">
        <v>5</v>
      </c>
      <c r="T22" s="104">
        <f t="shared" si="101"/>
        <v>0</v>
      </c>
      <c r="U22" s="102"/>
      <c r="V22" s="107">
        <v>5</v>
      </c>
      <c r="W22" s="104">
        <f t="shared" si="102"/>
        <v>0</v>
      </c>
      <c r="X22" s="102"/>
      <c r="Y22" s="107">
        <v>5</v>
      </c>
      <c r="Z22" s="104">
        <f t="shared" si="103"/>
        <v>0</v>
      </c>
      <c r="AA22" s="106"/>
      <c r="AB22" s="107">
        <v>5</v>
      </c>
      <c r="AC22" s="104">
        <f t="shared" si="104"/>
        <v>0</v>
      </c>
      <c r="AD22" s="106"/>
      <c r="AE22" s="107">
        <v>5</v>
      </c>
      <c r="AF22" s="104">
        <f t="shared" si="105"/>
        <v>0</v>
      </c>
      <c r="AG22" s="106"/>
      <c r="AH22" s="107">
        <v>5</v>
      </c>
      <c r="AI22" s="104">
        <f t="shared" si="106"/>
        <v>0</v>
      </c>
      <c r="AJ22" s="106"/>
      <c r="AK22" s="107">
        <v>5</v>
      </c>
      <c r="AL22" s="104">
        <f t="shared" si="107"/>
        <v>0</v>
      </c>
      <c r="AM22" s="102"/>
      <c r="AN22" s="1">
        <v>5</v>
      </c>
      <c r="AO22" s="104">
        <f t="shared" si="108"/>
        <v>0</v>
      </c>
      <c r="AP22" s="102"/>
      <c r="AQ22" s="1">
        <v>5</v>
      </c>
      <c r="AR22" s="104">
        <f t="shared" si="109"/>
        <v>0</v>
      </c>
      <c r="AS22" s="102"/>
      <c r="AT22" s="1">
        <v>5</v>
      </c>
      <c r="AU22" s="104">
        <f t="shared" si="110"/>
        <v>0</v>
      </c>
      <c r="AV22" s="102"/>
      <c r="AW22" s="1">
        <v>5</v>
      </c>
      <c r="AX22" s="104">
        <f t="shared" si="111"/>
        <v>0</v>
      </c>
      <c r="AY22" s="102"/>
      <c r="AZ22" s="1">
        <v>5</v>
      </c>
      <c r="BA22" s="104">
        <f t="shared" si="112"/>
        <v>0</v>
      </c>
      <c r="BB22" s="102"/>
      <c r="BC22" s="1">
        <v>5</v>
      </c>
      <c r="BD22" s="104">
        <f t="shared" si="113"/>
        <v>0</v>
      </c>
      <c r="BE22" s="102"/>
      <c r="BF22" s="1">
        <v>5</v>
      </c>
      <c r="BG22" s="104">
        <f t="shared" si="114"/>
        <v>0</v>
      </c>
      <c r="BH22" s="102"/>
      <c r="BI22" s="1">
        <v>5</v>
      </c>
      <c r="BJ22" s="104">
        <f t="shared" si="115"/>
        <v>0</v>
      </c>
      <c r="BK22" s="102"/>
      <c r="BL22" s="1">
        <v>5</v>
      </c>
      <c r="BM22" s="104">
        <f t="shared" si="116"/>
        <v>0</v>
      </c>
      <c r="BN22" s="102"/>
      <c r="BO22" s="1">
        <v>5</v>
      </c>
      <c r="BP22" s="104">
        <f t="shared" si="117"/>
        <v>0</v>
      </c>
      <c r="BQ22" s="102"/>
      <c r="BR22" s="1">
        <v>5</v>
      </c>
      <c r="BS22" s="104">
        <f t="shared" si="118"/>
        <v>0</v>
      </c>
      <c r="BT22" s="102"/>
      <c r="BU22" s="1">
        <v>5</v>
      </c>
      <c r="BV22" s="104">
        <f t="shared" si="119"/>
        <v>0</v>
      </c>
      <c r="BW22" s="102"/>
      <c r="BX22" s="1">
        <v>5</v>
      </c>
      <c r="BY22" s="104">
        <f t="shared" si="120"/>
        <v>0</v>
      </c>
      <c r="BZ22" s="102"/>
      <c r="CA22" s="1">
        <v>5</v>
      </c>
      <c r="CB22" s="104">
        <f t="shared" si="121"/>
        <v>0</v>
      </c>
      <c r="CC22" s="102"/>
      <c r="CD22" s="1">
        <v>5</v>
      </c>
      <c r="CE22" s="104">
        <f t="shared" si="122"/>
        <v>0</v>
      </c>
      <c r="CF22" s="102"/>
      <c r="CG22" s="1">
        <v>5</v>
      </c>
      <c r="CH22" s="104">
        <f t="shared" si="123"/>
        <v>0</v>
      </c>
      <c r="CI22" s="102"/>
      <c r="CJ22" s="1">
        <v>5</v>
      </c>
      <c r="CK22" s="104">
        <f t="shared" si="124"/>
        <v>0</v>
      </c>
      <c r="CL22" s="102"/>
      <c r="CM22" s="1">
        <v>5</v>
      </c>
      <c r="CN22" s="104">
        <f t="shared" si="125"/>
        <v>0</v>
      </c>
      <c r="CO22" s="102"/>
      <c r="CP22" s="1">
        <v>5</v>
      </c>
      <c r="CQ22" s="104">
        <f t="shared" si="126"/>
        <v>0</v>
      </c>
      <c r="CR22" s="102"/>
      <c r="CS22" s="1">
        <v>5</v>
      </c>
      <c r="CT22" s="104">
        <f t="shared" si="127"/>
        <v>0</v>
      </c>
      <c r="CU22" s="102"/>
      <c r="CV22" s="1">
        <v>5</v>
      </c>
      <c r="CW22" s="104">
        <f t="shared" si="128"/>
        <v>0</v>
      </c>
      <c r="CX22" s="102"/>
      <c r="CY22" s="1">
        <v>5</v>
      </c>
      <c r="CZ22" s="104">
        <f t="shared" si="129"/>
        <v>0</v>
      </c>
      <c r="DA22" s="102"/>
      <c r="DB22" s="1">
        <v>5</v>
      </c>
      <c r="DC22" s="104">
        <f t="shared" si="130"/>
        <v>0</v>
      </c>
      <c r="DD22" s="102"/>
      <c r="DE22" s="1">
        <v>5</v>
      </c>
      <c r="DF22" s="104">
        <f t="shared" si="131"/>
        <v>0</v>
      </c>
      <c r="DG22" s="102"/>
      <c r="DH22" s="1">
        <v>5</v>
      </c>
      <c r="DI22" s="104">
        <f t="shared" si="132"/>
        <v>0</v>
      </c>
      <c r="DJ22" s="102"/>
      <c r="DK22" s="1">
        <v>5</v>
      </c>
      <c r="DL22" s="104">
        <f t="shared" si="133"/>
        <v>0</v>
      </c>
      <c r="DM22" s="102"/>
      <c r="DN22" s="1">
        <v>5</v>
      </c>
      <c r="DO22" s="104">
        <f t="shared" si="134"/>
        <v>0</v>
      </c>
      <c r="DP22" s="102"/>
      <c r="DQ22" s="1">
        <v>5</v>
      </c>
      <c r="DR22" s="104">
        <f t="shared" si="135"/>
        <v>0</v>
      </c>
      <c r="DS22" s="102"/>
      <c r="DT22" s="1">
        <v>5</v>
      </c>
      <c r="DU22" s="104">
        <f t="shared" si="136"/>
        <v>0</v>
      </c>
      <c r="DV22" s="102"/>
      <c r="DW22" s="1">
        <v>5</v>
      </c>
      <c r="DX22" s="104">
        <f t="shared" si="137"/>
        <v>0</v>
      </c>
      <c r="DY22" s="102"/>
      <c r="DZ22" s="1">
        <v>5</v>
      </c>
      <c r="EA22" s="104">
        <f t="shared" si="138"/>
        <v>0</v>
      </c>
      <c r="EB22" s="102"/>
      <c r="EC22" s="1">
        <v>5</v>
      </c>
      <c r="ED22" s="104">
        <f t="shared" si="139"/>
        <v>0</v>
      </c>
      <c r="EE22" s="102"/>
      <c r="EF22" s="1">
        <v>5</v>
      </c>
      <c r="EG22" s="104">
        <f t="shared" si="140"/>
        <v>0</v>
      </c>
      <c r="EH22" s="102"/>
      <c r="EI22" s="1">
        <v>5</v>
      </c>
      <c r="EJ22" s="104">
        <f t="shared" si="141"/>
        <v>0</v>
      </c>
      <c r="EK22" s="102"/>
      <c r="EL22" s="1">
        <v>5</v>
      </c>
      <c r="EM22" s="104">
        <f t="shared" si="142"/>
        <v>0</v>
      </c>
      <c r="EN22" s="102"/>
      <c r="EO22" s="1">
        <v>5</v>
      </c>
      <c r="EP22" s="104">
        <f t="shared" si="143"/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16" customHeight="1" spans="1:148" x14ac:dyDescent="0.25">
      <c r="A23" s="195" t="s">
        <v>143</v>
      </c>
      <c r="B23" s="101"/>
      <c r="C23" s="102"/>
      <c r="D23" s="103">
        <v>5</v>
      </c>
      <c r="E23" s="104">
        <f t="shared" si="96"/>
        <v>0</v>
      </c>
      <c r="F23" s="102"/>
      <c r="G23" s="103">
        <v>5</v>
      </c>
      <c r="H23" s="104">
        <f t="shared" si="97"/>
        <v>0</v>
      </c>
      <c r="I23" s="105"/>
      <c r="J23" s="103">
        <v>5</v>
      </c>
      <c r="K23" s="104">
        <f t="shared" si="98"/>
        <v>0</v>
      </c>
      <c r="L23" s="105"/>
      <c r="M23" s="103">
        <v>5</v>
      </c>
      <c r="N23" s="104">
        <f t="shared" si="99"/>
        <v>0</v>
      </c>
      <c r="O23" s="106"/>
      <c r="P23" s="107">
        <v>5</v>
      </c>
      <c r="Q23" s="104">
        <f t="shared" si="100"/>
        <v>0</v>
      </c>
      <c r="R23" s="102"/>
      <c r="S23" s="107">
        <v>5</v>
      </c>
      <c r="T23" s="104">
        <f t="shared" si="101"/>
        <v>0</v>
      </c>
      <c r="U23" s="102"/>
      <c r="V23" s="107">
        <v>5</v>
      </c>
      <c r="W23" s="104">
        <f t="shared" si="102"/>
        <v>0</v>
      </c>
      <c r="X23" s="102"/>
      <c r="Y23" s="107">
        <v>5</v>
      </c>
      <c r="Z23" s="104">
        <f t="shared" si="103"/>
        <v>0</v>
      </c>
      <c r="AA23" s="106"/>
      <c r="AB23" s="107">
        <v>5</v>
      </c>
      <c r="AC23" s="104">
        <f t="shared" si="104"/>
        <v>0</v>
      </c>
      <c r="AD23" s="106"/>
      <c r="AE23" s="107">
        <v>5</v>
      </c>
      <c r="AF23" s="104">
        <f t="shared" si="105"/>
        <v>0</v>
      </c>
      <c r="AG23" s="106"/>
      <c r="AH23" s="107">
        <v>5</v>
      </c>
      <c r="AI23" s="104">
        <f t="shared" si="106"/>
        <v>0</v>
      </c>
      <c r="AJ23" s="106"/>
      <c r="AK23" s="107">
        <v>5</v>
      </c>
      <c r="AL23" s="104">
        <f t="shared" si="107"/>
        <v>0</v>
      </c>
      <c r="AM23" s="102"/>
      <c r="AN23" s="1">
        <v>5</v>
      </c>
      <c r="AO23" s="104">
        <f t="shared" si="108"/>
        <v>0</v>
      </c>
      <c r="AP23" s="102"/>
      <c r="AQ23" s="1">
        <v>5</v>
      </c>
      <c r="AR23" s="104">
        <f t="shared" si="109"/>
        <v>0</v>
      </c>
      <c r="AS23" s="102"/>
      <c r="AT23" s="1">
        <v>5</v>
      </c>
      <c r="AU23" s="104">
        <f t="shared" si="110"/>
        <v>0</v>
      </c>
      <c r="AV23" s="102"/>
      <c r="AW23" s="1">
        <v>5</v>
      </c>
      <c r="AX23" s="104">
        <f t="shared" si="111"/>
        <v>0</v>
      </c>
      <c r="AY23" s="102"/>
      <c r="AZ23" s="1">
        <v>5</v>
      </c>
      <c r="BA23" s="104">
        <f t="shared" si="112"/>
        <v>0</v>
      </c>
      <c r="BB23" s="102"/>
      <c r="BC23" s="1">
        <v>5</v>
      </c>
      <c r="BD23" s="104">
        <f t="shared" si="113"/>
        <v>0</v>
      </c>
      <c r="BE23" s="102"/>
      <c r="BF23" s="1">
        <v>5</v>
      </c>
      <c r="BG23" s="104">
        <f t="shared" si="114"/>
        <v>0</v>
      </c>
      <c r="BH23" s="102"/>
      <c r="BI23" s="1">
        <v>5</v>
      </c>
      <c r="BJ23" s="104">
        <f t="shared" si="115"/>
        <v>0</v>
      </c>
      <c r="BK23" s="102"/>
      <c r="BL23" s="1">
        <v>5</v>
      </c>
      <c r="BM23" s="104">
        <f t="shared" si="116"/>
        <v>0</v>
      </c>
      <c r="BN23" s="102"/>
      <c r="BO23" s="1">
        <v>5</v>
      </c>
      <c r="BP23" s="104">
        <f t="shared" si="117"/>
        <v>0</v>
      </c>
      <c r="BQ23" s="102"/>
      <c r="BR23" s="1">
        <v>5</v>
      </c>
      <c r="BS23" s="104">
        <f t="shared" si="118"/>
        <v>0</v>
      </c>
      <c r="BT23" s="102"/>
      <c r="BU23" s="1">
        <v>5</v>
      </c>
      <c r="BV23" s="104">
        <f t="shared" si="119"/>
        <v>0</v>
      </c>
      <c r="BW23" s="102"/>
      <c r="BX23" s="1">
        <v>5</v>
      </c>
      <c r="BY23" s="104">
        <f t="shared" si="120"/>
        <v>0</v>
      </c>
      <c r="BZ23" s="102"/>
      <c r="CA23" s="1">
        <v>5</v>
      </c>
      <c r="CB23" s="104">
        <f t="shared" si="121"/>
        <v>0</v>
      </c>
      <c r="CC23" s="102"/>
      <c r="CD23" s="1">
        <v>5</v>
      </c>
      <c r="CE23" s="104">
        <f t="shared" si="122"/>
        <v>0</v>
      </c>
      <c r="CF23" s="102"/>
      <c r="CG23" s="1">
        <v>5</v>
      </c>
      <c r="CH23" s="104">
        <f t="shared" si="123"/>
        <v>0</v>
      </c>
      <c r="CI23" s="102"/>
      <c r="CJ23" s="1">
        <v>5</v>
      </c>
      <c r="CK23" s="104">
        <f t="shared" si="124"/>
        <v>0</v>
      </c>
      <c r="CL23" s="102"/>
      <c r="CM23" s="1">
        <v>5</v>
      </c>
      <c r="CN23" s="104">
        <f t="shared" si="125"/>
        <v>0</v>
      </c>
      <c r="CO23" s="102"/>
      <c r="CP23" s="1">
        <v>5</v>
      </c>
      <c r="CQ23" s="104">
        <f t="shared" si="126"/>
        <v>0</v>
      </c>
      <c r="CR23" s="102"/>
      <c r="CS23" s="1">
        <v>5</v>
      </c>
      <c r="CT23" s="104">
        <f t="shared" si="127"/>
        <v>0</v>
      </c>
      <c r="CU23" s="102"/>
      <c r="CV23" s="1">
        <v>5</v>
      </c>
      <c r="CW23" s="104">
        <f t="shared" si="128"/>
        <v>0</v>
      </c>
      <c r="CX23" s="102"/>
      <c r="CY23" s="1">
        <v>5</v>
      </c>
      <c r="CZ23" s="104">
        <f t="shared" si="129"/>
        <v>0</v>
      </c>
      <c r="DA23" s="102"/>
      <c r="DB23" s="1">
        <v>5</v>
      </c>
      <c r="DC23" s="104">
        <f t="shared" si="130"/>
        <v>0</v>
      </c>
      <c r="DD23" s="102"/>
      <c r="DE23" s="1">
        <v>5</v>
      </c>
      <c r="DF23" s="104">
        <f t="shared" si="131"/>
        <v>0</v>
      </c>
      <c r="DG23" s="102"/>
      <c r="DH23" s="1">
        <v>5</v>
      </c>
      <c r="DI23" s="104">
        <f t="shared" si="132"/>
        <v>0</v>
      </c>
      <c r="DJ23" s="102"/>
      <c r="DK23" s="1">
        <v>5</v>
      </c>
      <c r="DL23" s="104">
        <f t="shared" si="133"/>
        <v>0</v>
      </c>
      <c r="DM23" s="102"/>
      <c r="DN23" s="1">
        <v>5</v>
      </c>
      <c r="DO23" s="104">
        <f t="shared" si="134"/>
        <v>0</v>
      </c>
      <c r="DP23" s="102"/>
      <c r="DQ23" s="1">
        <v>5</v>
      </c>
      <c r="DR23" s="104">
        <f t="shared" si="135"/>
        <v>0</v>
      </c>
      <c r="DS23" s="102"/>
      <c r="DT23" s="1">
        <v>5</v>
      </c>
      <c r="DU23" s="104">
        <f t="shared" si="136"/>
        <v>0</v>
      </c>
      <c r="DV23" s="102"/>
      <c r="DW23" s="1">
        <v>5</v>
      </c>
      <c r="DX23" s="104">
        <f t="shared" si="137"/>
        <v>0</v>
      </c>
      <c r="DY23" s="102"/>
      <c r="DZ23" s="1">
        <v>5</v>
      </c>
      <c r="EA23" s="104">
        <f t="shared" si="138"/>
        <v>0</v>
      </c>
      <c r="EB23" s="102"/>
      <c r="EC23" s="1">
        <v>5</v>
      </c>
      <c r="ED23" s="104">
        <f t="shared" si="139"/>
        <v>0</v>
      </c>
      <c r="EE23" s="102"/>
      <c r="EF23" s="1">
        <v>5</v>
      </c>
      <c r="EG23" s="104">
        <f t="shared" si="140"/>
        <v>0</v>
      </c>
      <c r="EH23" s="102"/>
      <c r="EI23" s="1">
        <v>5</v>
      </c>
      <c r="EJ23" s="104">
        <f t="shared" si="141"/>
        <v>0</v>
      </c>
      <c r="EK23" s="102"/>
      <c r="EL23" s="1">
        <v>5</v>
      </c>
      <c r="EM23" s="104">
        <f t="shared" si="142"/>
        <v>0</v>
      </c>
      <c r="EN23" s="102"/>
      <c r="EO23" s="1">
        <v>5</v>
      </c>
      <c r="EP23" s="104">
        <f t="shared" si="143"/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95" t="s">
        <v>96</v>
      </c>
      <c r="B24" s="101"/>
      <c r="C24" s="102"/>
      <c r="D24" s="103">
        <v>5</v>
      </c>
      <c r="E24" s="104">
        <f t="shared" ref="E24:E32" si="144">C24/D24</f>
        <v>0</v>
      </c>
      <c r="F24" s="102"/>
      <c r="G24" s="103">
        <v>5</v>
      </c>
      <c r="H24" s="104">
        <f t="shared" ref="H24:H32" si="145">F24/G24</f>
        <v>0</v>
      </c>
      <c r="I24" s="105"/>
      <c r="J24" s="103">
        <v>5</v>
      </c>
      <c r="K24" s="104">
        <f t="shared" ref="K24:K32" si="146">I24/J24</f>
        <v>0</v>
      </c>
      <c r="L24" s="105"/>
      <c r="M24" s="103">
        <v>5</v>
      </c>
      <c r="N24" s="104">
        <f t="shared" ref="N24:N32" si="147">L24/M24</f>
        <v>0</v>
      </c>
      <c r="O24" s="106"/>
      <c r="P24" s="107">
        <v>5</v>
      </c>
      <c r="Q24" s="104">
        <f t="shared" ref="Q24:Q32" si="148">O24/P24</f>
        <v>0</v>
      </c>
      <c r="R24" s="102"/>
      <c r="S24" s="107">
        <v>5</v>
      </c>
      <c r="T24" s="104">
        <f t="shared" ref="T24:T32" si="149">R24/S24</f>
        <v>0</v>
      </c>
      <c r="U24" s="102"/>
      <c r="V24" s="107">
        <v>5</v>
      </c>
      <c r="W24" s="104">
        <f t="shared" ref="W24:W32" si="150">U24/V24</f>
        <v>0</v>
      </c>
      <c r="X24" s="102"/>
      <c r="Y24" s="107">
        <v>5</v>
      </c>
      <c r="Z24" s="104">
        <f t="shared" ref="Z24:Z32" si="151">X24/Y24</f>
        <v>0</v>
      </c>
      <c r="AA24" s="106"/>
      <c r="AB24" s="107">
        <v>5</v>
      </c>
      <c r="AC24" s="104">
        <f t="shared" ref="AC24:AC32" si="152">AA24/AB24</f>
        <v>0</v>
      </c>
      <c r="AD24" s="106"/>
      <c r="AE24" s="107">
        <v>5</v>
      </c>
      <c r="AF24" s="104">
        <f t="shared" ref="AF24:AF32" si="153">AD24/AE24</f>
        <v>0</v>
      </c>
      <c r="AG24" s="106"/>
      <c r="AH24" s="107">
        <v>5</v>
      </c>
      <c r="AI24" s="104">
        <f t="shared" ref="AI24:AI32" si="154">AG24/AH24</f>
        <v>0</v>
      </c>
      <c r="AJ24" s="106"/>
      <c r="AK24" s="107">
        <v>5</v>
      </c>
      <c r="AL24" s="104">
        <f t="shared" ref="AL24:AL32" si="155">AJ24/AK24</f>
        <v>0</v>
      </c>
      <c r="AM24" s="102"/>
      <c r="AN24" s="1">
        <v>5</v>
      </c>
      <c r="AO24" s="104">
        <f t="shared" ref="AO24:AO32" si="156">AM24/AN24</f>
        <v>0</v>
      </c>
      <c r="AP24" s="102"/>
      <c r="AQ24" s="1">
        <v>5</v>
      </c>
      <c r="AR24" s="104">
        <f t="shared" ref="AR24:AR32" si="157">AP24/AQ24</f>
        <v>0</v>
      </c>
      <c r="AS24" s="102"/>
      <c r="AT24" s="1">
        <v>5</v>
      </c>
      <c r="AU24" s="104">
        <f t="shared" ref="AU24:AU32" si="158">AS24/AT24</f>
        <v>0</v>
      </c>
      <c r="AV24" s="102"/>
      <c r="AW24" s="1">
        <v>5</v>
      </c>
      <c r="AX24" s="104">
        <f t="shared" ref="AX24:AX32" si="159">AV24/AW24</f>
        <v>0</v>
      </c>
      <c r="AY24" s="102"/>
      <c r="AZ24" s="1">
        <v>5</v>
      </c>
      <c r="BA24" s="104">
        <f t="shared" ref="BA24:BA32" si="160">AY24/AZ24</f>
        <v>0</v>
      </c>
      <c r="BB24" s="102"/>
      <c r="BC24" s="1">
        <v>5</v>
      </c>
      <c r="BD24" s="104">
        <f t="shared" ref="BD24:BD32" si="161">BB24/BC24</f>
        <v>0</v>
      </c>
      <c r="BE24" s="102"/>
      <c r="BF24" s="1">
        <v>5</v>
      </c>
      <c r="BG24" s="104">
        <f t="shared" ref="BG24:BG32" si="162">BE24/BF24</f>
        <v>0</v>
      </c>
      <c r="BH24" s="102"/>
      <c r="BI24" s="1">
        <v>5</v>
      </c>
      <c r="BJ24" s="104">
        <f t="shared" ref="BJ24:BJ32" si="163">BH24/BI24</f>
        <v>0</v>
      </c>
      <c r="BK24" s="102"/>
      <c r="BL24" s="1">
        <v>5</v>
      </c>
      <c r="BM24" s="104">
        <f t="shared" si="116"/>
        <v>0</v>
      </c>
      <c r="BN24" s="102"/>
      <c r="BO24" s="1">
        <v>5</v>
      </c>
      <c r="BP24" s="104">
        <f t="shared" ref="BP24:BP32" si="164">BN24/BO24</f>
        <v>0</v>
      </c>
      <c r="BQ24" s="102"/>
      <c r="BR24" s="1">
        <v>5</v>
      </c>
      <c r="BS24" s="104">
        <f t="shared" ref="BS24:BS32" si="165">BQ24/BR24</f>
        <v>0</v>
      </c>
      <c r="BT24" s="102"/>
      <c r="BU24" s="1">
        <v>5</v>
      </c>
      <c r="BV24" s="104">
        <f t="shared" ref="BV24:BV32" si="166">BT24/BU24</f>
        <v>0</v>
      </c>
      <c r="BW24" s="102"/>
      <c r="BX24" s="1">
        <v>5</v>
      </c>
      <c r="BY24" s="104">
        <f t="shared" ref="BY24:BY32" si="167">BW24/BX24</f>
        <v>0</v>
      </c>
      <c r="BZ24" s="102"/>
      <c r="CA24" s="1">
        <v>5</v>
      </c>
      <c r="CB24" s="104">
        <f t="shared" ref="CB24:CB32" si="168">BZ24/CA24</f>
        <v>0</v>
      </c>
      <c r="CC24" s="102"/>
      <c r="CD24" s="1">
        <v>5</v>
      </c>
      <c r="CE24" s="104">
        <f t="shared" ref="CE24:CE32" si="169">CC24/CD24</f>
        <v>0</v>
      </c>
      <c r="CF24" s="102"/>
      <c r="CG24" s="1">
        <v>5</v>
      </c>
      <c r="CH24" s="104">
        <f t="shared" ref="CH24:CH32" si="170">CF24/CG24</f>
        <v>0</v>
      </c>
      <c r="CI24" s="102"/>
      <c r="CJ24" s="1">
        <v>5</v>
      </c>
      <c r="CK24" s="104">
        <f t="shared" ref="CK24:CK32" si="171">CI24/CJ24</f>
        <v>0</v>
      </c>
      <c r="CL24" s="102"/>
      <c r="CM24" s="1">
        <v>5</v>
      </c>
      <c r="CN24" s="104">
        <f t="shared" ref="CN24:CN32" si="172">CL24/CM24</f>
        <v>0</v>
      </c>
      <c r="CO24" s="102"/>
      <c r="CP24" s="1">
        <v>5</v>
      </c>
      <c r="CQ24" s="104">
        <f t="shared" ref="CQ24:CQ32" si="173">CO24/CP24</f>
        <v>0</v>
      </c>
      <c r="CR24" s="102"/>
      <c r="CS24" s="1">
        <v>5</v>
      </c>
      <c r="CT24" s="104">
        <f t="shared" ref="CT24:CT32" si="174">CR24/CS24</f>
        <v>0</v>
      </c>
      <c r="CU24" s="102"/>
      <c r="CV24" s="1">
        <v>5</v>
      </c>
      <c r="CW24" s="104">
        <f t="shared" ref="CW24:CW32" si="175">CU24/CV24</f>
        <v>0</v>
      </c>
      <c r="CX24" s="102"/>
      <c r="CY24" s="1">
        <v>5</v>
      </c>
      <c r="CZ24" s="104">
        <f t="shared" ref="CZ24:CZ32" si="176">CX24/CY24</f>
        <v>0</v>
      </c>
      <c r="DA24" s="102"/>
      <c r="DB24" s="1">
        <v>5</v>
      </c>
      <c r="DC24" s="104">
        <f t="shared" ref="DC24:DC32" si="177">DA24/DB24</f>
        <v>0</v>
      </c>
      <c r="DD24" s="102"/>
      <c r="DE24" s="1">
        <v>5</v>
      </c>
      <c r="DF24" s="104">
        <f t="shared" ref="DF24:DF32" si="178">DD24/DE24</f>
        <v>0</v>
      </c>
      <c r="DG24" s="102"/>
      <c r="DH24" s="1">
        <v>5</v>
      </c>
      <c r="DI24" s="104">
        <f t="shared" ref="DI24:DI32" si="179">DG24/DH24</f>
        <v>0</v>
      </c>
      <c r="DJ24" s="102"/>
      <c r="DK24" s="1">
        <v>5</v>
      </c>
      <c r="DL24" s="104">
        <f t="shared" ref="DL24:DL32" si="180">DJ24/DK24</f>
        <v>0</v>
      </c>
      <c r="DM24" s="102"/>
      <c r="DN24" s="1">
        <v>5</v>
      </c>
      <c r="DO24" s="104">
        <f t="shared" ref="DO24:DO32" si="181">DM24/DN24</f>
        <v>0</v>
      </c>
      <c r="DP24" s="102"/>
      <c r="DQ24" s="1">
        <v>5</v>
      </c>
      <c r="DR24" s="104">
        <f t="shared" ref="DR24:DR32" si="182">DP24/DQ24</f>
        <v>0</v>
      </c>
      <c r="DS24" s="102"/>
      <c r="DT24" s="1">
        <v>5</v>
      </c>
      <c r="DU24" s="104">
        <f t="shared" ref="DU24:DU32" si="183">DS24/DT24</f>
        <v>0</v>
      </c>
      <c r="DV24" s="102"/>
      <c r="DW24" s="1">
        <v>5</v>
      </c>
      <c r="DX24" s="104">
        <f t="shared" ref="DX24:DX32" si="184">DV24/DW24</f>
        <v>0</v>
      </c>
      <c r="DY24" s="102"/>
      <c r="DZ24" s="1">
        <v>5</v>
      </c>
      <c r="EA24" s="104">
        <f t="shared" ref="EA24:EA32" si="185">DY24/DZ24</f>
        <v>0</v>
      </c>
      <c r="EB24" s="102"/>
      <c r="EC24" s="1">
        <v>5</v>
      </c>
      <c r="ED24" s="104">
        <f t="shared" ref="ED24:ED32" si="186">EB24/EC24</f>
        <v>0</v>
      </c>
      <c r="EE24" s="102"/>
      <c r="EF24" s="1">
        <v>5</v>
      </c>
      <c r="EG24" s="104">
        <f t="shared" ref="EG24:EG32" si="187">EE24/EF24</f>
        <v>0</v>
      </c>
      <c r="EH24" s="102"/>
      <c r="EI24" s="1">
        <v>5</v>
      </c>
      <c r="EJ24" s="104">
        <f t="shared" ref="EJ24:EJ32" si="188">EH24/EI24</f>
        <v>0</v>
      </c>
      <c r="EK24" s="102"/>
      <c r="EL24" s="1">
        <v>5</v>
      </c>
      <c r="EM24" s="104">
        <f t="shared" ref="EM24:EM32" si="189">EK24/EL24</f>
        <v>0</v>
      </c>
      <c r="EN24" s="102"/>
      <c r="EO24" s="1">
        <v>5</v>
      </c>
      <c r="EP24" s="104">
        <f t="shared" ref="EP24:EP32" si="190">EN24/EO24</f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23.5" customHeight="1" spans="1:148" x14ac:dyDescent="0.25">
      <c r="A25" s="195" t="s">
        <v>97</v>
      </c>
      <c r="B25" s="101"/>
      <c r="C25" s="102"/>
      <c r="D25" s="103">
        <v>5</v>
      </c>
      <c r="E25" s="104">
        <f t="shared" si="144"/>
        <v>0</v>
      </c>
      <c r="F25" s="102"/>
      <c r="G25" s="103">
        <v>5</v>
      </c>
      <c r="H25" s="104">
        <f t="shared" si="145"/>
        <v>0</v>
      </c>
      <c r="I25" s="105"/>
      <c r="J25" s="103">
        <v>5</v>
      </c>
      <c r="K25" s="104">
        <f t="shared" si="146"/>
        <v>0</v>
      </c>
      <c r="L25" s="105"/>
      <c r="M25" s="103">
        <v>5</v>
      </c>
      <c r="N25" s="104">
        <f t="shared" si="147"/>
        <v>0</v>
      </c>
      <c r="O25" s="106"/>
      <c r="P25" s="107">
        <v>5</v>
      </c>
      <c r="Q25" s="104">
        <f t="shared" si="148"/>
        <v>0</v>
      </c>
      <c r="R25" s="102"/>
      <c r="S25" s="107">
        <v>5</v>
      </c>
      <c r="T25" s="104">
        <f t="shared" si="149"/>
        <v>0</v>
      </c>
      <c r="U25" s="102"/>
      <c r="V25" s="107">
        <v>5</v>
      </c>
      <c r="W25" s="104">
        <f t="shared" si="150"/>
        <v>0</v>
      </c>
      <c r="X25" s="102"/>
      <c r="Y25" s="107">
        <v>5</v>
      </c>
      <c r="Z25" s="104">
        <f t="shared" si="151"/>
        <v>0</v>
      </c>
      <c r="AA25" s="106"/>
      <c r="AB25" s="107">
        <v>5</v>
      </c>
      <c r="AC25" s="104">
        <f t="shared" si="152"/>
        <v>0</v>
      </c>
      <c r="AD25" s="106"/>
      <c r="AE25" s="107">
        <v>5</v>
      </c>
      <c r="AF25" s="104">
        <f t="shared" si="153"/>
        <v>0</v>
      </c>
      <c r="AG25" s="106"/>
      <c r="AH25" s="107">
        <v>5</v>
      </c>
      <c r="AI25" s="104">
        <f t="shared" si="154"/>
        <v>0</v>
      </c>
      <c r="AJ25" s="106"/>
      <c r="AK25" s="107">
        <v>5</v>
      </c>
      <c r="AL25" s="104">
        <f t="shared" si="155"/>
        <v>0</v>
      </c>
      <c r="AM25" s="102"/>
      <c r="AN25" s="1">
        <v>5</v>
      </c>
      <c r="AO25" s="104">
        <f t="shared" si="156"/>
        <v>0</v>
      </c>
      <c r="AP25" s="102"/>
      <c r="AQ25" s="1">
        <v>5</v>
      </c>
      <c r="AR25" s="104">
        <f t="shared" si="157"/>
        <v>0</v>
      </c>
      <c r="AS25" s="102"/>
      <c r="AT25" s="1">
        <v>5</v>
      </c>
      <c r="AU25" s="104">
        <f t="shared" si="158"/>
        <v>0</v>
      </c>
      <c r="AV25" s="102"/>
      <c r="AW25" s="1">
        <v>5</v>
      </c>
      <c r="AX25" s="104">
        <f t="shared" si="159"/>
        <v>0</v>
      </c>
      <c r="AY25" s="102"/>
      <c r="AZ25" s="1">
        <v>5</v>
      </c>
      <c r="BA25" s="104">
        <f t="shared" si="160"/>
        <v>0</v>
      </c>
      <c r="BB25" s="102"/>
      <c r="BC25" s="1">
        <v>5</v>
      </c>
      <c r="BD25" s="104">
        <f t="shared" si="161"/>
        <v>0</v>
      </c>
      <c r="BE25" s="102"/>
      <c r="BF25" s="1">
        <v>5</v>
      </c>
      <c r="BG25" s="104">
        <f t="shared" si="162"/>
        <v>0</v>
      </c>
      <c r="BH25" s="102"/>
      <c r="BI25" s="1">
        <v>5</v>
      </c>
      <c r="BJ25" s="104">
        <f t="shared" si="163"/>
        <v>0</v>
      </c>
      <c r="BK25" s="102"/>
      <c r="BL25" s="1">
        <v>5</v>
      </c>
      <c r="BM25" s="104">
        <f t="shared" si="116"/>
        <v>0</v>
      </c>
      <c r="BN25" s="102"/>
      <c r="BO25" s="1">
        <v>5</v>
      </c>
      <c r="BP25" s="104">
        <f t="shared" si="164"/>
        <v>0</v>
      </c>
      <c r="BQ25" s="102"/>
      <c r="BR25" s="1">
        <v>5</v>
      </c>
      <c r="BS25" s="104">
        <f t="shared" si="165"/>
        <v>0</v>
      </c>
      <c r="BT25" s="102"/>
      <c r="BU25" s="1">
        <v>5</v>
      </c>
      <c r="BV25" s="104">
        <f t="shared" si="166"/>
        <v>0</v>
      </c>
      <c r="BW25" s="102"/>
      <c r="BX25" s="1">
        <v>5</v>
      </c>
      <c r="BY25" s="104">
        <f t="shared" si="167"/>
        <v>0</v>
      </c>
      <c r="BZ25" s="102"/>
      <c r="CA25" s="1">
        <v>5</v>
      </c>
      <c r="CB25" s="104">
        <f t="shared" si="168"/>
        <v>0</v>
      </c>
      <c r="CC25" s="102"/>
      <c r="CD25" s="1">
        <v>5</v>
      </c>
      <c r="CE25" s="104">
        <f t="shared" si="169"/>
        <v>0</v>
      </c>
      <c r="CF25" s="102"/>
      <c r="CG25" s="1">
        <v>5</v>
      </c>
      <c r="CH25" s="104">
        <f t="shared" si="170"/>
        <v>0</v>
      </c>
      <c r="CI25" s="102"/>
      <c r="CJ25" s="1">
        <v>5</v>
      </c>
      <c r="CK25" s="104">
        <f t="shared" si="171"/>
        <v>0</v>
      </c>
      <c r="CL25" s="102"/>
      <c r="CM25" s="1">
        <v>5</v>
      </c>
      <c r="CN25" s="104">
        <f t="shared" si="172"/>
        <v>0</v>
      </c>
      <c r="CO25" s="102"/>
      <c r="CP25" s="1">
        <v>5</v>
      </c>
      <c r="CQ25" s="104">
        <f t="shared" si="173"/>
        <v>0</v>
      </c>
      <c r="CR25" s="102"/>
      <c r="CS25" s="1">
        <v>5</v>
      </c>
      <c r="CT25" s="104">
        <f t="shared" si="174"/>
        <v>0</v>
      </c>
      <c r="CU25" s="102"/>
      <c r="CV25" s="1">
        <v>5</v>
      </c>
      <c r="CW25" s="104">
        <f t="shared" si="175"/>
        <v>0</v>
      </c>
      <c r="CX25" s="102"/>
      <c r="CY25" s="1">
        <v>5</v>
      </c>
      <c r="CZ25" s="104">
        <f t="shared" si="176"/>
        <v>0</v>
      </c>
      <c r="DA25" s="102"/>
      <c r="DB25" s="1">
        <v>5</v>
      </c>
      <c r="DC25" s="104">
        <f t="shared" si="177"/>
        <v>0</v>
      </c>
      <c r="DD25" s="102"/>
      <c r="DE25" s="1">
        <v>5</v>
      </c>
      <c r="DF25" s="104">
        <f t="shared" si="178"/>
        <v>0</v>
      </c>
      <c r="DG25" s="102"/>
      <c r="DH25" s="1">
        <v>5</v>
      </c>
      <c r="DI25" s="104">
        <f t="shared" si="179"/>
        <v>0</v>
      </c>
      <c r="DJ25" s="102"/>
      <c r="DK25" s="1">
        <v>5</v>
      </c>
      <c r="DL25" s="104">
        <f t="shared" si="180"/>
        <v>0</v>
      </c>
      <c r="DM25" s="102"/>
      <c r="DN25" s="1">
        <v>5</v>
      </c>
      <c r="DO25" s="104">
        <f t="shared" si="181"/>
        <v>0</v>
      </c>
      <c r="DP25" s="102"/>
      <c r="DQ25" s="1">
        <v>5</v>
      </c>
      <c r="DR25" s="104">
        <f t="shared" si="182"/>
        <v>0</v>
      </c>
      <c r="DS25" s="102"/>
      <c r="DT25" s="1">
        <v>5</v>
      </c>
      <c r="DU25" s="104">
        <f t="shared" si="183"/>
        <v>0</v>
      </c>
      <c r="DV25" s="102"/>
      <c r="DW25" s="1">
        <v>5</v>
      </c>
      <c r="DX25" s="104">
        <f t="shared" si="184"/>
        <v>0</v>
      </c>
      <c r="DY25" s="102"/>
      <c r="DZ25" s="1">
        <v>5</v>
      </c>
      <c r="EA25" s="104">
        <f t="shared" si="185"/>
        <v>0</v>
      </c>
      <c r="EB25" s="102"/>
      <c r="EC25" s="1">
        <v>5</v>
      </c>
      <c r="ED25" s="104">
        <f t="shared" si="186"/>
        <v>0</v>
      </c>
      <c r="EE25" s="102"/>
      <c r="EF25" s="1">
        <v>5</v>
      </c>
      <c r="EG25" s="104">
        <f t="shared" si="187"/>
        <v>0</v>
      </c>
      <c r="EH25" s="102"/>
      <c r="EI25" s="1">
        <v>5</v>
      </c>
      <c r="EJ25" s="104">
        <f t="shared" si="188"/>
        <v>0</v>
      </c>
      <c r="EK25" s="102"/>
      <c r="EL25" s="1">
        <v>5</v>
      </c>
      <c r="EM25" s="104">
        <f t="shared" si="189"/>
        <v>0</v>
      </c>
      <c r="EN25" s="102"/>
      <c r="EO25" s="1">
        <v>5</v>
      </c>
      <c r="EP25" s="104">
        <f t="shared" si="190"/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5" customHeight="1" spans="1:148" x14ac:dyDescent="0.25">
      <c r="A26" s="195" t="s">
        <v>144</v>
      </c>
      <c r="B26" s="101"/>
      <c r="C26" s="102"/>
      <c r="D26" s="103">
        <v>5</v>
      </c>
      <c r="E26" s="104">
        <f t="shared" si="144"/>
        <v>0</v>
      </c>
      <c r="F26" s="102"/>
      <c r="G26" s="103">
        <v>5</v>
      </c>
      <c r="H26" s="104">
        <f t="shared" si="145"/>
        <v>0</v>
      </c>
      <c r="I26" s="105"/>
      <c r="J26" s="103">
        <v>5</v>
      </c>
      <c r="K26" s="104">
        <f t="shared" si="146"/>
        <v>0</v>
      </c>
      <c r="L26" s="105"/>
      <c r="M26" s="103">
        <v>5</v>
      </c>
      <c r="N26" s="104">
        <f t="shared" si="147"/>
        <v>0</v>
      </c>
      <c r="O26" s="106"/>
      <c r="P26" s="107">
        <v>5</v>
      </c>
      <c r="Q26" s="104">
        <f t="shared" si="148"/>
        <v>0</v>
      </c>
      <c r="R26" s="102"/>
      <c r="S26" s="107">
        <v>5</v>
      </c>
      <c r="T26" s="104">
        <f t="shared" si="149"/>
        <v>0</v>
      </c>
      <c r="U26" s="102"/>
      <c r="V26" s="107">
        <v>5</v>
      </c>
      <c r="W26" s="104">
        <f t="shared" si="150"/>
        <v>0</v>
      </c>
      <c r="X26" s="102"/>
      <c r="Y26" s="107">
        <v>5</v>
      </c>
      <c r="Z26" s="104">
        <f t="shared" si="151"/>
        <v>0</v>
      </c>
      <c r="AA26" s="106"/>
      <c r="AB26" s="107">
        <v>5</v>
      </c>
      <c r="AC26" s="104">
        <f t="shared" si="152"/>
        <v>0</v>
      </c>
      <c r="AD26" s="106"/>
      <c r="AE26" s="107">
        <v>5</v>
      </c>
      <c r="AF26" s="104">
        <f t="shared" si="153"/>
        <v>0</v>
      </c>
      <c r="AG26" s="106"/>
      <c r="AH26" s="107">
        <v>5</v>
      </c>
      <c r="AI26" s="104">
        <f t="shared" si="154"/>
        <v>0</v>
      </c>
      <c r="AJ26" s="106"/>
      <c r="AK26" s="107">
        <v>5</v>
      </c>
      <c r="AL26" s="104">
        <f t="shared" si="155"/>
        <v>0</v>
      </c>
      <c r="AM26" s="102"/>
      <c r="AN26" s="1">
        <v>5</v>
      </c>
      <c r="AO26" s="104">
        <f t="shared" si="156"/>
        <v>0</v>
      </c>
      <c r="AP26" s="102"/>
      <c r="AQ26" s="1">
        <v>5</v>
      </c>
      <c r="AR26" s="104">
        <f t="shared" si="157"/>
        <v>0</v>
      </c>
      <c r="AS26" s="102"/>
      <c r="AT26" s="1">
        <v>5</v>
      </c>
      <c r="AU26" s="104">
        <f t="shared" si="158"/>
        <v>0</v>
      </c>
      <c r="AV26" s="102"/>
      <c r="AW26" s="1">
        <v>5</v>
      </c>
      <c r="AX26" s="104">
        <f t="shared" si="159"/>
        <v>0</v>
      </c>
      <c r="AY26" s="102"/>
      <c r="AZ26" s="1">
        <v>5</v>
      </c>
      <c r="BA26" s="104">
        <f t="shared" si="160"/>
        <v>0</v>
      </c>
      <c r="BB26" s="102"/>
      <c r="BC26" s="1">
        <v>5</v>
      </c>
      <c r="BD26" s="104">
        <f t="shared" si="161"/>
        <v>0</v>
      </c>
      <c r="BE26" s="102"/>
      <c r="BF26" s="1">
        <v>5</v>
      </c>
      <c r="BG26" s="104">
        <f t="shared" si="162"/>
        <v>0</v>
      </c>
      <c r="BH26" s="102"/>
      <c r="BI26" s="1">
        <v>5</v>
      </c>
      <c r="BJ26" s="104">
        <f t="shared" si="163"/>
        <v>0</v>
      </c>
      <c r="BK26" s="102"/>
      <c r="BL26" s="1">
        <v>5</v>
      </c>
      <c r="BM26" s="104">
        <f t="shared" si="116"/>
        <v>0</v>
      </c>
      <c r="BN26" s="102"/>
      <c r="BO26" s="1">
        <v>5</v>
      </c>
      <c r="BP26" s="104">
        <f t="shared" si="164"/>
        <v>0</v>
      </c>
      <c r="BQ26" s="102"/>
      <c r="BR26" s="1">
        <v>5</v>
      </c>
      <c r="BS26" s="104">
        <f t="shared" si="165"/>
        <v>0</v>
      </c>
      <c r="BT26" s="102"/>
      <c r="BU26" s="1">
        <v>5</v>
      </c>
      <c r="BV26" s="104">
        <f t="shared" si="166"/>
        <v>0</v>
      </c>
      <c r="BW26" s="102"/>
      <c r="BX26" s="1">
        <v>5</v>
      </c>
      <c r="BY26" s="104">
        <f t="shared" si="167"/>
        <v>0</v>
      </c>
      <c r="BZ26" s="102"/>
      <c r="CA26" s="1">
        <v>5</v>
      </c>
      <c r="CB26" s="104">
        <f t="shared" si="168"/>
        <v>0</v>
      </c>
      <c r="CC26" s="102"/>
      <c r="CD26" s="1">
        <v>5</v>
      </c>
      <c r="CE26" s="104">
        <f t="shared" si="169"/>
        <v>0</v>
      </c>
      <c r="CF26" s="102"/>
      <c r="CG26" s="1">
        <v>5</v>
      </c>
      <c r="CH26" s="104">
        <f t="shared" si="170"/>
        <v>0</v>
      </c>
      <c r="CI26" s="102"/>
      <c r="CJ26" s="1">
        <v>5</v>
      </c>
      <c r="CK26" s="104">
        <f t="shared" si="171"/>
        <v>0</v>
      </c>
      <c r="CL26" s="102"/>
      <c r="CM26" s="1">
        <v>5</v>
      </c>
      <c r="CN26" s="104">
        <f t="shared" si="172"/>
        <v>0</v>
      </c>
      <c r="CO26" s="102"/>
      <c r="CP26" s="1">
        <v>5</v>
      </c>
      <c r="CQ26" s="104">
        <f t="shared" si="173"/>
        <v>0</v>
      </c>
      <c r="CR26" s="102"/>
      <c r="CS26" s="1">
        <v>5</v>
      </c>
      <c r="CT26" s="104">
        <f t="shared" si="174"/>
        <v>0</v>
      </c>
      <c r="CU26" s="102"/>
      <c r="CV26" s="1">
        <v>5</v>
      </c>
      <c r="CW26" s="104">
        <f t="shared" si="175"/>
        <v>0</v>
      </c>
      <c r="CX26" s="102"/>
      <c r="CY26" s="1">
        <v>5</v>
      </c>
      <c r="CZ26" s="104">
        <f t="shared" si="176"/>
        <v>0</v>
      </c>
      <c r="DA26" s="102"/>
      <c r="DB26" s="1">
        <v>5</v>
      </c>
      <c r="DC26" s="104">
        <f t="shared" si="177"/>
        <v>0</v>
      </c>
      <c r="DD26" s="102"/>
      <c r="DE26" s="1">
        <v>5</v>
      </c>
      <c r="DF26" s="104">
        <f t="shared" si="178"/>
        <v>0</v>
      </c>
      <c r="DG26" s="102"/>
      <c r="DH26" s="1">
        <v>5</v>
      </c>
      <c r="DI26" s="104">
        <f t="shared" si="179"/>
        <v>0</v>
      </c>
      <c r="DJ26" s="102"/>
      <c r="DK26" s="1">
        <v>5</v>
      </c>
      <c r="DL26" s="104">
        <f t="shared" si="180"/>
        <v>0</v>
      </c>
      <c r="DM26" s="102"/>
      <c r="DN26" s="1">
        <v>5</v>
      </c>
      <c r="DO26" s="104">
        <f t="shared" si="181"/>
        <v>0</v>
      </c>
      <c r="DP26" s="102"/>
      <c r="DQ26" s="1">
        <v>5</v>
      </c>
      <c r="DR26" s="104">
        <f t="shared" si="182"/>
        <v>0</v>
      </c>
      <c r="DS26" s="102"/>
      <c r="DT26" s="1">
        <v>5</v>
      </c>
      <c r="DU26" s="104">
        <f t="shared" si="183"/>
        <v>0</v>
      </c>
      <c r="DV26" s="102"/>
      <c r="DW26" s="1">
        <v>5</v>
      </c>
      <c r="DX26" s="104">
        <f t="shared" si="184"/>
        <v>0</v>
      </c>
      <c r="DY26" s="102"/>
      <c r="DZ26" s="1">
        <v>5</v>
      </c>
      <c r="EA26" s="104">
        <f t="shared" si="185"/>
        <v>0</v>
      </c>
      <c r="EB26" s="102"/>
      <c r="EC26" s="1">
        <v>5</v>
      </c>
      <c r="ED26" s="104">
        <f t="shared" si="186"/>
        <v>0</v>
      </c>
      <c r="EE26" s="102"/>
      <c r="EF26" s="1">
        <v>5</v>
      </c>
      <c r="EG26" s="104">
        <f t="shared" si="187"/>
        <v>0</v>
      </c>
      <c r="EH26" s="102"/>
      <c r="EI26" s="1">
        <v>5</v>
      </c>
      <c r="EJ26" s="104">
        <f t="shared" si="188"/>
        <v>0</v>
      </c>
      <c r="EK26" s="102"/>
      <c r="EL26" s="1">
        <v>5</v>
      </c>
      <c r="EM26" s="104">
        <f t="shared" si="189"/>
        <v>0</v>
      </c>
      <c r="EN26" s="102"/>
      <c r="EO26" s="1">
        <v>5</v>
      </c>
      <c r="EP26" s="104">
        <f t="shared" si="190"/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16" customHeight="1" spans="1:148" x14ac:dyDescent="0.25">
      <c r="A27" s="195" t="s">
        <v>99</v>
      </c>
      <c r="B27" s="101"/>
      <c r="C27" s="102"/>
      <c r="D27" s="103">
        <v>5</v>
      </c>
      <c r="E27" s="104">
        <f t="shared" si="144"/>
        <v>0</v>
      </c>
      <c r="F27" s="102"/>
      <c r="G27" s="103">
        <v>5</v>
      </c>
      <c r="H27" s="104">
        <f t="shared" si="145"/>
        <v>0</v>
      </c>
      <c r="I27" s="105"/>
      <c r="J27" s="103">
        <v>5</v>
      </c>
      <c r="K27" s="104">
        <f t="shared" si="146"/>
        <v>0</v>
      </c>
      <c r="L27" s="105"/>
      <c r="M27" s="103">
        <v>5</v>
      </c>
      <c r="N27" s="104">
        <f t="shared" si="147"/>
        <v>0</v>
      </c>
      <c r="O27" s="106"/>
      <c r="P27" s="107">
        <v>5</v>
      </c>
      <c r="Q27" s="104">
        <f t="shared" si="148"/>
        <v>0</v>
      </c>
      <c r="R27" s="102"/>
      <c r="S27" s="107">
        <v>5</v>
      </c>
      <c r="T27" s="104">
        <f t="shared" si="149"/>
        <v>0</v>
      </c>
      <c r="U27" s="102"/>
      <c r="V27" s="107">
        <v>5</v>
      </c>
      <c r="W27" s="104">
        <f t="shared" si="150"/>
        <v>0</v>
      </c>
      <c r="X27" s="102"/>
      <c r="Y27" s="107">
        <v>5</v>
      </c>
      <c r="Z27" s="104">
        <f t="shared" si="151"/>
        <v>0</v>
      </c>
      <c r="AA27" s="106"/>
      <c r="AB27" s="107">
        <v>5</v>
      </c>
      <c r="AC27" s="104">
        <f t="shared" si="152"/>
        <v>0</v>
      </c>
      <c r="AD27" s="106"/>
      <c r="AE27" s="107">
        <v>5</v>
      </c>
      <c r="AF27" s="104">
        <f t="shared" si="153"/>
        <v>0</v>
      </c>
      <c r="AG27" s="106"/>
      <c r="AH27" s="107">
        <v>5</v>
      </c>
      <c r="AI27" s="104">
        <f t="shared" si="154"/>
        <v>0</v>
      </c>
      <c r="AJ27" s="106"/>
      <c r="AK27" s="107">
        <v>5</v>
      </c>
      <c r="AL27" s="104">
        <f t="shared" si="155"/>
        <v>0</v>
      </c>
      <c r="AM27" s="102"/>
      <c r="AN27" s="1">
        <v>5</v>
      </c>
      <c r="AO27" s="104">
        <f t="shared" si="156"/>
        <v>0</v>
      </c>
      <c r="AP27" s="102"/>
      <c r="AQ27" s="1">
        <v>5</v>
      </c>
      <c r="AR27" s="104">
        <f t="shared" si="157"/>
        <v>0</v>
      </c>
      <c r="AS27" s="102"/>
      <c r="AT27" s="1">
        <v>5</v>
      </c>
      <c r="AU27" s="104">
        <f t="shared" si="158"/>
        <v>0</v>
      </c>
      <c r="AV27" s="102"/>
      <c r="AW27" s="1">
        <v>5</v>
      </c>
      <c r="AX27" s="104">
        <f t="shared" si="159"/>
        <v>0</v>
      </c>
      <c r="AY27" s="102"/>
      <c r="AZ27" s="1">
        <v>5</v>
      </c>
      <c r="BA27" s="104">
        <f t="shared" si="160"/>
        <v>0</v>
      </c>
      <c r="BB27" s="102"/>
      <c r="BC27" s="1">
        <v>5</v>
      </c>
      <c r="BD27" s="104">
        <f t="shared" si="161"/>
        <v>0</v>
      </c>
      <c r="BE27" s="102"/>
      <c r="BF27" s="1">
        <v>5</v>
      </c>
      <c r="BG27" s="104">
        <f t="shared" si="162"/>
        <v>0</v>
      </c>
      <c r="BH27" s="102"/>
      <c r="BI27" s="1">
        <v>5</v>
      </c>
      <c r="BJ27" s="104">
        <f t="shared" si="163"/>
        <v>0</v>
      </c>
      <c r="BK27" s="102"/>
      <c r="BL27" s="1">
        <v>5</v>
      </c>
      <c r="BM27" s="104">
        <f t="shared" si="116"/>
        <v>0</v>
      </c>
      <c r="BN27" s="102"/>
      <c r="BO27" s="1">
        <v>5</v>
      </c>
      <c r="BP27" s="104">
        <f t="shared" si="164"/>
        <v>0</v>
      </c>
      <c r="BQ27" s="102"/>
      <c r="BR27" s="1">
        <v>5</v>
      </c>
      <c r="BS27" s="104">
        <f t="shared" si="165"/>
        <v>0</v>
      </c>
      <c r="BT27" s="102"/>
      <c r="BU27" s="1">
        <v>5</v>
      </c>
      <c r="BV27" s="104">
        <f t="shared" si="166"/>
        <v>0</v>
      </c>
      <c r="BW27" s="102"/>
      <c r="BX27" s="1">
        <v>5</v>
      </c>
      <c r="BY27" s="104">
        <f t="shared" si="167"/>
        <v>0</v>
      </c>
      <c r="BZ27" s="102"/>
      <c r="CA27" s="1">
        <v>5</v>
      </c>
      <c r="CB27" s="104">
        <f t="shared" si="168"/>
        <v>0</v>
      </c>
      <c r="CC27" s="102"/>
      <c r="CD27" s="1">
        <v>5</v>
      </c>
      <c r="CE27" s="104">
        <f t="shared" si="169"/>
        <v>0</v>
      </c>
      <c r="CF27" s="102"/>
      <c r="CG27" s="1">
        <v>5</v>
      </c>
      <c r="CH27" s="104">
        <f t="shared" si="170"/>
        <v>0</v>
      </c>
      <c r="CI27" s="102"/>
      <c r="CJ27" s="1">
        <v>5</v>
      </c>
      <c r="CK27" s="104">
        <f t="shared" si="171"/>
        <v>0</v>
      </c>
      <c r="CL27" s="102"/>
      <c r="CM27" s="1">
        <v>5</v>
      </c>
      <c r="CN27" s="104">
        <f t="shared" si="172"/>
        <v>0</v>
      </c>
      <c r="CO27" s="102"/>
      <c r="CP27" s="1">
        <v>5</v>
      </c>
      <c r="CQ27" s="104">
        <f t="shared" si="173"/>
        <v>0</v>
      </c>
      <c r="CR27" s="102"/>
      <c r="CS27" s="1">
        <v>5</v>
      </c>
      <c r="CT27" s="104">
        <f t="shared" si="174"/>
        <v>0</v>
      </c>
      <c r="CU27" s="102"/>
      <c r="CV27" s="1">
        <v>5</v>
      </c>
      <c r="CW27" s="104">
        <f t="shared" si="175"/>
        <v>0</v>
      </c>
      <c r="CX27" s="102"/>
      <c r="CY27" s="1">
        <v>5</v>
      </c>
      <c r="CZ27" s="104">
        <f t="shared" si="176"/>
        <v>0</v>
      </c>
      <c r="DA27" s="102"/>
      <c r="DB27" s="1">
        <v>5</v>
      </c>
      <c r="DC27" s="104">
        <f t="shared" si="177"/>
        <v>0</v>
      </c>
      <c r="DD27" s="102"/>
      <c r="DE27" s="1">
        <v>5</v>
      </c>
      <c r="DF27" s="104">
        <f t="shared" si="178"/>
        <v>0</v>
      </c>
      <c r="DG27" s="102"/>
      <c r="DH27" s="1">
        <v>5</v>
      </c>
      <c r="DI27" s="104">
        <f t="shared" si="179"/>
        <v>0</v>
      </c>
      <c r="DJ27" s="102"/>
      <c r="DK27" s="1">
        <v>5</v>
      </c>
      <c r="DL27" s="104">
        <f t="shared" si="180"/>
        <v>0</v>
      </c>
      <c r="DM27" s="102"/>
      <c r="DN27" s="1">
        <v>5</v>
      </c>
      <c r="DO27" s="104">
        <f t="shared" si="181"/>
        <v>0</v>
      </c>
      <c r="DP27" s="102"/>
      <c r="DQ27" s="1">
        <v>5</v>
      </c>
      <c r="DR27" s="104">
        <f t="shared" si="182"/>
        <v>0</v>
      </c>
      <c r="DS27" s="102"/>
      <c r="DT27" s="1">
        <v>5</v>
      </c>
      <c r="DU27" s="104">
        <f t="shared" si="183"/>
        <v>0</v>
      </c>
      <c r="DV27" s="102"/>
      <c r="DW27" s="1">
        <v>5</v>
      </c>
      <c r="DX27" s="104">
        <f t="shared" si="184"/>
        <v>0</v>
      </c>
      <c r="DY27" s="102"/>
      <c r="DZ27" s="1">
        <v>5</v>
      </c>
      <c r="EA27" s="104">
        <f t="shared" si="185"/>
        <v>0</v>
      </c>
      <c r="EB27" s="102"/>
      <c r="EC27" s="1">
        <v>5</v>
      </c>
      <c r="ED27" s="104">
        <f t="shared" si="186"/>
        <v>0</v>
      </c>
      <c r="EE27" s="102"/>
      <c r="EF27" s="1">
        <v>5</v>
      </c>
      <c r="EG27" s="104">
        <f t="shared" si="187"/>
        <v>0</v>
      </c>
      <c r="EH27" s="102"/>
      <c r="EI27" s="1">
        <v>5</v>
      </c>
      <c r="EJ27" s="104">
        <f t="shared" si="188"/>
        <v>0</v>
      </c>
      <c r="EK27" s="102"/>
      <c r="EL27" s="1">
        <v>5</v>
      </c>
      <c r="EM27" s="104">
        <f t="shared" si="189"/>
        <v>0</v>
      </c>
      <c r="EN27" s="102"/>
      <c r="EO27" s="1">
        <v>5</v>
      </c>
      <c r="EP27" s="104">
        <f t="shared" si="190"/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24" customHeight="1" spans="1:148" x14ac:dyDescent="0.25">
      <c r="A28" s="195" t="s">
        <v>100</v>
      </c>
      <c r="B28" s="101"/>
      <c r="C28" s="102"/>
      <c r="D28" s="103">
        <v>5</v>
      </c>
      <c r="E28" s="104">
        <f t="shared" si="144"/>
        <v>0</v>
      </c>
      <c r="F28" s="102"/>
      <c r="G28" s="103">
        <v>5</v>
      </c>
      <c r="H28" s="104">
        <f t="shared" si="145"/>
        <v>0</v>
      </c>
      <c r="I28" s="105"/>
      <c r="J28" s="103">
        <v>5</v>
      </c>
      <c r="K28" s="104">
        <f t="shared" si="146"/>
        <v>0</v>
      </c>
      <c r="L28" s="105"/>
      <c r="M28" s="103">
        <v>5</v>
      </c>
      <c r="N28" s="104">
        <f t="shared" si="147"/>
        <v>0</v>
      </c>
      <c r="O28" s="106"/>
      <c r="P28" s="107">
        <v>5</v>
      </c>
      <c r="Q28" s="104">
        <f t="shared" si="148"/>
        <v>0</v>
      </c>
      <c r="R28" s="102"/>
      <c r="S28" s="107">
        <v>5</v>
      </c>
      <c r="T28" s="104">
        <f t="shared" si="149"/>
        <v>0</v>
      </c>
      <c r="U28" s="102"/>
      <c r="V28" s="107">
        <v>5</v>
      </c>
      <c r="W28" s="104">
        <f t="shared" si="150"/>
        <v>0</v>
      </c>
      <c r="X28" s="102"/>
      <c r="Y28" s="107">
        <v>5</v>
      </c>
      <c r="Z28" s="104">
        <f t="shared" si="151"/>
        <v>0</v>
      </c>
      <c r="AA28" s="106"/>
      <c r="AB28" s="107">
        <v>5</v>
      </c>
      <c r="AC28" s="104">
        <f t="shared" si="152"/>
        <v>0</v>
      </c>
      <c r="AD28" s="106"/>
      <c r="AE28" s="107">
        <v>5</v>
      </c>
      <c r="AF28" s="104">
        <f t="shared" si="153"/>
        <v>0</v>
      </c>
      <c r="AG28" s="106"/>
      <c r="AH28" s="107">
        <v>5</v>
      </c>
      <c r="AI28" s="104">
        <f t="shared" si="154"/>
        <v>0</v>
      </c>
      <c r="AJ28" s="106"/>
      <c r="AK28" s="107">
        <v>5</v>
      </c>
      <c r="AL28" s="104">
        <f t="shared" si="155"/>
        <v>0</v>
      </c>
      <c r="AM28" s="102"/>
      <c r="AN28" s="1">
        <v>5</v>
      </c>
      <c r="AO28" s="104">
        <f t="shared" si="156"/>
        <v>0</v>
      </c>
      <c r="AP28" s="102"/>
      <c r="AQ28" s="1">
        <v>5</v>
      </c>
      <c r="AR28" s="104">
        <f t="shared" si="157"/>
        <v>0</v>
      </c>
      <c r="AS28" s="102"/>
      <c r="AT28" s="1">
        <v>5</v>
      </c>
      <c r="AU28" s="104">
        <f t="shared" si="158"/>
        <v>0</v>
      </c>
      <c r="AV28" s="102"/>
      <c r="AW28" s="1">
        <v>5</v>
      </c>
      <c r="AX28" s="104">
        <f t="shared" si="159"/>
        <v>0</v>
      </c>
      <c r="AY28" s="102"/>
      <c r="AZ28" s="1">
        <v>5</v>
      </c>
      <c r="BA28" s="104">
        <f t="shared" si="160"/>
        <v>0</v>
      </c>
      <c r="BB28" s="102"/>
      <c r="BC28" s="1">
        <v>5</v>
      </c>
      <c r="BD28" s="104">
        <f t="shared" si="161"/>
        <v>0</v>
      </c>
      <c r="BE28" s="102"/>
      <c r="BF28" s="1">
        <v>5</v>
      </c>
      <c r="BG28" s="104">
        <f t="shared" si="162"/>
        <v>0</v>
      </c>
      <c r="BH28" s="102"/>
      <c r="BI28" s="1">
        <v>5</v>
      </c>
      <c r="BJ28" s="104">
        <f t="shared" si="163"/>
        <v>0</v>
      </c>
      <c r="BK28" s="102"/>
      <c r="BL28" s="1">
        <v>5</v>
      </c>
      <c r="BM28" s="104">
        <f t="shared" si="116"/>
        <v>0</v>
      </c>
      <c r="BN28" s="102"/>
      <c r="BO28" s="1">
        <v>5</v>
      </c>
      <c r="BP28" s="104">
        <f t="shared" si="164"/>
        <v>0</v>
      </c>
      <c r="BQ28" s="102"/>
      <c r="BR28" s="1">
        <v>5</v>
      </c>
      <c r="BS28" s="104">
        <f t="shared" si="165"/>
        <v>0</v>
      </c>
      <c r="BT28" s="102"/>
      <c r="BU28" s="1">
        <v>5</v>
      </c>
      <c r="BV28" s="104">
        <f t="shared" si="166"/>
        <v>0</v>
      </c>
      <c r="BW28" s="102"/>
      <c r="BX28" s="1">
        <v>5</v>
      </c>
      <c r="BY28" s="104">
        <f t="shared" si="167"/>
        <v>0</v>
      </c>
      <c r="BZ28" s="102"/>
      <c r="CA28" s="1">
        <v>5</v>
      </c>
      <c r="CB28" s="104">
        <f t="shared" si="168"/>
        <v>0</v>
      </c>
      <c r="CC28" s="102"/>
      <c r="CD28" s="1">
        <v>5</v>
      </c>
      <c r="CE28" s="104">
        <f t="shared" si="169"/>
        <v>0</v>
      </c>
      <c r="CF28" s="102"/>
      <c r="CG28" s="1">
        <v>5</v>
      </c>
      <c r="CH28" s="104">
        <f t="shared" si="170"/>
        <v>0</v>
      </c>
      <c r="CI28" s="102"/>
      <c r="CJ28" s="1">
        <v>5</v>
      </c>
      <c r="CK28" s="104">
        <f t="shared" si="171"/>
        <v>0</v>
      </c>
      <c r="CL28" s="102"/>
      <c r="CM28" s="1">
        <v>5</v>
      </c>
      <c r="CN28" s="104">
        <f t="shared" si="172"/>
        <v>0</v>
      </c>
      <c r="CO28" s="102"/>
      <c r="CP28" s="1">
        <v>5</v>
      </c>
      <c r="CQ28" s="104">
        <f t="shared" si="173"/>
        <v>0</v>
      </c>
      <c r="CR28" s="102"/>
      <c r="CS28" s="1">
        <v>5</v>
      </c>
      <c r="CT28" s="104">
        <f t="shared" si="174"/>
        <v>0</v>
      </c>
      <c r="CU28" s="102"/>
      <c r="CV28" s="1">
        <v>5</v>
      </c>
      <c r="CW28" s="104">
        <f t="shared" si="175"/>
        <v>0</v>
      </c>
      <c r="CX28" s="102"/>
      <c r="CY28" s="1">
        <v>5</v>
      </c>
      <c r="CZ28" s="104">
        <f t="shared" si="176"/>
        <v>0</v>
      </c>
      <c r="DA28" s="102"/>
      <c r="DB28" s="1">
        <v>5</v>
      </c>
      <c r="DC28" s="104">
        <f t="shared" si="177"/>
        <v>0</v>
      </c>
      <c r="DD28" s="102"/>
      <c r="DE28" s="1">
        <v>5</v>
      </c>
      <c r="DF28" s="104">
        <f t="shared" si="178"/>
        <v>0</v>
      </c>
      <c r="DG28" s="102"/>
      <c r="DH28" s="1">
        <v>5</v>
      </c>
      <c r="DI28" s="104">
        <f t="shared" si="179"/>
        <v>0</v>
      </c>
      <c r="DJ28" s="102"/>
      <c r="DK28" s="1">
        <v>5</v>
      </c>
      <c r="DL28" s="104">
        <f t="shared" si="180"/>
        <v>0</v>
      </c>
      <c r="DM28" s="102"/>
      <c r="DN28" s="1">
        <v>5</v>
      </c>
      <c r="DO28" s="104">
        <f t="shared" si="181"/>
        <v>0</v>
      </c>
      <c r="DP28" s="102"/>
      <c r="DQ28" s="1">
        <v>5</v>
      </c>
      <c r="DR28" s="104">
        <f t="shared" si="182"/>
        <v>0</v>
      </c>
      <c r="DS28" s="102"/>
      <c r="DT28" s="1">
        <v>5</v>
      </c>
      <c r="DU28" s="104">
        <f t="shared" si="183"/>
        <v>0</v>
      </c>
      <c r="DV28" s="102"/>
      <c r="DW28" s="1">
        <v>5</v>
      </c>
      <c r="DX28" s="104">
        <f t="shared" si="184"/>
        <v>0</v>
      </c>
      <c r="DY28" s="102"/>
      <c r="DZ28" s="1">
        <v>5</v>
      </c>
      <c r="EA28" s="104">
        <f t="shared" si="185"/>
        <v>0</v>
      </c>
      <c r="EB28" s="102"/>
      <c r="EC28" s="1">
        <v>5</v>
      </c>
      <c r="ED28" s="104">
        <f t="shared" si="186"/>
        <v>0</v>
      </c>
      <c r="EE28" s="102"/>
      <c r="EF28" s="1">
        <v>5</v>
      </c>
      <c r="EG28" s="104">
        <f t="shared" si="187"/>
        <v>0</v>
      </c>
      <c r="EH28" s="102"/>
      <c r="EI28" s="1">
        <v>5</v>
      </c>
      <c r="EJ28" s="104">
        <f t="shared" si="188"/>
        <v>0</v>
      </c>
      <c r="EK28" s="102"/>
      <c r="EL28" s="1">
        <v>5</v>
      </c>
      <c r="EM28" s="104">
        <f t="shared" si="189"/>
        <v>0</v>
      </c>
      <c r="EN28" s="102"/>
      <c r="EO28" s="1">
        <v>5</v>
      </c>
      <c r="EP28" s="104">
        <f t="shared" si="190"/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16" customHeight="1" spans="1:148" x14ac:dyDescent="0.25">
      <c r="A29" s="195" t="s">
        <v>101</v>
      </c>
      <c r="B29" s="101"/>
      <c r="C29" s="102"/>
      <c r="D29" s="103">
        <v>5</v>
      </c>
      <c r="E29" s="104">
        <f t="shared" si="144"/>
        <v>0</v>
      </c>
      <c r="F29" s="102"/>
      <c r="G29" s="103">
        <v>5</v>
      </c>
      <c r="H29" s="104">
        <f t="shared" si="145"/>
        <v>0</v>
      </c>
      <c r="I29" s="105"/>
      <c r="J29" s="103">
        <v>5</v>
      </c>
      <c r="K29" s="104">
        <f t="shared" si="146"/>
        <v>0</v>
      </c>
      <c r="L29" s="105"/>
      <c r="M29" s="103">
        <v>5</v>
      </c>
      <c r="N29" s="104">
        <f t="shared" si="147"/>
        <v>0</v>
      </c>
      <c r="O29" s="106"/>
      <c r="P29" s="107">
        <v>5</v>
      </c>
      <c r="Q29" s="104">
        <f t="shared" si="148"/>
        <v>0</v>
      </c>
      <c r="R29" s="102"/>
      <c r="S29" s="107">
        <v>5</v>
      </c>
      <c r="T29" s="104">
        <f t="shared" si="149"/>
        <v>0</v>
      </c>
      <c r="U29" s="102"/>
      <c r="V29" s="107">
        <v>5</v>
      </c>
      <c r="W29" s="104">
        <f t="shared" si="150"/>
        <v>0</v>
      </c>
      <c r="X29" s="102"/>
      <c r="Y29" s="107">
        <v>5</v>
      </c>
      <c r="Z29" s="104">
        <f t="shared" si="151"/>
        <v>0</v>
      </c>
      <c r="AA29" s="106"/>
      <c r="AB29" s="107">
        <v>5</v>
      </c>
      <c r="AC29" s="104">
        <f t="shared" si="152"/>
        <v>0</v>
      </c>
      <c r="AD29" s="106"/>
      <c r="AE29" s="107">
        <v>5</v>
      </c>
      <c r="AF29" s="104">
        <f t="shared" si="153"/>
        <v>0</v>
      </c>
      <c r="AG29" s="106"/>
      <c r="AH29" s="107">
        <v>5</v>
      </c>
      <c r="AI29" s="104">
        <f t="shared" si="154"/>
        <v>0</v>
      </c>
      <c r="AJ29" s="106"/>
      <c r="AK29" s="107">
        <v>5</v>
      </c>
      <c r="AL29" s="104">
        <f t="shared" si="155"/>
        <v>0</v>
      </c>
      <c r="AM29" s="102"/>
      <c r="AN29" s="1">
        <v>5</v>
      </c>
      <c r="AO29" s="104">
        <f t="shared" si="156"/>
        <v>0</v>
      </c>
      <c r="AP29" s="102"/>
      <c r="AQ29" s="1">
        <v>5</v>
      </c>
      <c r="AR29" s="104">
        <f t="shared" si="157"/>
        <v>0</v>
      </c>
      <c r="AS29" s="102"/>
      <c r="AT29" s="1">
        <v>5</v>
      </c>
      <c r="AU29" s="104">
        <f t="shared" si="158"/>
        <v>0</v>
      </c>
      <c r="AV29" s="102"/>
      <c r="AW29" s="1">
        <v>5</v>
      </c>
      <c r="AX29" s="104">
        <f t="shared" si="159"/>
        <v>0</v>
      </c>
      <c r="AY29" s="102"/>
      <c r="AZ29" s="1">
        <v>5</v>
      </c>
      <c r="BA29" s="104">
        <f t="shared" si="160"/>
        <v>0</v>
      </c>
      <c r="BB29" s="102"/>
      <c r="BC29" s="1">
        <v>5</v>
      </c>
      <c r="BD29" s="104">
        <f t="shared" si="161"/>
        <v>0</v>
      </c>
      <c r="BE29" s="102"/>
      <c r="BF29" s="1">
        <v>5</v>
      </c>
      <c r="BG29" s="104">
        <f t="shared" si="162"/>
        <v>0</v>
      </c>
      <c r="BH29" s="102"/>
      <c r="BI29" s="1">
        <v>5</v>
      </c>
      <c r="BJ29" s="104">
        <f t="shared" si="163"/>
        <v>0</v>
      </c>
      <c r="BK29" s="102"/>
      <c r="BL29" s="1">
        <v>5</v>
      </c>
      <c r="BM29" s="104">
        <f t="shared" si="116"/>
        <v>0</v>
      </c>
      <c r="BN29" s="102"/>
      <c r="BO29" s="1">
        <v>5</v>
      </c>
      <c r="BP29" s="104">
        <f t="shared" si="164"/>
        <v>0</v>
      </c>
      <c r="BQ29" s="102"/>
      <c r="BR29" s="1">
        <v>5</v>
      </c>
      <c r="BS29" s="104">
        <f t="shared" si="165"/>
        <v>0</v>
      </c>
      <c r="BT29" s="102"/>
      <c r="BU29" s="1">
        <v>5</v>
      </c>
      <c r="BV29" s="104">
        <f t="shared" si="166"/>
        <v>0</v>
      </c>
      <c r="BW29" s="102"/>
      <c r="BX29" s="1">
        <v>5</v>
      </c>
      <c r="BY29" s="104">
        <f t="shared" si="167"/>
        <v>0</v>
      </c>
      <c r="BZ29" s="102"/>
      <c r="CA29" s="1">
        <v>5</v>
      </c>
      <c r="CB29" s="104">
        <f t="shared" si="168"/>
        <v>0</v>
      </c>
      <c r="CC29" s="102"/>
      <c r="CD29" s="1">
        <v>5</v>
      </c>
      <c r="CE29" s="104">
        <f t="shared" si="169"/>
        <v>0</v>
      </c>
      <c r="CF29" s="102"/>
      <c r="CG29" s="1">
        <v>5</v>
      </c>
      <c r="CH29" s="104">
        <f t="shared" si="170"/>
        <v>0</v>
      </c>
      <c r="CI29" s="102"/>
      <c r="CJ29" s="1">
        <v>5</v>
      </c>
      <c r="CK29" s="104">
        <f t="shared" si="171"/>
        <v>0</v>
      </c>
      <c r="CL29" s="102"/>
      <c r="CM29" s="1">
        <v>5</v>
      </c>
      <c r="CN29" s="104">
        <f t="shared" si="172"/>
        <v>0</v>
      </c>
      <c r="CO29" s="102"/>
      <c r="CP29" s="1">
        <v>5</v>
      </c>
      <c r="CQ29" s="104">
        <f t="shared" si="173"/>
        <v>0</v>
      </c>
      <c r="CR29" s="102"/>
      <c r="CS29" s="1">
        <v>5</v>
      </c>
      <c r="CT29" s="104">
        <f t="shared" si="174"/>
        <v>0</v>
      </c>
      <c r="CU29" s="102"/>
      <c r="CV29" s="1">
        <v>5</v>
      </c>
      <c r="CW29" s="104">
        <f t="shared" si="175"/>
        <v>0</v>
      </c>
      <c r="CX29" s="102"/>
      <c r="CY29" s="1">
        <v>5</v>
      </c>
      <c r="CZ29" s="104">
        <f t="shared" si="176"/>
        <v>0</v>
      </c>
      <c r="DA29" s="102"/>
      <c r="DB29" s="1">
        <v>5</v>
      </c>
      <c r="DC29" s="104">
        <f t="shared" si="177"/>
        <v>0</v>
      </c>
      <c r="DD29" s="102"/>
      <c r="DE29" s="1">
        <v>5</v>
      </c>
      <c r="DF29" s="104">
        <f t="shared" si="178"/>
        <v>0</v>
      </c>
      <c r="DG29" s="102"/>
      <c r="DH29" s="1">
        <v>5</v>
      </c>
      <c r="DI29" s="104">
        <f t="shared" si="179"/>
        <v>0</v>
      </c>
      <c r="DJ29" s="102"/>
      <c r="DK29" s="1">
        <v>5</v>
      </c>
      <c r="DL29" s="104">
        <f t="shared" si="180"/>
        <v>0</v>
      </c>
      <c r="DM29" s="102"/>
      <c r="DN29" s="1">
        <v>5</v>
      </c>
      <c r="DO29" s="104">
        <f t="shared" si="181"/>
        <v>0</v>
      </c>
      <c r="DP29" s="102"/>
      <c r="DQ29" s="1">
        <v>5</v>
      </c>
      <c r="DR29" s="104">
        <f t="shared" si="182"/>
        <v>0</v>
      </c>
      <c r="DS29" s="102"/>
      <c r="DT29" s="1">
        <v>5</v>
      </c>
      <c r="DU29" s="104">
        <f t="shared" si="183"/>
        <v>0</v>
      </c>
      <c r="DV29" s="102"/>
      <c r="DW29" s="1">
        <v>5</v>
      </c>
      <c r="DX29" s="104">
        <f t="shared" si="184"/>
        <v>0</v>
      </c>
      <c r="DY29" s="102"/>
      <c r="DZ29" s="1">
        <v>5</v>
      </c>
      <c r="EA29" s="104">
        <f t="shared" si="185"/>
        <v>0</v>
      </c>
      <c r="EB29" s="102"/>
      <c r="EC29" s="1">
        <v>5</v>
      </c>
      <c r="ED29" s="104">
        <f t="shared" si="186"/>
        <v>0</v>
      </c>
      <c r="EE29" s="102"/>
      <c r="EF29" s="1">
        <v>5</v>
      </c>
      <c r="EG29" s="104">
        <f t="shared" si="187"/>
        <v>0</v>
      </c>
      <c r="EH29" s="102"/>
      <c r="EI29" s="1">
        <v>5</v>
      </c>
      <c r="EJ29" s="104">
        <f t="shared" si="188"/>
        <v>0</v>
      </c>
      <c r="EK29" s="102"/>
      <c r="EL29" s="1">
        <v>5</v>
      </c>
      <c r="EM29" s="104">
        <f t="shared" si="189"/>
        <v>0</v>
      </c>
      <c r="EN29" s="102"/>
      <c r="EO29" s="1">
        <v>5</v>
      </c>
      <c r="EP29" s="104">
        <f t="shared" si="190"/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26.5" customHeight="1" spans="1:148" x14ac:dyDescent="0.25">
      <c r="A30" s="139" t="s">
        <v>102</v>
      </c>
      <c r="B30" s="101"/>
      <c r="C30" s="102"/>
      <c r="D30" s="103">
        <v>5</v>
      </c>
      <c r="E30" s="104">
        <f t="shared" si="144"/>
        <v>0</v>
      </c>
      <c r="F30" s="102"/>
      <c r="G30" s="103">
        <v>5</v>
      </c>
      <c r="H30" s="104">
        <f t="shared" si="145"/>
        <v>0</v>
      </c>
      <c r="I30" s="105"/>
      <c r="J30" s="103">
        <v>5</v>
      </c>
      <c r="K30" s="104">
        <f t="shared" si="146"/>
        <v>0</v>
      </c>
      <c r="L30" s="105"/>
      <c r="M30" s="103">
        <v>5</v>
      </c>
      <c r="N30" s="104">
        <f t="shared" si="147"/>
        <v>0</v>
      </c>
      <c r="O30" s="106"/>
      <c r="P30" s="107">
        <v>5</v>
      </c>
      <c r="Q30" s="104">
        <f t="shared" si="148"/>
        <v>0</v>
      </c>
      <c r="R30" s="102"/>
      <c r="S30" s="107">
        <v>5</v>
      </c>
      <c r="T30" s="104">
        <f t="shared" si="149"/>
        <v>0</v>
      </c>
      <c r="U30" s="102"/>
      <c r="V30" s="107">
        <v>5</v>
      </c>
      <c r="W30" s="104">
        <f t="shared" si="150"/>
        <v>0</v>
      </c>
      <c r="X30" s="102"/>
      <c r="Y30" s="107">
        <v>5</v>
      </c>
      <c r="Z30" s="104">
        <f t="shared" si="151"/>
        <v>0</v>
      </c>
      <c r="AA30" s="106"/>
      <c r="AB30" s="107">
        <v>5</v>
      </c>
      <c r="AC30" s="104">
        <f t="shared" si="152"/>
        <v>0</v>
      </c>
      <c r="AD30" s="106"/>
      <c r="AE30" s="107">
        <v>5</v>
      </c>
      <c r="AF30" s="104">
        <f t="shared" si="153"/>
        <v>0</v>
      </c>
      <c r="AG30" s="106"/>
      <c r="AH30" s="107">
        <v>5</v>
      </c>
      <c r="AI30" s="104">
        <f t="shared" si="154"/>
        <v>0</v>
      </c>
      <c r="AJ30" s="106"/>
      <c r="AK30" s="107">
        <v>5</v>
      </c>
      <c r="AL30" s="104">
        <f t="shared" si="155"/>
        <v>0</v>
      </c>
      <c r="AM30" s="102"/>
      <c r="AN30" s="1">
        <v>5</v>
      </c>
      <c r="AO30" s="104">
        <f t="shared" si="156"/>
        <v>0</v>
      </c>
      <c r="AP30" s="102"/>
      <c r="AQ30" s="1">
        <v>5</v>
      </c>
      <c r="AR30" s="104">
        <f t="shared" si="157"/>
        <v>0</v>
      </c>
      <c r="AS30" s="102"/>
      <c r="AT30" s="1">
        <v>5</v>
      </c>
      <c r="AU30" s="104">
        <f t="shared" si="158"/>
        <v>0</v>
      </c>
      <c r="AV30" s="102"/>
      <c r="AW30" s="1">
        <v>5</v>
      </c>
      <c r="AX30" s="104">
        <f t="shared" si="159"/>
        <v>0</v>
      </c>
      <c r="AY30" s="102"/>
      <c r="AZ30" s="1">
        <v>5</v>
      </c>
      <c r="BA30" s="104">
        <f t="shared" si="160"/>
        <v>0</v>
      </c>
      <c r="BB30" s="102"/>
      <c r="BC30" s="1">
        <v>5</v>
      </c>
      <c r="BD30" s="104">
        <f t="shared" si="161"/>
        <v>0</v>
      </c>
      <c r="BE30" s="102"/>
      <c r="BF30" s="1">
        <v>5</v>
      </c>
      <c r="BG30" s="104">
        <f t="shared" si="162"/>
        <v>0</v>
      </c>
      <c r="BH30" s="102"/>
      <c r="BI30" s="1">
        <v>5</v>
      </c>
      <c r="BJ30" s="104">
        <f t="shared" si="163"/>
        <v>0</v>
      </c>
      <c r="BK30" s="102"/>
      <c r="BL30" s="1">
        <v>5</v>
      </c>
      <c r="BM30" s="104">
        <f t="shared" si="116"/>
        <v>0</v>
      </c>
      <c r="BN30" s="102"/>
      <c r="BO30" s="1">
        <v>5</v>
      </c>
      <c r="BP30" s="104">
        <f t="shared" si="164"/>
        <v>0</v>
      </c>
      <c r="BQ30" s="102"/>
      <c r="BR30" s="1">
        <v>5</v>
      </c>
      <c r="BS30" s="104">
        <f t="shared" si="165"/>
        <v>0</v>
      </c>
      <c r="BT30" s="102"/>
      <c r="BU30" s="1">
        <v>5</v>
      </c>
      <c r="BV30" s="104">
        <f t="shared" si="166"/>
        <v>0</v>
      </c>
      <c r="BW30" s="102"/>
      <c r="BX30" s="1">
        <v>5</v>
      </c>
      <c r="BY30" s="104">
        <f t="shared" si="167"/>
        <v>0</v>
      </c>
      <c r="BZ30" s="102"/>
      <c r="CA30" s="1">
        <v>5</v>
      </c>
      <c r="CB30" s="104">
        <f t="shared" si="168"/>
        <v>0</v>
      </c>
      <c r="CC30" s="102"/>
      <c r="CD30" s="1">
        <v>5</v>
      </c>
      <c r="CE30" s="104">
        <f t="shared" si="169"/>
        <v>0</v>
      </c>
      <c r="CF30" s="102"/>
      <c r="CG30" s="1">
        <v>5</v>
      </c>
      <c r="CH30" s="104">
        <f t="shared" si="170"/>
        <v>0</v>
      </c>
      <c r="CI30" s="102"/>
      <c r="CJ30" s="1">
        <v>5</v>
      </c>
      <c r="CK30" s="104">
        <f t="shared" si="171"/>
        <v>0</v>
      </c>
      <c r="CL30" s="102"/>
      <c r="CM30" s="1">
        <v>5</v>
      </c>
      <c r="CN30" s="104">
        <f t="shared" si="172"/>
        <v>0</v>
      </c>
      <c r="CO30" s="102"/>
      <c r="CP30" s="1">
        <v>5</v>
      </c>
      <c r="CQ30" s="104">
        <f t="shared" si="173"/>
        <v>0</v>
      </c>
      <c r="CR30" s="102"/>
      <c r="CS30" s="1">
        <v>5</v>
      </c>
      <c r="CT30" s="104">
        <f t="shared" si="174"/>
        <v>0</v>
      </c>
      <c r="CU30" s="102"/>
      <c r="CV30" s="1">
        <v>5</v>
      </c>
      <c r="CW30" s="104">
        <f t="shared" si="175"/>
        <v>0</v>
      </c>
      <c r="CX30" s="102"/>
      <c r="CY30" s="1">
        <v>5</v>
      </c>
      <c r="CZ30" s="104">
        <f t="shared" si="176"/>
        <v>0</v>
      </c>
      <c r="DA30" s="102"/>
      <c r="DB30" s="1">
        <v>5</v>
      </c>
      <c r="DC30" s="104">
        <f t="shared" si="177"/>
        <v>0</v>
      </c>
      <c r="DD30" s="102"/>
      <c r="DE30" s="1">
        <v>5</v>
      </c>
      <c r="DF30" s="104">
        <f t="shared" si="178"/>
        <v>0</v>
      </c>
      <c r="DG30" s="102"/>
      <c r="DH30" s="1">
        <v>5</v>
      </c>
      <c r="DI30" s="104">
        <f t="shared" si="179"/>
        <v>0</v>
      </c>
      <c r="DJ30" s="102"/>
      <c r="DK30" s="1">
        <v>5</v>
      </c>
      <c r="DL30" s="104">
        <f t="shared" si="180"/>
        <v>0</v>
      </c>
      <c r="DM30" s="102"/>
      <c r="DN30" s="1">
        <v>5</v>
      </c>
      <c r="DO30" s="104">
        <f t="shared" si="181"/>
        <v>0</v>
      </c>
      <c r="DP30" s="102"/>
      <c r="DQ30" s="1">
        <v>5</v>
      </c>
      <c r="DR30" s="104">
        <f t="shared" si="182"/>
        <v>0</v>
      </c>
      <c r="DS30" s="102"/>
      <c r="DT30" s="1">
        <v>5</v>
      </c>
      <c r="DU30" s="104">
        <f t="shared" si="183"/>
        <v>0</v>
      </c>
      <c r="DV30" s="102"/>
      <c r="DW30" s="1">
        <v>5</v>
      </c>
      <c r="DX30" s="104">
        <f t="shared" si="184"/>
        <v>0</v>
      </c>
      <c r="DY30" s="102"/>
      <c r="DZ30" s="1">
        <v>5</v>
      </c>
      <c r="EA30" s="104">
        <f t="shared" si="185"/>
        <v>0</v>
      </c>
      <c r="EB30" s="102"/>
      <c r="EC30" s="1">
        <v>5</v>
      </c>
      <c r="ED30" s="104">
        <f t="shared" si="186"/>
        <v>0</v>
      </c>
      <c r="EE30" s="102"/>
      <c r="EF30" s="1">
        <v>5</v>
      </c>
      <c r="EG30" s="104">
        <f t="shared" si="187"/>
        <v>0</v>
      </c>
      <c r="EH30" s="102"/>
      <c r="EI30" s="1">
        <v>5</v>
      </c>
      <c r="EJ30" s="104">
        <f t="shared" si="188"/>
        <v>0</v>
      </c>
      <c r="EK30" s="102"/>
      <c r="EL30" s="1">
        <v>5</v>
      </c>
      <c r="EM30" s="104">
        <f t="shared" si="189"/>
        <v>0</v>
      </c>
      <c r="EN30" s="102"/>
      <c r="EO30" s="1">
        <v>5</v>
      </c>
      <c r="EP30" s="104">
        <f t="shared" si="190"/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5.5" customHeight="1" spans="1:148" x14ac:dyDescent="0.25">
      <c r="A31" s="100" t="s">
        <v>103</v>
      </c>
      <c r="B31" s="101"/>
      <c r="C31" s="102"/>
      <c r="D31" s="103">
        <v>5</v>
      </c>
      <c r="E31" s="104">
        <f t="shared" si="144"/>
        <v>0</v>
      </c>
      <c r="F31" s="102"/>
      <c r="G31" s="103">
        <v>5</v>
      </c>
      <c r="H31" s="104">
        <f t="shared" si="145"/>
        <v>0</v>
      </c>
      <c r="I31" s="105"/>
      <c r="J31" s="103">
        <v>5</v>
      </c>
      <c r="K31" s="104">
        <f t="shared" si="146"/>
        <v>0</v>
      </c>
      <c r="L31" s="105"/>
      <c r="M31" s="103">
        <v>5</v>
      </c>
      <c r="N31" s="104">
        <f t="shared" si="147"/>
        <v>0</v>
      </c>
      <c r="O31" s="106"/>
      <c r="P31" s="107">
        <v>5</v>
      </c>
      <c r="Q31" s="104">
        <f t="shared" si="148"/>
        <v>0</v>
      </c>
      <c r="R31" s="102"/>
      <c r="S31" s="107">
        <v>5</v>
      </c>
      <c r="T31" s="104">
        <f t="shared" si="149"/>
        <v>0</v>
      </c>
      <c r="U31" s="102"/>
      <c r="V31" s="107">
        <v>5</v>
      </c>
      <c r="W31" s="104">
        <f t="shared" si="150"/>
        <v>0</v>
      </c>
      <c r="X31" s="102"/>
      <c r="Y31" s="107">
        <v>5</v>
      </c>
      <c r="Z31" s="104">
        <f t="shared" si="151"/>
        <v>0</v>
      </c>
      <c r="AA31" s="106"/>
      <c r="AB31" s="107">
        <v>5</v>
      </c>
      <c r="AC31" s="104">
        <f t="shared" si="152"/>
        <v>0</v>
      </c>
      <c r="AD31" s="106"/>
      <c r="AE31" s="107">
        <v>5</v>
      </c>
      <c r="AF31" s="104">
        <f t="shared" si="153"/>
        <v>0</v>
      </c>
      <c r="AG31" s="106"/>
      <c r="AH31" s="107">
        <v>5</v>
      </c>
      <c r="AI31" s="104">
        <f t="shared" si="154"/>
        <v>0</v>
      </c>
      <c r="AJ31" s="106"/>
      <c r="AK31" s="107">
        <v>5</v>
      </c>
      <c r="AL31" s="104">
        <f t="shared" si="155"/>
        <v>0</v>
      </c>
      <c r="AM31" s="102"/>
      <c r="AN31" s="1">
        <v>5</v>
      </c>
      <c r="AO31" s="104">
        <f t="shared" si="156"/>
        <v>0</v>
      </c>
      <c r="AP31" s="102"/>
      <c r="AQ31" s="1">
        <v>5</v>
      </c>
      <c r="AR31" s="104">
        <f t="shared" si="157"/>
        <v>0</v>
      </c>
      <c r="AS31" s="102"/>
      <c r="AT31" s="1">
        <v>5</v>
      </c>
      <c r="AU31" s="104">
        <f t="shared" si="158"/>
        <v>0</v>
      </c>
      <c r="AV31" s="102"/>
      <c r="AW31" s="1">
        <v>5</v>
      </c>
      <c r="AX31" s="104">
        <f t="shared" si="159"/>
        <v>0</v>
      </c>
      <c r="AY31" s="102"/>
      <c r="AZ31" s="1">
        <v>5</v>
      </c>
      <c r="BA31" s="104">
        <f t="shared" si="160"/>
        <v>0</v>
      </c>
      <c r="BB31" s="102"/>
      <c r="BC31" s="1">
        <v>5</v>
      </c>
      <c r="BD31" s="104">
        <f t="shared" si="161"/>
        <v>0</v>
      </c>
      <c r="BE31" s="102"/>
      <c r="BF31" s="1">
        <v>5</v>
      </c>
      <c r="BG31" s="104">
        <f t="shared" si="162"/>
        <v>0</v>
      </c>
      <c r="BH31" s="102"/>
      <c r="BI31" s="1">
        <v>5</v>
      </c>
      <c r="BJ31" s="104">
        <f t="shared" si="163"/>
        <v>0</v>
      </c>
      <c r="BK31" s="102"/>
      <c r="BL31" s="1">
        <v>5</v>
      </c>
      <c r="BM31" s="104">
        <f t="shared" si="116"/>
        <v>0</v>
      </c>
      <c r="BN31" s="102"/>
      <c r="BO31" s="1">
        <v>5</v>
      </c>
      <c r="BP31" s="104">
        <f t="shared" si="164"/>
        <v>0</v>
      </c>
      <c r="BQ31" s="102"/>
      <c r="BR31" s="1">
        <v>5</v>
      </c>
      <c r="BS31" s="104">
        <f t="shared" si="165"/>
        <v>0</v>
      </c>
      <c r="BT31" s="102"/>
      <c r="BU31" s="1">
        <v>5</v>
      </c>
      <c r="BV31" s="104">
        <f t="shared" si="166"/>
        <v>0</v>
      </c>
      <c r="BW31" s="102"/>
      <c r="BX31" s="1">
        <v>5</v>
      </c>
      <c r="BY31" s="104">
        <f t="shared" si="167"/>
        <v>0</v>
      </c>
      <c r="BZ31" s="102"/>
      <c r="CA31" s="1">
        <v>5</v>
      </c>
      <c r="CB31" s="104">
        <f t="shared" si="168"/>
        <v>0</v>
      </c>
      <c r="CC31" s="102"/>
      <c r="CD31" s="1">
        <v>5</v>
      </c>
      <c r="CE31" s="104">
        <f t="shared" si="169"/>
        <v>0</v>
      </c>
      <c r="CF31" s="102"/>
      <c r="CG31" s="1">
        <v>5</v>
      </c>
      <c r="CH31" s="104">
        <f t="shared" si="170"/>
        <v>0</v>
      </c>
      <c r="CI31" s="102"/>
      <c r="CJ31" s="1">
        <v>5</v>
      </c>
      <c r="CK31" s="104">
        <f t="shared" si="171"/>
        <v>0</v>
      </c>
      <c r="CL31" s="102"/>
      <c r="CM31" s="1">
        <v>5</v>
      </c>
      <c r="CN31" s="104">
        <f t="shared" si="172"/>
        <v>0</v>
      </c>
      <c r="CO31" s="102"/>
      <c r="CP31" s="1">
        <v>5</v>
      </c>
      <c r="CQ31" s="104">
        <f t="shared" si="173"/>
        <v>0</v>
      </c>
      <c r="CR31" s="102"/>
      <c r="CS31" s="1">
        <v>5</v>
      </c>
      <c r="CT31" s="104">
        <f t="shared" si="174"/>
        <v>0</v>
      </c>
      <c r="CU31" s="102"/>
      <c r="CV31" s="1">
        <v>5</v>
      </c>
      <c r="CW31" s="104">
        <f t="shared" si="175"/>
        <v>0</v>
      </c>
      <c r="CX31" s="102"/>
      <c r="CY31" s="1">
        <v>5</v>
      </c>
      <c r="CZ31" s="104">
        <f t="shared" si="176"/>
        <v>0</v>
      </c>
      <c r="DA31" s="102"/>
      <c r="DB31" s="1">
        <v>5</v>
      </c>
      <c r="DC31" s="104">
        <f t="shared" si="177"/>
        <v>0</v>
      </c>
      <c r="DD31" s="102"/>
      <c r="DE31" s="1">
        <v>5</v>
      </c>
      <c r="DF31" s="104">
        <f t="shared" si="178"/>
        <v>0</v>
      </c>
      <c r="DG31" s="102"/>
      <c r="DH31" s="1">
        <v>5</v>
      </c>
      <c r="DI31" s="104">
        <f t="shared" si="179"/>
        <v>0</v>
      </c>
      <c r="DJ31" s="102"/>
      <c r="DK31" s="1">
        <v>5</v>
      </c>
      <c r="DL31" s="104">
        <f t="shared" si="180"/>
        <v>0</v>
      </c>
      <c r="DM31" s="102"/>
      <c r="DN31" s="1">
        <v>5</v>
      </c>
      <c r="DO31" s="104">
        <f t="shared" si="181"/>
        <v>0</v>
      </c>
      <c r="DP31" s="102"/>
      <c r="DQ31" s="1">
        <v>5</v>
      </c>
      <c r="DR31" s="104">
        <f t="shared" si="182"/>
        <v>0</v>
      </c>
      <c r="DS31" s="102"/>
      <c r="DT31" s="1">
        <v>5</v>
      </c>
      <c r="DU31" s="104">
        <f t="shared" si="183"/>
        <v>0</v>
      </c>
      <c r="DV31" s="102"/>
      <c r="DW31" s="1">
        <v>5</v>
      </c>
      <c r="DX31" s="104">
        <f t="shared" si="184"/>
        <v>0</v>
      </c>
      <c r="DY31" s="102"/>
      <c r="DZ31" s="1">
        <v>5</v>
      </c>
      <c r="EA31" s="104">
        <f t="shared" si="185"/>
        <v>0</v>
      </c>
      <c r="EB31" s="102"/>
      <c r="EC31" s="1">
        <v>5</v>
      </c>
      <c r="ED31" s="104">
        <f t="shared" si="186"/>
        <v>0</v>
      </c>
      <c r="EE31" s="102"/>
      <c r="EF31" s="1">
        <v>5</v>
      </c>
      <c r="EG31" s="104">
        <f t="shared" si="187"/>
        <v>0</v>
      </c>
      <c r="EH31" s="102"/>
      <c r="EI31" s="1">
        <v>5</v>
      </c>
      <c r="EJ31" s="104">
        <f t="shared" si="188"/>
        <v>0</v>
      </c>
      <c r="EK31" s="102"/>
      <c r="EL31" s="1">
        <v>5</v>
      </c>
      <c r="EM31" s="104">
        <f t="shared" si="189"/>
        <v>0</v>
      </c>
      <c r="EN31" s="102"/>
      <c r="EO31" s="1">
        <v>5</v>
      </c>
      <c r="EP31" s="104">
        <f t="shared" si="190"/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28.5" customHeight="1" spans="1:148" x14ac:dyDescent="0.25">
      <c r="A32" s="196" t="s">
        <v>104</v>
      </c>
      <c r="B32" s="101"/>
      <c r="C32" s="102"/>
      <c r="D32" s="103">
        <v>5</v>
      </c>
      <c r="E32" s="104">
        <f t="shared" si="144"/>
        <v>0</v>
      </c>
      <c r="F32" s="102"/>
      <c r="G32" s="103">
        <v>5</v>
      </c>
      <c r="H32" s="104">
        <f t="shared" si="145"/>
        <v>0</v>
      </c>
      <c r="I32" s="105"/>
      <c r="J32" s="103">
        <v>5</v>
      </c>
      <c r="K32" s="104">
        <f t="shared" si="146"/>
        <v>0</v>
      </c>
      <c r="L32" s="105"/>
      <c r="M32" s="103">
        <v>5</v>
      </c>
      <c r="N32" s="104">
        <f t="shared" si="147"/>
        <v>0</v>
      </c>
      <c r="O32" s="106"/>
      <c r="P32" s="107">
        <v>5</v>
      </c>
      <c r="Q32" s="104">
        <f t="shared" si="148"/>
        <v>0</v>
      </c>
      <c r="R32" s="102"/>
      <c r="S32" s="107">
        <v>5</v>
      </c>
      <c r="T32" s="104">
        <f t="shared" si="149"/>
        <v>0</v>
      </c>
      <c r="U32" s="102"/>
      <c r="V32" s="107">
        <v>5</v>
      </c>
      <c r="W32" s="104">
        <f t="shared" si="150"/>
        <v>0</v>
      </c>
      <c r="X32" s="102"/>
      <c r="Y32" s="107">
        <v>5</v>
      </c>
      <c r="Z32" s="104">
        <f t="shared" si="151"/>
        <v>0</v>
      </c>
      <c r="AA32" s="106"/>
      <c r="AB32" s="107">
        <v>5</v>
      </c>
      <c r="AC32" s="104">
        <f t="shared" si="152"/>
        <v>0</v>
      </c>
      <c r="AD32" s="106"/>
      <c r="AE32" s="107">
        <v>5</v>
      </c>
      <c r="AF32" s="104">
        <f t="shared" si="153"/>
        <v>0</v>
      </c>
      <c r="AG32" s="106"/>
      <c r="AH32" s="107">
        <v>5</v>
      </c>
      <c r="AI32" s="104">
        <f t="shared" si="154"/>
        <v>0</v>
      </c>
      <c r="AJ32" s="106"/>
      <c r="AK32" s="107">
        <v>5</v>
      </c>
      <c r="AL32" s="104">
        <f t="shared" si="155"/>
        <v>0</v>
      </c>
      <c r="AM32" s="102"/>
      <c r="AN32" s="1">
        <v>5</v>
      </c>
      <c r="AO32" s="104">
        <f t="shared" si="156"/>
        <v>0</v>
      </c>
      <c r="AP32" s="102"/>
      <c r="AQ32" s="1">
        <v>5</v>
      </c>
      <c r="AR32" s="104">
        <f t="shared" si="157"/>
        <v>0</v>
      </c>
      <c r="AS32" s="102"/>
      <c r="AT32" s="1">
        <v>5</v>
      </c>
      <c r="AU32" s="104">
        <f t="shared" si="158"/>
        <v>0</v>
      </c>
      <c r="AV32" s="102"/>
      <c r="AW32" s="1">
        <v>5</v>
      </c>
      <c r="AX32" s="104">
        <f t="shared" si="159"/>
        <v>0</v>
      </c>
      <c r="AY32" s="102"/>
      <c r="AZ32" s="1">
        <v>5</v>
      </c>
      <c r="BA32" s="104">
        <f t="shared" si="160"/>
        <v>0</v>
      </c>
      <c r="BB32" s="102"/>
      <c r="BC32" s="1">
        <v>5</v>
      </c>
      <c r="BD32" s="104">
        <f t="shared" si="161"/>
        <v>0</v>
      </c>
      <c r="BE32" s="102"/>
      <c r="BF32" s="1">
        <v>5</v>
      </c>
      <c r="BG32" s="104">
        <f t="shared" si="162"/>
        <v>0</v>
      </c>
      <c r="BH32" s="102"/>
      <c r="BI32" s="1">
        <v>5</v>
      </c>
      <c r="BJ32" s="104">
        <f t="shared" si="163"/>
        <v>0</v>
      </c>
      <c r="BK32" s="102"/>
      <c r="BL32" s="1">
        <v>5</v>
      </c>
      <c r="BM32" s="104">
        <f t="shared" si="116"/>
        <v>0</v>
      </c>
      <c r="BN32" s="102"/>
      <c r="BO32" s="1">
        <v>5</v>
      </c>
      <c r="BP32" s="104">
        <f t="shared" si="164"/>
        <v>0</v>
      </c>
      <c r="BQ32" s="102"/>
      <c r="BR32" s="1">
        <v>5</v>
      </c>
      <c r="BS32" s="104">
        <f t="shared" si="165"/>
        <v>0</v>
      </c>
      <c r="BT32" s="102"/>
      <c r="BU32" s="1">
        <v>5</v>
      </c>
      <c r="BV32" s="104">
        <f t="shared" si="166"/>
        <v>0</v>
      </c>
      <c r="BW32" s="102"/>
      <c r="BX32" s="1">
        <v>5</v>
      </c>
      <c r="BY32" s="104">
        <f t="shared" si="167"/>
        <v>0</v>
      </c>
      <c r="BZ32" s="102"/>
      <c r="CA32" s="1">
        <v>5</v>
      </c>
      <c r="CB32" s="104">
        <f t="shared" si="168"/>
        <v>0</v>
      </c>
      <c r="CC32" s="102"/>
      <c r="CD32" s="1">
        <v>5</v>
      </c>
      <c r="CE32" s="104">
        <f t="shared" si="169"/>
        <v>0</v>
      </c>
      <c r="CF32" s="102"/>
      <c r="CG32" s="1">
        <v>5</v>
      </c>
      <c r="CH32" s="104">
        <f t="shared" si="170"/>
        <v>0</v>
      </c>
      <c r="CI32" s="102"/>
      <c r="CJ32" s="1">
        <v>5</v>
      </c>
      <c r="CK32" s="104">
        <f t="shared" si="171"/>
        <v>0</v>
      </c>
      <c r="CL32" s="102"/>
      <c r="CM32" s="1">
        <v>5</v>
      </c>
      <c r="CN32" s="104">
        <f t="shared" si="172"/>
        <v>0</v>
      </c>
      <c r="CO32" s="102"/>
      <c r="CP32" s="1">
        <v>5</v>
      </c>
      <c r="CQ32" s="104">
        <f t="shared" si="173"/>
        <v>0</v>
      </c>
      <c r="CR32" s="102"/>
      <c r="CS32" s="1">
        <v>5</v>
      </c>
      <c r="CT32" s="104">
        <f t="shared" si="174"/>
        <v>0</v>
      </c>
      <c r="CU32" s="102"/>
      <c r="CV32" s="1">
        <v>5</v>
      </c>
      <c r="CW32" s="104">
        <f t="shared" si="175"/>
        <v>0</v>
      </c>
      <c r="CX32" s="102"/>
      <c r="CY32" s="1">
        <v>5</v>
      </c>
      <c r="CZ32" s="104">
        <f t="shared" si="176"/>
        <v>0</v>
      </c>
      <c r="DA32" s="102"/>
      <c r="DB32" s="1">
        <v>5</v>
      </c>
      <c r="DC32" s="104">
        <f t="shared" si="177"/>
        <v>0</v>
      </c>
      <c r="DD32" s="102"/>
      <c r="DE32" s="1">
        <v>5</v>
      </c>
      <c r="DF32" s="104">
        <f t="shared" si="178"/>
        <v>0</v>
      </c>
      <c r="DG32" s="102"/>
      <c r="DH32" s="1">
        <v>5</v>
      </c>
      <c r="DI32" s="104">
        <f t="shared" si="179"/>
        <v>0</v>
      </c>
      <c r="DJ32" s="102"/>
      <c r="DK32" s="1">
        <v>5</v>
      </c>
      <c r="DL32" s="104">
        <f t="shared" si="180"/>
        <v>0</v>
      </c>
      <c r="DM32" s="102"/>
      <c r="DN32" s="1">
        <v>5</v>
      </c>
      <c r="DO32" s="104">
        <f t="shared" si="181"/>
        <v>0</v>
      </c>
      <c r="DP32" s="102"/>
      <c r="DQ32" s="1">
        <v>5</v>
      </c>
      <c r="DR32" s="104">
        <f t="shared" si="182"/>
        <v>0</v>
      </c>
      <c r="DS32" s="102"/>
      <c r="DT32" s="1">
        <v>5</v>
      </c>
      <c r="DU32" s="104">
        <f t="shared" si="183"/>
        <v>0</v>
      </c>
      <c r="DV32" s="102"/>
      <c r="DW32" s="1">
        <v>5</v>
      </c>
      <c r="DX32" s="104">
        <f t="shared" si="184"/>
        <v>0</v>
      </c>
      <c r="DY32" s="102"/>
      <c r="DZ32" s="1">
        <v>5</v>
      </c>
      <c r="EA32" s="104">
        <f t="shared" si="185"/>
        <v>0</v>
      </c>
      <c r="EB32" s="102"/>
      <c r="EC32" s="1">
        <v>5</v>
      </c>
      <c r="ED32" s="104">
        <f t="shared" si="186"/>
        <v>0</v>
      </c>
      <c r="EE32" s="102"/>
      <c r="EF32" s="1">
        <v>5</v>
      </c>
      <c r="EG32" s="104">
        <f t="shared" si="187"/>
        <v>0</v>
      </c>
      <c r="EH32" s="102"/>
      <c r="EI32" s="1">
        <v>5</v>
      </c>
      <c r="EJ32" s="104">
        <f t="shared" si="188"/>
        <v>0</v>
      </c>
      <c r="EK32" s="102"/>
      <c r="EL32" s="1">
        <v>5</v>
      </c>
      <c r="EM32" s="104">
        <f t="shared" si="189"/>
        <v>0</v>
      </c>
      <c r="EN32" s="102"/>
      <c r="EO32" s="1">
        <v>5</v>
      </c>
      <c r="EP32" s="104">
        <f t="shared" si="190"/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16" customHeight="1" spans="1:148" x14ac:dyDescent="0.25">
      <c r="A33" s="124" t="s">
        <v>105</v>
      </c>
      <c r="B33" s="125"/>
      <c r="C33" s="126"/>
      <c r="D33" s="127"/>
      <c r="E33" s="82">
        <f>AVERAGE(E34:E41)</f>
        <v>0</v>
      </c>
      <c r="F33" s="126"/>
      <c r="G33" s="127"/>
      <c r="H33" s="82">
        <f>AVERAGE(H34:H41)</f>
        <v>0</v>
      </c>
      <c r="I33" s="126"/>
      <c r="J33" s="127"/>
      <c r="K33" s="82">
        <f>AVERAGE(K34:K41)</f>
        <v>0</v>
      </c>
      <c r="L33" s="126"/>
      <c r="M33" s="127"/>
      <c r="N33" s="82">
        <f>AVERAGE(N34:N41)</f>
        <v>0</v>
      </c>
      <c r="O33" s="126"/>
      <c r="P33" s="127"/>
      <c r="Q33" s="82">
        <f>AVERAGE(Q34:Q41)</f>
        <v>0</v>
      </c>
      <c r="R33" s="126"/>
      <c r="S33" s="127"/>
      <c r="T33" s="82">
        <f>AVERAGE(T34:T41)</f>
        <v>0</v>
      </c>
      <c r="U33" s="126"/>
      <c r="V33" s="127"/>
      <c r="W33" s="82">
        <f>AVERAGE(W34:W41)</f>
        <v>0</v>
      </c>
      <c r="X33" s="126"/>
      <c r="Y33" s="127"/>
      <c r="Z33" s="82">
        <f>AVERAGE(Z34:Z41)</f>
        <v>0</v>
      </c>
      <c r="AA33" s="126"/>
      <c r="AB33" s="127"/>
      <c r="AC33" s="82">
        <f>AVERAGE(AC34:AC41)</f>
        <v>0</v>
      </c>
      <c r="AD33" s="126"/>
      <c r="AE33" s="127"/>
      <c r="AF33" s="82">
        <f>AVERAGE(AF34:AF41)</f>
        <v>0</v>
      </c>
      <c r="AG33" s="126"/>
      <c r="AH33" s="127"/>
      <c r="AI33" s="82">
        <f>AVERAGE(AI34:AI41)</f>
        <v>0</v>
      </c>
      <c r="AJ33" s="126"/>
      <c r="AK33" s="127"/>
      <c r="AL33" s="82">
        <f>AVERAGE(AL34:AL41)</f>
        <v>0</v>
      </c>
      <c r="AM33" s="126"/>
      <c r="AN33" s="136"/>
      <c r="AO33" s="82">
        <f>AVERAGE(AO34:AO41)</f>
        <v>0</v>
      </c>
      <c r="AP33" s="128"/>
      <c r="AQ33" s="129"/>
      <c r="AR33" s="82">
        <f>AVERAGE(AR34:AR41)</f>
        <v>0</v>
      </c>
      <c r="AS33" s="130"/>
      <c r="AT33" s="129"/>
      <c r="AU33" s="82">
        <f>AVERAGE(AU34:AU41)</f>
        <v>0</v>
      </c>
      <c r="AV33" s="126"/>
      <c r="AW33" s="136"/>
      <c r="AX33" s="82">
        <f>AVERAGE(AX34:AX41)</f>
        <v>0</v>
      </c>
      <c r="AY33" s="137"/>
      <c r="AZ33" s="138"/>
      <c r="BA33" s="82">
        <f>AVERAGE(BA34:BA41)</f>
        <v>0</v>
      </c>
      <c r="BB33" s="128"/>
      <c r="BC33" s="132"/>
      <c r="BD33" s="82">
        <f>AVERAGE(BD34:BD41)</f>
        <v>0</v>
      </c>
      <c r="BE33" s="128"/>
      <c r="BF33" s="132"/>
      <c r="BG33" s="82">
        <f>AVERAGE(BG34:BG41)</f>
        <v>0</v>
      </c>
      <c r="BH33" s="128"/>
      <c r="BI33" s="132"/>
      <c r="BJ33" s="82">
        <f>AVERAGE(BJ34:BJ41)</f>
        <v>0</v>
      </c>
      <c r="BK33" s="128"/>
      <c r="BL33" s="132"/>
      <c r="BM33" s="82">
        <f>AVERAGE(BM34:BM41)</f>
        <v>0</v>
      </c>
      <c r="BN33" s="128"/>
      <c r="BO33" s="132"/>
      <c r="BP33" s="82">
        <f>AVERAGE(BP34:BP41)</f>
        <v>0</v>
      </c>
      <c r="BQ33" s="128"/>
      <c r="BR33" s="132"/>
      <c r="BS33" s="82">
        <f>AVERAGE(BS34:BS41)</f>
        <v>0</v>
      </c>
      <c r="BT33" s="128"/>
      <c r="BU33" s="132"/>
      <c r="BV33" s="82">
        <f>AVERAGE(BV34:BV41)</f>
        <v>0</v>
      </c>
      <c r="BW33" s="128"/>
      <c r="BX33" s="132"/>
      <c r="BY33" s="82">
        <f>AVERAGE(BY34:BY41)</f>
        <v>0</v>
      </c>
      <c r="BZ33" s="126"/>
      <c r="CA33" s="127"/>
      <c r="CB33" s="82">
        <f>AVERAGE(CB34:CB41)</f>
        <v>0</v>
      </c>
      <c r="CC33" s="126"/>
      <c r="CD33" s="127"/>
      <c r="CE33" s="82">
        <f>AVERAGE(CE34:CE41)</f>
        <v>0</v>
      </c>
      <c r="CF33" s="126"/>
      <c r="CG33" s="127"/>
      <c r="CH33" s="82">
        <f>AVERAGE(CH34:CH41)</f>
        <v>0</v>
      </c>
      <c r="CI33" s="126"/>
      <c r="CJ33" s="127"/>
      <c r="CK33" s="82">
        <f>AVERAGE(CK34:CK41)</f>
        <v>0</v>
      </c>
      <c r="CL33" s="126"/>
      <c r="CM33" s="127"/>
      <c r="CN33" s="82">
        <f>AVERAGE(CN34:CN41)</f>
        <v>0</v>
      </c>
      <c r="CO33" s="126"/>
      <c r="CP33" s="127"/>
      <c r="CQ33" s="82">
        <f>AVERAGE(CQ34:CQ41)</f>
        <v>0</v>
      </c>
      <c r="CR33" s="126"/>
      <c r="CS33" s="127"/>
      <c r="CT33" s="82">
        <f>AVERAGE(CT34:CT41)</f>
        <v>0</v>
      </c>
      <c r="CU33" s="126"/>
      <c r="CV33" s="127"/>
      <c r="CW33" s="82">
        <f>AVERAGE(CW34:CW41)</f>
        <v>0</v>
      </c>
      <c r="CX33" s="126"/>
      <c r="CY33" s="127"/>
      <c r="CZ33" s="82">
        <f>AVERAGE(CZ34:CZ41)</f>
        <v>0</v>
      </c>
      <c r="DA33" s="126"/>
      <c r="DB33" s="127"/>
      <c r="DC33" s="82">
        <f>AVERAGE(DC34:DC41)</f>
        <v>0</v>
      </c>
      <c r="DD33" s="126"/>
      <c r="DE33" s="127"/>
      <c r="DF33" s="82">
        <f>AVERAGE(DF34:DF41)</f>
        <v>0</v>
      </c>
      <c r="DG33" s="126"/>
      <c r="DH33" s="127"/>
      <c r="DI33" s="82">
        <f>AVERAGE(DI34:DI41)</f>
        <v>0</v>
      </c>
      <c r="DJ33" s="126"/>
      <c r="DK33" s="127"/>
      <c r="DL33" s="82">
        <f>AVERAGE(DL34:DL41)</f>
        <v>0</v>
      </c>
      <c r="DM33" s="126"/>
      <c r="DN33" s="127"/>
      <c r="DO33" s="82">
        <f>AVERAGE(DO34:DO41)</f>
        <v>0</v>
      </c>
      <c r="DP33" s="126"/>
      <c r="DQ33" s="127"/>
      <c r="DR33" s="82">
        <f>AVERAGE(DR34:DR41)</f>
        <v>0</v>
      </c>
      <c r="DS33" s="126"/>
      <c r="DT33" s="127"/>
      <c r="DU33" s="82">
        <f>AVERAGE(DU34:DU41)</f>
        <v>0</v>
      </c>
      <c r="DV33" s="126"/>
      <c r="DW33" s="127"/>
      <c r="DX33" s="82">
        <f>AVERAGE(DX34:DX41)</f>
        <v>0</v>
      </c>
      <c r="DY33" s="126"/>
      <c r="DZ33" s="127"/>
      <c r="EA33" s="82">
        <f>AVERAGE(EA34:EA41)</f>
        <v>0</v>
      </c>
      <c r="EB33" s="126"/>
      <c r="EC33" s="127"/>
      <c r="ED33" s="82">
        <f>AVERAGE(ED34:ED41)</f>
        <v>0</v>
      </c>
      <c r="EE33" s="126"/>
      <c r="EF33" s="127"/>
      <c r="EG33" s="82">
        <f>AVERAGE(EG34:EG41)</f>
        <v>0</v>
      </c>
      <c r="EH33" s="126"/>
      <c r="EI33" s="127"/>
      <c r="EJ33" s="82">
        <f>AVERAGE(EJ34:EJ41)</f>
        <v>0</v>
      </c>
      <c r="EK33" s="126"/>
      <c r="EL33" s="127"/>
      <c r="EM33" s="82">
        <f>AVERAGE(EM34:EM41)</f>
        <v>0</v>
      </c>
      <c r="EN33" s="126"/>
      <c r="EO33" s="127"/>
      <c r="EP33" s="82">
        <f>AVERAGE(EP34:EP41)</f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94" t="s">
        <v>106</v>
      </c>
      <c r="B34" s="101"/>
      <c r="C34" s="102"/>
      <c r="D34" s="103">
        <v>5</v>
      </c>
      <c r="E34" s="104">
        <f t="shared" ref="E34:E41" si="191">C34/D34</f>
        <v>0</v>
      </c>
      <c r="F34" s="102"/>
      <c r="G34" s="103">
        <v>5</v>
      </c>
      <c r="H34" s="104">
        <f t="shared" ref="H34:H41" si="192">F34/G34</f>
        <v>0</v>
      </c>
      <c r="I34" s="105"/>
      <c r="J34" s="103">
        <v>5</v>
      </c>
      <c r="K34" s="104">
        <f t="shared" ref="K34:K41" si="193">I34/J34</f>
        <v>0</v>
      </c>
      <c r="L34" s="105"/>
      <c r="M34" s="103">
        <v>5</v>
      </c>
      <c r="N34" s="104">
        <f t="shared" ref="N34:N41" si="194">L34/M34</f>
        <v>0</v>
      </c>
      <c r="O34" s="106"/>
      <c r="P34" s="107">
        <v>5</v>
      </c>
      <c r="Q34" s="104">
        <f t="shared" ref="Q34:Q41" si="195">O34/P34</f>
        <v>0</v>
      </c>
      <c r="R34" s="102"/>
      <c r="S34" s="107">
        <v>5</v>
      </c>
      <c r="T34" s="104">
        <f t="shared" ref="T34:T41" si="196">R34/S34</f>
        <v>0</v>
      </c>
      <c r="U34" s="102"/>
      <c r="V34" s="107">
        <v>5</v>
      </c>
      <c r="W34" s="104">
        <f t="shared" ref="W34:W41" si="197">U34/V34</f>
        <v>0</v>
      </c>
      <c r="X34" s="102"/>
      <c r="Y34" s="107">
        <v>5</v>
      </c>
      <c r="Z34" s="104">
        <f t="shared" ref="Z34:Z41" si="198">X34/Y34</f>
        <v>0</v>
      </c>
      <c r="AA34" s="106"/>
      <c r="AB34" s="107">
        <v>5</v>
      </c>
      <c r="AC34" s="104">
        <f t="shared" ref="AC34:AC41" si="199">AA34/AB34</f>
        <v>0</v>
      </c>
      <c r="AD34" s="106"/>
      <c r="AE34" s="107">
        <v>5</v>
      </c>
      <c r="AF34" s="104">
        <f t="shared" ref="AF34:AF41" si="200">AD34/AE34</f>
        <v>0</v>
      </c>
      <c r="AG34" s="106"/>
      <c r="AH34" s="107">
        <v>5</v>
      </c>
      <c r="AI34" s="104">
        <f t="shared" ref="AI34:AI41" si="201">AG34/AH34</f>
        <v>0</v>
      </c>
      <c r="AJ34" s="106"/>
      <c r="AK34" s="107">
        <v>5</v>
      </c>
      <c r="AL34" s="104">
        <f t="shared" ref="AL34:AL41" si="202">AJ34/AK34</f>
        <v>0</v>
      </c>
      <c r="AM34" s="102"/>
      <c r="AN34" s="1">
        <v>5</v>
      </c>
      <c r="AO34" s="104">
        <f t="shared" ref="AO34:AO41" si="203">AM34/AN34</f>
        <v>0</v>
      </c>
      <c r="AP34" s="102"/>
      <c r="AQ34" s="1">
        <v>5</v>
      </c>
      <c r="AR34" s="104">
        <f t="shared" ref="AR34:AR41" si="204">AP34/AQ34</f>
        <v>0</v>
      </c>
      <c r="AS34" s="102"/>
      <c r="AT34" s="1">
        <v>5</v>
      </c>
      <c r="AU34" s="104">
        <f t="shared" ref="AU34:AU41" si="205">AS34/AT34</f>
        <v>0</v>
      </c>
      <c r="AV34" s="102"/>
      <c r="AW34" s="1">
        <v>5</v>
      </c>
      <c r="AX34" s="104">
        <f t="shared" ref="AX34:AX41" si="206">AV34/AW34</f>
        <v>0</v>
      </c>
      <c r="AY34" s="102"/>
      <c r="AZ34" s="1">
        <v>5</v>
      </c>
      <c r="BA34" s="104">
        <f t="shared" ref="BA34:BA41" si="207">AY34/AZ34</f>
        <v>0</v>
      </c>
      <c r="BB34" s="102"/>
      <c r="BC34" s="1">
        <v>5</v>
      </c>
      <c r="BD34" s="104">
        <f t="shared" ref="BD34:BD41" si="208">BB34/BC34</f>
        <v>0</v>
      </c>
      <c r="BE34" s="102"/>
      <c r="BF34" s="1">
        <v>5</v>
      </c>
      <c r="BG34" s="104">
        <f t="shared" ref="BG34:BG41" si="209">BE34/BF34</f>
        <v>0</v>
      </c>
      <c r="BH34" s="102"/>
      <c r="BI34" s="1">
        <v>5</v>
      </c>
      <c r="BJ34" s="104">
        <f t="shared" ref="BJ34:BJ41" si="210">BH34/BI34</f>
        <v>0</v>
      </c>
      <c r="BK34" s="102"/>
      <c r="BL34" s="1">
        <v>5</v>
      </c>
      <c r="BM34" s="104">
        <f t="shared" ref="BM34:BM41" si="211">BK34/BL34</f>
        <v>0</v>
      </c>
      <c r="BN34" s="102"/>
      <c r="BO34" s="1">
        <v>5</v>
      </c>
      <c r="BP34" s="104">
        <f t="shared" ref="BP34:BP41" si="212">BN34/BO34</f>
        <v>0</v>
      </c>
      <c r="BQ34" s="102"/>
      <c r="BR34" s="1">
        <v>5</v>
      </c>
      <c r="BS34" s="104">
        <f t="shared" ref="BS34:BS41" si="213">BQ34/BR34</f>
        <v>0</v>
      </c>
      <c r="BT34" s="102"/>
      <c r="BU34" s="1">
        <v>5</v>
      </c>
      <c r="BV34" s="104">
        <f t="shared" ref="BV34:BV41" si="214">BT34/BU34</f>
        <v>0</v>
      </c>
      <c r="BW34" s="102"/>
      <c r="BX34" s="1">
        <v>5</v>
      </c>
      <c r="BY34" s="104">
        <f t="shared" ref="BY34:BY41" si="215">BW34/BX34</f>
        <v>0</v>
      </c>
      <c r="BZ34" s="102"/>
      <c r="CA34" s="1">
        <v>5</v>
      </c>
      <c r="CB34" s="104">
        <f t="shared" ref="CB34:CB41" si="216">BZ34/CA34</f>
        <v>0</v>
      </c>
      <c r="CC34" s="102"/>
      <c r="CD34" s="1">
        <v>5</v>
      </c>
      <c r="CE34" s="104">
        <f t="shared" ref="CE34:CE41" si="217">CC34/CD34</f>
        <v>0</v>
      </c>
      <c r="CF34" s="102"/>
      <c r="CG34" s="1">
        <v>5</v>
      </c>
      <c r="CH34" s="104">
        <f t="shared" ref="CH34:CH41" si="218">CF34/CG34</f>
        <v>0</v>
      </c>
      <c r="CI34" s="102"/>
      <c r="CJ34" s="1">
        <v>5</v>
      </c>
      <c r="CK34" s="104">
        <f t="shared" ref="CK34:CK41" si="219">CI34/CJ34</f>
        <v>0</v>
      </c>
      <c r="CL34" s="102"/>
      <c r="CM34" s="1">
        <v>5</v>
      </c>
      <c r="CN34" s="104">
        <f t="shared" ref="CN34:CN41" si="220">CL34/CM34</f>
        <v>0</v>
      </c>
      <c r="CO34" s="102"/>
      <c r="CP34" s="1">
        <v>5</v>
      </c>
      <c r="CQ34" s="104">
        <f t="shared" ref="CQ34:CQ41" si="221">CO34/CP34</f>
        <v>0</v>
      </c>
      <c r="CR34" s="102"/>
      <c r="CS34" s="1">
        <v>5</v>
      </c>
      <c r="CT34" s="104">
        <f t="shared" ref="CT34:CT41" si="222">CR34/CS34</f>
        <v>0</v>
      </c>
      <c r="CU34" s="102"/>
      <c r="CV34" s="1">
        <v>5</v>
      </c>
      <c r="CW34" s="104">
        <f t="shared" ref="CW34:CW41" si="223">CU34/CV34</f>
        <v>0</v>
      </c>
      <c r="CX34" s="102"/>
      <c r="CY34" s="1">
        <v>5</v>
      </c>
      <c r="CZ34" s="104">
        <f t="shared" ref="CZ34:CZ41" si="224">CX34/CY34</f>
        <v>0</v>
      </c>
      <c r="DA34" s="102"/>
      <c r="DB34" s="1">
        <v>5</v>
      </c>
      <c r="DC34" s="104">
        <f t="shared" ref="DC34:DC41" si="225">DA34/DB34</f>
        <v>0</v>
      </c>
      <c r="DD34" s="102"/>
      <c r="DE34" s="1">
        <v>5</v>
      </c>
      <c r="DF34" s="104">
        <f t="shared" ref="DF34:DF41" si="226">DD34/DE34</f>
        <v>0</v>
      </c>
      <c r="DG34" s="102"/>
      <c r="DH34" s="1">
        <v>5</v>
      </c>
      <c r="DI34" s="104">
        <f t="shared" ref="DI34:DI41" si="227">DG34/DH34</f>
        <v>0</v>
      </c>
      <c r="DJ34" s="102"/>
      <c r="DK34" s="1">
        <v>5</v>
      </c>
      <c r="DL34" s="104">
        <f t="shared" ref="DL34:DL41" si="228">DJ34/DK34</f>
        <v>0</v>
      </c>
      <c r="DM34" s="102"/>
      <c r="DN34" s="1">
        <v>5</v>
      </c>
      <c r="DO34" s="104">
        <f t="shared" ref="DO34:DO41" si="229">DM34/DN34</f>
        <v>0</v>
      </c>
      <c r="DP34" s="102"/>
      <c r="DQ34" s="1">
        <v>5</v>
      </c>
      <c r="DR34" s="104">
        <f t="shared" ref="DR34:DR41" si="230">DP34/DQ34</f>
        <v>0</v>
      </c>
      <c r="DS34" s="102"/>
      <c r="DT34" s="1">
        <v>5</v>
      </c>
      <c r="DU34" s="104">
        <f t="shared" ref="DU34:DU41" si="231">DS34/DT34</f>
        <v>0</v>
      </c>
      <c r="DV34" s="102"/>
      <c r="DW34" s="1">
        <v>5</v>
      </c>
      <c r="DX34" s="104">
        <f t="shared" ref="DX34:DX41" si="232">DV34/DW34</f>
        <v>0</v>
      </c>
      <c r="DY34" s="102"/>
      <c r="DZ34" s="1">
        <v>5</v>
      </c>
      <c r="EA34" s="104">
        <f t="shared" ref="EA34:EA41" si="233">DY34/DZ34</f>
        <v>0</v>
      </c>
      <c r="EB34" s="102"/>
      <c r="EC34" s="1">
        <v>5</v>
      </c>
      <c r="ED34" s="104">
        <f t="shared" ref="ED34:ED41" si="234">EB34/EC34</f>
        <v>0</v>
      </c>
      <c r="EE34" s="102"/>
      <c r="EF34" s="1">
        <v>5</v>
      </c>
      <c r="EG34" s="104">
        <f t="shared" ref="EG34:EG41" si="235">EE34/EF34</f>
        <v>0</v>
      </c>
      <c r="EH34" s="102"/>
      <c r="EI34" s="1">
        <v>5</v>
      </c>
      <c r="EJ34" s="104">
        <f t="shared" ref="EJ34:EJ41" si="236">EH34/EI34</f>
        <v>0</v>
      </c>
      <c r="EK34" s="102"/>
      <c r="EL34" s="1">
        <v>5</v>
      </c>
      <c r="EM34" s="104">
        <f t="shared" ref="EM34:EM41" si="237">EK34/EL34</f>
        <v>0</v>
      </c>
      <c r="EN34" s="102"/>
      <c r="EO34" s="1">
        <v>5</v>
      </c>
      <c r="EP34" s="104">
        <f t="shared" ref="EP34:EP41" si="238">EN34/EO34</f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20.5" customHeight="1" spans="1:148" x14ac:dyDescent="0.25">
      <c r="A35" s="195" t="s">
        <v>145</v>
      </c>
      <c r="B35" s="101"/>
      <c r="C35" s="102"/>
      <c r="D35" s="103">
        <v>5</v>
      </c>
      <c r="E35" s="104">
        <f t="shared" si="191"/>
        <v>0</v>
      </c>
      <c r="F35" s="102"/>
      <c r="G35" s="103">
        <v>5</v>
      </c>
      <c r="H35" s="104">
        <f t="shared" si="192"/>
        <v>0</v>
      </c>
      <c r="I35" s="105"/>
      <c r="J35" s="103">
        <v>5</v>
      </c>
      <c r="K35" s="104">
        <f t="shared" si="193"/>
        <v>0</v>
      </c>
      <c r="L35" s="105"/>
      <c r="M35" s="103">
        <v>5</v>
      </c>
      <c r="N35" s="104">
        <f t="shared" si="194"/>
        <v>0</v>
      </c>
      <c r="O35" s="106"/>
      <c r="P35" s="107">
        <v>5</v>
      </c>
      <c r="Q35" s="104">
        <f t="shared" si="195"/>
        <v>0</v>
      </c>
      <c r="R35" s="102"/>
      <c r="S35" s="107">
        <v>5</v>
      </c>
      <c r="T35" s="104">
        <f t="shared" si="196"/>
        <v>0</v>
      </c>
      <c r="U35" s="102"/>
      <c r="V35" s="107">
        <v>5</v>
      </c>
      <c r="W35" s="104">
        <f t="shared" si="197"/>
        <v>0</v>
      </c>
      <c r="X35" s="102"/>
      <c r="Y35" s="107">
        <v>5</v>
      </c>
      <c r="Z35" s="104">
        <f t="shared" si="198"/>
        <v>0</v>
      </c>
      <c r="AA35" s="106"/>
      <c r="AB35" s="107">
        <v>5</v>
      </c>
      <c r="AC35" s="104">
        <f t="shared" si="199"/>
        <v>0</v>
      </c>
      <c r="AD35" s="106"/>
      <c r="AE35" s="107">
        <v>5</v>
      </c>
      <c r="AF35" s="104">
        <f t="shared" si="200"/>
        <v>0</v>
      </c>
      <c r="AG35" s="106"/>
      <c r="AH35" s="107">
        <v>5</v>
      </c>
      <c r="AI35" s="104">
        <f t="shared" si="201"/>
        <v>0</v>
      </c>
      <c r="AJ35" s="106"/>
      <c r="AK35" s="107">
        <v>5</v>
      </c>
      <c r="AL35" s="104">
        <f t="shared" si="202"/>
        <v>0</v>
      </c>
      <c r="AM35" s="102"/>
      <c r="AN35" s="1">
        <v>5</v>
      </c>
      <c r="AO35" s="104">
        <f t="shared" si="203"/>
        <v>0</v>
      </c>
      <c r="AP35" s="102"/>
      <c r="AQ35" s="1">
        <v>5</v>
      </c>
      <c r="AR35" s="104">
        <f t="shared" si="204"/>
        <v>0</v>
      </c>
      <c r="AS35" s="102"/>
      <c r="AT35" s="1">
        <v>5</v>
      </c>
      <c r="AU35" s="104">
        <f t="shared" si="205"/>
        <v>0</v>
      </c>
      <c r="AV35" s="102"/>
      <c r="AW35" s="1">
        <v>5</v>
      </c>
      <c r="AX35" s="104">
        <f t="shared" si="206"/>
        <v>0</v>
      </c>
      <c r="AY35" s="102"/>
      <c r="AZ35" s="1">
        <v>5</v>
      </c>
      <c r="BA35" s="104">
        <f t="shared" si="207"/>
        <v>0</v>
      </c>
      <c r="BB35" s="102"/>
      <c r="BC35" s="1">
        <v>5</v>
      </c>
      <c r="BD35" s="104">
        <f t="shared" si="208"/>
        <v>0</v>
      </c>
      <c r="BE35" s="102"/>
      <c r="BF35" s="1">
        <v>5</v>
      </c>
      <c r="BG35" s="104">
        <f t="shared" si="209"/>
        <v>0</v>
      </c>
      <c r="BH35" s="102"/>
      <c r="BI35" s="1">
        <v>5</v>
      </c>
      <c r="BJ35" s="104">
        <f t="shared" si="210"/>
        <v>0</v>
      </c>
      <c r="BK35" s="102"/>
      <c r="BL35" s="1">
        <v>5</v>
      </c>
      <c r="BM35" s="104">
        <f t="shared" si="211"/>
        <v>0</v>
      </c>
      <c r="BN35" s="102"/>
      <c r="BO35" s="1">
        <v>5</v>
      </c>
      <c r="BP35" s="104">
        <f t="shared" si="212"/>
        <v>0</v>
      </c>
      <c r="BQ35" s="102"/>
      <c r="BR35" s="1">
        <v>5</v>
      </c>
      <c r="BS35" s="104">
        <f t="shared" si="213"/>
        <v>0</v>
      </c>
      <c r="BT35" s="102"/>
      <c r="BU35" s="1">
        <v>5</v>
      </c>
      <c r="BV35" s="104">
        <f t="shared" si="214"/>
        <v>0</v>
      </c>
      <c r="BW35" s="102"/>
      <c r="BX35" s="1">
        <v>5</v>
      </c>
      <c r="BY35" s="104">
        <f t="shared" si="215"/>
        <v>0</v>
      </c>
      <c r="BZ35" s="102"/>
      <c r="CA35" s="1">
        <v>5</v>
      </c>
      <c r="CB35" s="104">
        <f t="shared" si="216"/>
        <v>0</v>
      </c>
      <c r="CC35" s="102"/>
      <c r="CD35" s="1">
        <v>5</v>
      </c>
      <c r="CE35" s="104">
        <f t="shared" si="217"/>
        <v>0</v>
      </c>
      <c r="CF35" s="102"/>
      <c r="CG35" s="1">
        <v>5</v>
      </c>
      <c r="CH35" s="104">
        <f t="shared" si="218"/>
        <v>0</v>
      </c>
      <c r="CI35" s="102"/>
      <c r="CJ35" s="1">
        <v>5</v>
      </c>
      <c r="CK35" s="104">
        <f t="shared" si="219"/>
        <v>0</v>
      </c>
      <c r="CL35" s="102"/>
      <c r="CM35" s="1">
        <v>5</v>
      </c>
      <c r="CN35" s="104">
        <f t="shared" si="220"/>
        <v>0</v>
      </c>
      <c r="CO35" s="102"/>
      <c r="CP35" s="1">
        <v>5</v>
      </c>
      <c r="CQ35" s="104">
        <f t="shared" si="221"/>
        <v>0</v>
      </c>
      <c r="CR35" s="102"/>
      <c r="CS35" s="1">
        <v>5</v>
      </c>
      <c r="CT35" s="104">
        <f t="shared" si="222"/>
        <v>0</v>
      </c>
      <c r="CU35" s="102"/>
      <c r="CV35" s="1">
        <v>5</v>
      </c>
      <c r="CW35" s="104">
        <f t="shared" si="223"/>
        <v>0</v>
      </c>
      <c r="CX35" s="102"/>
      <c r="CY35" s="1">
        <v>5</v>
      </c>
      <c r="CZ35" s="104">
        <f t="shared" si="224"/>
        <v>0</v>
      </c>
      <c r="DA35" s="102"/>
      <c r="DB35" s="1">
        <v>5</v>
      </c>
      <c r="DC35" s="104">
        <f t="shared" si="225"/>
        <v>0</v>
      </c>
      <c r="DD35" s="102"/>
      <c r="DE35" s="1">
        <v>5</v>
      </c>
      <c r="DF35" s="104">
        <f t="shared" si="226"/>
        <v>0</v>
      </c>
      <c r="DG35" s="102"/>
      <c r="DH35" s="1">
        <v>5</v>
      </c>
      <c r="DI35" s="104">
        <f t="shared" si="227"/>
        <v>0</v>
      </c>
      <c r="DJ35" s="102"/>
      <c r="DK35" s="1">
        <v>5</v>
      </c>
      <c r="DL35" s="104">
        <f t="shared" si="228"/>
        <v>0</v>
      </c>
      <c r="DM35" s="102"/>
      <c r="DN35" s="1">
        <v>5</v>
      </c>
      <c r="DO35" s="104">
        <f t="shared" si="229"/>
        <v>0</v>
      </c>
      <c r="DP35" s="102"/>
      <c r="DQ35" s="1">
        <v>5</v>
      </c>
      <c r="DR35" s="104">
        <f t="shared" si="230"/>
        <v>0</v>
      </c>
      <c r="DS35" s="102"/>
      <c r="DT35" s="1">
        <v>5</v>
      </c>
      <c r="DU35" s="104">
        <f t="shared" si="231"/>
        <v>0</v>
      </c>
      <c r="DV35" s="102"/>
      <c r="DW35" s="1">
        <v>5</v>
      </c>
      <c r="DX35" s="104">
        <f t="shared" si="232"/>
        <v>0</v>
      </c>
      <c r="DY35" s="102"/>
      <c r="DZ35" s="1">
        <v>5</v>
      </c>
      <c r="EA35" s="104">
        <f t="shared" si="233"/>
        <v>0</v>
      </c>
      <c r="EB35" s="102"/>
      <c r="EC35" s="1">
        <v>5</v>
      </c>
      <c r="ED35" s="104">
        <f t="shared" si="234"/>
        <v>0</v>
      </c>
      <c r="EE35" s="102"/>
      <c r="EF35" s="1">
        <v>5</v>
      </c>
      <c r="EG35" s="104">
        <f t="shared" si="235"/>
        <v>0</v>
      </c>
      <c r="EH35" s="102"/>
      <c r="EI35" s="1">
        <v>5</v>
      </c>
      <c r="EJ35" s="104">
        <f t="shared" si="236"/>
        <v>0</v>
      </c>
      <c r="EK35" s="102"/>
      <c r="EL35" s="1">
        <v>5</v>
      </c>
      <c r="EM35" s="104">
        <f t="shared" si="237"/>
        <v>0</v>
      </c>
      <c r="EN35" s="102"/>
      <c r="EO35" s="1">
        <v>5</v>
      </c>
      <c r="EP35" s="104">
        <f t="shared" si="238"/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16" customHeight="1" spans="1:148" x14ac:dyDescent="0.25">
      <c r="A36" s="195" t="s">
        <v>146</v>
      </c>
      <c r="B36" s="101"/>
      <c r="C36" s="102"/>
      <c r="D36" s="103">
        <v>5</v>
      </c>
      <c r="E36" s="104">
        <f t="shared" si="191"/>
        <v>0</v>
      </c>
      <c r="F36" s="102"/>
      <c r="G36" s="103">
        <v>5</v>
      </c>
      <c r="H36" s="104">
        <f t="shared" si="192"/>
        <v>0</v>
      </c>
      <c r="I36" s="105"/>
      <c r="J36" s="103">
        <v>5</v>
      </c>
      <c r="K36" s="104">
        <f t="shared" si="193"/>
        <v>0</v>
      </c>
      <c r="L36" s="105"/>
      <c r="M36" s="103">
        <v>5</v>
      </c>
      <c r="N36" s="104">
        <f t="shared" si="194"/>
        <v>0</v>
      </c>
      <c r="O36" s="106"/>
      <c r="P36" s="107">
        <v>5</v>
      </c>
      <c r="Q36" s="104">
        <f t="shared" si="195"/>
        <v>0</v>
      </c>
      <c r="R36" s="102"/>
      <c r="S36" s="107">
        <v>5</v>
      </c>
      <c r="T36" s="104">
        <f t="shared" si="196"/>
        <v>0</v>
      </c>
      <c r="U36" s="102"/>
      <c r="V36" s="107">
        <v>5</v>
      </c>
      <c r="W36" s="104">
        <f t="shared" si="197"/>
        <v>0</v>
      </c>
      <c r="X36" s="102"/>
      <c r="Y36" s="107">
        <v>5</v>
      </c>
      <c r="Z36" s="104">
        <f t="shared" si="198"/>
        <v>0</v>
      </c>
      <c r="AA36" s="106"/>
      <c r="AB36" s="107">
        <v>5</v>
      </c>
      <c r="AC36" s="104">
        <f t="shared" si="199"/>
        <v>0</v>
      </c>
      <c r="AD36" s="106"/>
      <c r="AE36" s="107">
        <v>5</v>
      </c>
      <c r="AF36" s="104">
        <f t="shared" si="200"/>
        <v>0</v>
      </c>
      <c r="AG36" s="106"/>
      <c r="AH36" s="107">
        <v>5</v>
      </c>
      <c r="AI36" s="104">
        <f t="shared" si="201"/>
        <v>0</v>
      </c>
      <c r="AJ36" s="106"/>
      <c r="AK36" s="107">
        <v>5</v>
      </c>
      <c r="AL36" s="104">
        <f t="shared" si="202"/>
        <v>0</v>
      </c>
      <c r="AM36" s="102"/>
      <c r="AN36" s="1">
        <v>5</v>
      </c>
      <c r="AO36" s="104">
        <f t="shared" si="203"/>
        <v>0</v>
      </c>
      <c r="AP36" s="102"/>
      <c r="AQ36" s="1">
        <v>5</v>
      </c>
      <c r="AR36" s="104">
        <f t="shared" si="204"/>
        <v>0</v>
      </c>
      <c r="AS36" s="102"/>
      <c r="AT36" s="1">
        <v>5</v>
      </c>
      <c r="AU36" s="104">
        <f t="shared" si="205"/>
        <v>0</v>
      </c>
      <c r="AV36" s="102"/>
      <c r="AW36" s="1">
        <v>5</v>
      </c>
      <c r="AX36" s="104">
        <f t="shared" si="206"/>
        <v>0</v>
      </c>
      <c r="AY36" s="102"/>
      <c r="AZ36" s="1">
        <v>5</v>
      </c>
      <c r="BA36" s="104">
        <f t="shared" si="207"/>
        <v>0</v>
      </c>
      <c r="BB36" s="102"/>
      <c r="BC36" s="1">
        <v>5</v>
      </c>
      <c r="BD36" s="104">
        <f t="shared" si="208"/>
        <v>0</v>
      </c>
      <c r="BE36" s="102"/>
      <c r="BF36" s="1">
        <v>5</v>
      </c>
      <c r="BG36" s="104">
        <f t="shared" si="209"/>
        <v>0</v>
      </c>
      <c r="BH36" s="102"/>
      <c r="BI36" s="1">
        <v>5</v>
      </c>
      <c r="BJ36" s="104">
        <f t="shared" si="210"/>
        <v>0</v>
      </c>
      <c r="BK36" s="102"/>
      <c r="BL36" s="1">
        <v>5</v>
      </c>
      <c r="BM36" s="104">
        <f t="shared" si="211"/>
        <v>0</v>
      </c>
      <c r="BN36" s="102"/>
      <c r="BO36" s="1">
        <v>5</v>
      </c>
      <c r="BP36" s="104">
        <f t="shared" si="212"/>
        <v>0</v>
      </c>
      <c r="BQ36" s="102"/>
      <c r="BR36" s="1">
        <v>5</v>
      </c>
      <c r="BS36" s="104">
        <f t="shared" si="213"/>
        <v>0</v>
      </c>
      <c r="BT36" s="102"/>
      <c r="BU36" s="1">
        <v>5</v>
      </c>
      <c r="BV36" s="104">
        <f t="shared" si="214"/>
        <v>0</v>
      </c>
      <c r="BW36" s="102"/>
      <c r="BX36" s="1">
        <v>5</v>
      </c>
      <c r="BY36" s="104">
        <f t="shared" si="215"/>
        <v>0</v>
      </c>
      <c r="BZ36" s="102"/>
      <c r="CA36" s="1">
        <v>5</v>
      </c>
      <c r="CB36" s="104">
        <f t="shared" si="216"/>
        <v>0</v>
      </c>
      <c r="CC36" s="102"/>
      <c r="CD36" s="1">
        <v>5</v>
      </c>
      <c r="CE36" s="104">
        <f t="shared" si="217"/>
        <v>0</v>
      </c>
      <c r="CF36" s="102"/>
      <c r="CG36" s="1">
        <v>5</v>
      </c>
      <c r="CH36" s="104">
        <f t="shared" si="218"/>
        <v>0</v>
      </c>
      <c r="CI36" s="102"/>
      <c r="CJ36" s="1">
        <v>5</v>
      </c>
      <c r="CK36" s="104">
        <f t="shared" si="219"/>
        <v>0</v>
      </c>
      <c r="CL36" s="102"/>
      <c r="CM36" s="1">
        <v>5</v>
      </c>
      <c r="CN36" s="104">
        <f t="shared" si="220"/>
        <v>0</v>
      </c>
      <c r="CO36" s="102"/>
      <c r="CP36" s="1">
        <v>5</v>
      </c>
      <c r="CQ36" s="104">
        <f t="shared" si="221"/>
        <v>0</v>
      </c>
      <c r="CR36" s="102"/>
      <c r="CS36" s="1">
        <v>5</v>
      </c>
      <c r="CT36" s="104">
        <f t="shared" si="222"/>
        <v>0</v>
      </c>
      <c r="CU36" s="102"/>
      <c r="CV36" s="1">
        <v>5</v>
      </c>
      <c r="CW36" s="104">
        <f t="shared" si="223"/>
        <v>0</v>
      </c>
      <c r="CX36" s="102"/>
      <c r="CY36" s="1">
        <v>5</v>
      </c>
      <c r="CZ36" s="104">
        <f t="shared" si="224"/>
        <v>0</v>
      </c>
      <c r="DA36" s="102"/>
      <c r="DB36" s="1">
        <v>5</v>
      </c>
      <c r="DC36" s="104">
        <f t="shared" si="225"/>
        <v>0</v>
      </c>
      <c r="DD36" s="102"/>
      <c r="DE36" s="1">
        <v>5</v>
      </c>
      <c r="DF36" s="104">
        <f t="shared" si="226"/>
        <v>0</v>
      </c>
      <c r="DG36" s="102"/>
      <c r="DH36" s="1">
        <v>5</v>
      </c>
      <c r="DI36" s="104">
        <f t="shared" si="227"/>
        <v>0</v>
      </c>
      <c r="DJ36" s="102"/>
      <c r="DK36" s="1">
        <v>5</v>
      </c>
      <c r="DL36" s="104">
        <f t="shared" si="228"/>
        <v>0</v>
      </c>
      <c r="DM36" s="102"/>
      <c r="DN36" s="1">
        <v>5</v>
      </c>
      <c r="DO36" s="104">
        <f t="shared" si="229"/>
        <v>0</v>
      </c>
      <c r="DP36" s="102"/>
      <c r="DQ36" s="1">
        <v>5</v>
      </c>
      <c r="DR36" s="104">
        <f t="shared" si="230"/>
        <v>0</v>
      </c>
      <c r="DS36" s="102"/>
      <c r="DT36" s="1">
        <v>5</v>
      </c>
      <c r="DU36" s="104">
        <f t="shared" si="231"/>
        <v>0</v>
      </c>
      <c r="DV36" s="102"/>
      <c r="DW36" s="1">
        <v>5</v>
      </c>
      <c r="DX36" s="104">
        <f t="shared" si="232"/>
        <v>0</v>
      </c>
      <c r="DY36" s="102"/>
      <c r="DZ36" s="1">
        <v>5</v>
      </c>
      <c r="EA36" s="104">
        <f t="shared" si="233"/>
        <v>0</v>
      </c>
      <c r="EB36" s="102"/>
      <c r="EC36" s="1">
        <v>5</v>
      </c>
      <c r="ED36" s="104">
        <f t="shared" si="234"/>
        <v>0</v>
      </c>
      <c r="EE36" s="102"/>
      <c r="EF36" s="1">
        <v>5</v>
      </c>
      <c r="EG36" s="104">
        <f t="shared" si="235"/>
        <v>0</v>
      </c>
      <c r="EH36" s="102"/>
      <c r="EI36" s="1">
        <v>5</v>
      </c>
      <c r="EJ36" s="104">
        <f t="shared" si="236"/>
        <v>0</v>
      </c>
      <c r="EK36" s="102"/>
      <c r="EL36" s="1">
        <v>5</v>
      </c>
      <c r="EM36" s="104">
        <f t="shared" si="237"/>
        <v>0</v>
      </c>
      <c r="EN36" s="102"/>
      <c r="EO36" s="1">
        <v>5</v>
      </c>
      <c r="EP36" s="104">
        <f t="shared" si="238"/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16" customHeight="1" spans="1:148" x14ac:dyDescent="0.25">
      <c r="A37" s="195" t="s">
        <v>107</v>
      </c>
      <c r="B37" s="101"/>
      <c r="C37" s="102"/>
      <c r="D37" s="103">
        <v>5</v>
      </c>
      <c r="E37" s="104">
        <f t="shared" si="191"/>
        <v>0</v>
      </c>
      <c r="F37" s="102"/>
      <c r="G37" s="103">
        <v>5</v>
      </c>
      <c r="H37" s="104">
        <f t="shared" si="192"/>
        <v>0</v>
      </c>
      <c r="I37" s="105"/>
      <c r="J37" s="103">
        <v>5</v>
      </c>
      <c r="K37" s="104">
        <f t="shared" si="193"/>
        <v>0</v>
      </c>
      <c r="L37" s="105"/>
      <c r="M37" s="103">
        <v>5</v>
      </c>
      <c r="N37" s="104">
        <f t="shared" si="194"/>
        <v>0</v>
      </c>
      <c r="O37" s="106"/>
      <c r="P37" s="107">
        <v>5</v>
      </c>
      <c r="Q37" s="104">
        <f t="shared" si="195"/>
        <v>0</v>
      </c>
      <c r="R37" s="102"/>
      <c r="S37" s="107">
        <v>5</v>
      </c>
      <c r="T37" s="104">
        <f t="shared" si="196"/>
        <v>0</v>
      </c>
      <c r="U37" s="102"/>
      <c r="V37" s="107">
        <v>5</v>
      </c>
      <c r="W37" s="104">
        <f t="shared" si="197"/>
        <v>0</v>
      </c>
      <c r="X37" s="102"/>
      <c r="Y37" s="107">
        <v>5</v>
      </c>
      <c r="Z37" s="104">
        <f t="shared" si="198"/>
        <v>0</v>
      </c>
      <c r="AA37" s="106"/>
      <c r="AB37" s="107">
        <v>5</v>
      </c>
      <c r="AC37" s="104">
        <f t="shared" si="199"/>
        <v>0</v>
      </c>
      <c r="AD37" s="106"/>
      <c r="AE37" s="107">
        <v>5</v>
      </c>
      <c r="AF37" s="104">
        <f t="shared" si="200"/>
        <v>0</v>
      </c>
      <c r="AG37" s="106"/>
      <c r="AH37" s="107">
        <v>5</v>
      </c>
      <c r="AI37" s="104">
        <f t="shared" si="201"/>
        <v>0</v>
      </c>
      <c r="AJ37" s="106"/>
      <c r="AK37" s="107">
        <v>5</v>
      </c>
      <c r="AL37" s="104">
        <f t="shared" si="202"/>
        <v>0</v>
      </c>
      <c r="AM37" s="102"/>
      <c r="AN37" s="1">
        <v>5</v>
      </c>
      <c r="AO37" s="104">
        <f t="shared" si="203"/>
        <v>0</v>
      </c>
      <c r="AP37" s="102"/>
      <c r="AQ37" s="1">
        <v>5</v>
      </c>
      <c r="AR37" s="104">
        <f t="shared" si="204"/>
        <v>0</v>
      </c>
      <c r="AS37" s="102"/>
      <c r="AT37" s="1">
        <v>5</v>
      </c>
      <c r="AU37" s="104">
        <f t="shared" si="205"/>
        <v>0</v>
      </c>
      <c r="AV37" s="102"/>
      <c r="AW37" s="1">
        <v>5</v>
      </c>
      <c r="AX37" s="104">
        <f t="shared" si="206"/>
        <v>0</v>
      </c>
      <c r="AY37" s="102"/>
      <c r="AZ37" s="1">
        <v>5</v>
      </c>
      <c r="BA37" s="104">
        <f t="shared" si="207"/>
        <v>0</v>
      </c>
      <c r="BB37" s="102"/>
      <c r="BC37" s="1">
        <v>5</v>
      </c>
      <c r="BD37" s="104">
        <f t="shared" si="208"/>
        <v>0</v>
      </c>
      <c r="BE37" s="102"/>
      <c r="BF37" s="1">
        <v>5</v>
      </c>
      <c r="BG37" s="104">
        <f t="shared" si="209"/>
        <v>0</v>
      </c>
      <c r="BH37" s="102"/>
      <c r="BI37" s="1">
        <v>5</v>
      </c>
      <c r="BJ37" s="104">
        <f t="shared" si="210"/>
        <v>0</v>
      </c>
      <c r="BK37" s="102"/>
      <c r="BL37" s="1">
        <v>5</v>
      </c>
      <c r="BM37" s="104">
        <f t="shared" si="211"/>
        <v>0</v>
      </c>
      <c r="BN37" s="102"/>
      <c r="BO37" s="1">
        <v>5</v>
      </c>
      <c r="BP37" s="104">
        <f t="shared" si="212"/>
        <v>0</v>
      </c>
      <c r="BQ37" s="102"/>
      <c r="BR37" s="1">
        <v>5</v>
      </c>
      <c r="BS37" s="104">
        <f t="shared" si="213"/>
        <v>0</v>
      </c>
      <c r="BT37" s="102"/>
      <c r="BU37" s="1">
        <v>5</v>
      </c>
      <c r="BV37" s="104">
        <f t="shared" si="214"/>
        <v>0</v>
      </c>
      <c r="BW37" s="102"/>
      <c r="BX37" s="1">
        <v>5</v>
      </c>
      <c r="BY37" s="104">
        <f t="shared" si="215"/>
        <v>0</v>
      </c>
      <c r="BZ37" s="102"/>
      <c r="CA37" s="1">
        <v>5</v>
      </c>
      <c r="CB37" s="104">
        <f t="shared" si="216"/>
        <v>0</v>
      </c>
      <c r="CC37" s="102"/>
      <c r="CD37" s="1">
        <v>5</v>
      </c>
      <c r="CE37" s="104">
        <f t="shared" si="217"/>
        <v>0</v>
      </c>
      <c r="CF37" s="102"/>
      <c r="CG37" s="1">
        <v>5</v>
      </c>
      <c r="CH37" s="104">
        <f t="shared" si="218"/>
        <v>0</v>
      </c>
      <c r="CI37" s="102"/>
      <c r="CJ37" s="1">
        <v>5</v>
      </c>
      <c r="CK37" s="104">
        <f t="shared" si="219"/>
        <v>0</v>
      </c>
      <c r="CL37" s="102"/>
      <c r="CM37" s="1">
        <v>5</v>
      </c>
      <c r="CN37" s="104">
        <f t="shared" si="220"/>
        <v>0</v>
      </c>
      <c r="CO37" s="102"/>
      <c r="CP37" s="1">
        <v>5</v>
      </c>
      <c r="CQ37" s="104">
        <f t="shared" si="221"/>
        <v>0</v>
      </c>
      <c r="CR37" s="102"/>
      <c r="CS37" s="1">
        <v>5</v>
      </c>
      <c r="CT37" s="104">
        <f t="shared" si="222"/>
        <v>0</v>
      </c>
      <c r="CU37" s="102"/>
      <c r="CV37" s="1">
        <v>5</v>
      </c>
      <c r="CW37" s="104">
        <f t="shared" si="223"/>
        <v>0</v>
      </c>
      <c r="CX37" s="102"/>
      <c r="CY37" s="1">
        <v>5</v>
      </c>
      <c r="CZ37" s="104">
        <f t="shared" si="224"/>
        <v>0</v>
      </c>
      <c r="DA37" s="102"/>
      <c r="DB37" s="1">
        <v>5</v>
      </c>
      <c r="DC37" s="104">
        <f t="shared" si="225"/>
        <v>0</v>
      </c>
      <c r="DD37" s="102"/>
      <c r="DE37" s="1">
        <v>5</v>
      </c>
      <c r="DF37" s="104">
        <f t="shared" si="226"/>
        <v>0</v>
      </c>
      <c r="DG37" s="102"/>
      <c r="DH37" s="1">
        <v>5</v>
      </c>
      <c r="DI37" s="104">
        <f t="shared" si="227"/>
        <v>0</v>
      </c>
      <c r="DJ37" s="102"/>
      <c r="DK37" s="1">
        <v>5</v>
      </c>
      <c r="DL37" s="104">
        <f t="shared" si="228"/>
        <v>0</v>
      </c>
      <c r="DM37" s="102"/>
      <c r="DN37" s="1">
        <v>5</v>
      </c>
      <c r="DO37" s="104">
        <f t="shared" si="229"/>
        <v>0</v>
      </c>
      <c r="DP37" s="102"/>
      <c r="DQ37" s="1">
        <v>5</v>
      </c>
      <c r="DR37" s="104">
        <f t="shared" si="230"/>
        <v>0</v>
      </c>
      <c r="DS37" s="102"/>
      <c r="DT37" s="1">
        <v>5</v>
      </c>
      <c r="DU37" s="104">
        <f t="shared" si="231"/>
        <v>0</v>
      </c>
      <c r="DV37" s="102"/>
      <c r="DW37" s="1">
        <v>5</v>
      </c>
      <c r="DX37" s="104">
        <f t="shared" si="232"/>
        <v>0</v>
      </c>
      <c r="DY37" s="102"/>
      <c r="DZ37" s="1">
        <v>5</v>
      </c>
      <c r="EA37" s="104">
        <f t="shared" si="233"/>
        <v>0</v>
      </c>
      <c r="EB37" s="102"/>
      <c r="EC37" s="1">
        <v>5</v>
      </c>
      <c r="ED37" s="104">
        <f t="shared" si="234"/>
        <v>0</v>
      </c>
      <c r="EE37" s="102"/>
      <c r="EF37" s="1">
        <v>5</v>
      </c>
      <c r="EG37" s="104">
        <f t="shared" si="235"/>
        <v>0</v>
      </c>
      <c r="EH37" s="102"/>
      <c r="EI37" s="1">
        <v>5</v>
      </c>
      <c r="EJ37" s="104">
        <f t="shared" si="236"/>
        <v>0</v>
      </c>
      <c r="EK37" s="102"/>
      <c r="EL37" s="1">
        <v>5</v>
      </c>
      <c r="EM37" s="104">
        <f t="shared" si="237"/>
        <v>0</v>
      </c>
      <c r="EN37" s="102"/>
      <c r="EO37" s="1">
        <v>5</v>
      </c>
      <c r="EP37" s="104">
        <f t="shared" si="238"/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20.5" customHeight="1" spans="1:148" x14ac:dyDescent="0.25">
      <c r="A38" s="195" t="s">
        <v>147</v>
      </c>
      <c r="B38" s="101"/>
      <c r="C38" s="102"/>
      <c r="D38" s="103">
        <v>5</v>
      </c>
      <c r="E38" s="104">
        <f t="shared" si="191"/>
        <v>0</v>
      </c>
      <c r="F38" s="102"/>
      <c r="G38" s="103">
        <v>5</v>
      </c>
      <c r="H38" s="104">
        <f t="shared" si="192"/>
        <v>0</v>
      </c>
      <c r="I38" s="105"/>
      <c r="J38" s="103">
        <v>5</v>
      </c>
      <c r="K38" s="104">
        <f t="shared" si="193"/>
        <v>0</v>
      </c>
      <c r="L38" s="105"/>
      <c r="M38" s="103">
        <v>5</v>
      </c>
      <c r="N38" s="104">
        <f t="shared" si="194"/>
        <v>0</v>
      </c>
      <c r="O38" s="106"/>
      <c r="P38" s="107">
        <v>5</v>
      </c>
      <c r="Q38" s="104">
        <f t="shared" si="195"/>
        <v>0</v>
      </c>
      <c r="R38" s="102"/>
      <c r="S38" s="107">
        <v>5</v>
      </c>
      <c r="T38" s="104">
        <f t="shared" si="196"/>
        <v>0</v>
      </c>
      <c r="U38" s="102"/>
      <c r="V38" s="107">
        <v>5</v>
      </c>
      <c r="W38" s="104">
        <f t="shared" si="197"/>
        <v>0</v>
      </c>
      <c r="X38" s="102"/>
      <c r="Y38" s="107">
        <v>5</v>
      </c>
      <c r="Z38" s="104">
        <f t="shared" si="198"/>
        <v>0</v>
      </c>
      <c r="AA38" s="106"/>
      <c r="AB38" s="107">
        <v>5</v>
      </c>
      <c r="AC38" s="104">
        <f t="shared" si="199"/>
        <v>0</v>
      </c>
      <c r="AD38" s="106"/>
      <c r="AE38" s="107">
        <v>5</v>
      </c>
      <c r="AF38" s="104">
        <f t="shared" si="200"/>
        <v>0</v>
      </c>
      <c r="AG38" s="106"/>
      <c r="AH38" s="107">
        <v>5</v>
      </c>
      <c r="AI38" s="104">
        <f t="shared" si="201"/>
        <v>0</v>
      </c>
      <c r="AJ38" s="106"/>
      <c r="AK38" s="107">
        <v>5</v>
      </c>
      <c r="AL38" s="104">
        <f t="shared" si="202"/>
        <v>0</v>
      </c>
      <c r="AM38" s="102"/>
      <c r="AN38" s="1">
        <v>5</v>
      </c>
      <c r="AO38" s="104">
        <f t="shared" si="203"/>
        <v>0</v>
      </c>
      <c r="AP38" s="102"/>
      <c r="AQ38" s="1">
        <v>5</v>
      </c>
      <c r="AR38" s="104">
        <f t="shared" si="204"/>
        <v>0</v>
      </c>
      <c r="AS38" s="102"/>
      <c r="AT38" s="1">
        <v>5</v>
      </c>
      <c r="AU38" s="104">
        <f t="shared" si="205"/>
        <v>0</v>
      </c>
      <c r="AV38" s="102"/>
      <c r="AW38" s="1">
        <v>5</v>
      </c>
      <c r="AX38" s="104">
        <f t="shared" si="206"/>
        <v>0</v>
      </c>
      <c r="AY38" s="102"/>
      <c r="AZ38" s="1">
        <v>5</v>
      </c>
      <c r="BA38" s="104">
        <f t="shared" si="207"/>
        <v>0</v>
      </c>
      <c r="BB38" s="102"/>
      <c r="BC38" s="1">
        <v>5</v>
      </c>
      <c r="BD38" s="104">
        <f t="shared" si="208"/>
        <v>0</v>
      </c>
      <c r="BE38" s="102"/>
      <c r="BF38" s="1">
        <v>5</v>
      </c>
      <c r="BG38" s="104">
        <f t="shared" si="209"/>
        <v>0</v>
      </c>
      <c r="BH38" s="102"/>
      <c r="BI38" s="1">
        <v>5</v>
      </c>
      <c r="BJ38" s="104">
        <f t="shared" si="210"/>
        <v>0</v>
      </c>
      <c r="BK38" s="102"/>
      <c r="BL38" s="1">
        <v>5</v>
      </c>
      <c r="BM38" s="104">
        <f t="shared" si="211"/>
        <v>0</v>
      </c>
      <c r="BN38" s="102"/>
      <c r="BO38" s="1">
        <v>5</v>
      </c>
      <c r="BP38" s="104">
        <f t="shared" si="212"/>
        <v>0</v>
      </c>
      <c r="BQ38" s="102"/>
      <c r="BR38" s="1">
        <v>5</v>
      </c>
      <c r="BS38" s="104">
        <f t="shared" si="213"/>
        <v>0</v>
      </c>
      <c r="BT38" s="102"/>
      <c r="BU38" s="1">
        <v>5</v>
      </c>
      <c r="BV38" s="104">
        <f t="shared" si="214"/>
        <v>0</v>
      </c>
      <c r="BW38" s="102"/>
      <c r="BX38" s="1">
        <v>5</v>
      </c>
      <c r="BY38" s="104">
        <f t="shared" si="215"/>
        <v>0</v>
      </c>
      <c r="BZ38" s="102"/>
      <c r="CA38" s="1">
        <v>5</v>
      </c>
      <c r="CB38" s="104">
        <f t="shared" si="216"/>
        <v>0</v>
      </c>
      <c r="CC38" s="102"/>
      <c r="CD38" s="1">
        <v>5</v>
      </c>
      <c r="CE38" s="104">
        <f t="shared" si="217"/>
        <v>0</v>
      </c>
      <c r="CF38" s="102"/>
      <c r="CG38" s="1">
        <v>5</v>
      </c>
      <c r="CH38" s="104">
        <f t="shared" si="218"/>
        <v>0</v>
      </c>
      <c r="CI38" s="102"/>
      <c r="CJ38" s="1">
        <v>5</v>
      </c>
      <c r="CK38" s="104">
        <f t="shared" si="219"/>
        <v>0</v>
      </c>
      <c r="CL38" s="102"/>
      <c r="CM38" s="1">
        <v>5</v>
      </c>
      <c r="CN38" s="104">
        <f t="shared" si="220"/>
        <v>0</v>
      </c>
      <c r="CO38" s="102"/>
      <c r="CP38" s="1">
        <v>5</v>
      </c>
      <c r="CQ38" s="104">
        <f t="shared" si="221"/>
        <v>0</v>
      </c>
      <c r="CR38" s="102"/>
      <c r="CS38" s="1">
        <v>5</v>
      </c>
      <c r="CT38" s="104">
        <f t="shared" si="222"/>
        <v>0</v>
      </c>
      <c r="CU38" s="102"/>
      <c r="CV38" s="1">
        <v>5</v>
      </c>
      <c r="CW38" s="104">
        <f t="shared" si="223"/>
        <v>0</v>
      </c>
      <c r="CX38" s="102"/>
      <c r="CY38" s="1">
        <v>5</v>
      </c>
      <c r="CZ38" s="104">
        <f t="shared" si="224"/>
        <v>0</v>
      </c>
      <c r="DA38" s="102"/>
      <c r="DB38" s="1">
        <v>5</v>
      </c>
      <c r="DC38" s="104">
        <f t="shared" si="225"/>
        <v>0</v>
      </c>
      <c r="DD38" s="102"/>
      <c r="DE38" s="1">
        <v>5</v>
      </c>
      <c r="DF38" s="104">
        <f t="shared" si="226"/>
        <v>0</v>
      </c>
      <c r="DG38" s="102"/>
      <c r="DH38" s="1">
        <v>5</v>
      </c>
      <c r="DI38" s="104">
        <f t="shared" si="227"/>
        <v>0</v>
      </c>
      <c r="DJ38" s="102"/>
      <c r="DK38" s="1">
        <v>5</v>
      </c>
      <c r="DL38" s="104">
        <f t="shared" si="228"/>
        <v>0</v>
      </c>
      <c r="DM38" s="102"/>
      <c r="DN38" s="1">
        <v>5</v>
      </c>
      <c r="DO38" s="104">
        <f t="shared" si="229"/>
        <v>0</v>
      </c>
      <c r="DP38" s="102"/>
      <c r="DQ38" s="1">
        <v>5</v>
      </c>
      <c r="DR38" s="104">
        <f t="shared" si="230"/>
        <v>0</v>
      </c>
      <c r="DS38" s="102"/>
      <c r="DT38" s="1">
        <v>5</v>
      </c>
      <c r="DU38" s="104">
        <f t="shared" si="231"/>
        <v>0</v>
      </c>
      <c r="DV38" s="102"/>
      <c r="DW38" s="1">
        <v>5</v>
      </c>
      <c r="DX38" s="104">
        <f t="shared" si="232"/>
        <v>0</v>
      </c>
      <c r="DY38" s="102"/>
      <c r="DZ38" s="1">
        <v>5</v>
      </c>
      <c r="EA38" s="104">
        <f t="shared" si="233"/>
        <v>0</v>
      </c>
      <c r="EB38" s="102"/>
      <c r="EC38" s="1">
        <v>5</v>
      </c>
      <c r="ED38" s="104">
        <f t="shared" si="234"/>
        <v>0</v>
      </c>
      <c r="EE38" s="102"/>
      <c r="EF38" s="1">
        <v>5</v>
      </c>
      <c r="EG38" s="104">
        <f t="shared" si="235"/>
        <v>0</v>
      </c>
      <c r="EH38" s="102"/>
      <c r="EI38" s="1">
        <v>5</v>
      </c>
      <c r="EJ38" s="104">
        <f t="shared" si="236"/>
        <v>0</v>
      </c>
      <c r="EK38" s="102"/>
      <c r="EL38" s="1">
        <v>5</v>
      </c>
      <c r="EM38" s="104">
        <f t="shared" si="237"/>
        <v>0</v>
      </c>
      <c r="EN38" s="102"/>
      <c r="EO38" s="1">
        <v>5</v>
      </c>
      <c r="EP38" s="104">
        <f t="shared" si="238"/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16" customHeight="1" spans="1:148" x14ac:dyDescent="0.25">
      <c r="A39" s="195" t="s">
        <v>108</v>
      </c>
      <c r="B39" s="101"/>
      <c r="C39" s="102"/>
      <c r="D39" s="103">
        <v>5</v>
      </c>
      <c r="E39" s="104">
        <f t="shared" si="191"/>
        <v>0</v>
      </c>
      <c r="F39" s="102"/>
      <c r="G39" s="103">
        <v>5</v>
      </c>
      <c r="H39" s="104">
        <f t="shared" si="192"/>
        <v>0</v>
      </c>
      <c r="I39" s="105"/>
      <c r="J39" s="103">
        <v>5</v>
      </c>
      <c r="K39" s="104">
        <f t="shared" si="193"/>
        <v>0</v>
      </c>
      <c r="L39" s="105"/>
      <c r="M39" s="103">
        <v>5</v>
      </c>
      <c r="N39" s="104">
        <f t="shared" si="194"/>
        <v>0</v>
      </c>
      <c r="O39" s="106"/>
      <c r="P39" s="107">
        <v>5</v>
      </c>
      <c r="Q39" s="104">
        <f t="shared" si="195"/>
        <v>0</v>
      </c>
      <c r="R39" s="102"/>
      <c r="S39" s="107">
        <v>5</v>
      </c>
      <c r="T39" s="104">
        <f t="shared" si="196"/>
        <v>0</v>
      </c>
      <c r="U39" s="102"/>
      <c r="V39" s="107">
        <v>5</v>
      </c>
      <c r="W39" s="104">
        <f t="shared" si="197"/>
        <v>0</v>
      </c>
      <c r="X39" s="102"/>
      <c r="Y39" s="107">
        <v>5</v>
      </c>
      <c r="Z39" s="104">
        <f t="shared" si="198"/>
        <v>0</v>
      </c>
      <c r="AA39" s="106"/>
      <c r="AB39" s="107">
        <v>5</v>
      </c>
      <c r="AC39" s="104">
        <f t="shared" si="199"/>
        <v>0</v>
      </c>
      <c r="AD39" s="106"/>
      <c r="AE39" s="107">
        <v>5</v>
      </c>
      <c r="AF39" s="104">
        <f t="shared" si="200"/>
        <v>0</v>
      </c>
      <c r="AG39" s="106"/>
      <c r="AH39" s="107">
        <v>5</v>
      </c>
      <c r="AI39" s="104">
        <f t="shared" si="201"/>
        <v>0</v>
      </c>
      <c r="AJ39" s="106"/>
      <c r="AK39" s="107">
        <v>5</v>
      </c>
      <c r="AL39" s="104">
        <f t="shared" si="202"/>
        <v>0</v>
      </c>
      <c r="AM39" s="102"/>
      <c r="AN39" s="1">
        <v>5</v>
      </c>
      <c r="AO39" s="104">
        <f t="shared" si="203"/>
        <v>0</v>
      </c>
      <c r="AP39" s="102"/>
      <c r="AQ39" s="1">
        <v>5</v>
      </c>
      <c r="AR39" s="104">
        <f t="shared" si="204"/>
        <v>0</v>
      </c>
      <c r="AS39" s="102"/>
      <c r="AT39" s="1">
        <v>5</v>
      </c>
      <c r="AU39" s="104">
        <f t="shared" si="205"/>
        <v>0</v>
      </c>
      <c r="AV39" s="102"/>
      <c r="AW39" s="1">
        <v>5</v>
      </c>
      <c r="AX39" s="104">
        <f t="shared" si="206"/>
        <v>0</v>
      </c>
      <c r="AY39" s="102"/>
      <c r="AZ39" s="1">
        <v>5</v>
      </c>
      <c r="BA39" s="104">
        <f t="shared" si="207"/>
        <v>0</v>
      </c>
      <c r="BB39" s="102"/>
      <c r="BC39" s="1">
        <v>5</v>
      </c>
      <c r="BD39" s="104">
        <f t="shared" si="208"/>
        <v>0</v>
      </c>
      <c r="BE39" s="102"/>
      <c r="BF39" s="1">
        <v>5</v>
      </c>
      <c r="BG39" s="104">
        <f t="shared" si="209"/>
        <v>0</v>
      </c>
      <c r="BH39" s="102"/>
      <c r="BI39" s="1">
        <v>5</v>
      </c>
      <c r="BJ39" s="104">
        <f t="shared" si="210"/>
        <v>0</v>
      </c>
      <c r="BK39" s="102"/>
      <c r="BL39" s="1">
        <v>5</v>
      </c>
      <c r="BM39" s="104">
        <f t="shared" si="211"/>
        <v>0</v>
      </c>
      <c r="BN39" s="102"/>
      <c r="BO39" s="1">
        <v>5</v>
      </c>
      <c r="BP39" s="104">
        <f t="shared" si="212"/>
        <v>0</v>
      </c>
      <c r="BQ39" s="102"/>
      <c r="BR39" s="1">
        <v>5</v>
      </c>
      <c r="BS39" s="104">
        <f t="shared" si="213"/>
        <v>0</v>
      </c>
      <c r="BT39" s="102"/>
      <c r="BU39" s="1">
        <v>5</v>
      </c>
      <c r="BV39" s="104">
        <f t="shared" si="214"/>
        <v>0</v>
      </c>
      <c r="BW39" s="102"/>
      <c r="BX39" s="1">
        <v>5</v>
      </c>
      <c r="BY39" s="104">
        <f t="shared" si="215"/>
        <v>0</v>
      </c>
      <c r="BZ39" s="102"/>
      <c r="CA39" s="1">
        <v>5</v>
      </c>
      <c r="CB39" s="104">
        <f t="shared" si="216"/>
        <v>0</v>
      </c>
      <c r="CC39" s="102"/>
      <c r="CD39" s="1">
        <v>5</v>
      </c>
      <c r="CE39" s="104">
        <f t="shared" si="217"/>
        <v>0</v>
      </c>
      <c r="CF39" s="102"/>
      <c r="CG39" s="1">
        <v>5</v>
      </c>
      <c r="CH39" s="104">
        <f t="shared" si="218"/>
        <v>0</v>
      </c>
      <c r="CI39" s="102"/>
      <c r="CJ39" s="1">
        <v>5</v>
      </c>
      <c r="CK39" s="104">
        <f t="shared" si="219"/>
        <v>0</v>
      </c>
      <c r="CL39" s="102"/>
      <c r="CM39" s="1">
        <v>5</v>
      </c>
      <c r="CN39" s="104">
        <f t="shared" si="220"/>
        <v>0</v>
      </c>
      <c r="CO39" s="102"/>
      <c r="CP39" s="1">
        <v>5</v>
      </c>
      <c r="CQ39" s="104">
        <f t="shared" si="221"/>
        <v>0</v>
      </c>
      <c r="CR39" s="102"/>
      <c r="CS39" s="1">
        <v>5</v>
      </c>
      <c r="CT39" s="104">
        <f t="shared" si="222"/>
        <v>0</v>
      </c>
      <c r="CU39" s="102"/>
      <c r="CV39" s="1">
        <v>5</v>
      </c>
      <c r="CW39" s="104">
        <f t="shared" si="223"/>
        <v>0</v>
      </c>
      <c r="CX39" s="102"/>
      <c r="CY39" s="1">
        <v>5</v>
      </c>
      <c r="CZ39" s="104">
        <f t="shared" si="224"/>
        <v>0</v>
      </c>
      <c r="DA39" s="102"/>
      <c r="DB39" s="1">
        <v>5</v>
      </c>
      <c r="DC39" s="104">
        <f t="shared" si="225"/>
        <v>0</v>
      </c>
      <c r="DD39" s="102"/>
      <c r="DE39" s="1">
        <v>5</v>
      </c>
      <c r="DF39" s="104">
        <f t="shared" si="226"/>
        <v>0</v>
      </c>
      <c r="DG39" s="102"/>
      <c r="DH39" s="1">
        <v>5</v>
      </c>
      <c r="DI39" s="104">
        <f t="shared" si="227"/>
        <v>0</v>
      </c>
      <c r="DJ39" s="102"/>
      <c r="DK39" s="1">
        <v>5</v>
      </c>
      <c r="DL39" s="104">
        <f t="shared" si="228"/>
        <v>0</v>
      </c>
      <c r="DM39" s="102"/>
      <c r="DN39" s="1">
        <v>5</v>
      </c>
      <c r="DO39" s="104">
        <f t="shared" si="229"/>
        <v>0</v>
      </c>
      <c r="DP39" s="102"/>
      <c r="DQ39" s="1">
        <v>5</v>
      </c>
      <c r="DR39" s="104">
        <f t="shared" si="230"/>
        <v>0</v>
      </c>
      <c r="DS39" s="102"/>
      <c r="DT39" s="1">
        <v>5</v>
      </c>
      <c r="DU39" s="104">
        <f t="shared" si="231"/>
        <v>0</v>
      </c>
      <c r="DV39" s="102"/>
      <c r="DW39" s="1">
        <v>5</v>
      </c>
      <c r="DX39" s="104">
        <f t="shared" si="232"/>
        <v>0</v>
      </c>
      <c r="DY39" s="102"/>
      <c r="DZ39" s="1">
        <v>5</v>
      </c>
      <c r="EA39" s="104">
        <f t="shared" si="233"/>
        <v>0</v>
      </c>
      <c r="EB39" s="102"/>
      <c r="EC39" s="1">
        <v>5</v>
      </c>
      <c r="ED39" s="104">
        <f t="shared" si="234"/>
        <v>0</v>
      </c>
      <c r="EE39" s="102"/>
      <c r="EF39" s="1">
        <v>5</v>
      </c>
      <c r="EG39" s="104">
        <f t="shared" si="235"/>
        <v>0</v>
      </c>
      <c r="EH39" s="102"/>
      <c r="EI39" s="1">
        <v>5</v>
      </c>
      <c r="EJ39" s="104">
        <f t="shared" si="236"/>
        <v>0</v>
      </c>
      <c r="EK39" s="102"/>
      <c r="EL39" s="1">
        <v>5</v>
      </c>
      <c r="EM39" s="104">
        <f t="shared" si="237"/>
        <v>0</v>
      </c>
      <c r="EN39" s="102"/>
      <c r="EO39" s="1">
        <v>5</v>
      </c>
      <c r="EP39" s="104">
        <f t="shared" si="238"/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20.5" customHeight="1" spans="1:148" x14ac:dyDescent="0.25">
      <c r="A40" s="195" t="s">
        <v>109</v>
      </c>
      <c r="B40" s="101"/>
      <c r="C40" s="102"/>
      <c r="D40" s="103">
        <v>5</v>
      </c>
      <c r="E40" s="104">
        <f t="shared" si="191"/>
        <v>0</v>
      </c>
      <c r="F40" s="102"/>
      <c r="G40" s="103">
        <v>5</v>
      </c>
      <c r="H40" s="104">
        <f t="shared" si="192"/>
        <v>0</v>
      </c>
      <c r="I40" s="105"/>
      <c r="J40" s="103">
        <v>5</v>
      </c>
      <c r="K40" s="104">
        <f t="shared" si="193"/>
        <v>0</v>
      </c>
      <c r="L40" s="105"/>
      <c r="M40" s="103">
        <v>5</v>
      </c>
      <c r="N40" s="104">
        <f t="shared" si="194"/>
        <v>0</v>
      </c>
      <c r="O40" s="106"/>
      <c r="P40" s="107">
        <v>5</v>
      </c>
      <c r="Q40" s="104">
        <f t="shared" si="195"/>
        <v>0</v>
      </c>
      <c r="R40" s="102"/>
      <c r="S40" s="107">
        <v>5</v>
      </c>
      <c r="T40" s="104">
        <f t="shared" si="196"/>
        <v>0</v>
      </c>
      <c r="U40" s="102"/>
      <c r="V40" s="107">
        <v>5</v>
      </c>
      <c r="W40" s="104">
        <f t="shared" si="197"/>
        <v>0</v>
      </c>
      <c r="X40" s="102"/>
      <c r="Y40" s="107">
        <v>5</v>
      </c>
      <c r="Z40" s="104">
        <f t="shared" si="198"/>
        <v>0</v>
      </c>
      <c r="AA40" s="106"/>
      <c r="AB40" s="107">
        <v>5</v>
      </c>
      <c r="AC40" s="104">
        <f t="shared" si="199"/>
        <v>0</v>
      </c>
      <c r="AD40" s="106"/>
      <c r="AE40" s="107">
        <v>5</v>
      </c>
      <c r="AF40" s="104">
        <f t="shared" si="200"/>
        <v>0</v>
      </c>
      <c r="AG40" s="106"/>
      <c r="AH40" s="107">
        <v>5</v>
      </c>
      <c r="AI40" s="104">
        <f t="shared" si="201"/>
        <v>0</v>
      </c>
      <c r="AJ40" s="106"/>
      <c r="AK40" s="107">
        <v>5</v>
      </c>
      <c r="AL40" s="104">
        <f t="shared" si="202"/>
        <v>0</v>
      </c>
      <c r="AM40" s="102"/>
      <c r="AN40" s="1">
        <v>5</v>
      </c>
      <c r="AO40" s="104">
        <f t="shared" si="203"/>
        <v>0</v>
      </c>
      <c r="AP40" s="102"/>
      <c r="AQ40" s="1">
        <v>5</v>
      </c>
      <c r="AR40" s="104">
        <f t="shared" si="204"/>
        <v>0</v>
      </c>
      <c r="AS40" s="102"/>
      <c r="AT40" s="1">
        <v>5</v>
      </c>
      <c r="AU40" s="104">
        <f t="shared" si="205"/>
        <v>0</v>
      </c>
      <c r="AV40" s="102"/>
      <c r="AW40" s="1">
        <v>5</v>
      </c>
      <c r="AX40" s="104">
        <f t="shared" si="206"/>
        <v>0</v>
      </c>
      <c r="AY40" s="102"/>
      <c r="AZ40" s="1">
        <v>5</v>
      </c>
      <c r="BA40" s="104">
        <f t="shared" si="207"/>
        <v>0</v>
      </c>
      <c r="BB40" s="102"/>
      <c r="BC40" s="1">
        <v>5</v>
      </c>
      <c r="BD40" s="104">
        <f t="shared" si="208"/>
        <v>0</v>
      </c>
      <c r="BE40" s="102"/>
      <c r="BF40" s="1">
        <v>5</v>
      </c>
      <c r="BG40" s="104">
        <f t="shared" si="209"/>
        <v>0</v>
      </c>
      <c r="BH40" s="102"/>
      <c r="BI40" s="1">
        <v>5</v>
      </c>
      <c r="BJ40" s="104">
        <f t="shared" si="210"/>
        <v>0</v>
      </c>
      <c r="BK40" s="102"/>
      <c r="BL40" s="1">
        <v>5</v>
      </c>
      <c r="BM40" s="104">
        <f t="shared" si="211"/>
        <v>0</v>
      </c>
      <c r="BN40" s="102"/>
      <c r="BO40" s="1">
        <v>5</v>
      </c>
      <c r="BP40" s="104">
        <f t="shared" si="212"/>
        <v>0</v>
      </c>
      <c r="BQ40" s="102"/>
      <c r="BR40" s="1">
        <v>5</v>
      </c>
      <c r="BS40" s="104">
        <f t="shared" si="213"/>
        <v>0</v>
      </c>
      <c r="BT40" s="102"/>
      <c r="BU40" s="1">
        <v>5</v>
      </c>
      <c r="BV40" s="104">
        <f t="shared" si="214"/>
        <v>0</v>
      </c>
      <c r="BW40" s="102"/>
      <c r="BX40" s="1">
        <v>5</v>
      </c>
      <c r="BY40" s="104">
        <f t="shared" si="215"/>
        <v>0</v>
      </c>
      <c r="BZ40" s="102"/>
      <c r="CA40" s="1">
        <v>5</v>
      </c>
      <c r="CB40" s="104">
        <f t="shared" si="216"/>
        <v>0</v>
      </c>
      <c r="CC40" s="102"/>
      <c r="CD40" s="1">
        <v>5</v>
      </c>
      <c r="CE40" s="104">
        <f t="shared" si="217"/>
        <v>0</v>
      </c>
      <c r="CF40" s="102"/>
      <c r="CG40" s="1">
        <v>5</v>
      </c>
      <c r="CH40" s="104">
        <f t="shared" si="218"/>
        <v>0</v>
      </c>
      <c r="CI40" s="102"/>
      <c r="CJ40" s="1">
        <v>5</v>
      </c>
      <c r="CK40" s="104">
        <f t="shared" si="219"/>
        <v>0</v>
      </c>
      <c r="CL40" s="102"/>
      <c r="CM40" s="1">
        <v>5</v>
      </c>
      <c r="CN40" s="104">
        <f t="shared" si="220"/>
        <v>0</v>
      </c>
      <c r="CO40" s="102"/>
      <c r="CP40" s="1">
        <v>5</v>
      </c>
      <c r="CQ40" s="104">
        <f t="shared" si="221"/>
        <v>0</v>
      </c>
      <c r="CR40" s="102"/>
      <c r="CS40" s="1">
        <v>5</v>
      </c>
      <c r="CT40" s="104">
        <f t="shared" si="222"/>
        <v>0</v>
      </c>
      <c r="CU40" s="102"/>
      <c r="CV40" s="1">
        <v>5</v>
      </c>
      <c r="CW40" s="104">
        <f t="shared" si="223"/>
        <v>0</v>
      </c>
      <c r="CX40" s="102"/>
      <c r="CY40" s="1">
        <v>5</v>
      </c>
      <c r="CZ40" s="104">
        <f t="shared" si="224"/>
        <v>0</v>
      </c>
      <c r="DA40" s="102"/>
      <c r="DB40" s="1">
        <v>5</v>
      </c>
      <c r="DC40" s="104">
        <f t="shared" si="225"/>
        <v>0</v>
      </c>
      <c r="DD40" s="102"/>
      <c r="DE40" s="1">
        <v>5</v>
      </c>
      <c r="DF40" s="104">
        <f t="shared" si="226"/>
        <v>0</v>
      </c>
      <c r="DG40" s="102"/>
      <c r="DH40" s="1">
        <v>5</v>
      </c>
      <c r="DI40" s="104">
        <f t="shared" si="227"/>
        <v>0</v>
      </c>
      <c r="DJ40" s="102"/>
      <c r="DK40" s="1">
        <v>5</v>
      </c>
      <c r="DL40" s="104">
        <f t="shared" si="228"/>
        <v>0</v>
      </c>
      <c r="DM40" s="102"/>
      <c r="DN40" s="1">
        <v>5</v>
      </c>
      <c r="DO40" s="104">
        <f t="shared" si="229"/>
        <v>0</v>
      </c>
      <c r="DP40" s="102"/>
      <c r="DQ40" s="1">
        <v>5</v>
      </c>
      <c r="DR40" s="104">
        <f t="shared" si="230"/>
        <v>0</v>
      </c>
      <c r="DS40" s="102"/>
      <c r="DT40" s="1">
        <v>5</v>
      </c>
      <c r="DU40" s="104">
        <f t="shared" si="231"/>
        <v>0</v>
      </c>
      <c r="DV40" s="102"/>
      <c r="DW40" s="1">
        <v>5</v>
      </c>
      <c r="DX40" s="104">
        <f t="shared" si="232"/>
        <v>0</v>
      </c>
      <c r="DY40" s="102"/>
      <c r="DZ40" s="1">
        <v>5</v>
      </c>
      <c r="EA40" s="104">
        <f t="shared" si="233"/>
        <v>0</v>
      </c>
      <c r="EB40" s="102"/>
      <c r="EC40" s="1">
        <v>5</v>
      </c>
      <c r="ED40" s="104">
        <f t="shared" si="234"/>
        <v>0</v>
      </c>
      <c r="EE40" s="102"/>
      <c r="EF40" s="1">
        <v>5</v>
      </c>
      <c r="EG40" s="104">
        <f t="shared" si="235"/>
        <v>0</v>
      </c>
      <c r="EH40" s="102"/>
      <c r="EI40" s="1">
        <v>5</v>
      </c>
      <c r="EJ40" s="104">
        <f t="shared" si="236"/>
        <v>0</v>
      </c>
      <c r="EK40" s="102"/>
      <c r="EL40" s="1">
        <v>5</v>
      </c>
      <c r="EM40" s="104">
        <f t="shared" si="237"/>
        <v>0</v>
      </c>
      <c r="EN40" s="102"/>
      <c r="EO40" s="1">
        <v>5</v>
      </c>
      <c r="EP40" s="104">
        <f t="shared" si="238"/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16" customHeight="1" spans="1:148" x14ac:dyDescent="0.25">
      <c r="A41" s="197" t="s">
        <v>148</v>
      </c>
      <c r="B41" s="101"/>
      <c r="C41" s="102"/>
      <c r="D41" s="103">
        <v>5</v>
      </c>
      <c r="E41" s="104">
        <f t="shared" si="191"/>
        <v>0</v>
      </c>
      <c r="F41" s="102"/>
      <c r="G41" s="103">
        <v>5</v>
      </c>
      <c r="H41" s="104">
        <f t="shared" si="192"/>
        <v>0</v>
      </c>
      <c r="I41" s="105"/>
      <c r="J41" s="103">
        <v>5</v>
      </c>
      <c r="K41" s="104">
        <f t="shared" si="193"/>
        <v>0</v>
      </c>
      <c r="L41" s="105"/>
      <c r="M41" s="103">
        <v>5</v>
      </c>
      <c r="N41" s="104">
        <f t="shared" si="194"/>
        <v>0</v>
      </c>
      <c r="O41" s="106"/>
      <c r="P41" s="107">
        <v>5</v>
      </c>
      <c r="Q41" s="104">
        <f t="shared" si="195"/>
        <v>0</v>
      </c>
      <c r="R41" s="102"/>
      <c r="S41" s="107">
        <v>5</v>
      </c>
      <c r="T41" s="104">
        <f t="shared" si="196"/>
        <v>0</v>
      </c>
      <c r="U41" s="102"/>
      <c r="V41" s="107">
        <v>5</v>
      </c>
      <c r="W41" s="104">
        <f t="shared" si="197"/>
        <v>0</v>
      </c>
      <c r="X41" s="102"/>
      <c r="Y41" s="107">
        <v>5</v>
      </c>
      <c r="Z41" s="104">
        <f t="shared" si="198"/>
        <v>0</v>
      </c>
      <c r="AA41" s="106"/>
      <c r="AB41" s="107">
        <v>5</v>
      </c>
      <c r="AC41" s="104">
        <f t="shared" si="199"/>
        <v>0</v>
      </c>
      <c r="AD41" s="106"/>
      <c r="AE41" s="107">
        <v>5</v>
      </c>
      <c r="AF41" s="104">
        <f t="shared" si="200"/>
        <v>0</v>
      </c>
      <c r="AG41" s="106"/>
      <c r="AH41" s="107">
        <v>5</v>
      </c>
      <c r="AI41" s="104">
        <f t="shared" si="201"/>
        <v>0</v>
      </c>
      <c r="AJ41" s="106"/>
      <c r="AK41" s="107">
        <v>5</v>
      </c>
      <c r="AL41" s="104">
        <f t="shared" si="202"/>
        <v>0</v>
      </c>
      <c r="AM41" s="102"/>
      <c r="AN41" s="1">
        <v>5</v>
      </c>
      <c r="AO41" s="104">
        <f t="shared" si="203"/>
        <v>0</v>
      </c>
      <c r="AP41" s="102"/>
      <c r="AQ41" s="1">
        <v>5</v>
      </c>
      <c r="AR41" s="104">
        <f t="shared" si="204"/>
        <v>0</v>
      </c>
      <c r="AS41" s="102"/>
      <c r="AT41" s="1">
        <v>5</v>
      </c>
      <c r="AU41" s="104">
        <f t="shared" si="205"/>
        <v>0</v>
      </c>
      <c r="AV41" s="102"/>
      <c r="AW41" s="1">
        <v>5</v>
      </c>
      <c r="AX41" s="104">
        <f t="shared" si="206"/>
        <v>0</v>
      </c>
      <c r="AY41" s="102"/>
      <c r="AZ41" s="1">
        <v>5</v>
      </c>
      <c r="BA41" s="104">
        <f t="shared" si="207"/>
        <v>0</v>
      </c>
      <c r="BB41" s="102"/>
      <c r="BC41" s="1">
        <v>5</v>
      </c>
      <c r="BD41" s="104">
        <f t="shared" si="208"/>
        <v>0</v>
      </c>
      <c r="BE41" s="102"/>
      <c r="BF41" s="1">
        <v>5</v>
      </c>
      <c r="BG41" s="104">
        <f t="shared" si="209"/>
        <v>0</v>
      </c>
      <c r="BH41" s="102"/>
      <c r="BI41" s="1">
        <v>5</v>
      </c>
      <c r="BJ41" s="104">
        <f t="shared" si="210"/>
        <v>0</v>
      </c>
      <c r="BK41" s="102"/>
      <c r="BL41" s="1">
        <v>5</v>
      </c>
      <c r="BM41" s="104">
        <f t="shared" si="211"/>
        <v>0</v>
      </c>
      <c r="BN41" s="102"/>
      <c r="BO41" s="1">
        <v>5</v>
      </c>
      <c r="BP41" s="104">
        <f t="shared" si="212"/>
        <v>0</v>
      </c>
      <c r="BQ41" s="102"/>
      <c r="BR41" s="1">
        <v>5</v>
      </c>
      <c r="BS41" s="104">
        <f t="shared" si="213"/>
        <v>0</v>
      </c>
      <c r="BT41" s="102"/>
      <c r="BU41" s="1">
        <v>5</v>
      </c>
      <c r="BV41" s="104">
        <f t="shared" si="214"/>
        <v>0</v>
      </c>
      <c r="BW41" s="102"/>
      <c r="BX41" s="1">
        <v>5</v>
      </c>
      <c r="BY41" s="104">
        <f t="shared" si="215"/>
        <v>0</v>
      </c>
      <c r="BZ41" s="102"/>
      <c r="CA41" s="1">
        <v>5</v>
      </c>
      <c r="CB41" s="104">
        <f t="shared" si="216"/>
        <v>0</v>
      </c>
      <c r="CC41" s="102"/>
      <c r="CD41" s="1">
        <v>5</v>
      </c>
      <c r="CE41" s="104">
        <f t="shared" si="217"/>
        <v>0</v>
      </c>
      <c r="CF41" s="102"/>
      <c r="CG41" s="1">
        <v>5</v>
      </c>
      <c r="CH41" s="104">
        <f t="shared" si="218"/>
        <v>0</v>
      </c>
      <c r="CI41" s="102"/>
      <c r="CJ41" s="1">
        <v>5</v>
      </c>
      <c r="CK41" s="104">
        <f t="shared" si="219"/>
        <v>0</v>
      </c>
      <c r="CL41" s="102"/>
      <c r="CM41" s="1">
        <v>5</v>
      </c>
      <c r="CN41" s="104">
        <f t="shared" si="220"/>
        <v>0</v>
      </c>
      <c r="CO41" s="102"/>
      <c r="CP41" s="1">
        <v>5</v>
      </c>
      <c r="CQ41" s="104">
        <f t="shared" si="221"/>
        <v>0</v>
      </c>
      <c r="CR41" s="102"/>
      <c r="CS41" s="1">
        <v>5</v>
      </c>
      <c r="CT41" s="104">
        <f t="shared" si="222"/>
        <v>0</v>
      </c>
      <c r="CU41" s="102"/>
      <c r="CV41" s="1">
        <v>5</v>
      </c>
      <c r="CW41" s="104">
        <f t="shared" si="223"/>
        <v>0</v>
      </c>
      <c r="CX41" s="102"/>
      <c r="CY41" s="1">
        <v>5</v>
      </c>
      <c r="CZ41" s="104">
        <f t="shared" si="224"/>
        <v>0</v>
      </c>
      <c r="DA41" s="102"/>
      <c r="DB41" s="1">
        <v>5</v>
      </c>
      <c r="DC41" s="104">
        <f t="shared" si="225"/>
        <v>0</v>
      </c>
      <c r="DD41" s="102"/>
      <c r="DE41" s="1">
        <v>5</v>
      </c>
      <c r="DF41" s="104">
        <f t="shared" si="226"/>
        <v>0</v>
      </c>
      <c r="DG41" s="102"/>
      <c r="DH41" s="1">
        <v>5</v>
      </c>
      <c r="DI41" s="104">
        <f t="shared" si="227"/>
        <v>0</v>
      </c>
      <c r="DJ41" s="102"/>
      <c r="DK41" s="1">
        <v>5</v>
      </c>
      <c r="DL41" s="104">
        <f t="shared" si="228"/>
        <v>0</v>
      </c>
      <c r="DM41" s="102"/>
      <c r="DN41" s="1">
        <v>5</v>
      </c>
      <c r="DO41" s="104">
        <f t="shared" si="229"/>
        <v>0</v>
      </c>
      <c r="DP41" s="102"/>
      <c r="DQ41" s="1">
        <v>5</v>
      </c>
      <c r="DR41" s="104">
        <f t="shared" si="230"/>
        <v>0</v>
      </c>
      <c r="DS41" s="102"/>
      <c r="DT41" s="1">
        <v>5</v>
      </c>
      <c r="DU41" s="104">
        <f t="shared" si="231"/>
        <v>0</v>
      </c>
      <c r="DV41" s="102"/>
      <c r="DW41" s="1">
        <v>5</v>
      </c>
      <c r="DX41" s="104">
        <f t="shared" si="232"/>
        <v>0</v>
      </c>
      <c r="DY41" s="102"/>
      <c r="DZ41" s="1">
        <v>5</v>
      </c>
      <c r="EA41" s="104">
        <f t="shared" si="233"/>
        <v>0</v>
      </c>
      <c r="EB41" s="102"/>
      <c r="EC41" s="1">
        <v>5</v>
      </c>
      <c r="ED41" s="104">
        <f t="shared" si="234"/>
        <v>0</v>
      </c>
      <c r="EE41" s="102"/>
      <c r="EF41" s="1">
        <v>5</v>
      </c>
      <c r="EG41" s="104">
        <f t="shared" si="235"/>
        <v>0</v>
      </c>
      <c r="EH41" s="102"/>
      <c r="EI41" s="1">
        <v>5</v>
      </c>
      <c r="EJ41" s="104">
        <f t="shared" si="236"/>
        <v>0</v>
      </c>
      <c r="EK41" s="102"/>
      <c r="EL41" s="1">
        <v>5</v>
      </c>
      <c r="EM41" s="104">
        <f t="shared" si="237"/>
        <v>0</v>
      </c>
      <c r="EN41" s="102"/>
      <c r="EO41" s="1">
        <v>5</v>
      </c>
      <c r="EP41" s="104">
        <f t="shared" si="238"/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16" customHeight="1" spans="1:148" x14ac:dyDescent="0.25">
      <c r="A42" s="124" t="s">
        <v>111</v>
      </c>
      <c r="B42" s="125"/>
      <c r="C42" s="126"/>
      <c r="D42" s="127"/>
      <c r="E42" s="82">
        <f>AVERAGE(E43:E55)</f>
        <v>0</v>
      </c>
      <c r="F42" s="126" t="s">
        <v>76</v>
      </c>
      <c r="G42" s="127"/>
      <c r="H42" s="82">
        <f>AVERAGE(H43:H55)</f>
        <v>0</v>
      </c>
      <c r="I42" s="126"/>
      <c r="J42" s="127"/>
      <c r="K42" s="82">
        <f>AVERAGE(K43:K55)</f>
        <v>0</v>
      </c>
      <c r="L42" s="126"/>
      <c r="M42" s="127"/>
      <c r="N42" s="82">
        <f>AVERAGE(N43:N55)</f>
        <v>0</v>
      </c>
      <c r="O42" s="126"/>
      <c r="P42" s="127"/>
      <c r="Q42" s="82">
        <f>AVERAGE(Q43:Q55)</f>
        <v>0</v>
      </c>
      <c r="R42" s="126"/>
      <c r="S42" s="127"/>
      <c r="T42" s="82">
        <f>AVERAGE(T43:T55)</f>
        <v>0</v>
      </c>
      <c r="U42" s="126"/>
      <c r="V42" s="127"/>
      <c r="W42" s="82">
        <f>AVERAGE(W43:W55)</f>
        <v>0</v>
      </c>
      <c r="X42" s="126"/>
      <c r="Y42" s="127"/>
      <c r="Z42" s="82">
        <f>AVERAGE(Z43:Z55)</f>
        <v>0</v>
      </c>
      <c r="AA42" s="126"/>
      <c r="AB42" s="127"/>
      <c r="AC42" s="82">
        <f>AVERAGE(AC43:AC55)</f>
        <v>0</v>
      </c>
      <c r="AD42" s="126"/>
      <c r="AE42" s="127"/>
      <c r="AF42" s="82">
        <f>AVERAGE(AF43:AF55)</f>
        <v>0</v>
      </c>
      <c r="AG42" s="126"/>
      <c r="AH42" s="127"/>
      <c r="AI42" s="82">
        <f>AVERAGE(AI43:AI55)</f>
        <v>0</v>
      </c>
      <c r="AJ42" s="126"/>
      <c r="AK42" s="127"/>
      <c r="AL42" s="82">
        <f>AVERAGE(AL43:AL55)</f>
        <v>0</v>
      </c>
      <c r="AM42" s="128"/>
      <c r="AN42" s="127"/>
      <c r="AO42" s="82">
        <f>AVERAGE(AO43:AO55)</f>
        <v>0</v>
      </c>
      <c r="AP42" s="128"/>
      <c r="AQ42" s="129"/>
      <c r="AR42" s="82">
        <f>AVERAGE(AR43:AR55)</f>
        <v>0</v>
      </c>
      <c r="AS42" s="130"/>
      <c r="AT42" s="129"/>
      <c r="AU42" s="82">
        <f>AVERAGE(AU43:AU55)</f>
        <v>0</v>
      </c>
      <c r="AV42" s="128"/>
      <c r="AW42" s="127"/>
      <c r="AX42" s="82">
        <f>AVERAGE(AX43:AX55)</f>
        <v>0</v>
      </c>
      <c r="AY42" s="131"/>
      <c r="AZ42" s="132"/>
      <c r="BA42" s="82">
        <f>AVERAGE(BA43:BA55)</f>
        <v>0</v>
      </c>
      <c r="BB42" s="128"/>
      <c r="BC42" s="132"/>
      <c r="BD42" s="82">
        <f>AVERAGE(BD43:BD55)</f>
        <v>0</v>
      </c>
      <c r="BE42" s="128"/>
      <c r="BF42" s="132"/>
      <c r="BG42" s="82">
        <f>AVERAGE(BG43:BG55)</f>
        <v>0</v>
      </c>
      <c r="BH42" s="128"/>
      <c r="BI42" s="132"/>
      <c r="BJ42" s="82">
        <f>AVERAGE(BJ43:BJ55)</f>
        <v>0</v>
      </c>
      <c r="BK42" s="128"/>
      <c r="BL42" s="132"/>
      <c r="BM42" s="82">
        <f>AVERAGE(BM43:BM55)</f>
        <v>0</v>
      </c>
      <c r="BN42" s="128"/>
      <c r="BO42" s="132"/>
      <c r="BP42" s="82">
        <f>AVERAGE(BP43:BP55)</f>
        <v>0</v>
      </c>
      <c r="BQ42" s="128"/>
      <c r="BR42" s="132"/>
      <c r="BS42" s="82">
        <f>AVERAGE(BS43:BS55)</f>
        <v>0</v>
      </c>
      <c r="BT42" s="128"/>
      <c r="BU42" s="132"/>
      <c r="BV42" s="82">
        <f>AVERAGE(BV43:BV55)</f>
        <v>0</v>
      </c>
      <c r="BW42" s="128"/>
      <c r="BX42" s="132"/>
      <c r="BY42" s="82">
        <f>AVERAGE(BY43:BY55)</f>
        <v>0</v>
      </c>
      <c r="BZ42" s="126" t="s">
        <v>76</v>
      </c>
      <c r="CA42" s="127"/>
      <c r="CB42" s="82">
        <f>AVERAGE(CB43:CB55)</f>
        <v>0</v>
      </c>
      <c r="CC42" s="126"/>
      <c r="CD42" s="127"/>
      <c r="CE42" s="82">
        <f>AVERAGE(CE43:CE55)</f>
        <v>0</v>
      </c>
      <c r="CF42" s="126"/>
      <c r="CG42" s="127"/>
      <c r="CH42" s="82">
        <f>AVERAGE(CH43:CH55)</f>
        <v>0</v>
      </c>
      <c r="CI42" s="126"/>
      <c r="CJ42" s="127"/>
      <c r="CK42" s="82">
        <f>AVERAGE(CK43:CK55)</f>
        <v>0</v>
      </c>
      <c r="CL42" s="126"/>
      <c r="CM42" s="127"/>
      <c r="CN42" s="82">
        <f>AVERAGE(CN43:CN55)</f>
        <v>0</v>
      </c>
      <c r="CO42" s="126"/>
      <c r="CP42" s="127"/>
      <c r="CQ42" s="82">
        <f>AVERAGE(CQ43:CQ55)</f>
        <v>0</v>
      </c>
      <c r="CR42" s="126"/>
      <c r="CS42" s="127"/>
      <c r="CT42" s="82">
        <f>AVERAGE(CT43:CT55)</f>
        <v>0</v>
      </c>
      <c r="CU42" s="126" t="s">
        <v>76</v>
      </c>
      <c r="CV42" s="127"/>
      <c r="CW42" s="82">
        <f>AVERAGE(CW43:CW55)</f>
        <v>0</v>
      </c>
      <c r="CX42" s="126"/>
      <c r="CY42" s="127"/>
      <c r="CZ42" s="82">
        <f>AVERAGE(CZ43:CZ55)</f>
        <v>0</v>
      </c>
      <c r="DA42" s="126"/>
      <c r="DB42" s="127"/>
      <c r="DC42" s="82">
        <f>AVERAGE(DC43:DC55)</f>
        <v>0</v>
      </c>
      <c r="DD42" s="126"/>
      <c r="DE42" s="127"/>
      <c r="DF42" s="82">
        <f>AVERAGE(DF43:DF55)</f>
        <v>0</v>
      </c>
      <c r="DG42" s="126"/>
      <c r="DH42" s="127"/>
      <c r="DI42" s="82">
        <f>AVERAGE(DI43:DI55)</f>
        <v>0</v>
      </c>
      <c r="DJ42" s="126"/>
      <c r="DK42" s="127"/>
      <c r="DL42" s="82">
        <f>AVERAGE(DL43:DL55)</f>
        <v>0</v>
      </c>
      <c r="DM42" s="126"/>
      <c r="DN42" s="127"/>
      <c r="DO42" s="82">
        <f>AVERAGE(DO43:DO55)</f>
        <v>0</v>
      </c>
      <c r="DP42" s="126"/>
      <c r="DQ42" s="127"/>
      <c r="DR42" s="82">
        <f>AVERAGE(DR43:DR55)</f>
        <v>0</v>
      </c>
      <c r="DS42" s="126"/>
      <c r="DT42" s="127"/>
      <c r="DU42" s="82">
        <f>AVERAGE(DU43:DU55)</f>
        <v>0</v>
      </c>
      <c r="DV42" s="126"/>
      <c r="DW42" s="127"/>
      <c r="DX42" s="82">
        <f>AVERAGE(DX43:DX55)</f>
        <v>0</v>
      </c>
      <c r="DY42" s="126"/>
      <c r="DZ42" s="127"/>
      <c r="EA42" s="82">
        <f>AVERAGE(EA43:EA55)</f>
        <v>0</v>
      </c>
      <c r="EB42" s="126"/>
      <c r="EC42" s="127"/>
      <c r="ED42" s="82">
        <f>AVERAGE(ED43:ED55)</f>
        <v>0</v>
      </c>
      <c r="EE42" s="126"/>
      <c r="EF42" s="127"/>
      <c r="EG42" s="82">
        <f>AVERAGE(EG43:EG55)</f>
        <v>0</v>
      </c>
      <c r="EH42" s="126"/>
      <c r="EI42" s="127"/>
      <c r="EJ42" s="82">
        <f>AVERAGE(EJ43:EJ55)</f>
        <v>0</v>
      </c>
      <c r="EK42" s="126"/>
      <c r="EL42" s="127"/>
      <c r="EM42" s="82">
        <f>AVERAGE(EM43:EM55)</f>
        <v>0</v>
      </c>
      <c r="EN42" s="126"/>
      <c r="EO42" s="127"/>
      <c r="EP42" s="82">
        <f>AVERAGE(EP43:EP55)</f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20.5" customHeight="1" spans="1:148" x14ac:dyDescent="0.25">
      <c r="A43" s="194" t="s">
        <v>112</v>
      </c>
      <c r="B43" s="101"/>
      <c r="C43" s="102"/>
      <c r="D43" s="103">
        <v>5</v>
      </c>
      <c r="E43" s="104">
        <f t="shared" ref="E43:E49" si="239">C43/D43</f>
        <v>0</v>
      </c>
      <c r="F43" s="102"/>
      <c r="G43" s="103">
        <v>5</v>
      </c>
      <c r="H43" s="104">
        <f t="shared" ref="H43:H49" si="240">F43/G43</f>
        <v>0</v>
      </c>
      <c r="I43" s="105"/>
      <c r="J43" s="103">
        <v>5</v>
      </c>
      <c r="K43" s="104">
        <f t="shared" ref="K43:K49" si="241">I43/J43</f>
        <v>0</v>
      </c>
      <c r="L43" s="105"/>
      <c r="M43" s="103">
        <v>5</v>
      </c>
      <c r="N43" s="104">
        <f t="shared" ref="N43:N49" si="242">L43/M43</f>
        <v>0</v>
      </c>
      <c r="O43" s="106"/>
      <c r="P43" s="107">
        <v>5</v>
      </c>
      <c r="Q43" s="104">
        <f t="shared" ref="Q43:Q49" si="243">O43/P43</f>
        <v>0</v>
      </c>
      <c r="R43" s="102"/>
      <c r="S43" s="107">
        <v>5</v>
      </c>
      <c r="T43" s="104">
        <f t="shared" ref="T43:T49" si="244">R43/S43</f>
        <v>0</v>
      </c>
      <c r="U43" s="102"/>
      <c r="V43" s="107">
        <v>5</v>
      </c>
      <c r="W43" s="104">
        <f t="shared" ref="W43:W49" si="245">U43/V43</f>
        <v>0</v>
      </c>
      <c r="X43" s="102"/>
      <c r="Y43" s="107">
        <v>5</v>
      </c>
      <c r="Z43" s="104">
        <f t="shared" ref="Z43:Z49" si="246">X43/Y43</f>
        <v>0</v>
      </c>
      <c r="AA43" s="106"/>
      <c r="AB43" s="107">
        <v>5</v>
      </c>
      <c r="AC43" s="104">
        <f t="shared" ref="AC43:AC49" si="247">AA43/AB43</f>
        <v>0</v>
      </c>
      <c r="AD43" s="106"/>
      <c r="AE43" s="107">
        <v>5</v>
      </c>
      <c r="AF43" s="104">
        <f t="shared" ref="AF43:AF49" si="248">AD43/AE43</f>
        <v>0</v>
      </c>
      <c r="AG43" s="106"/>
      <c r="AH43" s="107">
        <v>5</v>
      </c>
      <c r="AI43" s="104">
        <f t="shared" ref="AI43:AI49" si="249">AG43/AH43</f>
        <v>0</v>
      </c>
      <c r="AJ43" s="106"/>
      <c r="AK43" s="107">
        <v>5</v>
      </c>
      <c r="AL43" s="104">
        <f t="shared" ref="AL43:AL49" si="250">AJ43/AK43</f>
        <v>0</v>
      </c>
      <c r="AM43" s="102"/>
      <c r="AN43" s="1">
        <v>5</v>
      </c>
      <c r="AO43" s="104">
        <f t="shared" ref="AO43:AO49" si="251">AM43/AN43</f>
        <v>0</v>
      </c>
      <c r="AP43" s="102"/>
      <c r="AQ43" s="1">
        <v>5</v>
      </c>
      <c r="AR43" s="104">
        <f t="shared" ref="AR43:AR49" si="252">AP43/AQ43</f>
        <v>0</v>
      </c>
      <c r="AS43" s="102"/>
      <c r="AT43" s="1">
        <v>5</v>
      </c>
      <c r="AU43" s="104">
        <f t="shared" ref="AU43:AU49" si="253">AS43/AT43</f>
        <v>0</v>
      </c>
      <c r="AV43" s="102"/>
      <c r="AW43" s="1">
        <v>5</v>
      </c>
      <c r="AX43" s="104">
        <f t="shared" ref="AX43:AX49" si="254">AV43/AW43</f>
        <v>0</v>
      </c>
      <c r="AY43" s="102"/>
      <c r="AZ43" s="1">
        <v>5</v>
      </c>
      <c r="BA43" s="104">
        <f t="shared" ref="BA43:BA49" si="255">AY43/AZ43</f>
        <v>0</v>
      </c>
      <c r="BB43" s="102"/>
      <c r="BC43" s="1">
        <v>5</v>
      </c>
      <c r="BD43" s="104">
        <f t="shared" ref="BD43:BD49" si="256">BB43/BC43</f>
        <v>0</v>
      </c>
      <c r="BE43" s="102"/>
      <c r="BF43" s="1">
        <v>5</v>
      </c>
      <c r="BG43" s="104">
        <f t="shared" ref="BG43:BG49" si="257">BE43/BF43</f>
        <v>0</v>
      </c>
      <c r="BH43" s="102"/>
      <c r="BI43" s="1">
        <v>5</v>
      </c>
      <c r="BJ43" s="104">
        <f t="shared" ref="BJ43:BJ49" si="258">BH43/BI43</f>
        <v>0</v>
      </c>
      <c r="BK43" s="102"/>
      <c r="BL43" s="1">
        <v>5</v>
      </c>
      <c r="BM43" s="104">
        <f t="shared" ref="BM43:BM55" si="259">BK43/BL43</f>
        <v>0</v>
      </c>
      <c r="BN43" s="102"/>
      <c r="BO43" s="1">
        <v>5</v>
      </c>
      <c r="BP43" s="104">
        <f t="shared" ref="BP43:BP49" si="260">BN43/BO43</f>
        <v>0</v>
      </c>
      <c r="BQ43" s="102"/>
      <c r="BR43" s="1">
        <v>5</v>
      </c>
      <c r="BS43" s="104">
        <f t="shared" ref="BS43:BS49" si="261">BQ43/BR43</f>
        <v>0</v>
      </c>
      <c r="BT43" s="102"/>
      <c r="BU43" s="1">
        <v>5</v>
      </c>
      <c r="BV43" s="104">
        <f t="shared" ref="BV43:BV49" si="262">BT43/BU43</f>
        <v>0</v>
      </c>
      <c r="BW43" s="102"/>
      <c r="BX43" s="1">
        <v>5</v>
      </c>
      <c r="BY43" s="104">
        <f t="shared" ref="BY43:BY49" si="263">BW43/BX43</f>
        <v>0</v>
      </c>
      <c r="BZ43" s="102"/>
      <c r="CA43" s="1">
        <v>5</v>
      </c>
      <c r="CB43" s="104">
        <f t="shared" ref="CB43:CB49" si="264">BZ43/CA43</f>
        <v>0</v>
      </c>
      <c r="CC43" s="102"/>
      <c r="CD43" s="1">
        <v>5</v>
      </c>
      <c r="CE43" s="104">
        <f t="shared" ref="CE43:CE49" si="265">CC43/CD43</f>
        <v>0</v>
      </c>
      <c r="CF43" s="102"/>
      <c r="CG43" s="1">
        <v>5</v>
      </c>
      <c r="CH43" s="104">
        <f t="shared" ref="CH43:CH49" si="266">CF43/CG43</f>
        <v>0</v>
      </c>
      <c r="CI43" s="102"/>
      <c r="CJ43" s="1">
        <v>5</v>
      </c>
      <c r="CK43" s="104">
        <f t="shared" ref="CK43:CK49" si="267">CI43/CJ43</f>
        <v>0</v>
      </c>
      <c r="CL43" s="102"/>
      <c r="CM43" s="1">
        <v>5</v>
      </c>
      <c r="CN43" s="104">
        <f t="shared" ref="CN43:CN49" si="268">CL43/CM43</f>
        <v>0</v>
      </c>
      <c r="CO43" s="102"/>
      <c r="CP43" s="1">
        <v>5</v>
      </c>
      <c r="CQ43" s="104">
        <f t="shared" ref="CQ43:CQ49" si="269">CO43/CP43</f>
        <v>0</v>
      </c>
      <c r="CR43" s="102"/>
      <c r="CS43" s="1">
        <v>5</v>
      </c>
      <c r="CT43" s="104">
        <f t="shared" ref="CT43:CT49" si="270">CR43/CS43</f>
        <v>0</v>
      </c>
      <c r="CU43" s="102"/>
      <c r="CV43" s="1">
        <v>5</v>
      </c>
      <c r="CW43" s="104">
        <f t="shared" ref="CW43:CW49" si="271">CU43/CV43</f>
        <v>0</v>
      </c>
      <c r="CX43" s="102"/>
      <c r="CY43" s="1">
        <v>5</v>
      </c>
      <c r="CZ43" s="104">
        <f t="shared" ref="CZ43:CZ49" si="272">CX43/CY43</f>
        <v>0</v>
      </c>
      <c r="DA43" s="102"/>
      <c r="DB43" s="1">
        <v>5</v>
      </c>
      <c r="DC43" s="104">
        <f t="shared" ref="DC43:DC49" si="273">DA43/DB43</f>
        <v>0</v>
      </c>
      <c r="DD43" s="102"/>
      <c r="DE43" s="1">
        <v>5</v>
      </c>
      <c r="DF43" s="104">
        <f t="shared" ref="DF43:DF49" si="274">DD43/DE43</f>
        <v>0</v>
      </c>
      <c r="DG43" s="102"/>
      <c r="DH43" s="1">
        <v>5</v>
      </c>
      <c r="DI43" s="104">
        <f t="shared" ref="DI43:DI49" si="275">DG43/DH43</f>
        <v>0</v>
      </c>
      <c r="DJ43" s="102"/>
      <c r="DK43" s="1">
        <v>5</v>
      </c>
      <c r="DL43" s="104">
        <f t="shared" ref="DL43:DL49" si="276">DJ43/DK43</f>
        <v>0</v>
      </c>
      <c r="DM43" s="102"/>
      <c r="DN43" s="1">
        <v>5</v>
      </c>
      <c r="DO43" s="104">
        <f t="shared" ref="DO43:DO49" si="277">DM43/DN43</f>
        <v>0</v>
      </c>
      <c r="DP43" s="102"/>
      <c r="DQ43" s="1">
        <v>5</v>
      </c>
      <c r="DR43" s="104">
        <f t="shared" ref="DR43:DR49" si="278">DP43/DQ43</f>
        <v>0</v>
      </c>
      <c r="DS43" s="102"/>
      <c r="DT43" s="1">
        <v>5</v>
      </c>
      <c r="DU43" s="104">
        <f t="shared" ref="DU43:DU49" si="279">DS43/DT43</f>
        <v>0</v>
      </c>
      <c r="DV43" s="102"/>
      <c r="DW43" s="1">
        <v>5</v>
      </c>
      <c r="DX43" s="104">
        <f t="shared" ref="DX43:DX49" si="280">DV43/DW43</f>
        <v>0</v>
      </c>
      <c r="DY43" s="102"/>
      <c r="DZ43" s="1">
        <v>5</v>
      </c>
      <c r="EA43" s="104">
        <f t="shared" ref="EA43:EA49" si="281">DY43/DZ43</f>
        <v>0</v>
      </c>
      <c r="EB43" s="102"/>
      <c r="EC43" s="1">
        <v>5</v>
      </c>
      <c r="ED43" s="104">
        <f t="shared" ref="ED43:ED49" si="282">EB43/EC43</f>
        <v>0</v>
      </c>
      <c r="EE43" s="102"/>
      <c r="EF43" s="1">
        <v>5</v>
      </c>
      <c r="EG43" s="104">
        <f t="shared" ref="EG43:EG49" si="283">EE43/EF43</f>
        <v>0</v>
      </c>
      <c r="EH43" s="102"/>
      <c r="EI43" s="1">
        <v>5</v>
      </c>
      <c r="EJ43" s="104">
        <f t="shared" ref="EJ43:EJ49" si="284">EH43/EI43</f>
        <v>0</v>
      </c>
      <c r="EK43" s="102"/>
      <c r="EL43" s="1">
        <v>5</v>
      </c>
      <c r="EM43" s="104">
        <f t="shared" ref="EM43:EM49" si="285">EK43/EL43</f>
        <v>0</v>
      </c>
      <c r="EN43" s="102"/>
      <c r="EO43" s="1">
        <v>5</v>
      </c>
      <c r="EP43" s="104">
        <f t="shared" ref="EP43:EP49" si="286">EN43/EO43</f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20.5" customHeight="1" spans="1:148" x14ac:dyDescent="0.25">
      <c r="A44" s="195" t="s">
        <v>133</v>
      </c>
      <c r="B44" s="101"/>
      <c r="C44" s="102"/>
      <c r="D44" s="103">
        <v>5</v>
      </c>
      <c r="E44" s="104">
        <f t="shared" si="239"/>
        <v>0</v>
      </c>
      <c r="F44" s="102"/>
      <c r="G44" s="103">
        <v>5</v>
      </c>
      <c r="H44" s="104">
        <f t="shared" si="240"/>
        <v>0</v>
      </c>
      <c r="I44" s="105"/>
      <c r="J44" s="103">
        <v>5</v>
      </c>
      <c r="K44" s="104">
        <f t="shared" si="241"/>
        <v>0</v>
      </c>
      <c r="L44" s="105"/>
      <c r="M44" s="103">
        <v>5</v>
      </c>
      <c r="N44" s="104">
        <f t="shared" si="242"/>
        <v>0</v>
      </c>
      <c r="O44" s="106"/>
      <c r="P44" s="107">
        <v>5</v>
      </c>
      <c r="Q44" s="104">
        <f t="shared" si="243"/>
        <v>0</v>
      </c>
      <c r="R44" s="102"/>
      <c r="S44" s="107">
        <v>5</v>
      </c>
      <c r="T44" s="104">
        <f t="shared" si="244"/>
        <v>0</v>
      </c>
      <c r="U44" s="102"/>
      <c r="V44" s="107">
        <v>5</v>
      </c>
      <c r="W44" s="104">
        <f t="shared" si="245"/>
        <v>0</v>
      </c>
      <c r="X44" s="102"/>
      <c r="Y44" s="107">
        <v>5</v>
      </c>
      <c r="Z44" s="104">
        <f t="shared" si="246"/>
        <v>0</v>
      </c>
      <c r="AA44" s="106"/>
      <c r="AB44" s="107">
        <v>5</v>
      </c>
      <c r="AC44" s="104">
        <f t="shared" si="247"/>
        <v>0</v>
      </c>
      <c r="AD44" s="106"/>
      <c r="AE44" s="107">
        <v>5</v>
      </c>
      <c r="AF44" s="104">
        <f t="shared" si="248"/>
        <v>0</v>
      </c>
      <c r="AG44" s="106"/>
      <c r="AH44" s="107">
        <v>5</v>
      </c>
      <c r="AI44" s="104">
        <f t="shared" si="249"/>
        <v>0</v>
      </c>
      <c r="AJ44" s="106"/>
      <c r="AK44" s="107">
        <v>5</v>
      </c>
      <c r="AL44" s="104">
        <f t="shared" si="250"/>
        <v>0</v>
      </c>
      <c r="AM44" s="102"/>
      <c r="AN44" s="1">
        <v>5</v>
      </c>
      <c r="AO44" s="104">
        <f t="shared" si="251"/>
        <v>0</v>
      </c>
      <c r="AP44" s="102"/>
      <c r="AQ44" s="1">
        <v>5</v>
      </c>
      <c r="AR44" s="104">
        <f t="shared" si="252"/>
        <v>0</v>
      </c>
      <c r="AS44" s="102"/>
      <c r="AT44" s="1">
        <v>5</v>
      </c>
      <c r="AU44" s="104">
        <f t="shared" si="253"/>
        <v>0</v>
      </c>
      <c r="AV44" s="102"/>
      <c r="AW44" s="1">
        <v>5</v>
      </c>
      <c r="AX44" s="104">
        <f t="shared" si="254"/>
        <v>0</v>
      </c>
      <c r="AY44" s="102"/>
      <c r="AZ44" s="1">
        <v>5</v>
      </c>
      <c r="BA44" s="104">
        <f t="shared" si="255"/>
        <v>0</v>
      </c>
      <c r="BB44" s="102"/>
      <c r="BC44" s="1">
        <v>5</v>
      </c>
      <c r="BD44" s="104">
        <f t="shared" si="256"/>
        <v>0</v>
      </c>
      <c r="BE44" s="102"/>
      <c r="BF44" s="1">
        <v>5</v>
      </c>
      <c r="BG44" s="104">
        <f t="shared" si="257"/>
        <v>0</v>
      </c>
      <c r="BH44" s="102"/>
      <c r="BI44" s="1">
        <v>5</v>
      </c>
      <c r="BJ44" s="104">
        <f t="shared" si="258"/>
        <v>0</v>
      </c>
      <c r="BK44" s="102"/>
      <c r="BL44" s="1">
        <v>5</v>
      </c>
      <c r="BM44" s="104">
        <f t="shared" si="259"/>
        <v>0</v>
      </c>
      <c r="BN44" s="102"/>
      <c r="BO44" s="1">
        <v>5</v>
      </c>
      <c r="BP44" s="104">
        <f t="shared" si="260"/>
        <v>0</v>
      </c>
      <c r="BQ44" s="102"/>
      <c r="BR44" s="1">
        <v>5</v>
      </c>
      <c r="BS44" s="104">
        <f t="shared" si="261"/>
        <v>0</v>
      </c>
      <c r="BT44" s="102"/>
      <c r="BU44" s="1">
        <v>5</v>
      </c>
      <c r="BV44" s="104">
        <f t="shared" si="262"/>
        <v>0</v>
      </c>
      <c r="BW44" s="102"/>
      <c r="BX44" s="1">
        <v>5</v>
      </c>
      <c r="BY44" s="104">
        <f t="shared" si="263"/>
        <v>0</v>
      </c>
      <c r="BZ44" s="102"/>
      <c r="CA44" s="1">
        <v>5</v>
      </c>
      <c r="CB44" s="104">
        <f t="shared" si="264"/>
        <v>0</v>
      </c>
      <c r="CC44" s="102"/>
      <c r="CD44" s="1">
        <v>5</v>
      </c>
      <c r="CE44" s="104">
        <f t="shared" si="265"/>
        <v>0</v>
      </c>
      <c r="CF44" s="102"/>
      <c r="CG44" s="1">
        <v>5</v>
      </c>
      <c r="CH44" s="104">
        <f t="shared" si="266"/>
        <v>0</v>
      </c>
      <c r="CI44" s="102"/>
      <c r="CJ44" s="1">
        <v>5</v>
      </c>
      <c r="CK44" s="104">
        <f t="shared" si="267"/>
        <v>0</v>
      </c>
      <c r="CL44" s="102"/>
      <c r="CM44" s="1">
        <v>5</v>
      </c>
      <c r="CN44" s="104">
        <f t="shared" si="268"/>
        <v>0</v>
      </c>
      <c r="CO44" s="102"/>
      <c r="CP44" s="1">
        <v>5</v>
      </c>
      <c r="CQ44" s="104">
        <f t="shared" si="269"/>
        <v>0</v>
      </c>
      <c r="CR44" s="102"/>
      <c r="CS44" s="1">
        <v>5</v>
      </c>
      <c r="CT44" s="104">
        <f t="shared" si="270"/>
        <v>0</v>
      </c>
      <c r="CU44" s="102"/>
      <c r="CV44" s="1">
        <v>5</v>
      </c>
      <c r="CW44" s="104">
        <f t="shared" si="271"/>
        <v>0</v>
      </c>
      <c r="CX44" s="102"/>
      <c r="CY44" s="1">
        <v>5</v>
      </c>
      <c r="CZ44" s="104">
        <f t="shared" si="272"/>
        <v>0</v>
      </c>
      <c r="DA44" s="102"/>
      <c r="DB44" s="1">
        <v>5</v>
      </c>
      <c r="DC44" s="104">
        <f t="shared" si="273"/>
        <v>0</v>
      </c>
      <c r="DD44" s="102"/>
      <c r="DE44" s="1">
        <v>5</v>
      </c>
      <c r="DF44" s="104">
        <f t="shared" si="274"/>
        <v>0</v>
      </c>
      <c r="DG44" s="102"/>
      <c r="DH44" s="1">
        <v>5</v>
      </c>
      <c r="DI44" s="104">
        <f t="shared" si="275"/>
        <v>0</v>
      </c>
      <c r="DJ44" s="102"/>
      <c r="DK44" s="1">
        <v>5</v>
      </c>
      <c r="DL44" s="104">
        <f t="shared" si="276"/>
        <v>0</v>
      </c>
      <c r="DM44" s="102"/>
      <c r="DN44" s="1">
        <v>5</v>
      </c>
      <c r="DO44" s="104">
        <f t="shared" si="277"/>
        <v>0</v>
      </c>
      <c r="DP44" s="102"/>
      <c r="DQ44" s="1">
        <v>5</v>
      </c>
      <c r="DR44" s="104">
        <f t="shared" si="278"/>
        <v>0</v>
      </c>
      <c r="DS44" s="102"/>
      <c r="DT44" s="1">
        <v>5</v>
      </c>
      <c r="DU44" s="104">
        <f t="shared" si="279"/>
        <v>0</v>
      </c>
      <c r="DV44" s="102"/>
      <c r="DW44" s="1">
        <v>5</v>
      </c>
      <c r="DX44" s="104">
        <f t="shared" si="280"/>
        <v>0</v>
      </c>
      <c r="DY44" s="102"/>
      <c r="DZ44" s="1">
        <v>5</v>
      </c>
      <c r="EA44" s="104">
        <f t="shared" si="281"/>
        <v>0</v>
      </c>
      <c r="EB44" s="102"/>
      <c r="EC44" s="1">
        <v>5</v>
      </c>
      <c r="ED44" s="104">
        <f t="shared" si="282"/>
        <v>0</v>
      </c>
      <c r="EE44" s="102"/>
      <c r="EF44" s="1">
        <v>5</v>
      </c>
      <c r="EG44" s="104">
        <f t="shared" si="283"/>
        <v>0</v>
      </c>
      <c r="EH44" s="102"/>
      <c r="EI44" s="1">
        <v>5</v>
      </c>
      <c r="EJ44" s="104">
        <f t="shared" si="284"/>
        <v>0</v>
      </c>
      <c r="EK44" s="102"/>
      <c r="EL44" s="1">
        <v>5</v>
      </c>
      <c r="EM44" s="104">
        <f t="shared" si="285"/>
        <v>0</v>
      </c>
      <c r="EN44" s="102"/>
      <c r="EO44" s="1">
        <v>5</v>
      </c>
      <c r="EP44" s="104">
        <f t="shared" si="286"/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23.25" customHeight="1" spans="1:148" x14ac:dyDescent="0.25">
      <c r="A45" s="100" t="s">
        <v>113</v>
      </c>
      <c r="B45" s="101"/>
      <c r="C45" s="102"/>
      <c r="D45" s="103">
        <v>5</v>
      </c>
      <c r="E45" s="104">
        <f t="shared" si="239"/>
        <v>0</v>
      </c>
      <c r="F45" s="102"/>
      <c r="G45" s="103">
        <v>5</v>
      </c>
      <c r="H45" s="104">
        <f t="shared" si="240"/>
        <v>0</v>
      </c>
      <c r="I45" s="105"/>
      <c r="J45" s="103">
        <v>5</v>
      </c>
      <c r="K45" s="104">
        <f t="shared" si="241"/>
        <v>0</v>
      </c>
      <c r="L45" s="105"/>
      <c r="M45" s="103">
        <v>5</v>
      </c>
      <c r="N45" s="104">
        <f t="shared" si="242"/>
        <v>0</v>
      </c>
      <c r="O45" s="106"/>
      <c r="P45" s="107">
        <v>5</v>
      </c>
      <c r="Q45" s="104">
        <f t="shared" si="243"/>
        <v>0</v>
      </c>
      <c r="R45" s="102"/>
      <c r="S45" s="107">
        <v>5</v>
      </c>
      <c r="T45" s="104">
        <f t="shared" si="244"/>
        <v>0</v>
      </c>
      <c r="U45" s="102"/>
      <c r="V45" s="107">
        <v>5</v>
      </c>
      <c r="W45" s="104">
        <f t="shared" si="245"/>
        <v>0</v>
      </c>
      <c r="X45" s="102"/>
      <c r="Y45" s="107">
        <v>5</v>
      </c>
      <c r="Z45" s="104">
        <f t="shared" si="246"/>
        <v>0</v>
      </c>
      <c r="AA45" s="106"/>
      <c r="AB45" s="107">
        <v>5</v>
      </c>
      <c r="AC45" s="104">
        <f t="shared" si="247"/>
        <v>0</v>
      </c>
      <c r="AD45" s="106"/>
      <c r="AE45" s="107">
        <v>5</v>
      </c>
      <c r="AF45" s="104">
        <f t="shared" si="248"/>
        <v>0</v>
      </c>
      <c r="AG45" s="106"/>
      <c r="AH45" s="107">
        <v>5</v>
      </c>
      <c r="AI45" s="104">
        <f t="shared" si="249"/>
        <v>0</v>
      </c>
      <c r="AJ45" s="106"/>
      <c r="AK45" s="107">
        <v>5</v>
      </c>
      <c r="AL45" s="104">
        <f t="shared" si="250"/>
        <v>0</v>
      </c>
      <c r="AM45" s="102"/>
      <c r="AN45" s="1">
        <v>5</v>
      </c>
      <c r="AO45" s="104">
        <f t="shared" si="251"/>
        <v>0</v>
      </c>
      <c r="AP45" s="102"/>
      <c r="AQ45" s="1">
        <v>5</v>
      </c>
      <c r="AR45" s="104">
        <f t="shared" si="252"/>
        <v>0</v>
      </c>
      <c r="AS45" s="102"/>
      <c r="AT45" s="1">
        <v>5</v>
      </c>
      <c r="AU45" s="104">
        <f t="shared" si="253"/>
        <v>0</v>
      </c>
      <c r="AV45" s="102"/>
      <c r="AW45" s="1">
        <v>5</v>
      </c>
      <c r="AX45" s="104">
        <f t="shared" si="254"/>
        <v>0</v>
      </c>
      <c r="AY45" s="102"/>
      <c r="AZ45" s="1">
        <v>5</v>
      </c>
      <c r="BA45" s="104">
        <f t="shared" si="255"/>
        <v>0</v>
      </c>
      <c r="BB45" s="102"/>
      <c r="BC45" s="1">
        <v>5</v>
      </c>
      <c r="BD45" s="104">
        <f t="shared" si="256"/>
        <v>0</v>
      </c>
      <c r="BE45" s="102"/>
      <c r="BF45" s="1">
        <v>5</v>
      </c>
      <c r="BG45" s="104">
        <f t="shared" si="257"/>
        <v>0</v>
      </c>
      <c r="BH45" s="102"/>
      <c r="BI45" s="1">
        <v>5</v>
      </c>
      <c r="BJ45" s="104">
        <f t="shared" si="258"/>
        <v>0</v>
      </c>
      <c r="BK45" s="102"/>
      <c r="BL45" s="1">
        <v>5</v>
      </c>
      <c r="BM45" s="104">
        <f t="shared" si="259"/>
        <v>0</v>
      </c>
      <c r="BN45" s="102"/>
      <c r="BO45" s="1">
        <v>5</v>
      </c>
      <c r="BP45" s="104">
        <f t="shared" si="260"/>
        <v>0</v>
      </c>
      <c r="BQ45" s="102"/>
      <c r="BR45" s="1">
        <v>5</v>
      </c>
      <c r="BS45" s="104">
        <f t="shared" si="261"/>
        <v>0</v>
      </c>
      <c r="BT45" s="102"/>
      <c r="BU45" s="1">
        <v>5</v>
      </c>
      <c r="BV45" s="104">
        <f t="shared" si="262"/>
        <v>0</v>
      </c>
      <c r="BW45" s="102"/>
      <c r="BX45" s="1">
        <v>5</v>
      </c>
      <c r="BY45" s="104">
        <f t="shared" si="263"/>
        <v>0</v>
      </c>
      <c r="BZ45" s="102"/>
      <c r="CA45" s="1">
        <v>5</v>
      </c>
      <c r="CB45" s="104">
        <f t="shared" si="264"/>
        <v>0</v>
      </c>
      <c r="CC45" s="102"/>
      <c r="CD45" s="1">
        <v>5</v>
      </c>
      <c r="CE45" s="104">
        <f t="shared" si="265"/>
        <v>0</v>
      </c>
      <c r="CF45" s="102"/>
      <c r="CG45" s="1">
        <v>5</v>
      </c>
      <c r="CH45" s="104">
        <f t="shared" si="266"/>
        <v>0</v>
      </c>
      <c r="CI45" s="102"/>
      <c r="CJ45" s="1">
        <v>5</v>
      </c>
      <c r="CK45" s="104">
        <f t="shared" si="267"/>
        <v>0</v>
      </c>
      <c r="CL45" s="102"/>
      <c r="CM45" s="1">
        <v>5</v>
      </c>
      <c r="CN45" s="104">
        <f t="shared" si="268"/>
        <v>0</v>
      </c>
      <c r="CO45" s="102"/>
      <c r="CP45" s="1">
        <v>5</v>
      </c>
      <c r="CQ45" s="104">
        <f t="shared" si="269"/>
        <v>0</v>
      </c>
      <c r="CR45" s="102"/>
      <c r="CS45" s="1">
        <v>5</v>
      </c>
      <c r="CT45" s="104">
        <f t="shared" si="270"/>
        <v>0</v>
      </c>
      <c r="CU45" s="102"/>
      <c r="CV45" s="1">
        <v>5</v>
      </c>
      <c r="CW45" s="104">
        <f t="shared" si="271"/>
        <v>0</v>
      </c>
      <c r="CX45" s="102"/>
      <c r="CY45" s="1">
        <v>5</v>
      </c>
      <c r="CZ45" s="104">
        <f t="shared" si="272"/>
        <v>0</v>
      </c>
      <c r="DA45" s="102"/>
      <c r="DB45" s="1">
        <v>5</v>
      </c>
      <c r="DC45" s="104">
        <f t="shared" si="273"/>
        <v>0</v>
      </c>
      <c r="DD45" s="102"/>
      <c r="DE45" s="1">
        <v>5</v>
      </c>
      <c r="DF45" s="104">
        <f t="shared" si="274"/>
        <v>0</v>
      </c>
      <c r="DG45" s="102"/>
      <c r="DH45" s="1">
        <v>5</v>
      </c>
      <c r="DI45" s="104">
        <f t="shared" si="275"/>
        <v>0</v>
      </c>
      <c r="DJ45" s="102"/>
      <c r="DK45" s="1">
        <v>5</v>
      </c>
      <c r="DL45" s="104">
        <f t="shared" si="276"/>
        <v>0</v>
      </c>
      <c r="DM45" s="102"/>
      <c r="DN45" s="1">
        <v>5</v>
      </c>
      <c r="DO45" s="104">
        <f t="shared" si="277"/>
        <v>0</v>
      </c>
      <c r="DP45" s="102"/>
      <c r="DQ45" s="1">
        <v>5</v>
      </c>
      <c r="DR45" s="104">
        <f t="shared" si="278"/>
        <v>0</v>
      </c>
      <c r="DS45" s="102"/>
      <c r="DT45" s="1">
        <v>5</v>
      </c>
      <c r="DU45" s="104">
        <f t="shared" si="279"/>
        <v>0</v>
      </c>
      <c r="DV45" s="102"/>
      <c r="DW45" s="1">
        <v>5</v>
      </c>
      <c r="DX45" s="104">
        <f t="shared" si="280"/>
        <v>0</v>
      </c>
      <c r="DY45" s="102"/>
      <c r="DZ45" s="1">
        <v>5</v>
      </c>
      <c r="EA45" s="104">
        <f t="shared" si="281"/>
        <v>0</v>
      </c>
      <c r="EB45" s="102"/>
      <c r="EC45" s="1">
        <v>5</v>
      </c>
      <c r="ED45" s="104">
        <f t="shared" si="282"/>
        <v>0</v>
      </c>
      <c r="EE45" s="102"/>
      <c r="EF45" s="1">
        <v>5</v>
      </c>
      <c r="EG45" s="104">
        <f t="shared" si="283"/>
        <v>0</v>
      </c>
      <c r="EH45" s="102"/>
      <c r="EI45" s="1">
        <v>5</v>
      </c>
      <c r="EJ45" s="104">
        <f t="shared" si="284"/>
        <v>0</v>
      </c>
      <c r="EK45" s="102"/>
      <c r="EL45" s="1">
        <v>5</v>
      </c>
      <c r="EM45" s="104">
        <f t="shared" si="285"/>
        <v>0</v>
      </c>
      <c r="EN45" s="102"/>
      <c r="EO45" s="1">
        <v>5</v>
      </c>
      <c r="EP45" s="104">
        <f t="shared" si="286"/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30.5" customHeight="1" spans="1:148" x14ac:dyDescent="0.25">
      <c r="A46" s="194" t="s">
        <v>149</v>
      </c>
      <c r="B46" s="101"/>
      <c r="C46" s="102"/>
      <c r="D46" s="103">
        <v>5</v>
      </c>
      <c r="E46" s="104">
        <f t="shared" si="239"/>
        <v>0</v>
      </c>
      <c r="F46" s="102"/>
      <c r="G46" s="103">
        <v>5</v>
      </c>
      <c r="H46" s="104">
        <f t="shared" si="240"/>
        <v>0</v>
      </c>
      <c r="I46" s="105"/>
      <c r="J46" s="103">
        <v>5</v>
      </c>
      <c r="K46" s="104">
        <f t="shared" si="241"/>
        <v>0</v>
      </c>
      <c r="L46" s="105"/>
      <c r="M46" s="103">
        <v>5</v>
      </c>
      <c r="N46" s="104">
        <f t="shared" si="242"/>
        <v>0</v>
      </c>
      <c r="O46" s="106"/>
      <c r="P46" s="107">
        <v>5</v>
      </c>
      <c r="Q46" s="104">
        <f t="shared" si="243"/>
        <v>0</v>
      </c>
      <c r="R46" s="102"/>
      <c r="S46" s="107">
        <v>5</v>
      </c>
      <c r="T46" s="104">
        <f t="shared" si="244"/>
        <v>0</v>
      </c>
      <c r="U46" s="102"/>
      <c r="V46" s="107">
        <v>5</v>
      </c>
      <c r="W46" s="104">
        <f t="shared" si="245"/>
        <v>0</v>
      </c>
      <c r="X46" s="102"/>
      <c r="Y46" s="107">
        <v>5</v>
      </c>
      <c r="Z46" s="104">
        <f t="shared" si="246"/>
        <v>0</v>
      </c>
      <c r="AA46" s="106"/>
      <c r="AB46" s="107">
        <v>5</v>
      </c>
      <c r="AC46" s="104">
        <f t="shared" si="247"/>
        <v>0</v>
      </c>
      <c r="AD46" s="106"/>
      <c r="AE46" s="107">
        <v>5</v>
      </c>
      <c r="AF46" s="104">
        <f t="shared" si="248"/>
        <v>0</v>
      </c>
      <c r="AG46" s="106"/>
      <c r="AH46" s="107">
        <v>5</v>
      </c>
      <c r="AI46" s="104">
        <f t="shared" si="249"/>
        <v>0</v>
      </c>
      <c r="AJ46" s="106"/>
      <c r="AK46" s="107">
        <v>5</v>
      </c>
      <c r="AL46" s="104">
        <f t="shared" si="250"/>
        <v>0</v>
      </c>
      <c r="AM46" s="102"/>
      <c r="AN46" s="1">
        <v>5</v>
      </c>
      <c r="AO46" s="104">
        <f t="shared" si="251"/>
        <v>0</v>
      </c>
      <c r="AP46" s="102"/>
      <c r="AQ46" s="1">
        <v>5</v>
      </c>
      <c r="AR46" s="104">
        <f t="shared" si="252"/>
        <v>0</v>
      </c>
      <c r="AS46" s="102"/>
      <c r="AT46" s="1">
        <v>5</v>
      </c>
      <c r="AU46" s="104">
        <f t="shared" si="253"/>
        <v>0</v>
      </c>
      <c r="AV46" s="102"/>
      <c r="AW46" s="1">
        <v>5</v>
      </c>
      <c r="AX46" s="104">
        <f t="shared" si="254"/>
        <v>0</v>
      </c>
      <c r="AY46" s="102"/>
      <c r="AZ46" s="1">
        <v>5</v>
      </c>
      <c r="BA46" s="104">
        <f t="shared" si="255"/>
        <v>0</v>
      </c>
      <c r="BB46" s="102"/>
      <c r="BC46" s="1">
        <v>5</v>
      </c>
      <c r="BD46" s="104">
        <f t="shared" si="256"/>
        <v>0</v>
      </c>
      <c r="BE46" s="102"/>
      <c r="BF46" s="1">
        <v>5</v>
      </c>
      <c r="BG46" s="104">
        <f t="shared" si="257"/>
        <v>0</v>
      </c>
      <c r="BH46" s="102"/>
      <c r="BI46" s="1">
        <v>5</v>
      </c>
      <c r="BJ46" s="104">
        <f t="shared" si="258"/>
        <v>0</v>
      </c>
      <c r="BK46" s="102"/>
      <c r="BL46" s="1">
        <v>5</v>
      </c>
      <c r="BM46" s="104">
        <f t="shared" si="259"/>
        <v>0</v>
      </c>
      <c r="BN46" s="102"/>
      <c r="BO46" s="1">
        <v>5</v>
      </c>
      <c r="BP46" s="104">
        <f t="shared" si="260"/>
        <v>0</v>
      </c>
      <c r="BQ46" s="102"/>
      <c r="BR46" s="1">
        <v>5</v>
      </c>
      <c r="BS46" s="104">
        <f t="shared" si="261"/>
        <v>0</v>
      </c>
      <c r="BT46" s="102"/>
      <c r="BU46" s="1">
        <v>5</v>
      </c>
      <c r="BV46" s="104">
        <f t="shared" si="262"/>
        <v>0</v>
      </c>
      <c r="BW46" s="102"/>
      <c r="BX46" s="1">
        <v>5</v>
      </c>
      <c r="BY46" s="104">
        <f t="shared" si="263"/>
        <v>0</v>
      </c>
      <c r="BZ46" s="102"/>
      <c r="CA46" s="1">
        <v>5</v>
      </c>
      <c r="CB46" s="104">
        <f t="shared" si="264"/>
        <v>0</v>
      </c>
      <c r="CC46" s="102"/>
      <c r="CD46" s="1">
        <v>5</v>
      </c>
      <c r="CE46" s="104">
        <f t="shared" si="265"/>
        <v>0</v>
      </c>
      <c r="CF46" s="102"/>
      <c r="CG46" s="1">
        <v>5</v>
      </c>
      <c r="CH46" s="104">
        <f t="shared" si="266"/>
        <v>0</v>
      </c>
      <c r="CI46" s="102"/>
      <c r="CJ46" s="1">
        <v>5</v>
      </c>
      <c r="CK46" s="104">
        <f t="shared" si="267"/>
        <v>0</v>
      </c>
      <c r="CL46" s="102"/>
      <c r="CM46" s="1">
        <v>5</v>
      </c>
      <c r="CN46" s="104">
        <f t="shared" si="268"/>
        <v>0</v>
      </c>
      <c r="CO46" s="102"/>
      <c r="CP46" s="1">
        <v>5</v>
      </c>
      <c r="CQ46" s="104">
        <f t="shared" si="269"/>
        <v>0</v>
      </c>
      <c r="CR46" s="102"/>
      <c r="CS46" s="1">
        <v>5</v>
      </c>
      <c r="CT46" s="104">
        <f t="shared" si="270"/>
        <v>0</v>
      </c>
      <c r="CU46" s="102"/>
      <c r="CV46" s="1">
        <v>5</v>
      </c>
      <c r="CW46" s="104">
        <f t="shared" si="271"/>
        <v>0</v>
      </c>
      <c r="CX46" s="102"/>
      <c r="CY46" s="1">
        <v>5</v>
      </c>
      <c r="CZ46" s="104">
        <f t="shared" si="272"/>
        <v>0</v>
      </c>
      <c r="DA46" s="102"/>
      <c r="DB46" s="1">
        <v>5</v>
      </c>
      <c r="DC46" s="104">
        <f t="shared" si="273"/>
        <v>0</v>
      </c>
      <c r="DD46" s="102"/>
      <c r="DE46" s="1">
        <v>5</v>
      </c>
      <c r="DF46" s="104">
        <f t="shared" si="274"/>
        <v>0</v>
      </c>
      <c r="DG46" s="102"/>
      <c r="DH46" s="1">
        <v>5</v>
      </c>
      <c r="DI46" s="104">
        <f t="shared" si="275"/>
        <v>0</v>
      </c>
      <c r="DJ46" s="102"/>
      <c r="DK46" s="1">
        <v>5</v>
      </c>
      <c r="DL46" s="104">
        <f t="shared" si="276"/>
        <v>0</v>
      </c>
      <c r="DM46" s="102"/>
      <c r="DN46" s="1">
        <v>5</v>
      </c>
      <c r="DO46" s="104">
        <f t="shared" si="277"/>
        <v>0</v>
      </c>
      <c r="DP46" s="102"/>
      <c r="DQ46" s="1">
        <v>5</v>
      </c>
      <c r="DR46" s="104">
        <f t="shared" si="278"/>
        <v>0</v>
      </c>
      <c r="DS46" s="102"/>
      <c r="DT46" s="1">
        <v>5</v>
      </c>
      <c r="DU46" s="104">
        <f t="shared" si="279"/>
        <v>0</v>
      </c>
      <c r="DV46" s="102"/>
      <c r="DW46" s="1">
        <v>5</v>
      </c>
      <c r="DX46" s="104">
        <f t="shared" si="280"/>
        <v>0</v>
      </c>
      <c r="DY46" s="102"/>
      <c r="DZ46" s="1">
        <v>5</v>
      </c>
      <c r="EA46" s="104">
        <f t="shared" si="281"/>
        <v>0</v>
      </c>
      <c r="EB46" s="102"/>
      <c r="EC46" s="1">
        <v>5</v>
      </c>
      <c r="ED46" s="104">
        <f t="shared" si="282"/>
        <v>0</v>
      </c>
      <c r="EE46" s="102"/>
      <c r="EF46" s="1">
        <v>5</v>
      </c>
      <c r="EG46" s="104">
        <f t="shared" si="283"/>
        <v>0</v>
      </c>
      <c r="EH46" s="102"/>
      <c r="EI46" s="1">
        <v>5</v>
      </c>
      <c r="EJ46" s="104">
        <f t="shared" si="284"/>
        <v>0</v>
      </c>
      <c r="EK46" s="102"/>
      <c r="EL46" s="1">
        <v>5</v>
      </c>
      <c r="EM46" s="104">
        <f t="shared" si="285"/>
        <v>0</v>
      </c>
      <c r="EN46" s="102"/>
      <c r="EO46" s="1">
        <v>5</v>
      </c>
      <c r="EP46" s="104">
        <f t="shared" si="286"/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20.5" customHeight="1" spans="1:148" x14ac:dyDescent="0.25">
      <c r="A47" s="198" t="s">
        <v>179</v>
      </c>
      <c r="B47" s="101"/>
      <c r="C47" s="102"/>
      <c r="D47" s="103">
        <v>5</v>
      </c>
      <c r="E47" s="104">
        <f t="shared" si="239"/>
        <v>0</v>
      </c>
      <c r="F47" s="102"/>
      <c r="G47" s="103">
        <v>5</v>
      </c>
      <c r="H47" s="104">
        <f t="shared" si="240"/>
        <v>0</v>
      </c>
      <c r="I47" s="105"/>
      <c r="J47" s="103">
        <v>5</v>
      </c>
      <c r="K47" s="104">
        <f t="shared" si="241"/>
        <v>0</v>
      </c>
      <c r="L47" s="105"/>
      <c r="M47" s="103">
        <v>5</v>
      </c>
      <c r="N47" s="104">
        <f t="shared" si="242"/>
        <v>0</v>
      </c>
      <c r="O47" s="106"/>
      <c r="P47" s="107">
        <v>5</v>
      </c>
      <c r="Q47" s="104">
        <f t="shared" si="243"/>
        <v>0</v>
      </c>
      <c r="R47" s="102"/>
      <c r="S47" s="107">
        <v>5</v>
      </c>
      <c r="T47" s="104">
        <f t="shared" si="244"/>
        <v>0</v>
      </c>
      <c r="U47" s="102"/>
      <c r="V47" s="107">
        <v>5</v>
      </c>
      <c r="W47" s="104">
        <f t="shared" si="245"/>
        <v>0</v>
      </c>
      <c r="X47" s="102"/>
      <c r="Y47" s="107">
        <v>5</v>
      </c>
      <c r="Z47" s="104">
        <f t="shared" si="246"/>
        <v>0</v>
      </c>
      <c r="AA47" s="106"/>
      <c r="AB47" s="107">
        <v>5</v>
      </c>
      <c r="AC47" s="104">
        <f t="shared" si="247"/>
        <v>0</v>
      </c>
      <c r="AD47" s="106"/>
      <c r="AE47" s="107">
        <v>5</v>
      </c>
      <c r="AF47" s="104">
        <f t="shared" si="248"/>
        <v>0</v>
      </c>
      <c r="AG47" s="106"/>
      <c r="AH47" s="107">
        <v>5</v>
      </c>
      <c r="AI47" s="104">
        <f t="shared" si="249"/>
        <v>0</v>
      </c>
      <c r="AJ47" s="106"/>
      <c r="AK47" s="107">
        <v>5</v>
      </c>
      <c r="AL47" s="104">
        <f t="shared" si="250"/>
        <v>0</v>
      </c>
      <c r="AM47" s="102"/>
      <c r="AN47" s="1">
        <v>5</v>
      </c>
      <c r="AO47" s="104">
        <f t="shared" si="251"/>
        <v>0</v>
      </c>
      <c r="AP47" s="102"/>
      <c r="AQ47" s="1">
        <v>5</v>
      </c>
      <c r="AR47" s="104">
        <f t="shared" si="252"/>
        <v>0</v>
      </c>
      <c r="AS47" s="102"/>
      <c r="AT47" s="1">
        <v>5</v>
      </c>
      <c r="AU47" s="104">
        <f t="shared" si="253"/>
        <v>0</v>
      </c>
      <c r="AV47" s="102"/>
      <c r="AW47" s="1">
        <v>5</v>
      </c>
      <c r="AX47" s="104">
        <f t="shared" si="254"/>
        <v>0</v>
      </c>
      <c r="AY47" s="102"/>
      <c r="AZ47" s="1">
        <v>5</v>
      </c>
      <c r="BA47" s="104">
        <f t="shared" si="255"/>
        <v>0</v>
      </c>
      <c r="BB47" s="102"/>
      <c r="BC47" s="1">
        <v>5</v>
      </c>
      <c r="BD47" s="104">
        <f t="shared" si="256"/>
        <v>0</v>
      </c>
      <c r="BE47" s="102"/>
      <c r="BF47" s="1">
        <v>5</v>
      </c>
      <c r="BG47" s="104">
        <f t="shared" si="257"/>
        <v>0</v>
      </c>
      <c r="BH47" s="102"/>
      <c r="BI47" s="1">
        <v>5</v>
      </c>
      <c r="BJ47" s="104">
        <f t="shared" si="258"/>
        <v>0</v>
      </c>
      <c r="BK47" s="102"/>
      <c r="BL47" s="1">
        <v>5</v>
      </c>
      <c r="BM47" s="104">
        <f t="shared" si="259"/>
        <v>0</v>
      </c>
      <c r="BN47" s="102"/>
      <c r="BO47" s="1">
        <v>5</v>
      </c>
      <c r="BP47" s="104">
        <f t="shared" si="260"/>
        <v>0</v>
      </c>
      <c r="BQ47" s="102"/>
      <c r="BR47" s="1">
        <v>5</v>
      </c>
      <c r="BS47" s="104">
        <f t="shared" si="261"/>
        <v>0</v>
      </c>
      <c r="BT47" s="102"/>
      <c r="BU47" s="1">
        <v>5</v>
      </c>
      <c r="BV47" s="104">
        <f t="shared" si="262"/>
        <v>0</v>
      </c>
      <c r="BW47" s="102"/>
      <c r="BX47" s="1">
        <v>5</v>
      </c>
      <c r="BY47" s="104">
        <f t="shared" si="263"/>
        <v>0</v>
      </c>
      <c r="BZ47" s="102"/>
      <c r="CA47" s="1">
        <v>5</v>
      </c>
      <c r="CB47" s="104">
        <f t="shared" si="264"/>
        <v>0</v>
      </c>
      <c r="CC47" s="102"/>
      <c r="CD47" s="1">
        <v>5</v>
      </c>
      <c r="CE47" s="104">
        <f t="shared" si="265"/>
        <v>0</v>
      </c>
      <c r="CF47" s="102"/>
      <c r="CG47" s="1">
        <v>5</v>
      </c>
      <c r="CH47" s="104">
        <f t="shared" si="266"/>
        <v>0</v>
      </c>
      <c r="CI47" s="102"/>
      <c r="CJ47" s="1">
        <v>5</v>
      </c>
      <c r="CK47" s="104">
        <f t="shared" si="267"/>
        <v>0</v>
      </c>
      <c r="CL47" s="102"/>
      <c r="CM47" s="1">
        <v>5</v>
      </c>
      <c r="CN47" s="104">
        <f t="shared" si="268"/>
        <v>0</v>
      </c>
      <c r="CO47" s="102"/>
      <c r="CP47" s="1">
        <v>5</v>
      </c>
      <c r="CQ47" s="104">
        <f t="shared" si="269"/>
        <v>0</v>
      </c>
      <c r="CR47" s="102"/>
      <c r="CS47" s="1">
        <v>5</v>
      </c>
      <c r="CT47" s="104">
        <f t="shared" si="270"/>
        <v>0</v>
      </c>
      <c r="CU47" s="102"/>
      <c r="CV47" s="1">
        <v>5</v>
      </c>
      <c r="CW47" s="104">
        <f t="shared" si="271"/>
        <v>0</v>
      </c>
      <c r="CX47" s="102"/>
      <c r="CY47" s="1">
        <v>5</v>
      </c>
      <c r="CZ47" s="104">
        <f t="shared" si="272"/>
        <v>0</v>
      </c>
      <c r="DA47" s="102"/>
      <c r="DB47" s="1">
        <v>5</v>
      </c>
      <c r="DC47" s="104">
        <f t="shared" si="273"/>
        <v>0</v>
      </c>
      <c r="DD47" s="102"/>
      <c r="DE47" s="1">
        <v>5</v>
      </c>
      <c r="DF47" s="104">
        <f t="shared" si="274"/>
        <v>0</v>
      </c>
      <c r="DG47" s="102"/>
      <c r="DH47" s="1">
        <v>5</v>
      </c>
      <c r="DI47" s="104">
        <f t="shared" si="275"/>
        <v>0</v>
      </c>
      <c r="DJ47" s="102"/>
      <c r="DK47" s="1">
        <v>5</v>
      </c>
      <c r="DL47" s="104">
        <f t="shared" si="276"/>
        <v>0</v>
      </c>
      <c r="DM47" s="102"/>
      <c r="DN47" s="1">
        <v>5</v>
      </c>
      <c r="DO47" s="104">
        <f t="shared" si="277"/>
        <v>0</v>
      </c>
      <c r="DP47" s="102"/>
      <c r="DQ47" s="1">
        <v>5</v>
      </c>
      <c r="DR47" s="104">
        <f t="shared" si="278"/>
        <v>0</v>
      </c>
      <c r="DS47" s="102"/>
      <c r="DT47" s="1">
        <v>5</v>
      </c>
      <c r="DU47" s="104">
        <f t="shared" si="279"/>
        <v>0</v>
      </c>
      <c r="DV47" s="102"/>
      <c r="DW47" s="1">
        <v>5</v>
      </c>
      <c r="DX47" s="104">
        <f t="shared" si="280"/>
        <v>0</v>
      </c>
      <c r="DY47" s="102"/>
      <c r="DZ47" s="1">
        <v>5</v>
      </c>
      <c r="EA47" s="104">
        <f t="shared" si="281"/>
        <v>0</v>
      </c>
      <c r="EB47" s="102"/>
      <c r="EC47" s="1">
        <v>5</v>
      </c>
      <c r="ED47" s="104">
        <f t="shared" si="282"/>
        <v>0</v>
      </c>
      <c r="EE47" s="102"/>
      <c r="EF47" s="1">
        <v>5</v>
      </c>
      <c r="EG47" s="104">
        <f t="shared" si="283"/>
        <v>0</v>
      </c>
      <c r="EH47" s="102"/>
      <c r="EI47" s="1">
        <v>5</v>
      </c>
      <c r="EJ47" s="104">
        <f t="shared" si="284"/>
        <v>0</v>
      </c>
      <c r="EK47" s="102"/>
      <c r="EL47" s="1">
        <v>5</v>
      </c>
      <c r="EM47" s="104">
        <f t="shared" si="285"/>
        <v>0</v>
      </c>
      <c r="EN47" s="102"/>
      <c r="EO47" s="1">
        <v>5</v>
      </c>
      <c r="EP47" s="104">
        <f t="shared" si="286"/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26.5" customHeight="1" spans="1:148" x14ac:dyDescent="0.25">
      <c r="A48" s="198" t="s">
        <v>151</v>
      </c>
      <c r="B48" s="101"/>
      <c r="C48" s="102"/>
      <c r="D48" s="103">
        <v>5</v>
      </c>
      <c r="E48" s="104">
        <f t="shared" si="239"/>
        <v>0</v>
      </c>
      <c r="F48" s="102"/>
      <c r="G48" s="103">
        <v>5</v>
      </c>
      <c r="H48" s="104">
        <f t="shared" si="240"/>
        <v>0</v>
      </c>
      <c r="I48" s="105"/>
      <c r="J48" s="103">
        <v>5</v>
      </c>
      <c r="K48" s="104">
        <f t="shared" si="241"/>
        <v>0</v>
      </c>
      <c r="L48" s="105"/>
      <c r="M48" s="103">
        <v>5</v>
      </c>
      <c r="N48" s="104">
        <f t="shared" si="242"/>
        <v>0</v>
      </c>
      <c r="O48" s="106"/>
      <c r="P48" s="107">
        <v>5</v>
      </c>
      <c r="Q48" s="104">
        <f t="shared" si="243"/>
        <v>0</v>
      </c>
      <c r="R48" s="102"/>
      <c r="S48" s="107">
        <v>5</v>
      </c>
      <c r="T48" s="104">
        <f t="shared" si="244"/>
        <v>0</v>
      </c>
      <c r="U48" s="102"/>
      <c r="V48" s="107">
        <v>5</v>
      </c>
      <c r="W48" s="104">
        <f t="shared" si="245"/>
        <v>0</v>
      </c>
      <c r="X48" s="102"/>
      <c r="Y48" s="107">
        <v>5</v>
      </c>
      <c r="Z48" s="104">
        <f t="shared" si="246"/>
        <v>0</v>
      </c>
      <c r="AA48" s="106"/>
      <c r="AB48" s="107">
        <v>5</v>
      </c>
      <c r="AC48" s="104">
        <f t="shared" si="247"/>
        <v>0</v>
      </c>
      <c r="AD48" s="106"/>
      <c r="AE48" s="107">
        <v>5</v>
      </c>
      <c r="AF48" s="104">
        <f t="shared" si="248"/>
        <v>0</v>
      </c>
      <c r="AG48" s="106"/>
      <c r="AH48" s="107">
        <v>5</v>
      </c>
      <c r="AI48" s="104">
        <f t="shared" si="249"/>
        <v>0</v>
      </c>
      <c r="AJ48" s="106"/>
      <c r="AK48" s="107">
        <v>5</v>
      </c>
      <c r="AL48" s="104">
        <f t="shared" si="250"/>
        <v>0</v>
      </c>
      <c r="AM48" s="102"/>
      <c r="AN48" s="1">
        <v>5</v>
      </c>
      <c r="AO48" s="104">
        <f t="shared" si="251"/>
        <v>0</v>
      </c>
      <c r="AP48" s="102"/>
      <c r="AQ48" s="1">
        <v>5</v>
      </c>
      <c r="AR48" s="104">
        <f t="shared" si="252"/>
        <v>0</v>
      </c>
      <c r="AS48" s="102"/>
      <c r="AT48" s="1">
        <v>5</v>
      </c>
      <c r="AU48" s="104">
        <f t="shared" si="253"/>
        <v>0</v>
      </c>
      <c r="AV48" s="102"/>
      <c r="AW48" s="1">
        <v>5</v>
      </c>
      <c r="AX48" s="104">
        <f t="shared" si="254"/>
        <v>0</v>
      </c>
      <c r="AY48" s="102"/>
      <c r="AZ48" s="1">
        <v>5</v>
      </c>
      <c r="BA48" s="104">
        <f t="shared" si="255"/>
        <v>0</v>
      </c>
      <c r="BB48" s="102"/>
      <c r="BC48" s="1">
        <v>5</v>
      </c>
      <c r="BD48" s="104">
        <f t="shared" si="256"/>
        <v>0</v>
      </c>
      <c r="BE48" s="102"/>
      <c r="BF48" s="1">
        <v>5</v>
      </c>
      <c r="BG48" s="104">
        <f t="shared" si="257"/>
        <v>0</v>
      </c>
      <c r="BH48" s="102"/>
      <c r="BI48" s="1">
        <v>5</v>
      </c>
      <c r="BJ48" s="104">
        <f t="shared" si="258"/>
        <v>0</v>
      </c>
      <c r="BK48" s="102"/>
      <c r="BL48" s="1">
        <v>5</v>
      </c>
      <c r="BM48" s="104">
        <f t="shared" si="259"/>
        <v>0</v>
      </c>
      <c r="BN48" s="102"/>
      <c r="BO48" s="1">
        <v>5</v>
      </c>
      <c r="BP48" s="104">
        <f t="shared" si="260"/>
        <v>0</v>
      </c>
      <c r="BQ48" s="102"/>
      <c r="BR48" s="1">
        <v>5</v>
      </c>
      <c r="BS48" s="104">
        <f t="shared" si="261"/>
        <v>0</v>
      </c>
      <c r="BT48" s="102"/>
      <c r="BU48" s="1">
        <v>5</v>
      </c>
      <c r="BV48" s="104">
        <f t="shared" si="262"/>
        <v>0</v>
      </c>
      <c r="BW48" s="102"/>
      <c r="BX48" s="1">
        <v>5</v>
      </c>
      <c r="BY48" s="104">
        <f t="shared" si="263"/>
        <v>0</v>
      </c>
      <c r="BZ48" s="102"/>
      <c r="CA48" s="1">
        <v>5</v>
      </c>
      <c r="CB48" s="104">
        <f t="shared" si="264"/>
        <v>0</v>
      </c>
      <c r="CC48" s="102"/>
      <c r="CD48" s="1">
        <v>5</v>
      </c>
      <c r="CE48" s="104">
        <f t="shared" si="265"/>
        <v>0</v>
      </c>
      <c r="CF48" s="102"/>
      <c r="CG48" s="1">
        <v>5</v>
      </c>
      <c r="CH48" s="104">
        <f t="shared" si="266"/>
        <v>0</v>
      </c>
      <c r="CI48" s="102"/>
      <c r="CJ48" s="1">
        <v>5</v>
      </c>
      <c r="CK48" s="104">
        <f t="shared" si="267"/>
        <v>0</v>
      </c>
      <c r="CL48" s="102"/>
      <c r="CM48" s="1">
        <v>5</v>
      </c>
      <c r="CN48" s="104">
        <f t="shared" si="268"/>
        <v>0</v>
      </c>
      <c r="CO48" s="102"/>
      <c r="CP48" s="1">
        <v>5</v>
      </c>
      <c r="CQ48" s="104">
        <f t="shared" si="269"/>
        <v>0</v>
      </c>
      <c r="CR48" s="102"/>
      <c r="CS48" s="1">
        <v>5</v>
      </c>
      <c r="CT48" s="104">
        <f t="shared" si="270"/>
        <v>0</v>
      </c>
      <c r="CU48" s="102"/>
      <c r="CV48" s="1">
        <v>5</v>
      </c>
      <c r="CW48" s="104">
        <f t="shared" si="271"/>
        <v>0</v>
      </c>
      <c r="CX48" s="102"/>
      <c r="CY48" s="1">
        <v>5</v>
      </c>
      <c r="CZ48" s="104">
        <f t="shared" si="272"/>
        <v>0</v>
      </c>
      <c r="DA48" s="102"/>
      <c r="DB48" s="1">
        <v>5</v>
      </c>
      <c r="DC48" s="104">
        <f t="shared" si="273"/>
        <v>0</v>
      </c>
      <c r="DD48" s="102"/>
      <c r="DE48" s="1">
        <v>5</v>
      </c>
      <c r="DF48" s="104">
        <f t="shared" si="274"/>
        <v>0</v>
      </c>
      <c r="DG48" s="102"/>
      <c r="DH48" s="1">
        <v>5</v>
      </c>
      <c r="DI48" s="104">
        <f t="shared" si="275"/>
        <v>0</v>
      </c>
      <c r="DJ48" s="102"/>
      <c r="DK48" s="1">
        <v>5</v>
      </c>
      <c r="DL48" s="104">
        <f t="shared" si="276"/>
        <v>0</v>
      </c>
      <c r="DM48" s="102"/>
      <c r="DN48" s="1">
        <v>5</v>
      </c>
      <c r="DO48" s="104">
        <f t="shared" si="277"/>
        <v>0</v>
      </c>
      <c r="DP48" s="102"/>
      <c r="DQ48" s="1">
        <v>5</v>
      </c>
      <c r="DR48" s="104">
        <f t="shared" si="278"/>
        <v>0</v>
      </c>
      <c r="DS48" s="102"/>
      <c r="DT48" s="1">
        <v>5</v>
      </c>
      <c r="DU48" s="104">
        <f t="shared" si="279"/>
        <v>0</v>
      </c>
      <c r="DV48" s="102"/>
      <c r="DW48" s="1">
        <v>5</v>
      </c>
      <c r="DX48" s="104">
        <f t="shared" si="280"/>
        <v>0</v>
      </c>
      <c r="DY48" s="102"/>
      <c r="DZ48" s="1">
        <v>5</v>
      </c>
      <c r="EA48" s="104">
        <f t="shared" si="281"/>
        <v>0</v>
      </c>
      <c r="EB48" s="102"/>
      <c r="EC48" s="1">
        <v>5</v>
      </c>
      <c r="ED48" s="104">
        <f t="shared" si="282"/>
        <v>0</v>
      </c>
      <c r="EE48" s="102"/>
      <c r="EF48" s="1">
        <v>5</v>
      </c>
      <c r="EG48" s="104">
        <f t="shared" si="283"/>
        <v>0</v>
      </c>
      <c r="EH48" s="102"/>
      <c r="EI48" s="1">
        <v>5</v>
      </c>
      <c r="EJ48" s="104">
        <f t="shared" si="284"/>
        <v>0</v>
      </c>
      <c r="EK48" s="102"/>
      <c r="EL48" s="1">
        <v>5</v>
      </c>
      <c r="EM48" s="104">
        <f t="shared" si="285"/>
        <v>0</v>
      </c>
      <c r="EN48" s="102"/>
      <c r="EO48" s="1">
        <v>5</v>
      </c>
      <c r="EP48" s="104">
        <f t="shared" si="286"/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15" customHeight="1" spans="1:148" x14ac:dyDescent="0.25">
      <c r="A49" s="195" t="s">
        <v>116</v>
      </c>
      <c r="B49" s="101"/>
      <c r="C49" s="102"/>
      <c r="D49" s="103">
        <v>5</v>
      </c>
      <c r="E49" s="104">
        <f t="shared" si="239"/>
        <v>0</v>
      </c>
      <c r="F49" s="102"/>
      <c r="G49" s="103">
        <v>5</v>
      </c>
      <c r="H49" s="104">
        <f t="shared" si="240"/>
        <v>0</v>
      </c>
      <c r="I49" s="105"/>
      <c r="J49" s="103">
        <v>5</v>
      </c>
      <c r="K49" s="104">
        <f t="shared" si="241"/>
        <v>0</v>
      </c>
      <c r="L49" s="105"/>
      <c r="M49" s="103">
        <v>5</v>
      </c>
      <c r="N49" s="104">
        <f t="shared" si="242"/>
        <v>0</v>
      </c>
      <c r="O49" s="106"/>
      <c r="P49" s="107">
        <v>5</v>
      </c>
      <c r="Q49" s="104">
        <f t="shared" si="243"/>
        <v>0</v>
      </c>
      <c r="R49" s="102"/>
      <c r="S49" s="107">
        <v>5</v>
      </c>
      <c r="T49" s="104">
        <f t="shared" si="244"/>
        <v>0</v>
      </c>
      <c r="U49" s="102"/>
      <c r="V49" s="107">
        <v>5</v>
      </c>
      <c r="W49" s="104">
        <f t="shared" si="245"/>
        <v>0</v>
      </c>
      <c r="X49" s="102"/>
      <c r="Y49" s="107">
        <v>5</v>
      </c>
      <c r="Z49" s="104">
        <f t="shared" si="246"/>
        <v>0</v>
      </c>
      <c r="AA49" s="106"/>
      <c r="AB49" s="107">
        <v>5</v>
      </c>
      <c r="AC49" s="104">
        <f t="shared" si="247"/>
        <v>0</v>
      </c>
      <c r="AD49" s="106"/>
      <c r="AE49" s="107">
        <v>5</v>
      </c>
      <c r="AF49" s="104">
        <f t="shared" si="248"/>
        <v>0</v>
      </c>
      <c r="AG49" s="106"/>
      <c r="AH49" s="107">
        <v>5</v>
      </c>
      <c r="AI49" s="104">
        <f t="shared" si="249"/>
        <v>0</v>
      </c>
      <c r="AJ49" s="106"/>
      <c r="AK49" s="107">
        <v>5</v>
      </c>
      <c r="AL49" s="104">
        <f t="shared" si="250"/>
        <v>0</v>
      </c>
      <c r="AM49" s="102"/>
      <c r="AN49" s="1">
        <v>5</v>
      </c>
      <c r="AO49" s="104">
        <f t="shared" si="251"/>
        <v>0</v>
      </c>
      <c r="AP49" s="102"/>
      <c r="AQ49" s="1">
        <v>5</v>
      </c>
      <c r="AR49" s="104">
        <f t="shared" si="252"/>
        <v>0</v>
      </c>
      <c r="AS49" s="102"/>
      <c r="AT49" s="1">
        <v>5</v>
      </c>
      <c r="AU49" s="104">
        <f t="shared" si="253"/>
        <v>0</v>
      </c>
      <c r="AV49" s="102"/>
      <c r="AW49" s="1">
        <v>5</v>
      </c>
      <c r="AX49" s="104">
        <f t="shared" si="254"/>
        <v>0</v>
      </c>
      <c r="AY49" s="102"/>
      <c r="AZ49" s="1">
        <v>5</v>
      </c>
      <c r="BA49" s="104">
        <f t="shared" si="255"/>
        <v>0</v>
      </c>
      <c r="BB49" s="102"/>
      <c r="BC49" s="1">
        <v>5</v>
      </c>
      <c r="BD49" s="104">
        <f t="shared" si="256"/>
        <v>0</v>
      </c>
      <c r="BE49" s="102"/>
      <c r="BF49" s="1">
        <v>5</v>
      </c>
      <c r="BG49" s="104">
        <f t="shared" si="257"/>
        <v>0</v>
      </c>
      <c r="BH49" s="102"/>
      <c r="BI49" s="1">
        <v>5</v>
      </c>
      <c r="BJ49" s="104">
        <f t="shared" si="258"/>
        <v>0</v>
      </c>
      <c r="BK49" s="102"/>
      <c r="BL49" s="1">
        <v>5</v>
      </c>
      <c r="BM49" s="104">
        <f t="shared" si="259"/>
        <v>0</v>
      </c>
      <c r="BN49" s="102"/>
      <c r="BO49" s="1">
        <v>5</v>
      </c>
      <c r="BP49" s="104">
        <f t="shared" si="260"/>
        <v>0</v>
      </c>
      <c r="BQ49" s="102"/>
      <c r="BR49" s="1">
        <v>5</v>
      </c>
      <c r="BS49" s="104">
        <f t="shared" si="261"/>
        <v>0</v>
      </c>
      <c r="BT49" s="102"/>
      <c r="BU49" s="1">
        <v>5</v>
      </c>
      <c r="BV49" s="104">
        <f t="shared" si="262"/>
        <v>0</v>
      </c>
      <c r="BW49" s="102"/>
      <c r="BX49" s="1">
        <v>5</v>
      </c>
      <c r="BY49" s="104">
        <f t="shared" si="263"/>
        <v>0</v>
      </c>
      <c r="BZ49" s="102"/>
      <c r="CA49" s="1">
        <v>5</v>
      </c>
      <c r="CB49" s="104">
        <f t="shared" si="264"/>
        <v>0</v>
      </c>
      <c r="CC49" s="102"/>
      <c r="CD49" s="1">
        <v>5</v>
      </c>
      <c r="CE49" s="104">
        <f t="shared" si="265"/>
        <v>0</v>
      </c>
      <c r="CF49" s="102"/>
      <c r="CG49" s="1">
        <v>5</v>
      </c>
      <c r="CH49" s="104">
        <f t="shared" si="266"/>
        <v>0</v>
      </c>
      <c r="CI49" s="102"/>
      <c r="CJ49" s="1">
        <v>5</v>
      </c>
      <c r="CK49" s="104">
        <f t="shared" si="267"/>
        <v>0</v>
      </c>
      <c r="CL49" s="102"/>
      <c r="CM49" s="1">
        <v>5</v>
      </c>
      <c r="CN49" s="104">
        <f t="shared" si="268"/>
        <v>0</v>
      </c>
      <c r="CO49" s="102"/>
      <c r="CP49" s="1">
        <v>5</v>
      </c>
      <c r="CQ49" s="104">
        <f t="shared" si="269"/>
        <v>0</v>
      </c>
      <c r="CR49" s="102"/>
      <c r="CS49" s="1">
        <v>5</v>
      </c>
      <c r="CT49" s="104">
        <f t="shared" si="270"/>
        <v>0</v>
      </c>
      <c r="CU49" s="102"/>
      <c r="CV49" s="1">
        <v>5</v>
      </c>
      <c r="CW49" s="104">
        <f t="shared" si="271"/>
        <v>0</v>
      </c>
      <c r="CX49" s="102"/>
      <c r="CY49" s="1">
        <v>5</v>
      </c>
      <c r="CZ49" s="104">
        <f t="shared" si="272"/>
        <v>0</v>
      </c>
      <c r="DA49" s="102"/>
      <c r="DB49" s="1">
        <v>5</v>
      </c>
      <c r="DC49" s="104">
        <f t="shared" si="273"/>
        <v>0</v>
      </c>
      <c r="DD49" s="102"/>
      <c r="DE49" s="1">
        <v>5</v>
      </c>
      <c r="DF49" s="104">
        <f t="shared" si="274"/>
        <v>0</v>
      </c>
      <c r="DG49" s="102"/>
      <c r="DH49" s="1">
        <v>5</v>
      </c>
      <c r="DI49" s="104">
        <f t="shared" si="275"/>
        <v>0</v>
      </c>
      <c r="DJ49" s="102"/>
      <c r="DK49" s="1">
        <v>5</v>
      </c>
      <c r="DL49" s="104">
        <f t="shared" si="276"/>
        <v>0</v>
      </c>
      <c r="DM49" s="102"/>
      <c r="DN49" s="1">
        <v>5</v>
      </c>
      <c r="DO49" s="104">
        <f t="shared" si="277"/>
        <v>0</v>
      </c>
      <c r="DP49" s="102"/>
      <c r="DQ49" s="1">
        <v>5</v>
      </c>
      <c r="DR49" s="104">
        <f t="shared" si="278"/>
        <v>0</v>
      </c>
      <c r="DS49" s="102"/>
      <c r="DT49" s="1">
        <v>5</v>
      </c>
      <c r="DU49" s="104">
        <f t="shared" si="279"/>
        <v>0</v>
      </c>
      <c r="DV49" s="102"/>
      <c r="DW49" s="1">
        <v>5</v>
      </c>
      <c r="DX49" s="104">
        <f t="shared" si="280"/>
        <v>0</v>
      </c>
      <c r="DY49" s="102"/>
      <c r="DZ49" s="1">
        <v>5</v>
      </c>
      <c r="EA49" s="104">
        <f t="shared" si="281"/>
        <v>0</v>
      </c>
      <c r="EB49" s="102"/>
      <c r="EC49" s="1">
        <v>5</v>
      </c>
      <c r="ED49" s="104">
        <f t="shared" si="282"/>
        <v>0</v>
      </c>
      <c r="EE49" s="102"/>
      <c r="EF49" s="1">
        <v>5</v>
      </c>
      <c r="EG49" s="104">
        <f t="shared" si="283"/>
        <v>0</v>
      </c>
      <c r="EH49" s="102"/>
      <c r="EI49" s="1">
        <v>5</v>
      </c>
      <c r="EJ49" s="104">
        <f t="shared" si="284"/>
        <v>0</v>
      </c>
      <c r="EK49" s="102"/>
      <c r="EL49" s="1">
        <v>5</v>
      </c>
      <c r="EM49" s="104">
        <f t="shared" si="285"/>
        <v>0</v>
      </c>
      <c r="EN49" s="102"/>
      <c r="EO49" s="1">
        <v>5</v>
      </c>
      <c r="EP49" s="104">
        <f t="shared" si="286"/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15" customHeight="1" spans="1:148" x14ac:dyDescent="0.25">
      <c r="A50" s="195" t="s">
        <v>117</v>
      </c>
      <c r="B50" s="101"/>
      <c r="C50" s="102"/>
      <c r="D50" s="103">
        <v>5</v>
      </c>
      <c r="E50" s="104">
        <f t="shared" ref="E50:E55" si="287">C50/D50</f>
        <v>0</v>
      </c>
      <c r="F50" s="102"/>
      <c r="G50" s="103">
        <v>5</v>
      </c>
      <c r="H50" s="104">
        <f t="shared" ref="H50:H55" si="288">F50/G50</f>
        <v>0</v>
      </c>
      <c r="I50" s="105"/>
      <c r="J50" s="103">
        <v>5</v>
      </c>
      <c r="K50" s="104">
        <f t="shared" ref="K50:K55" si="289">I50/J50</f>
        <v>0</v>
      </c>
      <c r="L50" s="105"/>
      <c r="M50" s="103">
        <v>5</v>
      </c>
      <c r="N50" s="104">
        <f t="shared" ref="N50:N55" si="290">L50/M50</f>
        <v>0</v>
      </c>
      <c r="O50" s="106"/>
      <c r="P50" s="107">
        <v>5</v>
      </c>
      <c r="Q50" s="104">
        <f t="shared" ref="Q50:Q55" si="291">O50/P50</f>
        <v>0</v>
      </c>
      <c r="R50" s="102"/>
      <c r="S50" s="107">
        <v>5</v>
      </c>
      <c r="T50" s="104">
        <f t="shared" ref="T50:T55" si="292">R50/S50</f>
        <v>0</v>
      </c>
      <c r="U50" s="102"/>
      <c r="V50" s="107">
        <v>5</v>
      </c>
      <c r="W50" s="104">
        <f t="shared" ref="W50:W55" si="293">U50/V50</f>
        <v>0</v>
      </c>
      <c r="X50" s="102"/>
      <c r="Y50" s="107">
        <v>5</v>
      </c>
      <c r="Z50" s="104">
        <f t="shared" ref="Z50:Z55" si="294">X50/Y50</f>
        <v>0</v>
      </c>
      <c r="AA50" s="106"/>
      <c r="AB50" s="107">
        <v>5</v>
      </c>
      <c r="AC50" s="104">
        <f t="shared" ref="AC50:AC55" si="295">AA50/AB50</f>
        <v>0</v>
      </c>
      <c r="AD50" s="106"/>
      <c r="AE50" s="107">
        <v>5</v>
      </c>
      <c r="AF50" s="104">
        <f t="shared" ref="AF50:AF55" si="296">AD50/AE50</f>
        <v>0</v>
      </c>
      <c r="AG50" s="106"/>
      <c r="AH50" s="107">
        <v>5</v>
      </c>
      <c r="AI50" s="104">
        <f t="shared" ref="AI50:AI55" si="297">AG50/AH50</f>
        <v>0</v>
      </c>
      <c r="AJ50" s="106"/>
      <c r="AK50" s="107">
        <v>5</v>
      </c>
      <c r="AL50" s="104">
        <f t="shared" ref="AL50:AL55" si="298">AJ50/AK50</f>
        <v>0</v>
      </c>
      <c r="AM50" s="102"/>
      <c r="AN50" s="1">
        <v>5</v>
      </c>
      <c r="AO50" s="104">
        <f t="shared" ref="AO50:AO55" si="299">AM50/AN50</f>
        <v>0</v>
      </c>
      <c r="AP50" s="102"/>
      <c r="AQ50" s="1">
        <v>5</v>
      </c>
      <c r="AR50" s="104">
        <f t="shared" ref="AR50:AR55" si="300">AP50/AQ50</f>
        <v>0</v>
      </c>
      <c r="AS50" s="102"/>
      <c r="AT50" s="1">
        <v>5</v>
      </c>
      <c r="AU50" s="104">
        <f t="shared" ref="AU50:AU55" si="301">AS50/AT50</f>
        <v>0</v>
      </c>
      <c r="AV50" s="102"/>
      <c r="AW50" s="1">
        <v>5</v>
      </c>
      <c r="AX50" s="104">
        <f t="shared" ref="AX50:AX55" si="302">AV50/AW50</f>
        <v>0</v>
      </c>
      <c r="AY50" s="102"/>
      <c r="AZ50" s="1">
        <v>5</v>
      </c>
      <c r="BA50" s="104">
        <f t="shared" ref="BA50:BA55" si="303">AY50/AZ50</f>
        <v>0</v>
      </c>
      <c r="BB50" s="102"/>
      <c r="BC50" s="1">
        <v>5</v>
      </c>
      <c r="BD50" s="104">
        <f t="shared" ref="BD50:BD55" si="304">BB50/BC50</f>
        <v>0</v>
      </c>
      <c r="BE50" s="102"/>
      <c r="BF50" s="1">
        <v>5</v>
      </c>
      <c r="BG50" s="104">
        <f t="shared" ref="BG50:BG55" si="305">BE50/BF50</f>
        <v>0</v>
      </c>
      <c r="BH50" s="102"/>
      <c r="BI50" s="1">
        <v>5</v>
      </c>
      <c r="BJ50" s="104">
        <f t="shared" ref="BJ50:BJ55" si="306">BH50/BI50</f>
        <v>0</v>
      </c>
      <c r="BK50" s="102"/>
      <c r="BL50" s="1">
        <v>5</v>
      </c>
      <c r="BM50" s="104">
        <f t="shared" si="259"/>
        <v>0</v>
      </c>
      <c r="BN50" s="102"/>
      <c r="BO50" s="1">
        <v>5</v>
      </c>
      <c r="BP50" s="104">
        <f t="shared" ref="BP50:BP55" si="307">BN50/BO50</f>
        <v>0</v>
      </c>
      <c r="BQ50" s="102"/>
      <c r="BR50" s="1">
        <v>5</v>
      </c>
      <c r="BS50" s="104">
        <f t="shared" ref="BS50:BS55" si="308">BQ50/BR50</f>
        <v>0</v>
      </c>
      <c r="BT50" s="102"/>
      <c r="BU50" s="1">
        <v>5</v>
      </c>
      <c r="BV50" s="104">
        <f t="shared" ref="BV50:BV55" si="309">BT50/BU50</f>
        <v>0</v>
      </c>
      <c r="BW50" s="102"/>
      <c r="BX50" s="1">
        <v>5</v>
      </c>
      <c r="BY50" s="104">
        <f t="shared" ref="BY50:BY55" si="310">BW50/BX50</f>
        <v>0</v>
      </c>
      <c r="BZ50" s="102"/>
      <c r="CA50" s="1">
        <v>5</v>
      </c>
      <c r="CB50" s="104">
        <f t="shared" ref="CB50:CB55" si="311">BZ50/CA50</f>
        <v>0</v>
      </c>
      <c r="CC50" s="102"/>
      <c r="CD50" s="1">
        <v>5</v>
      </c>
      <c r="CE50" s="104">
        <f t="shared" ref="CE50:CE55" si="312">CC50/CD50</f>
        <v>0</v>
      </c>
      <c r="CF50" s="102"/>
      <c r="CG50" s="1">
        <v>5</v>
      </c>
      <c r="CH50" s="104">
        <f t="shared" ref="CH50:CH55" si="313">CF50/CG50</f>
        <v>0</v>
      </c>
      <c r="CI50" s="102"/>
      <c r="CJ50" s="1">
        <v>5</v>
      </c>
      <c r="CK50" s="104">
        <f t="shared" ref="CK50:CK55" si="314">CI50/CJ50</f>
        <v>0</v>
      </c>
      <c r="CL50" s="102"/>
      <c r="CM50" s="1">
        <v>5</v>
      </c>
      <c r="CN50" s="104">
        <f t="shared" ref="CN50:CN55" si="315">CL50/CM50</f>
        <v>0</v>
      </c>
      <c r="CO50" s="102"/>
      <c r="CP50" s="1">
        <v>5</v>
      </c>
      <c r="CQ50" s="104">
        <f t="shared" ref="CQ50:CQ55" si="316">CO50/CP50</f>
        <v>0</v>
      </c>
      <c r="CR50" s="102"/>
      <c r="CS50" s="1">
        <v>5</v>
      </c>
      <c r="CT50" s="104">
        <f t="shared" ref="CT50:CT55" si="317">CR50/CS50</f>
        <v>0</v>
      </c>
      <c r="CU50" s="102"/>
      <c r="CV50" s="1">
        <v>5</v>
      </c>
      <c r="CW50" s="104">
        <f t="shared" ref="CW50:CW55" si="318">CU50/CV50</f>
        <v>0</v>
      </c>
      <c r="CX50" s="102"/>
      <c r="CY50" s="1">
        <v>5</v>
      </c>
      <c r="CZ50" s="104">
        <f t="shared" ref="CZ50:CZ55" si="319">CX50/CY50</f>
        <v>0</v>
      </c>
      <c r="DA50" s="102"/>
      <c r="DB50" s="1">
        <v>5</v>
      </c>
      <c r="DC50" s="104">
        <f t="shared" ref="DC50:DC55" si="320">DA50/DB50</f>
        <v>0</v>
      </c>
      <c r="DD50" s="102"/>
      <c r="DE50" s="1">
        <v>5</v>
      </c>
      <c r="DF50" s="104">
        <f t="shared" ref="DF50:DF55" si="321">DD50/DE50</f>
        <v>0</v>
      </c>
      <c r="DG50" s="102"/>
      <c r="DH50" s="1">
        <v>5</v>
      </c>
      <c r="DI50" s="104">
        <f t="shared" ref="DI50:DI55" si="322">DG50/DH50</f>
        <v>0</v>
      </c>
      <c r="DJ50" s="102"/>
      <c r="DK50" s="1">
        <v>5</v>
      </c>
      <c r="DL50" s="104">
        <f t="shared" ref="DL50:DL55" si="323">DJ50/DK50</f>
        <v>0</v>
      </c>
      <c r="DM50" s="102"/>
      <c r="DN50" s="1">
        <v>5</v>
      </c>
      <c r="DO50" s="104">
        <f t="shared" ref="DO50:DO55" si="324">DM50/DN50</f>
        <v>0</v>
      </c>
      <c r="DP50" s="102"/>
      <c r="DQ50" s="1">
        <v>5</v>
      </c>
      <c r="DR50" s="104">
        <f t="shared" ref="DR50:DR55" si="325">DP50/DQ50</f>
        <v>0</v>
      </c>
      <c r="DS50" s="102"/>
      <c r="DT50" s="1">
        <v>5</v>
      </c>
      <c r="DU50" s="104">
        <f t="shared" ref="DU50:DU55" si="326">DS50/DT50</f>
        <v>0</v>
      </c>
      <c r="DV50" s="102"/>
      <c r="DW50" s="1">
        <v>5</v>
      </c>
      <c r="DX50" s="104">
        <f t="shared" ref="DX50:DX55" si="327">DV50/DW50</f>
        <v>0</v>
      </c>
      <c r="DY50" s="102"/>
      <c r="DZ50" s="1">
        <v>5</v>
      </c>
      <c r="EA50" s="104">
        <f t="shared" ref="EA50:EA55" si="328">DY50/DZ50</f>
        <v>0</v>
      </c>
      <c r="EB50" s="102"/>
      <c r="EC50" s="1">
        <v>5</v>
      </c>
      <c r="ED50" s="104">
        <f t="shared" ref="ED50:ED55" si="329">EB50/EC50</f>
        <v>0</v>
      </c>
      <c r="EE50" s="102"/>
      <c r="EF50" s="1">
        <v>5</v>
      </c>
      <c r="EG50" s="104">
        <f t="shared" ref="EG50:EG55" si="330">EE50/EF50</f>
        <v>0</v>
      </c>
      <c r="EH50" s="102"/>
      <c r="EI50" s="1">
        <v>5</v>
      </c>
      <c r="EJ50" s="104">
        <f t="shared" ref="EJ50:EJ55" si="331">EH50/EI50</f>
        <v>0</v>
      </c>
      <c r="EK50" s="102"/>
      <c r="EL50" s="1">
        <v>5</v>
      </c>
      <c r="EM50" s="104">
        <f t="shared" ref="EM50:EM55" si="332">EK50/EL50</f>
        <v>0</v>
      </c>
      <c r="EN50" s="102"/>
      <c r="EO50" s="1">
        <v>5</v>
      </c>
      <c r="EP50" s="104">
        <f t="shared" ref="EP50:EP55" si="333">EN50/EO50</f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5" customHeight="1" spans="1:148" x14ac:dyDescent="0.25">
      <c r="A51" s="195" t="s">
        <v>152</v>
      </c>
      <c r="B51" s="101"/>
      <c r="C51" s="102"/>
      <c r="D51" s="103">
        <v>5</v>
      </c>
      <c r="E51" s="104">
        <f t="shared" si="287"/>
        <v>0</v>
      </c>
      <c r="F51" s="102"/>
      <c r="G51" s="103">
        <v>5</v>
      </c>
      <c r="H51" s="104">
        <f t="shared" si="288"/>
        <v>0</v>
      </c>
      <c r="I51" s="105"/>
      <c r="J51" s="103">
        <v>5</v>
      </c>
      <c r="K51" s="104">
        <f t="shared" si="289"/>
        <v>0</v>
      </c>
      <c r="L51" s="105"/>
      <c r="M51" s="103">
        <v>5</v>
      </c>
      <c r="N51" s="104">
        <f t="shared" si="290"/>
        <v>0</v>
      </c>
      <c r="O51" s="106"/>
      <c r="P51" s="107">
        <v>5</v>
      </c>
      <c r="Q51" s="104">
        <f t="shared" si="291"/>
        <v>0</v>
      </c>
      <c r="R51" s="102"/>
      <c r="S51" s="107">
        <v>5</v>
      </c>
      <c r="T51" s="104">
        <f t="shared" si="292"/>
        <v>0</v>
      </c>
      <c r="U51" s="102"/>
      <c r="V51" s="107">
        <v>5</v>
      </c>
      <c r="W51" s="104">
        <f t="shared" si="293"/>
        <v>0</v>
      </c>
      <c r="X51" s="102"/>
      <c r="Y51" s="107">
        <v>5</v>
      </c>
      <c r="Z51" s="104">
        <f t="shared" si="294"/>
        <v>0</v>
      </c>
      <c r="AA51" s="106"/>
      <c r="AB51" s="107">
        <v>5</v>
      </c>
      <c r="AC51" s="104">
        <f t="shared" si="295"/>
        <v>0</v>
      </c>
      <c r="AD51" s="106"/>
      <c r="AE51" s="107">
        <v>5</v>
      </c>
      <c r="AF51" s="104">
        <f t="shared" si="296"/>
        <v>0</v>
      </c>
      <c r="AG51" s="106"/>
      <c r="AH51" s="107">
        <v>5</v>
      </c>
      <c r="AI51" s="104">
        <f t="shared" si="297"/>
        <v>0</v>
      </c>
      <c r="AJ51" s="106"/>
      <c r="AK51" s="107">
        <v>5</v>
      </c>
      <c r="AL51" s="104">
        <f t="shared" si="298"/>
        <v>0</v>
      </c>
      <c r="AM51" s="102"/>
      <c r="AN51" s="1">
        <v>5</v>
      </c>
      <c r="AO51" s="104">
        <f t="shared" si="299"/>
        <v>0</v>
      </c>
      <c r="AP51" s="102"/>
      <c r="AQ51" s="1">
        <v>5</v>
      </c>
      <c r="AR51" s="104">
        <f t="shared" si="300"/>
        <v>0</v>
      </c>
      <c r="AS51" s="102"/>
      <c r="AT51" s="1">
        <v>5</v>
      </c>
      <c r="AU51" s="104">
        <f t="shared" si="301"/>
        <v>0</v>
      </c>
      <c r="AV51" s="102"/>
      <c r="AW51" s="1">
        <v>5</v>
      </c>
      <c r="AX51" s="104">
        <f t="shared" si="302"/>
        <v>0</v>
      </c>
      <c r="AY51" s="102"/>
      <c r="AZ51" s="1">
        <v>5</v>
      </c>
      <c r="BA51" s="104">
        <f t="shared" si="303"/>
        <v>0</v>
      </c>
      <c r="BB51" s="102"/>
      <c r="BC51" s="1">
        <v>5</v>
      </c>
      <c r="BD51" s="104">
        <f t="shared" si="304"/>
        <v>0</v>
      </c>
      <c r="BE51" s="102"/>
      <c r="BF51" s="1">
        <v>5</v>
      </c>
      <c r="BG51" s="104">
        <f t="shared" si="305"/>
        <v>0</v>
      </c>
      <c r="BH51" s="102"/>
      <c r="BI51" s="1">
        <v>5</v>
      </c>
      <c r="BJ51" s="104">
        <f t="shared" si="306"/>
        <v>0</v>
      </c>
      <c r="BK51" s="102"/>
      <c r="BL51" s="1">
        <v>5</v>
      </c>
      <c r="BM51" s="104">
        <f t="shared" si="259"/>
        <v>0</v>
      </c>
      <c r="BN51" s="102"/>
      <c r="BO51" s="1">
        <v>5</v>
      </c>
      <c r="BP51" s="104">
        <f t="shared" si="307"/>
        <v>0</v>
      </c>
      <c r="BQ51" s="102"/>
      <c r="BR51" s="1">
        <v>5</v>
      </c>
      <c r="BS51" s="104">
        <f t="shared" si="308"/>
        <v>0</v>
      </c>
      <c r="BT51" s="102"/>
      <c r="BU51" s="1">
        <v>5</v>
      </c>
      <c r="BV51" s="104">
        <f t="shared" si="309"/>
        <v>0</v>
      </c>
      <c r="BW51" s="102"/>
      <c r="BX51" s="1">
        <v>5</v>
      </c>
      <c r="BY51" s="104">
        <f t="shared" si="310"/>
        <v>0</v>
      </c>
      <c r="BZ51" s="102"/>
      <c r="CA51" s="1">
        <v>5</v>
      </c>
      <c r="CB51" s="104">
        <f t="shared" si="311"/>
        <v>0</v>
      </c>
      <c r="CC51" s="102"/>
      <c r="CD51" s="1">
        <v>5</v>
      </c>
      <c r="CE51" s="104">
        <f t="shared" si="312"/>
        <v>0</v>
      </c>
      <c r="CF51" s="102"/>
      <c r="CG51" s="1">
        <v>5</v>
      </c>
      <c r="CH51" s="104">
        <f t="shared" si="313"/>
        <v>0</v>
      </c>
      <c r="CI51" s="102"/>
      <c r="CJ51" s="1">
        <v>5</v>
      </c>
      <c r="CK51" s="104">
        <f t="shared" si="314"/>
        <v>0</v>
      </c>
      <c r="CL51" s="102"/>
      <c r="CM51" s="1">
        <v>5</v>
      </c>
      <c r="CN51" s="104">
        <f t="shared" si="315"/>
        <v>0</v>
      </c>
      <c r="CO51" s="102"/>
      <c r="CP51" s="1">
        <v>5</v>
      </c>
      <c r="CQ51" s="104">
        <f t="shared" si="316"/>
        <v>0</v>
      </c>
      <c r="CR51" s="102"/>
      <c r="CS51" s="1">
        <v>5</v>
      </c>
      <c r="CT51" s="104">
        <f t="shared" si="317"/>
        <v>0</v>
      </c>
      <c r="CU51" s="102"/>
      <c r="CV51" s="1">
        <v>5</v>
      </c>
      <c r="CW51" s="104">
        <f t="shared" si="318"/>
        <v>0</v>
      </c>
      <c r="CX51" s="102"/>
      <c r="CY51" s="1">
        <v>5</v>
      </c>
      <c r="CZ51" s="104">
        <f t="shared" si="319"/>
        <v>0</v>
      </c>
      <c r="DA51" s="102"/>
      <c r="DB51" s="1">
        <v>5</v>
      </c>
      <c r="DC51" s="104">
        <f t="shared" si="320"/>
        <v>0</v>
      </c>
      <c r="DD51" s="102"/>
      <c r="DE51" s="1">
        <v>5</v>
      </c>
      <c r="DF51" s="104">
        <f t="shared" si="321"/>
        <v>0</v>
      </c>
      <c r="DG51" s="102"/>
      <c r="DH51" s="1">
        <v>5</v>
      </c>
      <c r="DI51" s="104">
        <f t="shared" si="322"/>
        <v>0</v>
      </c>
      <c r="DJ51" s="102"/>
      <c r="DK51" s="1">
        <v>5</v>
      </c>
      <c r="DL51" s="104">
        <f t="shared" si="323"/>
        <v>0</v>
      </c>
      <c r="DM51" s="102"/>
      <c r="DN51" s="1">
        <v>5</v>
      </c>
      <c r="DO51" s="104">
        <f t="shared" si="324"/>
        <v>0</v>
      </c>
      <c r="DP51" s="102"/>
      <c r="DQ51" s="1">
        <v>5</v>
      </c>
      <c r="DR51" s="104">
        <f t="shared" si="325"/>
        <v>0</v>
      </c>
      <c r="DS51" s="102"/>
      <c r="DT51" s="1">
        <v>5</v>
      </c>
      <c r="DU51" s="104">
        <f t="shared" si="326"/>
        <v>0</v>
      </c>
      <c r="DV51" s="102"/>
      <c r="DW51" s="1">
        <v>5</v>
      </c>
      <c r="DX51" s="104">
        <f t="shared" si="327"/>
        <v>0</v>
      </c>
      <c r="DY51" s="102"/>
      <c r="DZ51" s="1">
        <v>5</v>
      </c>
      <c r="EA51" s="104">
        <f t="shared" si="328"/>
        <v>0</v>
      </c>
      <c r="EB51" s="102"/>
      <c r="EC51" s="1">
        <v>5</v>
      </c>
      <c r="ED51" s="104">
        <f t="shared" si="329"/>
        <v>0</v>
      </c>
      <c r="EE51" s="102"/>
      <c r="EF51" s="1">
        <v>5</v>
      </c>
      <c r="EG51" s="104">
        <f t="shared" si="330"/>
        <v>0</v>
      </c>
      <c r="EH51" s="102"/>
      <c r="EI51" s="1">
        <v>5</v>
      </c>
      <c r="EJ51" s="104">
        <f t="shared" si="331"/>
        <v>0</v>
      </c>
      <c r="EK51" s="102"/>
      <c r="EL51" s="1">
        <v>5</v>
      </c>
      <c r="EM51" s="104">
        <f t="shared" si="332"/>
        <v>0</v>
      </c>
      <c r="EN51" s="102"/>
      <c r="EO51" s="1">
        <v>5</v>
      </c>
      <c r="EP51" s="104">
        <f t="shared" si="333"/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16" customHeight="1" spans="1:148" x14ac:dyDescent="0.25">
      <c r="A52" s="195" t="s">
        <v>118</v>
      </c>
      <c r="B52" s="101"/>
      <c r="C52" s="102"/>
      <c r="D52" s="103">
        <v>5</v>
      </c>
      <c r="E52" s="104">
        <f t="shared" si="287"/>
        <v>0</v>
      </c>
      <c r="F52" s="102"/>
      <c r="G52" s="103">
        <v>5</v>
      </c>
      <c r="H52" s="104">
        <f t="shared" si="288"/>
        <v>0</v>
      </c>
      <c r="I52" s="105"/>
      <c r="J52" s="103">
        <v>5</v>
      </c>
      <c r="K52" s="104">
        <f t="shared" si="289"/>
        <v>0</v>
      </c>
      <c r="L52" s="105"/>
      <c r="M52" s="103">
        <v>5</v>
      </c>
      <c r="N52" s="104">
        <f t="shared" si="290"/>
        <v>0</v>
      </c>
      <c r="O52" s="106"/>
      <c r="P52" s="107">
        <v>5</v>
      </c>
      <c r="Q52" s="104">
        <f t="shared" si="291"/>
        <v>0</v>
      </c>
      <c r="R52" s="102"/>
      <c r="S52" s="107">
        <v>5</v>
      </c>
      <c r="T52" s="104">
        <f t="shared" si="292"/>
        <v>0</v>
      </c>
      <c r="U52" s="102"/>
      <c r="V52" s="107">
        <v>5</v>
      </c>
      <c r="W52" s="104">
        <f t="shared" si="293"/>
        <v>0</v>
      </c>
      <c r="X52" s="102"/>
      <c r="Y52" s="107">
        <v>5</v>
      </c>
      <c r="Z52" s="104">
        <f t="shared" si="294"/>
        <v>0</v>
      </c>
      <c r="AA52" s="106"/>
      <c r="AB52" s="107">
        <v>5</v>
      </c>
      <c r="AC52" s="104">
        <f t="shared" si="295"/>
        <v>0</v>
      </c>
      <c r="AD52" s="106"/>
      <c r="AE52" s="107">
        <v>5</v>
      </c>
      <c r="AF52" s="104">
        <f t="shared" si="296"/>
        <v>0</v>
      </c>
      <c r="AG52" s="106"/>
      <c r="AH52" s="107">
        <v>5</v>
      </c>
      <c r="AI52" s="104">
        <f t="shared" si="297"/>
        <v>0</v>
      </c>
      <c r="AJ52" s="106"/>
      <c r="AK52" s="107">
        <v>5</v>
      </c>
      <c r="AL52" s="104">
        <f t="shared" si="298"/>
        <v>0</v>
      </c>
      <c r="AM52" s="102"/>
      <c r="AN52" s="1">
        <v>5</v>
      </c>
      <c r="AO52" s="104">
        <f t="shared" si="299"/>
        <v>0</v>
      </c>
      <c r="AP52" s="102"/>
      <c r="AQ52" s="1">
        <v>5</v>
      </c>
      <c r="AR52" s="104">
        <f t="shared" si="300"/>
        <v>0</v>
      </c>
      <c r="AS52" s="102"/>
      <c r="AT52" s="1">
        <v>5</v>
      </c>
      <c r="AU52" s="104">
        <f t="shared" si="301"/>
        <v>0</v>
      </c>
      <c r="AV52" s="102"/>
      <c r="AW52" s="1">
        <v>5</v>
      </c>
      <c r="AX52" s="104">
        <f t="shared" si="302"/>
        <v>0</v>
      </c>
      <c r="AY52" s="102"/>
      <c r="AZ52" s="1">
        <v>5</v>
      </c>
      <c r="BA52" s="104">
        <f t="shared" si="303"/>
        <v>0</v>
      </c>
      <c r="BB52" s="102"/>
      <c r="BC52" s="1">
        <v>5</v>
      </c>
      <c r="BD52" s="104">
        <f t="shared" si="304"/>
        <v>0</v>
      </c>
      <c r="BE52" s="102"/>
      <c r="BF52" s="1">
        <v>5</v>
      </c>
      <c r="BG52" s="104">
        <f t="shared" si="305"/>
        <v>0</v>
      </c>
      <c r="BH52" s="102"/>
      <c r="BI52" s="1">
        <v>5</v>
      </c>
      <c r="BJ52" s="104">
        <f t="shared" si="306"/>
        <v>0</v>
      </c>
      <c r="BK52" s="102"/>
      <c r="BL52" s="1">
        <v>5</v>
      </c>
      <c r="BM52" s="104">
        <f t="shared" si="259"/>
        <v>0</v>
      </c>
      <c r="BN52" s="102"/>
      <c r="BO52" s="1">
        <v>5</v>
      </c>
      <c r="BP52" s="104">
        <f t="shared" si="307"/>
        <v>0</v>
      </c>
      <c r="BQ52" s="102"/>
      <c r="BR52" s="1">
        <v>5</v>
      </c>
      <c r="BS52" s="104">
        <f t="shared" si="308"/>
        <v>0</v>
      </c>
      <c r="BT52" s="102"/>
      <c r="BU52" s="1">
        <v>5</v>
      </c>
      <c r="BV52" s="104">
        <f t="shared" si="309"/>
        <v>0</v>
      </c>
      <c r="BW52" s="102"/>
      <c r="BX52" s="1">
        <v>5</v>
      </c>
      <c r="BY52" s="104">
        <f t="shared" si="310"/>
        <v>0</v>
      </c>
      <c r="BZ52" s="102"/>
      <c r="CA52" s="1">
        <v>5</v>
      </c>
      <c r="CB52" s="104">
        <f t="shared" si="311"/>
        <v>0</v>
      </c>
      <c r="CC52" s="102"/>
      <c r="CD52" s="1">
        <v>5</v>
      </c>
      <c r="CE52" s="104">
        <f t="shared" si="312"/>
        <v>0</v>
      </c>
      <c r="CF52" s="102"/>
      <c r="CG52" s="1">
        <v>5</v>
      </c>
      <c r="CH52" s="104">
        <f t="shared" si="313"/>
        <v>0</v>
      </c>
      <c r="CI52" s="102"/>
      <c r="CJ52" s="1">
        <v>5</v>
      </c>
      <c r="CK52" s="104">
        <f t="shared" si="314"/>
        <v>0</v>
      </c>
      <c r="CL52" s="102"/>
      <c r="CM52" s="1">
        <v>5</v>
      </c>
      <c r="CN52" s="104">
        <f t="shared" si="315"/>
        <v>0</v>
      </c>
      <c r="CO52" s="102"/>
      <c r="CP52" s="1">
        <v>5</v>
      </c>
      <c r="CQ52" s="104">
        <f t="shared" si="316"/>
        <v>0</v>
      </c>
      <c r="CR52" s="102"/>
      <c r="CS52" s="1">
        <v>5</v>
      </c>
      <c r="CT52" s="104">
        <f t="shared" si="317"/>
        <v>0</v>
      </c>
      <c r="CU52" s="102"/>
      <c r="CV52" s="1">
        <v>5</v>
      </c>
      <c r="CW52" s="104">
        <f t="shared" si="318"/>
        <v>0</v>
      </c>
      <c r="CX52" s="102"/>
      <c r="CY52" s="1">
        <v>5</v>
      </c>
      <c r="CZ52" s="104">
        <f t="shared" si="319"/>
        <v>0</v>
      </c>
      <c r="DA52" s="102"/>
      <c r="DB52" s="1">
        <v>5</v>
      </c>
      <c r="DC52" s="104">
        <f t="shared" si="320"/>
        <v>0</v>
      </c>
      <c r="DD52" s="102"/>
      <c r="DE52" s="1">
        <v>5</v>
      </c>
      <c r="DF52" s="104">
        <f t="shared" si="321"/>
        <v>0</v>
      </c>
      <c r="DG52" s="102"/>
      <c r="DH52" s="1">
        <v>5</v>
      </c>
      <c r="DI52" s="104">
        <f t="shared" si="322"/>
        <v>0</v>
      </c>
      <c r="DJ52" s="102"/>
      <c r="DK52" s="1">
        <v>5</v>
      </c>
      <c r="DL52" s="104">
        <f t="shared" si="323"/>
        <v>0</v>
      </c>
      <c r="DM52" s="102"/>
      <c r="DN52" s="1">
        <v>5</v>
      </c>
      <c r="DO52" s="104">
        <f t="shared" si="324"/>
        <v>0</v>
      </c>
      <c r="DP52" s="102"/>
      <c r="DQ52" s="1">
        <v>5</v>
      </c>
      <c r="DR52" s="104">
        <f t="shared" si="325"/>
        <v>0</v>
      </c>
      <c r="DS52" s="102"/>
      <c r="DT52" s="1">
        <v>5</v>
      </c>
      <c r="DU52" s="104">
        <f t="shared" si="326"/>
        <v>0</v>
      </c>
      <c r="DV52" s="102"/>
      <c r="DW52" s="1">
        <v>5</v>
      </c>
      <c r="DX52" s="104">
        <f t="shared" si="327"/>
        <v>0</v>
      </c>
      <c r="DY52" s="102"/>
      <c r="DZ52" s="1">
        <v>5</v>
      </c>
      <c r="EA52" s="104">
        <f t="shared" si="328"/>
        <v>0</v>
      </c>
      <c r="EB52" s="102"/>
      <c r="EC52" s="1">
        <v>5</v>
      </c>
      <c r="ED52" s="104">
        <f t="shared" si="329"/>
        <v>0</v>
      </c>
      <c r="EE52" s="102"/>
      <c r="EF52" s="1">
        <v>5</v>
      </c>
      <c r="EG52" s="104">
        <f t="shared" si="330"/>
        <v>0</v>
      </c>
      <c r="EH52" s="102"/>
      <c r="EI52" s="1">
        <v>5</v>
      </c>
      <c r="EJ52" s="104">
        <f t="shared" si="331"/>
        <v>0</v>
      </c>
      <c r="EK52" s="102"/>
      <c r="EL52" s="1">
        <v>5</v>
      </c>
      <c r="EM52" s="104">
        <f t="shared" si="332"/>
        <v>0</v>
      </c>
      <c r="EN52" s="102"/>
      <c r="EO52" s="1">
        <v>5</v>
      </c>
      <c r="EP52" s="104">
        <f t="shared" si="333"/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95" t="s">
        <v>120</v>
      </c>
      <c r="B53" s="101"/>
      <c r="C53" s="102"/>
      <c r="D53" s="103">
        <v>5</v>
      </c>
      <c r="E53" s="104">
        <f t="shared" si="287"/>
        <v>0</v>
      </c>
      <c r="F53" s="102"/>
      <c r="G53" s="103">
        <v>5</v>
      </c>
      <c r="H53" s="104">
        <f t="shared" si="288"/>
        <v>0</v>
      </c>
      <c r="I53" s="105"/>
      <c r="J53" s="103">
        <v>5</v>
      </c>
      <c r="K53" s="104">
        <f t="shared" si="289"/>
        <v>0</v>
      </c>
      <c r="L53" s="105"/>
      <c r="M53" s="103">
        <v>5</v>
      </c>
      <c r="N53" s="104">
        <f t="shared" si="290"/>
        <v>0</v>
      </c>
      <c r="O53" s="106"/>
      <c r="P53" s="107">
        <v>5</v>
      </c>
      <c r="Q53" s="104">
        <f t="shared" si="291"/>
        <v>0</v>
      </c>
      <c r="R53" s="102"/>
      <c r="S53" s="107">
        <v>5</v>
      </c>
      <c r="T53" s="104">
        <f t="shared" si="292"/>
        <v>0</v>
      </c>
      <c r="U53" s="102"/>
      <c r="V53" s="107">
        <v>5</v>
      </c>
      <c r="W53" s="104">
        <f t="shared" si="293"/>
        <v>0</v>
      </c>
      <c r="X53" s="102"/>
      <c r="Y53" s="107">
        <v>5</v>
      </c>
      <c r="Z53" s="104">
        <f t="shared" si="294"/>
        <v>0</v>
      </c>
      <c r="AA53" s="106"/>
      <c r="AB53" s="107">
        <v>5</v>
      </c>
      <c r="AC53" s="104">
        <f t="shared" si="295"/>
        <v>0</v>
      </c>
      <c r="AD53" s="106"/>
      <c r="AE53" s="107">
        <v>5</v>
      </c>
      <c r="AF53" s="104">
        <f t="shared" si="296"/>
        <v>0</v>
      </c>
      <c r="AG53" s="106"/>
      <c r="AH53" s="107">
        <v>5</v>
      </c>
      <c r="AI53" s="104">
        <f t="shared" si="297"/>
        <v>0</v>
      </c>
      <c r="AJ53" s="106"/>
      <c r="AK53" s="107">
        <v>5</v>
      </c>
      <c r="AL53" s="104">
        <f t="shared" si="298"/>
        <v>0</v>
      </c>
      <c r="AM53" s="102"/>
      <c r="AN53" s="1">
        <v>5</v>
      </c>
      <c r="AO53" s="104">
        <f t="shared" si="299"/>
        <v>0</v>
      </c>
      <c r="AP53" s="102"/>
      <c r="AQ53" s="1">
        <v>5</v>
      </c>
      <c r="AR53" s="104">
        <f t="shared" si="300"/>
        <v>0</v>
      </c>
      <c r="AS53" s="102"/>
      <c r="AT53" s="1">
        <v>5</v>
      </c>
      <c r="AU53" s="104">
        <f t="shared" si="301"/>
        <v>0</v>
      </c>
      <c r="AV53" s="102"/>
      <c r="AW53" s="1">
        <v>5</v>
      </c>
      <c r="AX53" s="104">
        <f t="shared" si="302"/>
        <v>0</v>
      </c>
      <c r="AY53" s="102"/>
      <c r="AZ53" s="1">
        <v>5</v>
      </c>
      <c r="BA53" s="104">
        <f t="shared" si="303"/>
        <v>0</v>
      </c>
      <c r="BB53" s="102"/>
      <c r="BC53" s="1">
        <v>5</v>
      </c>
      <c r="BD53" s="104">
        <f t="shared" si="304"/>
        <v>0</v>
      </c>
      <c r="BE53" s="102"/>
      <c r="BF53" s="1">
        <v>5</v>
      </c>
      <c r="BG53" s="104">
        <f t="shared" si="305"/>
        <v>0</v>
      </c>
      <c r="BH53" s="102"/>
      <c r="BI53" s="1">
        <v>5</v>
      </c>
      <c r="BJ53" s="104">
        <f t="shared" si="306"/>
        <v>0</v>
      </c>
      <c r="BK53" s="102"/>
      <c r="BL53" s="1">
        <v>5</v>
      </c>
      <c r="BM53" s="104">
        <f t="shared" si="259"/>
        <v>0</v>
      </c>
      <c r="BN53" s="102"/>
      <c r="BO53" s="1">
        <v>5</v>
      </c>
      <c r="BP53" s="104">
        <f t="shared" si="307"/>
        <v>0</v>
      </c>
      <c r="BQ53" s="102"/>
      <c r="BR53" s="1">
        <v>5</v>
      </c>
      <c r="BS53" s="104">
        <f t="shared" si="308"/>
        <v>0</v>
      </c>
      <c r="BT53" s="102"/>
      <c r="BU53" s="1">
        <v>5</v>
      </c>
      <c r="BV53" s="104">
        <f t="shared" si="309"/>
        <v>0</v>
      </c>
      <c r="BW53" s="102"/>
      <c r="BX53" s="1">
        <v>5</v>
      </c>
      <c r="BY53" s="104">
        <f t="shared" si="310"/>
        <v>0</v>
      </c>
      <c r="BZ53" s="102"/>
      <c r="CA53" s="1">
        <v>5</v>
      </c>
      <c r="CB53" s="104">
        <f t="shared" si="311"/>
        <v>0</v>
      </c>
      <c r="CC53" s="102"/>
      <c r="CD53" s="1">
        <v>5</v>
      </c>
      <c r="CE53" s="104">
        <f t="shared" si="312"/>
        <v>0</v>
      </c>
      <c r="CF53" s="102"/>
      <c r="CG53" s="1">
        <v>5</v>
      </c>
      <c r="CH53" s="104">
        <f t="shared" si="313"/>
        <v>0</v>
      </c>
      <c r="CI53" s="102"/>
      <c r="CJ53" s="1">
        <v>5</v>
      </c>
      <c r="CK53" s="104">
        <f t="shared" si="314"/>
        <v>0</v>
      </c>
      <c r="CL53" s="102"/>
      <c r="CM53" s="1">
        <v>5</v>
      </c>
      <c r="CN53" s="104">
        <f t="shared" si="315"/>
        <v>0</v>
      </c>
      <c r="CO53" s="102"/>
      <c r="CP53" s="1">
        <v>5</v>
      </c>
      <c r="CQ53" s="104">
        <f t="shared" si="316"/>
        <v>0</v>
      </c>
      <c r="CR53" s="102"/>
      <c r="CS53" s="1">
        <v>5</v>
      </c>
      <c r="CT53" s="104">
        <f t="shared" si="317"/>
        <v>0</v>
      </c>
      <c r="CU53" s="102"/>
      <c r="CV53" s="1">
        <v>5</v>
      </c>
      <c r="CW53" s="104">
        <f t="shared" si="318"/>
        <v>0</v>
      </c>
      <c r="CX53" s="102"/>
      <c r="CY53" s="1">
        <v>5</v>
      </c>
      <c r="CZ53" s="104">
        <f t="shared" si="319"/>
        <v>0</v>
      </c>
      <c r="DA53" s="102"/>
      <c r="DB53" s="1">
        <v>5</v>
      </c>
      <c r="DC53" s="104">
        <f t="shared" si="320"/>
        <v>0</v>
      </c>
      <c r="DD53" s="102"/>
      <c r="DE53" s="1">
        <v>5</v>
      </c>
      <c r="DF53" s="104">
        <f t="shared" si="321"/>
        <v>0</v>
      </c>
      <c r="DG53" s="102"/>
      <c r="DH53" s="1">
        <v>5</v>
      </c>
      <c r="DI53" s="104">
        <f t="shared" si="322"/>
        <v>0</v>
      </c>
      <c r="DJ53" s="102"/>
      <c r="DK53" s="1">
        <v>5</v>
      </c>
      <c r="DL53" s="104">
        <f t="shared" si="323"/>
        <v>0</v>
      </c>
      <c r="DM53" s="102"/>
      <c r="DN53" s="1">
        <v>5</v>
      </c>
      <c r="DO53" s="104">
        <f t="shared" si="324"/>
        <v>0</v>
      </c>
      <c r="DP53" s="102"/>
      <c r="DQ53" s="1">
        <v>5</v>
      </c>
      <c r="DR53" s="104">
        <f t="shared" si="325"/>
        <v>0</v>
      </c>
      <c r="DS53" s="102"/>
      <c r="DT53" s="1">
        <v>5</v>
      </c>
      <c r="DU53" s="104">
        <f t="shared" si="326"/>
        <v>0</v>
      </c>
      <c r="DV53" s="102"/>
      <c r="DW53" s="1">
        <v>5</v>
      </c>
      <c r="DX53" s="104">
        <f t="shared" si="327"/>
        <v>0</v>
      </c>
      <c r="DY53" s="102"/>
      <c r="DZ53" s="1">
        <v>5</v>
      </c>
      <c r="EA53" s="104">
        <f t="shared" si="328"/>
        <v>0</v>
      </c>
      <c r="EB53" s="102"/>
      <c r="EC53" s="1">
        <v>5</v>
      </c>
      <c r="ED53" s="104">
        <f t="shared" si="329"/>
        <v>0</v>
      </c>
      <c r="EE53" s="102"/>
      <c r="EF53" s="1">
        <v>5</v>
      </c>
      <c r="EG53" s="104">
        <f t="shared" si="330"/>
        <v>0</v>
      </c>
      <c r="EH53" s="102"/>
      <c r="EI53" s="1">
        <v>5</v>
      </c>
      <c r="EJ53" s="104">
        <f t="shared" si="331"/>
        <v>0</v>
      </c>
      <c r="EK53" s="102"/>
      <c r="EL53" s="1">
        <v>5</v>
      </c>
      <c r="EM53" s="104">
        <f t="shared" si="332"/>
        <v>0</v>
      </c>
      <c r="EN53" s="102"/>
      <c r="EO53" s="1">
        <v>5</v>
      </c>
      <c r="EP53" s="104">
        <f t="shared" si="333"/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16" customHeight="1" spans="1:148" x14ac:dyDescent="0.25">
      <c r="A54" s="195" t="s">
        <v>121</v>
      </c>
      <c r="B54" s="101"/>
      <c r="C54" s="102"/>
      <c r="D54" s="103">
        <v>5</v>
      </c>
      <c r="E54" s="104">
        <f t="shared" si="287"/>
        <v>0</v>
      </c>
      <c r="F54" s="102"/>
      <c r="G54" s="103">
        <v>5</v>
      </c>
      <c r="H54" s="104">
        <f t="shared" si="288"/>
        <v>0</v>
      </c>
      <c r="I54" s="105"/>
      <c r="J54" s="103">
        <v>5</v>
      </c>
      <c r="K54" s="104">
        <f t="shared" si="289"/>
        <v>0</v>
      </c>
      <c r="L54" s="105"/>
      <c r="M54" s="103">
        <v>5</v>
      </c>
      <c r="N54" s="104">
        <f t="shared" si="290"/>
        <v>0</v>
      </c>
      <c r="O54" s="106"/>
      <c r="P54" s="107">
        <v>5</v>
      </c>
      <c r="Q54" s="104">
        <f t="shared" si="291"/>
        <v>0</v>
      </c>
      <c r="R54" s="102"/>
      <c r="S54" s="107">
        <v>5</v>
      </c>
      <c r="T54" s="104">
        <f t="shared" si="292"/>
        <v>0</v>
      </c>
      <c r="U54" s="102"/>
      <c r="V54" s="107">
        <v>5</v>
      </c>
      <c r="W54" s="104">
        <f t="shared" si="293"/>
        <v>0</v>
      </c>
      <c r="X54" s="102"/>
      <c r="Y54" s="107">
        <v>5</v>
      </c>
      <c r="Z54" s="104">
        <f t="shared" si="294"/>
        <v>0</v>
      </c>
      <c r="AA54" s="106"/>
      <c r="AB54" s="107">
        <v>5</v>
      </c>
      <c r="AC54" s="104">
        <f t="shared" si="295"/>
        <v>0</v>
      </c>
      <c r="AD54" s="106"/>
      <c r="AE54" s="107">
        <v>5</v>
      </c>
      <c r="AF54" s="104">
        <f t="shared" si="296"/>
        <v>0</v>
      </c>
      <c r="AG54" s="106"/>
      <c r="AH54" s="107">
        <v>5</v>
      </c>
      <c r="AI54" s="104">
        <f t="shared" si="297"/>
        <v>0</v>
      </c>
      <c r="AJ54" s="106"/>
      <c r="AK54" s="107">
        <v>5</v>
      </c>
      <c r="AL54" s="104">
        <f t="shared" si="298"/>
        <v>0</v>
      </c>
      <c r="AM54" s="102"/>
      <c r="AN54" s="1">
        <v>5</v>
      </c>
      <c r="AO54" s="104">
        <f t="shared" si="299"/>
        <v>0</v>
      </c>
      <c r="AP54" s="102"/>
      <c r="AQ54" s="1">
        <v>5</v>
      </c>
      <c r="AR54" s="104">
        <f t="shared" si="300"/>
        <v>0</v>
      </c>
      <c r="AS54" s="102"/>
      <c r="AT54" s="1">
        <v>5</v>
      </c>
      <c r="AU54" s="104">
        <f t="shared" si="301"/>
        <v>0</v>
      </c>
      <c r="AV54" s="102"/>
      <c r="AW54" s="1">
        <v>5</v>
      </c>
      <c r="AX54" s="104">
        <f t="shared" si="302"/>
        <v>0</v>
      </c>
      <c r="AY54" s="102"/>
      <c r="AZ54" s="1">
        <v>5</v>
      </c>
      <c r="BA54" s="104">
        <f t="shared" si="303"/>
        <v>0</v>
      </c>
      <c r="BB54" s="102"/>
      <c r="BC54" s="1">
        <v>5</v>
      </c>
      <c r="BD54" s="104">
        <f t="shared" si="304"/>
        <v>0</v>
      </c>
      <c r="BE54" s="102"/>
      <c r="BF54" s="1">
        <v>5</v>
      </c>
      <c r="BG54" s="104">
        <f t="shared" si="305"/>
        <v>0</v>
      </c>
      <c r="BH54" s="102"/>
      <c r="BI54" s="1">
        <v>5</v>
      </c>
      <c r="BJ54" s="104">
        <f t="shared" si="306"/>
        <v>0</v>
      </c>
      <c r="BK54" s="102"/>
      <c r="BL54" s="1">
        <v>5</v>
      </c>
      <c r="BM54" s="104">
        <f t="shared" si="259"/>
        <v>0</v>
      </c>
      <c r="BN54" s="102"/>
      <c r="BO54" s="1">
        <v>5</v>
      </c>
      <c r="BP54" s="104">
        <f t="shared" si="307"/>
        <v>0</v>
      </c>
      <c r="BQ54" s="102"/>
      <c r="BR54" s="1">
        <v>5</v>
      </c>
      <c r="BS54" s="104">
        <f t="shared" si="308"/>
        <v>0</v>
      </c>
      <c r="BT54" s="102"/>
      <c r="BU54" s="1">
        <v>5</v>
      </c>
      <c r="BV54" s="104">
        <f t="shared" si="309"/>
        <v>0</v>
      </c>
      <c r="BW54" s="102"/>
      <c r="BX54" s="1">
        <v>5</v>
      </c>
      <c r="BY54" s="104">
        <f t="shared" si="310"/>
        <v>0</v>
      </c>
      <c r="BZ54" s="102"/>
      <c r="CA54" s="1">
        <v>5</v>
      </c>
      <c r="CB54" s="104">
        <f t="shared" si="311"/>
        <v>0</v>
      </c>
      <c r="CC54" s="102"/>
      <c r="CD54" s="1">
        <v>5</v>
      </c>
      <c r="CE54" s="104">
        <f t="shared" si="312"/>
        <v>0</v>
      </c>
      <c r="CF54" s="102"/>
      <c r="CG54" s="1">
        <v>5</v>
      </c>
      <c r="CH54" s="104">
        <f t="shared" si="313"/>
        <v>0</v>
      </c>
      <c r="CI54" s="102"/>
      <c r="CJ54" s="1">
        <v>5</v>
      </c>
      <c r="CK54" s="104">
        <f t="shared" si="314"/>
        <v>0</v>
      </c>
      <c r="CL54" s="102"/>
      <c r="CM54" s="1">
        <v>5</v>
      </c>
      <c r="CN54" s="104">
        <f t="shared" si="315"/>
        <v>0</v>
      </c>
      <c r="CO54" s="102"/>
      <c r="CP54" s="1">
        <v>5</v>
      </c>
      <c r="CQ54" s="104">
        <f t="shared" si="316"/>
        <v>0</v>
      </c>
      <c r="CR54" s="102"/>
      <c r="CS54" s="1">
        <v>5</v>
      </c>
      <c r="CT54" s="104">
        <f t="shared" si="317"/>
        <v>0</v>
      </c>
      <c r="CU54" s="102"/>
      <c r="CV54" s="1">
        <v>5</v>
      </c>
      <c r="CW54" s="104">
        <f t="shared" si="318"/>
        <v>0</v>
      </c>
      <c r="CX54" s="102"/>
      <c r="CY54" s="1">
        <v>5</v>
      </c>
      <c r="CZ54" s="104">
        <f t="shared" si="319"/>
        <v>0</v>
      </c>
      <c r="DA54" s="102"/>
      <c r="DB54" s="1">
        <v>5</v>
      </c>
      <c r="DC54" s="104">
        <f t="shared" si="320"/>
        <v>0</v>
      </c>
      <c r="DD54" s="102"/>
      <c r="DE54" s="1">
        <v>5</v>
      </c>
      <c r="DF54" s="104">
        <f t="shared" si="321"/>
        <v>0</v>
      </c>
      <c r="DG54" s="102"/>
      <c r="DH54" s="1">
        <v>5</v>
      </c>
      <c r="DI54" s="104">
        <f t="shared" si="322"/>
        <v>0</v>
      </c>
      <c r="DJ54" s="102"/>
      <c r="DK54" s="1">
        <v>5</v>
      </c>
      <c r="DL54" s="104">
        <f t="shared" si="323"/>
        <v>0</v>
      </c>
      <c r="DM54" s="102"/>
      <c r="DN54" s="1">
        <v>5</v>
      </c>
      <c r="DO54" s="104">
        <f t="shared" si="324"/>
        <v>0</v>
      </c>
      <c r="DP54" s="102"/>
      <c r="DQ54" s="1">
        <v>5</v>
      </c>
      <c r="DR54" s="104">
        <f t="shared" si="325"/>
        <v>0</v>
      </c>
      <c r="DS54" s="102"/>
      <c r="DT54" s="1">
        <v>5</v>
      </c>
      <c r="DU54" s="104">
        <f t="shared" si="326"/>
        <v>0</v>
      </c>
      <c r="DV54" s="102"/>
      <c r="DW54" s="1">
        <v>5</v>
      </c>
      <c r="DX54" s="104">
        <f t="shared" si="327"/>
        <v>0</v>
      </c>
      <c r="DY54" s="102"/>
      <c r="DZ54" s="1">
        <v>5</v>
      </c>
      <c r="EA54" s="104">
        <f t="shared" si="328"/>
        <v>0</v>
      </c>
      <c r="EB54" s="102"/>
      <c r="EC54" s="1">
        <v>5</v>
      </c>
      <c r="ED54" s="104">
        <f t="shared" si="329"/>
        <v>0</v>
      </c>
      <c r="EE54" s="102"/>
      <c r="EF54" s="1">
        <v>5</v>
      </c>
      <c r="EG54" s="104">
        <f t="shared" si="330"/>
        <v>0</v>
      </c>
      <c r="EH54" s="102"/>
      <c r="EI54" s="1">
        <v>5</v>
      </c>
      <c r="EJ54" s="104">
        <f t="shared" si="331"/>
        <v>0</v>
      </c>
      <c r="EK54" s="102"/>
      <c r="EL54" s="1">
        <v>5</v>
      </c>
      <c r="EM54" s="104">
        <f t="shared" si="332"/>
        <v>0</v>
      </c>
      <c r="EN54" s="102"/>
      <c r="EO54" s="1">
        <v>5</v>
      </c>
      <c r="EP54" s="104">
        <f t="shared" si="333"/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97" t="s">
        <v>153</v>
      </c>
      <c r="B55" s="101"/>
      <c r="C55" s="102"/>
      <c r="D55" s="103">
        <v>5</v>
      </c>
      <c r="E55" s="104">
        <f t="shared" si="287"/>
        <v>0</v>
      </c>
      <c r="F55" s="102"/>
      <c r="G55" s="103">
        <v>5</v>
      </c>
      <c r="H55" s="104">
        <f t="shared" si="288"/>
        <v>0</v>
      </c>
      <c r="I55" s="105"/>
      <c r="J55" s="103">
        <v>5</v>
      </c>
      <c r="K55" s="104">
        <f t="shared" si="289"/>
        <v>0</v>
      </c>
      <c r="L55" s="105"/>
      <c r="M55" s="103">
        <v>5</v>
      </c>
      <c r="N55" s="104">
        <f t="shared" si="290"/>
        <v>0</v>
      </c>
      <c r="O55" s="106"/>
      <c r="P55" s="107">
        <v>5</v>
      </c>
      <c r="Q55" s="104">
        <f t="shared" si="291"/>
        <v>0</v>
      </c>
      <c r="R55" s="102"/>
      <c r="S55" s="107">
        <v>5</v>
      </c>
      <c r="T55" s="104">
        <f t="shared" si="292"/>
        <v>0</v>
      </c>
      <c r="U55" s="102"/>
      <c r="V55" s="107">
        <v>5</v>
      </c>
      <c r="W55" s="104">
        <f t="shared" si="293"/>
        <v>0</v>
      </c>
      <c r="X55" s="102"/>
      <c r="Y55" s="107">
        <v>5</v>
      </c>
      <c r="Z55" s="104">
        <f t="shared" si="294"/>
        <v>0</v>
      </c>
      <c r="AA55" s="106"/>
      <c r="AB55" s="107">
        <v>5</v>
      </c>
      <c r="AC55" s="104">
        <f t="shared" si="295"/>
        <v>0</v>
      </c>
      <c r="AD55" s="106"/>
      <c r="AE55" s="107">
        <v>5</v>
      </c>
      <c r="AF55" s="104">
        <f t="shared" si="296"/>
        <v>0</v>
      </c>
      <c r="AG55" s="106"/>
      <c r="AH55" s="107">
        <v>5</v>
      </c>
      <c r="AI55" s="104">
        <f t="shared" si="297"/>
        <v>0</v>
      </c>
      <c r="AJ55" s="106"/>
      <c r="AK55" s="107">
        <v>5</v>
      </c>
      <c r="AL55" s="104">
        <f t="shared" si="298"/>
        <v>0</v>
      </c>
      <c r="AM55" s="102"/>
      <c r="AN55" s="1">
        <v>5</v>
      </c>
      <c r="AO55" s="104">
        <f t="shared" si="299"/>
        <v>0</v>
      </c>
      <c r="AP55" s="102"/>
      <c r="AQ55" s="1">
        <v>5</v>
      </c>
      <c r="AR55" s="104">
        <f t="shared" si="300"/>
        <v>0</v>
      </c>
      <c r="AS55" s="102"/>
      <c r="AT55" s="1">
        <v>5</v>
      </c>
      <c r="AU55" s="104">
        <f t="shared" si="301"/>
        <v>0</v>
      </c>
      <c r="AV55" s="102"/>
      <c r="AW55" s="1">
        <v>5</v>
      </c>
      <c r="AX55" s="104">
        <f t="shared" si="302"/>
        <v>0</v>
      </c>
      <c r="AY55" s="102"/>
      <c r="AZ55" s="1">
        <v>5</v>
      </c>
      <c r="BA55" s="104">
        <f t="shared" si="303"/>
        <v>0</v>
      </c>
      <c r="BB55" s="102"/>
      <c r="BC55" s="1">
        <v>5</v>
      </c>
      <c r="BD55" s="104">
        <f t="shared" si="304"/>
        <v>0</v>
      </c>
      <c r="BE55" s="102"/>
      <c r="BF55" s="1">
        <v>5</v>
      </c>
      <c r="BG55" s="104">
        <f t="shared" si="305"/>
        <v>0</v>
      </c>
      <c r="BH55" s="102"/>
      <c r="BI55" s="1">
        <v>5</v>
      </c>
      <c r="BJ55" s="104">
        <f t="shared" si="306"/>
        <v>0</v>
      </c>
      <c r="BK55" s="102"/>
      <c r="BL55" s="1">
        <v>5</v>
      </c>
      <c r="BM55" s="104">
        <f t="shared" si="259"/>
        <v>0</v>
      </c>
      <c r="BN55" s="102"/>
      <c r="BO55" s="1">
        <v>5</v>
      </c>
      <c r="BP55" s="104">
        <f t="shared" si="307"/>
        <v>0</v>
      </c>
      <c r="BQ55" s="102"/>
      <c r="BR55" s="1">
        <v>5</v>
      </c>
      <c r="BS55" s="104">
        <f t="shared" si="308"/>
        <v>0</v>
      </c>
      <c r="BT55" s="102"/>
      <c r="BU55" s="1">
        <v>5</v>
      </c>
      <c r="BV55" s="104">
        <f t="shared" si="309"/>
        <v>0</v>
      </c>
      <c r="BW55" s="102"/>
      <c r="BX55" s="1">
        <v>5</v>
      </c>
      <c r="BY55" s="104">
        <f t="shared" si="310"/>
        <v>0</v>
      </c>
      <c r="BZ55" s="102"/>
      <c r="CA55" s="1">
        <v>5</v>
      </c>
      <c r="CB55" s="104">
        <f t="shared" si="311"/>
        <v>0</v>
      </c>
      <c r="CC55" s="102"/>
      <c r="CD55" s="1">
        <v>5</v>
      </c>
      <c r="CE55" s="104">
        <f t="shared" si="312"/>
        <v>0</v>
      </c>
      <c r="CF55" s="102"/>
      <c r="CG55" s="1">
        <v>5</v>
      </c>
      <c r="CH55" s="104">
        <f t="shared" si="313"/>
        <v>0</v>
      </c>
      <c r="CI55" s="102"/>
      <c r="CJ55" s="1">
        <v>5</v>
      </c>
      <c r="CK55" s="104">
        <f t="shared" si="314"/>
        <v>0</v>
      </c>
      <c r="CL55" s="102"/>
      <c r="CM55" s="1">
        <v>5</v>
      </c>
      <c r="CN55" s="104">
        <f t="shared" si="315"/>
        <v>0</v>
      </c>
      <c r="CO55" s="102"/>
      <c r="CP55" s="1">
        <v>5</v>
      </c>
      <c r="CQ55" s="104">
        <f t="shared" si="316"/>
        <v>0</v>
      </c>
      <c r="CR55" s="102"/>
      <c r="CS55" s="1">
        <v>5</v>
      </c>
      <c r="CT55" s="104">
        <f t="shared" si="317"/>
        <v>0</v>
      </c>
      <c r="CU55" s="102"/>
      <c r="CV55" s="1">
        <v>5</v>
      </c>
      <c r="CW55" s="104">
        <f t="shared" si="318"/>
        <v>0</v>
      </c>
      <c r="CX55" s="102"/>
      <c r="CY55" s="1">
        <v>5</v>
      </c>
      <c r="CZ55" s="104">
        <f t="shared" si="319"/>
        <v>0</v>
      </c>
      <c r="DA55" s="102"/>
      <c r="DB55" s="1">
        <v>5</v>
      </c>
      <c r="DC55" s="104">
        <f t="shared" si="320"/>
        <v>0</v>
      </c>
      <c r="DD55" s="102"/>
      <c r="DE55" s="1">
        <v>5</v>
      </c>
      <c r="DF55" s="104">
        <f t="shared" si="321"/>
        <v>0</v>
      </c>
      <c r="DG55" s="102"/>
      <c r="DH55" s="1">
        <v>5</v>
      </c>
      <c r="DI55" s="104">
        <f t="shared" si="322"/>
        <v>0</v>
      </c>
      <c r="DJ55" s="102"/>
      <c r="DK55" s="1">
        <v>5</v>
      </c>
      <c r="DL55" s="104">
        <f t="shared" si="323"/>
        <v>0</v>
      </c>
      <c r="DM55" s="102"/>
      <c r="DN55" s="1">
        <v>5</v>
      </c>
      <c r="DO55" s="104">
        <f t="shared" si="324"/>
        <v>0</v>
      </c>
      <c r="DP55" s="102"/>
      <c r="DQ55" s="1">
        <v>5</v>
      </c>
      <c r="DR55" s="104">
        <f t="shared" si="325"/>
        <v>0</v>
      </c>
      <c r="DS55" s="102"/>
      <c r="DT55" s="1">
        <v>5</v>
      </c>
      <c r="DU55" s="104">
        <f t="shared" si="326"/>
        <v>0</v>
      </c>
      <c r="DV55" s="102"/>
      <c r="DW55" s="1">
        <v>5</v>
      </c>
      <c r="DX55" s="104">
        <f t="shared" si="327"/>
        <v>0</v>
      </c>
      <c r="DY55" s="102"/>
      <c r="DZ55" s="1">
        <v>5</v>
      </c>
      <c r="EA55" s="104">
        <f t="shared" si="328"/>
        <v>0</v>
      </c>
      <c r="EB55" s="102"/>
      <c r="EC55" s="1">
        <v>5</v>
      </c>
      <c r="ED55" s="104">
        <f t="shared" si="329"/>
        <v>0</v>
      </c>
      <c r="EE55" s="102"/>
      <c r="EF55" s="1">
        <v>5</v>
      </c>
      <c r="EG55" s="104">
        <f t="shared" si="330"/>
        <v>0</v>
      </c>
      <c r="EH55" s="102"/>
      <c r="EI55" s="1">
        <v>5</v>
      </c>
      <c r="EJ55" s="104">
        <f t="shared" si="331"/>
        <v>0</v>
      </c>
      <c r="EK55" s="102"/>
      <c r="EL55" s="1">
        <v>5</v>
      </c>
      <c r="EM55" s="104">
        <f t="shared" si="332"/>
        <v>0</v>
      </c>
      <c r="EN55" s="102"/>
      <c r="EO55" s="1">
        <v>5</v>
      </c>
      <c r="EP55" s="104">
        <f t="shared" si="333"/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24" t="s">
        <v>154</v>
      </c>
      <c r="B56" s="125"/>
      <c r="C56" s="126"/>
      <c r="D56" s="127"/>
      <c r="E56" s="82">
        <f>AVERAGE(E57:E63)</f>
        <v>0</v>
      </c>
      <c r="F56" s="126"/>
      <c r="G56" s="127"/>
      <c r="H56" s="82">
        <f>AVERAGE(H57:H63)</f>
        <v>0</v>
      </c>
      <c r="I56" s="126"/>
      <c r="J56" s="127"/>
      <c r="K56" s="82">
        <f>AVERAGE(K57:K63)</f>
        <v>0</v>
      </c>
      <c r="L56" s="126"/>
      <c r="M56" s="127"/>
      <c r="N56" s="82">
        <f>AVERAGE(N57:N63)</f>
        <v>0</v>
      </c>
      <c r="O56" s="126"/>
      <c r="P56" s="127"/>
      <c r="Q56" s="82">
        <f>AVERAGE(Q57:Q63)</f>
        <v>0</v>
      </c>
      <c r="R56" s="126"/>
      <c r="S56" s="127"/>
      <c r="T56" s="82">
        <f>AVERAGE(T57:T63)</f>
        <v>0</v>
      </c>
      <c r="U56" s="126"/>
      <c r="V56" s="127"/>
      <c r="W56" s="82">
        <f>AVERAGE(W57:W63)</f>
        <v>0</v>
      </c>
      <c r="X56" s="126"/>
      <c r="Y56" s="127"/>
      <c r="Z56" s="82">
        <f>AVERAGE(Z57:Z63)</f>
        <v>0</v>
      </c>
      <c r="AA56" s="126"/>
      <c r="AB56" s="127"/>
      <c r="AC56" s="82">
        <f>AVERAGE(AC57:AC63)</f>
        <v>0</v>
      </c>
      <c r="AD56" s="126"/>
      <c r="AE56" s="127"/>
      <c r="AF56" s="82">
        <f>AVERAGE(AF57:AF63)</f>
        <v>0</v>
      </c>
      <c r="AG56" s="126"/>
      <c r="AH56" s="127"/>
      <c r="AI56" s="82">
        <f>AVERAGE(AI57:AI63)</f>
        <v>0</v>
      </c>
      <c r="AJ56" s="126"/>
      <c r="AK56" s="127"/>
      <c r="AL56" s="82">
        <f>AVERAGE(AL57:AL63)</f>
        <v>0</v>
      </c>
      <c r="AM56" s="128"/>
      <c r="AN56" s="127"/>
      <c r="AO56" s="82">
        <f>AVERAGE(AO57:AO63)</f>
        <v>0</v>
      </c>
      <c r="AP56" s="128"/>
      <c r="AQ56" s="129"/>
      <c r="AR56" s="82">
        <f>AVERAGE(AR57:AR63)</f>
        <v>0</v>
      </c>
      <c r="AS56" s="130"/>
      <c r="AT56" s="129"/>
      <c r="AU56" s="82">
        <f>AVERAGE(AU57:AU63)</f>
        <v>0</v>
      </c>
      <c r="AV56" s="128"/>
      <c r="AW56" s="127"/>
      <c r="AX56" s="82">
        <f>AVERAGE(AX57:AX63)</f>
        <v>0</v>
      </c>
      <c r="AY56" s="131"/>
      <c r="AZ56" s="132"/>
      <c r="BA56" s="82">
        <f>AVERAGE(BA57:BA63)</f>
        <v>0</v>
      </c>
      <c r="BB56" s="128"/>
      <c r="BC56" s="132"/>
      <c r="BD56" s="82">
        <f>AVERAGE(BD57:BD63)</f>
        <v>0</v>
      </c>
      <c r="BE56" s="128"/>
      <c r="BF56" s="132"/>
      <c r="BG56" s="82">
        <f>AVERAGE(BG57:BG63)</f>
        <v>0</v>
      </c>
      <c r="BH56" s="128"/>
      <c r="BI56" s="132"/>
      <c r="BJ56" s="82">
        <f>AVERAGE(BJ57:BJ63)</f>
        <v>0</v>
      </c>
      <c r="BK56" s="128"/>
      <c r="BL56" s="132"/>
      <c r="BM56" s="82">
        <f>AVERAGE(BM57:BM63)</f>
        <v>0</v>
      </c>
      <c r="BN56" s="128"/>
      <c r="BO56" s="132"/>
      <c r="BP56" s="82">
        <f>AVERAGE(BP57:BP63)</f>
        <v>0</v>
      </c>
      <c r="BQ56" s="128"/>
      <c r="BR56" s="132"/>
      <c r="BS56" s="82">
        <f>AVERAGE(BS57:BS63)</f>
        <v>0</v>
      </c>
      <c r="BT56" s="128"/>
      <c r="BU56" s="132"/>
      <c r="BV56" s="82">
        <f>AVERAGE(BV57:BV63)</f>
        <v>0</v>
      </c>
      <c r="BW56" s="128"/>
      <c r="BX56" s="132"/>
      <c r="BY56" s="82">
        <f>AVERAGE(BY57:BY63)</f>
        <v>0</v>
      </c>
      <c r="BZ56" s="126"/>
      <c r="CA56" s="127"/>
      <c r="CB56" s="82">
        <f>AVERAGE(CB57:CB63)</f>
        <v>0</v>
      </c>
      <c r="CC56" s="126"/>
      <c r="CD56" s="127"/>
      <c r="CE56" s="82">
        <f>AVERAGE(CE57:CE63)</f>
        <v>0</v>
      </c>
      <c r="CF56" s="126"/>
      <c r="CG56" s="127"/>
      <c r="CH56" s="82">
        <f>AVERAGE(CH57:CH63)</f>
        <v>0</v>
      </c>
      <c r="CI56" s="126"/>
      <c r="CJ56" s="127"/>
      <c r="CK56" s="82">
        <f>AVERAGE(CK57:CK63)</f>
        <v>0</v>
      </c>
      <c r="CL56" s="126"/>
      <c r="CM56" s="127"/>
      <c r="CN56" s="82">
        <f>AVERAGE(CN57:CN63)</f>
        <v>0</v>
      </c>
      <c r="CO56" s="126"/>
      <c r="CP56" s="127"/>
      <c r="CQ56" s="82">
        <f>AVERAGE(CQ57:CQ63)</f>
        <v>0</v>
      </c>
      <c r="CR56" s="126"/>
      <c r="CS56" s="127"/>
      <c r="CT56" s="82">
        <f>AVERAGE(CT57:CT63)</f>
        <v>0</v>
      </c>
      <c r="CU56" s="126"/>
      <c r="CV56" s="127"/>
      <c r="CW56" s="82">
        <f>AVERAGE(CW57:CW63)</f>
        <v>0</v>
      </c>
      <c r="CX56" s="126"/>
      <c r="CY56" s="127"/>
      <c r="CZ56" s="82">
        <f>AVERAGE(CZ57:CZ63)</f>
        <v>0</v>
      </c>
      <c r="DA56" s="126"/>
      <c r="DB56" s="127"/>
      <c r="DC56" s="82">
        <f>AVERAGE(DC57:DC63)</f>
        <v>0</v>
      </c>
      <c r="DD56" s="126"/>
      <c r="DE56" s="127"/>
      <c r="DF56" s="82">
        <f>AVERAGE(DF57:DF63)</f>
        <v>0</v>
      </c>
      <c r="DG56" s="126"/>
      <c r="DH56" s="127"/>
      <c r="DI56" s="82">
        <f>AVERAGE(DI57:DI63)</f>
        <v>0</v>
      </c>
      <c r="DJ56" s="126"/>
      <c r="DK56" s="127"/>
      <c r="DL56" s="82">
        <f>AVERAGE(DL57:DL63)</f>
        <v>0</v>
      </c>
      <c r="DM56" s="126"/>
      <c r="DN56" s="127"/>
      <c r="DO56" s="82">
        <f>AVERAGE(DO57:DO63)</f>
        <v>0</v>
      </c>
      <c r="DP56" s="126"/>
      <c r="DQ56" s="127"/>
      <c r="DR56" s="82">
        <f>AVERAGE(DR57:DR63)</f>
        <v>0</v>
      </c>
      <c r="DS56" s="126"/>
      <c r="DT56" s="127"/>
      <c r="DU56" s="82">
        <f>AVERAGE(DU57:DU63)</f>
        <v>0</v>
      </c>
      <c r="DV56" s="126"/>
      <c r="DW56" s="127"/>
      <c r="DX56" s="82">
        <f>AVERAGE(DX57:DX63)</f>
        <v>0</v>
      </c>
      <c r="DY56" s="126"/>
      <c r="DZ56" s="127"/>
      <c r="EA56" s="82">
        <f>AVERAGE(EA57:EA63)</f>
        <v>0</v>
      </c>
      <c r="EB56" s="126"/>
      <c r="EC56" s="127"/>
      <c r="ED56" s="82">
        <f>AVERAGE(ED57:ED63)</f>
        <v>0</v>
      </c>
      <c r="EE56" s="126"/>
      <c r="EF56" s="127"/>
      <c r="EG56" s="82">
        <f>AVERAGE(EG57:EG63)</f>
        <v>0</v>
      </c>
      <c r="EH56" s="126"/>
      <c r="EI56" s="127"/>
      <c r="EJ56" s="82">
        <f>AVERAGE(EJ57:EJ63)</f>
        <v>0</v>
      </c>
      <c r="EK56" s="126"/>
      <c r="EL56" s="127"/>
      <c r="EM56" s="82">
        <f>AVERAGE(EM57:EM63)</f>
        <v>0</v>
      </c>
      <c r="EN56" s="126"/>
      <c r="EO56" s="127"/>
      <c r="EP56" s="82">
        <f>AVERAGE(EP57:EP63)</f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30.5" customHeight="1" spans="1:148" x14ac:dyDescent="0.25">
      <c r="A57" s="177" t="s">
        <v>123</v>
      </c>
      <c r="B57" s="101"/>
      <c r="C57" s="102"/>
      <c r="D57" s="103">
        <v>5</v>
      </c>
      <c r="E57" s="104">
        <f t="shared" ref="E57:E63" si="334">C57/D57</f>
        <v>0</v>
      </c>
      <c r="F57" s="102"/>
      <c r="G57" s="103">
        <v>5</v>
      </c>
      <c r="H57" s="104">
        <f t="shared" ref="H57:H63" si="335">F57/G57</f>
        <v>0</v>
      </c>
      <c r="I57" s="105"/>
      <c r="J57" s="103">
        <v>5</v>
      </c>
      <c r="K57" s="104">
        <f t="shared" ref="K57:K63" si="336">I57/J57</f>
        <v>0</v>
      </c>
      <c r="L57" s="105"/>
      <c r="M57" s="103">
        <v>5</v>
      </c>
      <c r="N57" s="104">
        <f t="shared" ref="N57:N63" si="337">L57/M57</f>
        <v>0</v>
      </c>
      <c r="O57" s="106"/>
      <c r="P57" s="107">
        <v>5</v>
      </c>
      <c r="Q57" s="104">
        <f t="shared" ref="Q57:Q63" si="338">O57/P57</f>
        <v>0</v>
      </c>
      <c r="R57" s="102"/>
      <c r="S57" s="107">
        <v>5</v>
      </c>
      <c r="T57" s="104">
        <f t="shared" ref="T57:T63" si="339">R57/S57</f>
        <v>0</v>
      </c>
      <c r="U57" s="102"/>
      <c r="V57" s="107">
        <v>5</v>
      </c>
      <c r="W57" s="104">
        <f t="shared" ref="W57:W63" si="340">U57/V57</f>
        <v>0</v>
      </c>
      <c r="X57" s="102"/>
      <c r="Y57" s="107">
        <v>5</v>
      </c>
      <c r="Z57" s="104">
        <f t="shared" ref="Z57:Z63" si="341">X57/Y57</f>
        <v>0</v>
      </c>
      <c r="AA57" s="106"/>
      <c r="AB57" s="107">
        <v>5</v>
      </c>
      <c r="AC57" s="104">
        <f t="shared" ref="AC57:AC63" si="342">AA57/AB57</f>
        <v>0</v>
      </c>
      <c r="AD57" s="106"/>
      <c r="AE57" s="107">
        <v>5</v>
      </c>
      <c r="AF57" s="104">
        <f t="shared" ref="AF57:AF63" si="343">AD57/AE57</f>
        <v>0</v>
      </c>
      <c r="AG57" s="106"/>
      <c r="AH57" s="107">
        <v>5</v>
      </c>
      <c r="AI57" s="104">
        <f t="shared" ref="AI57:AI63" si="344">AG57/AH57</f>
        <v>0</v>
      </c>
      <c r="AJ57" s="106"/>
      <c r="AK57" s="107">
        <v>5</v>
      </c>
      <c r="AL57" s="104">
        <f t="shared" ref="AL57:AL63" si="345">AJ57/AK57</f>
        <v>0</v>
      </c>
      <c r="AM57" s="102"/>
      <c r="AN57" s="1">
        <v>5</v>
      </c>
      <c r="AO57" s="104">
        <f t="shared" ref="AO57:AO63" si="346">AM57/AN57</f>
        <v>0</v>
      </c>
      <c r="AP57" s="102"/>
      <c r="AQ57" s="1">
        <v>5</v>
      </c>
      <c r="AR57" s="104">
        <f t="shared" ref="AR57:AR63" si="347">AP57/AQ57</f>
        <v>0</v>
      </c>
      <c r="AS57" s="102"/>
      <c r="AT57" s="1">
        <v>5</v>
      </c>
      <c r="AU57" s="104">
        <f t="shared" ref="AU57:AU63" si="348">AS57/AT57</f>
        <v>0</v>
      </c>
      <c r="AV57" s="102"/>
      <c r="AW57" s="1">
        <v>5</v>
      </c>
      <c r="AX57" s="104">
        <f t="shared" ref="AX57:AX63" si="349">AV57/AW57</f>
        <v>0</v>
      </c>
      <c r="AY57" s="102"/>
      <c r="AZ57" s="1">
        <v>5</v>
      </c>
      <c r="BA57" s="104">
        <f t="shared" ref="BA57:BA63" si="350">AY57/AZ57</f>
        <v>0</v>
      </c>
      <c r="BB57" s="102"/>
      <c r="BC57" s="1">
        <v>5</v>
      </c>
      <c r="BD57" s="104">
        <f t="shared" ref="BD57:BD63" si="351">BB57/BC57</f>
        <v>0</v>
      </c>
      <c r="BE57" s="102"/>
      <c r="BF57" s="1">
        <v>5</v>
      </c>
      <c r="BG57" s="104">
        <f t="shared" ref="BG57:BG63" si="352">BE57/BF57</f>
        <v>0</v>
      </c>
      <c r="BH57" s="102"/>
      <c r="BI57" s="1">
        <v>5</v>
      </c>
      <c r="BJ57" s="104">
        <f t="shared" ref="BJ57:BJ63" si="353">BH57/BI57</f>
        <v>0</v>
      </c>
      <c r="BK57" s="102"/>
      <c r="BL57" s="1">
        <v>5</v>
      </c>
      <c r="BM57" s="104">
        <f t="shared" ref="BM57:BM63" si="354">BK57/BL57</f>
        <v>0</v>
      </c>
      <c r="BN57" s="102"/>
      <c r="BO57" s="1">
        <v>5</v>
      </c>
      <c r="BP57" s="104">
        <f t="shared" ref="BP57:BP63" si="355">BN57/BO57</f>
        <v>0</v>
      </c>
      <c r="BQ57" s="102"/>
      <c r="BR57" s="1">
        <v>5</v>
      </c>
      <c r="BS57" s="104">
        <f t="shared" ref="BS57:BS63" si="356">BQ57/BR57</f>
        <v>0</v>
      </c>
      <c r="BT57" s="102"/>
      <c r="BU57" s="1">
        <v>5</v>
      </c>
      <c r="BV57" s="104">
        <f t="shared" ref="BV57:BV63" si="357">BT57/BU57</f>
        <v>0</v>
      </c>
      <c r="BW57" s="102"/>
      <c r="BX57" s="1">
        <v>5</v>
      </c>
      <c r="BY57" s="104">
        <f t="shared" ref="BY57:BY63" si="358">BW57/BX57</f>
        <v>0</v>
      </c>
      <c r="BZ57" s="102"/>
      <c r="CA57" s="1">
        <v>5</v>
      </c>
      <c r="CB57" s="104">
        <f t="shared" ref="CB57:CB63" si="359">BZ57/CA57</f>
        <v>0</v>
      </c>
      <c r="CC57" s="102"/>
      <c r="CD57" s="1">
        <v>5</v>
      </c>
      <c r="CE57" s="104">
        <f t="shared" ref="CE57:CE63" si="360">CC57/CD57</f>
        <v>0</v>
      </c>
      <c r="CF57" s="102"/>
      <c r="CG57" s="1">
        <v>5</v>
      </c>
      <c r="CH57" s="104">
        <f t="shared" ref="CH57:CH63" si="361">CF57/CG57</f>
        <v>0</v>
      </c>
      <c r="CI57" s="102"/>
      <c r="CJ57" s="1">
        <v>5</v>
      </c>
      <c r="CK57" s="104">
        <f t="shared" ref="CK57:CK63" si="362">CI57/CJ57</f>
        <v>0</v>
      </c>
      <c r="CL57" s="102"/>
      <c r="CM57" s="1">
        <v>5</v>
      </c>
      <c r="CN57" s="104">
        <f t="shared" ref="CN57:CN63" si="363">CL57/CM57</f>
        <v>0</v>
      </c>
      <c r="CO57" s="102"/>
      <c r="CP57" s="1">
        <v>5</v>
      </c>
      <c r="CQ57" s="104">
        <f t="shared" ref="CQ57:CQ63" si="364">CO57/CP57</f>
        <v>0</v>
      </c>
      <c r="CR57" s="102"/>
      <c r="CS57" s="1">
        <v>5</v>
      </c>
      <c r="CT57" s="104">
        <f t="shared" ref="CT57:CT63" si="365">CR57/CS57</f>
        <v>0</v>
      </c>
      <c r="CU57" s="102"/>
      <c r="CV57" s="1">
        <v>5</v>
      </c>
      <c r="CW57" s="104">
        <f t="shared" ref="CW57:CW63" si="366">CU57/CV57</f>
        <v>0</v>
      </c>
      <c r="CX57" s="102"/>
      <c r="CY57" s="1">
        <v>5</v>
      </c>
      <c r="CZ57" s="104">
        <f t="shared" ref="CZ57:CZ63" si="367">CX57/CY57</f>
        <v>0</v>
      </c>
      <c r="DA57" s="102"/>
      <c r="DB57" s="1">
        <v>5</v>
      </c>
      <c r="DC57" s="104">
        <f t="shared" ref="DC57:DC63" si="368">DA57/DB57</f>
        <v>0</v>
      </c>
      <c r="DD57" s="102"/>
      <c r="DE57" s="1">
        <v>5</v>
      </c>
      <c r="DF57" s="104">
        <f t="shared" ref="DF57:DF63" si="369">DD57/DE57</f>
        <v>0</v>
      </c>
      <c r="DG57" s="102"/>
      <c r="DH57" s="1">
        <v>5</v>
      </c>
      <c r="DI57" s="104">
        <f t="shared" ref="DI57:DI63" si="370">DG57/DH57</f>
        <v>0</v>
      </c>
      <c r="DJ57" s="102"/>
      <c r="DK57" s="1">
        <v>5</v>
      </c>
      <c r="DL57" s="104">
        <f t="shared" ref="DL57:DL63" si="371">DJ57/DK57</f>
        <v>0</v>
      </c>
      <c r="DM57" s="102"/>
      <c r="DN57" s="1">
        <v>5</v>
      </c>
      <c r="DO57" s="104">
        <f t="shared" ref="DO57:DO63" si="372">DM57/DN57</f>
        <v>0</v>
      </c>
      <c r="DP57" s="102"/>
      <c r="DQ57" s="1">
        <v>5</v>
      </c>
      <c r="DR57" s="104">
        <f t="shared" ref="DR57:DR63" si="373">DP57/DQ57</f>
        <v>0</v>
      </c>
      <c r="DS57" s="102"/>
      <c r="DT57" s="1">
        <v>5</v>
      </c>
      <c r="DU57" s="104">
        <f t="shared" ref="DU57:DU63" si="374">DS57/DT57</f>
        <v>0</v>
      </c>
      <c r="DV57" s="102"/>
      <c r="DW57" s="1">
        <v>5</v>
      </c>
      <c r="DX57" s="104">
        <f t="shared" ref="DX57:DX63" si="375">DV57/DW57</f>
        <v>0</v>
      </c>
      <c r="DY57" s="102"/>
      <c r="DZ57" s="1">
        <v>5</v>
      </c>
      <c r="EA57" s="104">
        <f t="shared" ref="EA57:EA63" si="376">DY57/DZ57</f>
        <v>0</v>
      </c>
      <c r="EB57" s="102"/>
      <c r="EC57" s="1">
        <v>5</v>
      </c>
      <c r="ED57" s="104">
        <f t="shared" ref="ED57:ED63" si="377">EB57/EC57</f>
        <v>0</v>
      </c>
      <c r="EE57" s="102"/>
      <c r="EF57" s="1">
        <v>5</v>
      </c>
      <c r="EG57" s="104">
        <f t="shared" ref="EG57:EG63" si="378">EE57/EF57</f>
        <v>0</v>
      </c>
      <c r="EH57" s="102"/>
      <c r="EI57" s="1">
        <v>5</v>
      </c>
      <c r="EJ57" s="104">
        <f t="shared" ref="EJ57:EJ63" si="379">EH57/EI57</f>
        <v>0</v>
      </c>
      <c r="EK57" s="102"/>
      <c r="EL57" s="1">
        <v>5</v>
      </c>
      <c r="EM57" s="104">
        <f t="shared" ref="EM57:EM63" si="380">EK57/EL57</f>
        <v>0</v>
      </c>
      <c r="EN57" s="102"/>
      <c r="EO57" s="1">
        <v>5</v>
      </c>
      <c r="EP57" s="104">
        <f t="shared" ref="EP57:EP63" si="381">EN57/EO57</f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62" t="str">
        <f t="array" ref="ER57">_xlfn.IFS(EQ57&gt;=91.5%,"MENSUAL",EQ57&gt;=75%,"QUINCENAL",EQ57&lt;75%,"SEMANAL")</f>
        <v>SEMANAL</v>
      </c>
    </row>
    <row r="58" ht="16" customHeight="1" spans="1:148" x14ac:dyDescent="0.25">
      <c r="A58" s="169" t="s">
        <v>124</v>
      </c>
      <c r="B58" s="101"/>
      <c r="C58" s="102"/>
      <c r="D58" s="103">
        <v>5</v>
      </c>
      <c r="E58" s="104">
        <f t="shared" si="334"/>
        <v>0</v>
      </c>
      <c r="F58" s="102"/>
      <c r="G58" s="103">
        <v>5</v>
      </c>
      <c r="H58" s="104">
        <f t="shared" si="335"/>
        <v>0</v>
      </c>
      <c r="I58" s="105"/>
      <c r="J58" s="103">
        <v>5</v>
      </c>
      <c r="K58" s="104">
        <f t="shared" si="336"/>
        <v>0</v>
      </c>
      <c r="L58" s="105"/>
      <c r="M58" s="103">
        <v>5</v>
      </c>
      <c r="N58" s="104">
        <f t="shared" si="337"/>
        <v>0</v>
      </c>
      <c r="O58" s="106"/>
      <c r="P58" s="107">
        <v>5</v>
      </c>
      <c r="Q58" s="104">
        <f t="shared" si="338"/>
        <v>0</v>
      </c>
      <c r="R58" s="102"/>
      <c r="S58" s="107">
        <v>5</v>
      </c>
      <c r="T58" s="104">
        <f t="shared" si="339"/>
        <v>0</v>
      </c>
      <c r="U58" s="102"/>
      <c r="V58" s="107">
        <v>5</v>
      </c>
      <c r="W58" s="104">
        <f t="shared" si="340"/>
        <v>0</v>
      </c>
      <c r="X58" s="102"/>
      <c r="Y58" s="107">
        <v>5</v>
      </c>
      <c r="Z58" s="104">
        <f t="shared" si="341"/>
        <v>0</v>
      </c>
      <c r="AA58" s="106"/>
      <c r="AB58" s="107">
        <v>5</v>
      </c>
      <c r="AC58" s="104">
        <f t="shared" si="342"/>
        <v>0</v>
      </c>
      <c r="AD58" s="106"/>
      <c r="AE58" s="107">
        <v>5</v>
      </c>
      <c r="AF58" s="104">
        <f t="shared" si="343"/>
        <v>0</v>
      </c>
      <c r="AG58" s="106"/>
      <c r="AH58" s="107">
        <v>5</v>
      </c>
      <c r="AI58" s="104">
        <f t="shared" si="344"/>
        <v>0</v>
      </c>
      <c r="AJ58" s="106"/>
      <c r="AK58" s="107">
        <v>5</v>
      </c>
      <c r="AL58" s="104">
        <f t="shared" si="345"/>
        <v>0</v>
      </c>
      <c r="AM58" s="102"/>
      <c r="AN58" s="1">
        <v>5</v>
      </c>
      <c r="AO58" s="104">
        <f t="shared" si="346"/>
        <v>0</v>
      </c>
      <c r="AP58" s="102"/>
      <c r="AQ58" s="1">
        <v>5</v>
      </c>
      <c r="AR58" s="104">
        <f t="shared" si="347"/>
        <v>0</v>
      </c>
      <c r="AS58" s="102"/>
      <c r="AT58" s="1">
        <v>5</v>
      </c>
      <c r="AU58" s="104">
        <f t="shared" si="348"/>
        <v>0</v>
      </c>
      <c r="AV58" s="102"/>
      <c r="AW58" s="1">
        <v>5</v>
      </c>
      <c r="AX58" s="104">
        <f t="shared" si="349"/>
        <v>0</v>
      </c>
      <c r="AY58" s="102"/>
      <c r="AZ58" s="1">
        <v>5</v>
      </c>
      <c r="BA58" s="104">
        <f t="shared" si="350"/>
        <v>0</v>
      </c>
      <c r="BB58" s="102"/>
      <c r="BC58" s="1">
        <v>5</v>
      </c>
      <c r="BD58" s="104">
        <f t="shared" si="351"/>
        <v>0</v>
      </c>
      <c r="BE58" s="102"/>
      <c r="BF58" s="1">
        <v>5</v>
      </c>
      <c r="BG58" s="104">
        <f t="shared" si="352"/>
        <v>0</v>
      </c>
      <c r="BH58" s="102"/>
      <c r="BI58" s="1">
        <v>5</v>
      </c>
      <c r="BJ58" s="104">
        <f t="shared" si="353"/>
        <v>0</v>
      </c>
      <c r="BK58" s="102"/>
      <c r="BL58" s="1">
        <v>5</v>
      </c>
      <c r="BM58" s="104">
        <f t="shared" si="354"/>
        <v>0</v>
      </c>
      <c r="BN58" s="102"/>
      <c r="BO58" s="1">
        <v>5</v>
      </c>
      <c r="BP58" s="104">
        <f t="shared" si="355"/>
        <v>0</v>
      </c>
      <c r="BQ58" s="102"/>
      <c r="BR58" s="1">
        <v>5</v>
      </c>
      <c r="BS58" s="104">
        <f t="shared" si="356"/>
        <v>0</v>
      </c>
      <c r="BT58" s="102"/>
      <c r="BU58" s="1">
        <v>5</v>
      </c>
      <c r="BV58" s="104">
        <f t="shared" si="357"/>
        <v>0</v>
      </c>
      <c r="BW58" s="102"/>
      <c r="BX58" s="1">
        <v>5</v>
      </c>
      <c r="BY58" s="104">
        <f t="shared" si="358"/>
        <v>0</v>
      </c>
      <c r="BZ58" s="102"/>
      <c r="CA58" s="1">
        <v>5</v>
      </c>
      <c r="CB58" s="104">
        <f t="shared" si="359"/>
        <v>0</v>
      </c>
      <c r="CC58" s="102"/>
      <c r="CD58" s="1">
        <v>5</v>
      </c>
      <c r="CE58" s="104">
        <f t="shared" si="360"/>
        <v>0</v>
      </c>
      <c r="CF58" s="102"/>
      <c r="CG58" s="1">
        <v>5</v>
      </c>
      <c r="CH58" s="104">
        <f t="shared" si="361"/>
        <v>0</v>
      </c>
      <c r="CI58" s="102"/>
      <c r="CJ58" s="1">
        <v>5</v>
      </c>
      <c r="CK58" s="104">
        <f t="shared" si="362"/>
        <v>0</v>
      </c>
      <c r="CL58" s="102"/>
      <c r="CM58" s="1">
        <v>5</v>
      </c>
      <c r="CN58" s="104">
        <f t="shared" si="363"/>
        <v>0</v>
      </c>
      <c r="CO58" s="102"/>
      <c r="CP58" s="1">
        <v>5</v>
      </c>
      <c r="CQ58" s="104">
        <f t="shared" si="364"/>
        <v>0</v>
      </c>
      <c r="CR58" s="102"/>
      <c r="CS58" s="1">
        <v>5</v>
      </c>
      <c r="CT58" s="104">
        <f t="shared" si="365"/>
        <v>0</v>
      </c>
      <c r="CU58" s="102"/>
      <c r="CV58" s="1">
        <v>5</v>
      </c>
      <c r="CW58" s="104">
        <f t="shared" si="366"/>
        <v>0</v>
      </c>
      <c r="CX58" s="102"/>
      <c r="CY58" s="1">
        <v>5</v>
      </c>
      <c r="CZ58" s="104">
        <f t="shared" si="367"/>
        <v>0</v>
      </c>
      <c r="DA58" s="102"/>
      <c r="DB58" s="1">
        <v>5</v>
      </c>
      <c r="DC58" s="104">
        <f t="shared" si="368"/>
        <v>0</v>
      </c>
      <c r="DD58" s="102"/>
      <c r="DE58" s="1">
        <v>5</v>
      </c>
      <c r="DF58" s="104">
        <f t="shared" si="369"/>
        <v>0</v>
      </c>
      <c r="DG58" s="102"/>
      <c r="DH58" s="1">
        <v>5</v>
      </c>
      <c r="DI58" s="104">
        <f t="shared" si="370"/>
        <v>0</v>
      </c>
      <c r="DJ58" s="102"/>
      <c r="DK58" s="1">
        <v>5</v>
      </c>
      <c r="DL58" s="104">
        <f t="shared" si="371"/>
        <v>0</v>
      </c>
      <c r="DM58" s="102"/>
      <c r="DN58" s="1">
        <v>5</v>
      </c>
      <c r="DO58" s="104">
        <f t="shared" si="372"/>
        <v>0</v>
      </c>
      <c r="DP58" s="102"/>
      <c r="DQ58" s="1">
        <v>5</v>
      </c>
      <c r="DR58" s="104">
        <f t="shared" si="373"/>
        <v>0</v>
      </c>
      <c r="DS58" s="102"/>
      <c r="DT58" s="1">
        <v>5</v>
      </c>
      <c r="DU58" s="104">
        <f t="shared" si="374"/>
        <v>0</v>
      </c>
      <c r="DV58" s="102"/>
      <c r="DW58" s="1">
        <v>5</v>
      </c>
      <c r="DX58" s="104">
        <f t="shared" si="375"/>
        <v>0</v>
      </c>
      <c r="DY58" s="102"/>
      <c r="DZ58" s="1">
        <v>5</v>
      </c>
      <c r="EA58" s="104">
        <f t="shared" si="376"/>
        <v>0</v>
      </c>
      <c r="EB58" s="102"/>
      <c r="EC58" s="1">
        <v>5</v>
      </c>
      <c r="ED58" s="104">
        <f t="shared" si="377"/>
        <v>0</v>
      </c>
      <c r="EE58" s="102"/>
      <c r="EF58" s="1">
        <v>5</v>
      </c>
      <c r="EG58" s="104">
        <f t="shared" si="378"/>
        <v>0</v>
      </c>
      <c r="EH58" s="102"/>
      <c r="EI58" s="1">
        <v>5</v>
      </c>
      <c r="EJ58" s="104">
        <f t="shared" si="379"/>
        <v>0</v>
      </c>
      <c r="EK58" s="102"/>
      <c r="EL58" s="1">
        <v>5</v>
      </c>
      <c r="EM58" s="104">
        <f t="shared" si="380"/>
        <v>0</v>
      </c>
      <c r="EN58" s="102"/>
      <c r="EO58" s="1">
        <v>5</v>
      </c>
      <c r="EP58" s="104">
        <f t="shared" si="381"/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16" customHeight="1" spans="1:148" x14ac:dyDescent="0.25">
      <c r="A59" s="169" t="s">
        <v>125</v>
      </c>
      <c r="B59" s="101"/>
      <c r="C59" s="102"/>
      <c r="D59" s="103">
        <v>5</v>
      </c>
      <c r="E59" s="104">
        <f t="shared" si="334"/>
        <v>0</v>
      </c>
      <c r="F59" s="102"/>
      <c r="G59" s="103">
        <v>5</v>
      </c>
      <c r="H59" s="104">
        <f t="shared" si="335"/>
        <v>0</v>
      </c>
      <c r="I59" s="105"/>
      <c r="J59" s="103">
        <v>5</v>
      </c>
      <c r="K59" s="104">
        <f t="shared" si="336"/>
        <v>0</v>
      </c>
      <c r="L59" s="105"/>
      <c r="M59" s="103">
        <v>5</v>
      </c>
      <c r="N59" s="104">
        <f t="shared" si="337"/>
        <v>0</v>
      </c>
      <c r="O59" s="106"/>
      <c r="P59" s="107">
        <v>5</v>
      </c>
      <c r="Q59" s="104">
        <f t="shared" si="338"/>
        <v>0</v>
      </c>
      <c r="R59" s="102"/>
      <c r="S59" s="107">
        <v>5</v>
      </c>
      <c r="T59" s="104">
        <f t="shared" si="339"/>
        <v>0</v>
      </c>
      <c r="U59" s="102"/>
      <c r="V59" s="107">
        <v>5</v>
      </c>
      <c r="W59" s="104">
        <f t="shared" si="340"/>
        <v>0</v>
      </c>
      <c r="X59" s="102"/>
      <c r="Y59" s="107">
        <v>5</v>
      </c>
      <c r="Z59" s="104">
        <f t="shared" si="341"/>
        <v>0</v>
      </c>
      <c r="AA59" s="106"/>
      <c r="AB59" s="107">
        <v>5</v>
      </c>
      <c r="AC59" s="104">
        <f t="shared" si="342"/>
        <v>0</v>
      </c>
      <c r="AD59" s="106"/>
      <c r="AE59" s="107">
        <v>5</v>
      </c>
      <c r="AF59" s="104">
        <f t="shared" si="343"/>
        <v>0</v>
      </c>
      <c r="AG59" s="106"/>
      <c r="AH59" s="107">
        <v>5</v>
      </c>
      <c r="AI59" s="104">
        <f t="shared" si="344"/>
        <v>0</v>
      </c>
      <c r="AJ59" s="106"/>
      <c r="AK59" s="107">
        <v>5</v>
      </c>
      <c r="AL59" s="104">
        <f t="shared" si="345"/>
        <v>0</v>
      </c>
      <c r="AM59" s="102"/>
      <c r="AN59" s="1">
        <v>5</v>
      </c>
      <c r="AO59" s="104">
        <f t="shared" si="346"/>
        <v>0</v>
      </c>
      <c r="AP59" s="102"/>
      <c r="AQ59" s="1">
        <v>5</v>
      </c>
      <c r="AR59" s="104">
        <f t="shared" si="347"/>
        <v>0</v>
      </c>
      <c r="AS59" s="102"/>
      <c r="AT59" s="1">
        <v>5</v>
      </c>
      <c r="AU59" s="104">
        <f t="shared" si="348"/>
        <v>0</v>
      </c>
      <c r="AV59" s="102"/>
      <c r="AW59" s="1">
        <v>5</v>
      </c>
      <c r="AX59" s="104">
        <f t="shared" si="349"/>
        <v>0</v>
      </c>
      <c r="AY59" s="102"/>
      <c r="AZ59" s="1">
        <v>5</v>
      </c>
      <c r="BA59" s="104">
        <f t="shared" si="350"/>
        <v>0</v>
      </c>
      <c r="BB59" s="102"/>
      <c r="BC59" s="1">
        <v>5</v>
      </c>
      <c r="BD59" s="104">
        <f t="shared" si="351"/>
        <v>0</v>
      </c>
      <c r="BE59" s="102"/>
      <c r="BF59" s="1">
        <v>5</v>
      </c>
      <c r="BG59" s="104">
        <f t="shared" si="352"/>
        <v>0</v>
      </c>
      <c r="BH59" s="102"/>
      <c r="BI59" s="1">
        <v>5</v>
      </c>
      <c r="BJ59" s="104">
        <f t="shared" si="353"/>
        <v>0</v>
      </c>
      <c r="BK59" s="102"/>
      <c r="BL59" s="1">
        <v>5</v>
      </c>
      <c r="BM59" s="104">
        <f t="shared" si="354"/>
        <v>0</v>
      </c>
      <c r="BN59" s="102"/>
      <c r="BO59" s="1">
        <v>5</v>
      </c>
      <c r="BP59" s="104">
        <f t="shared" si="355"/>
        <v>0</v>
      </c>
      <c r="BQ59" s="102"/>
      <c r="BR59" s="1">
        <v>5</v>
      </c>
      <c r="BS59" s="104">
        <f t="shared" si="356"/>
        <v>0</v>
      </c>
      <c r="BT59" s="102"/>
      <c r="BU59" s="1">
        <v>5</v>
      </c>
      <c r="BV59" s="104">
        <f t="shared" si="357"/>
        <v>0</v>
      </c>
      <c r="BW59" s="102"/>
      <c r="BX59" s="1">
        <v>5</v>
      </c>
      <c r="BY59" s="104">
        <f t="shared" si="358"/>
        <v>0</v>
      </c>
      <c r="BZ59" s="102"/>
      <c r="CA59" s="1">
        <v>5</v>
      </c>
      <c r="CB59" s="104">
        <f t="shared" si="359"/>
        <v>0</v>
      </c>
      <c r="CC59" s="102"/>
      <c r="CD59" s="1">
        <v>5</v>
      </c>
      <c r="CE59" s="104">
        <f t="shared" si="360"/>
        <v>0</v>
      </c>
      <c r="CF59" s="102"/>
      <c r="CG59" s="1">
        <v>5</v>
      </c>
      <c r="CH59" s="104">
        <f t="shared" si="361"/>
        <v>0</v>
      </c>
      <c r="CI59" s="102"/>
      <c r="CJ59" s="1">
        <v>5</v>
      </c>
      <c r="CK59" s="104">
        <f t="shared" si="362"/>
        <v>0</v>
      </c>
      <c r="CL59" s="102"/>
      <c r="CM59" s="1">
        <v>5</v>
      </c>
      <c r="CN59" s="104">
        <f t="shared" si="363"/>
        <v>0</v>
      </c>
      <c r="CO59" s="102"/>
      <c r="CP59" s="1">
        <v>5</v>
      </c>
      <c r="CQ59" s="104">
        <f t="shared" si="364"/>
        <v>0</v>
      </c>
      <c r="CR59" s="102"/>
      <c r="CS59" s="1">
        <v>5</v>
      </c>
      <c r="CT59" s="104">
        <f t="shared" si="365"/>
        <v>0</v>
      </c>
      <c r="CU59" s="102"/>
      <c r="CV59" s="1">
        <v>5</v>
      </c>
      <c r="CW59" s="104">
        <f t="shared" si="366"/>
        <v>0</v>
      </c>
      <c r="CX59" s="102"/>
      <c r="CY59" s="1">
        <v>5</v>
      </c>
      <c r="CZ59" s="104">
        <f t="shared" si="367"/>
        <v>0</v>
      </c>
      <c r="DA59" s="102"/>
      <c r="DB59" s="1">
        <v>5</v>
      </c>
      <c r="DC59" s="104">
        <f t="shared" si="368"/>
        <v>0</v>
      </c>
      <c r="DD59" s="102"/>
      <c r="DE59" s="1">
        <v>5</v>
      </c>
      <c r="DF59" s="104">
        <f t="shared" si="369"/>
        <v>0</v>
      </c>
      <c r="DG59" s="102"/>
      <c r="DH59" s="1">
        <v>5</v>
      </c>
      <c r="DI59" s="104">
        <f t="shared" si="370"/>
        <v>0</v>
      </c>
      <c r="DJ59" s="102"/>
      <c r="DK59" s="1">
        <v>5</v>
      </c>
      <c r="DL59" s="104">
        <f t="shared" si="371"/>
        <v>0</v>
      </c>
      <c r="DM59" s="102"/>
      <c r="DN59" s="1">
        <v>5</v>
      </c>
      <c r="DO59" s="104">
        <f t="shared" si="372"/>
        <v>0</v>
      </c>
      <c r="DP59" s="102"/>
      <c r="DQ59" s="1">
        <v>5</v>
      </c>
      <c r="DR59" s="104">
        <f t="shared" si="373"/>
        <v>0</v>
      </c>
      <c r="DS59" s="102"/>
      <c r="DT59" s="1">
        <v>5</v>
      </c>
      <c r="DU59" s="104">
        <f t="shared" si="374"/>
        <v>0</v>
      </c>
      <c r="DV59" s="102"/>
      <c r="DW59" s="1">
        <v>5</v>
      </c>
      <c r="DX59" s="104">
        <f t="shared" si="375"/>
        <v>0</v>
      </c>
      <c r="DY59" s="102"/>
      <c r="DZ59" s="1">
        <v>5</v>
      </c>
      <c r="EA59" s="104">
        <f t="shared" si="376"/>
        <v>0</v>
      </c>
      <c r="EB59" s="102"/>
      <c r="EC59" s="1">
        <v>5</v>
      </c>
      <c r="ED59" s="104">
        <f t="shared" si="377"/>
        <v>0</v>
      </c>
      <c r="EE59" s="102"/>
      <c r="EF59" s="1">
        <v>5</v>
      </c>
      <c r="EG59" s="104">
        <f t="shared" si="378"/>
        <v>0</v>
      </c>
      <c r="EH59" s="102"/>
      <c r="EI59" s="1">
        <v>5</v>
      </c>
      <c r="EJ59" s="104">
        <f t="shared" si="379"/>
        <v>0</v>
      </c>
      <c r="EK59" s="102"/>
      <c r="EL59" s="1">
        <v>5</v>
      </c>
      <c r="EM59" s="104">
        <f t="shared" si="380"/>
        <v>0</v>
      </c>
      <c r="EN59" s="102"/>
      <c r="EO59" s="1">
        <v>5</v>
      </c>
      <c r="EP59" s="104">
        <f t="shared" si="381"/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25.5" customHeight="1" spans="1:148" x14ac:dyDescent="0.25">
      <c r="A60" s="169" t="s">
        <v>180</v>
      </c>
      <c r="B60" s="101"/>
      <c r="C60" s="102"/>
      <c r="D60" s="103">
        <v>5</v>
      </c>
      <c r="E60" s="104">
        <f t="shared" si="334"/>
        <v>0</v>
      </c>
      <c r="F60" s="102"/>
      <c r="G60" s="103">
        <v>5</v>
      </c>
      <c r="H60" s="104">
        <f t="shared" si="335"/>
        <v>0</v>
      </c>
      <c r="I60" s="105"/>
      <c r="J60" s="103">
        <v>5</v>
      </c>
      <c r="K60" s="104">
        <f t="shared" si="336"/>
        <v>0</v>
      </c>
      <c r="L60" s="105"/>
      <c r="M60" s="103">
        <v>5</v>
      </c>
      <c r="N60" s="104">
        <f t="shared" si="337"/>
        <v>0</v>
      </c>
      <c r="O60" s="106"/>
      <c r="P60" s="107">
        <v>5</v>
      </c>
      <c r="Q60" s="104">
        <f t="shared" si="338"/>
        <v>0</v>
      </c>
      <c r="R60" s="102"/>
      <c r="S60" s="107">
        <v>5</v>
      </c>
      <c r="T60" s="104">
        <f t="shared" si="339"/>
        <v>0</v>
      </c>
      <c r="U60" s="102"/>
      <c r="V60" s="107">
        <v>5</v>
      </c>
      <c r="W60" s="104">
        <f t="shared" si="340"/>
        <v>0</v>
      </c>
      <c r="X60" s="102"/>
      <c r="Y60" s="107">
        <v>5</v>
      </c>
      <c r="Z60" s="104">
        <f t="shared" si="341"/>
        <v>0</v>
      </c>
      <c r="AA60" s="106"/>
      <c r="AB60" s="107">
        <v>5</v>
      </c>
      <c r="AC60" s="104">
        <f t="shared" si="342"/>
        <v>0</v>
      </c>
      <c r="AD60" s="106"/>
      <c r="AE60" s="107">
        <v>5</v>
      </c>
      <c r="AF60" s="104">
        <f t="shared" si="343"/>
        <v>0</v>
      </c>
      <c r="AG60" s="106"/>
      <c r="AH60" s="107">
        <v>5</v>
      </c>
      <c r="AI60" s="104">
        <f t="shared" si="344"/>
        <v>0</v>
      </c>
      <c r="AJ60" s="106"/>
      <c r="AK60" s="107">
        <v>5</v>
      </c>
      <c r="AL60" s="104">
        <f t="shared" si="345"/>
        <v>0</v>
      </c>
      <c r="AM60" s="102"/>
      <c r="AN60" s="1">
        <v>5</v>
      </c>
      <c r="AO60" s="104">
        <f t="shared" si="346"/>
        <v>0</v>
      </c>
      <c r="AP60" s="102"/>
      <c r="AQ60" s="1">
        <v>5</v>
      </c>
      <c r="AR60" s="104">
        <f t="shared" si="347"/>
        <v>0</v>
      </c>
      <c r="AS60" s="102"/>
      <c r="AT60" s="1">
        <v>5</v>
      </c>
      <c r="AU60" s="104">
        <f t="shared" si="348"/>
        <v>0</v>
      </c>
      <c r="AV60" s="102"/>
      <c r="AW60" s="1">
        <v>5</v>
      </c>
      <c r="AX60" s="104">
        <f t="shared" si="349"/>
        <v>0</v>
      </c>
      <c r="AY60" s="102"/>
      <c r="AZ60" s="1">
        <v>5</v>
      </c>
      <c r="BA60" s="104">
        <f t="shared" si="350"/>
        <v>0</v>
      </c>
      <c r="BB60" s="102"/>
      <c r="BC60" s="1">
        <v>5</v>
      </c>
      <c r="BD60" s="104">
        <f t="shared" si="351"/>
        <v>0</v>
      </c>
      <c r="BE60" s="102"/>
      <c r="BF60" s="1">
        <v>5</v>
      </c>
      <c r="BG60" s="104">
        <f t="shared" si="352"/>
        <v>0</v>
      </c>
      <c r="BH60" s="102"/>
      <c r="BI60" s="1">
        <v>5</v>
      </c>
      <c r="BJ60" s="104">
        <f t="shared" si="353"/>
        <v>0</v>
      </c>
      <c r="BK60" s="102"/>
      <c r="BL60" s="1">
        <v>5</v>
      </c>
      <c r="BM60" s="104">
        <f t="shared" si="354"/>
        <v>0</v>
      </c>
      <c r="BN60" s="102"/>
      <c r="BO60" s="1">
        <v>5</v>
      </c>
      <c r="BP60" s="104">
        <f t="shared" si="355"/>
        <v>0</v>
      </c>
      <c r="BQ60" s="102"/>
      <c r="BR60" s="1">
        <v>5</v>
      </c>
      <c r="BS60" s="104">
        <f t="shared" si="356"/>
        <v>0</v>
      </c>
      <c r="BT60" s="102"/>
      <c r="BU60" s="1">
        <v>5</v>
      </c>
      <c r="BV60" s="104">
        <f t="shared" si="357"/>
        <v>0</v>
      </c>
      <c r="BW60" s="102"/>
      <c r="BX60" s="1">
        <v>5</v>
      </c>
      <c r="BY60" s="104">
        <f t="shared" si="358"/>
        <v>0</v>
      </c>
      <c r="BZ60" s="102"/>
      <c r="CA60" s="1">
        <v>5</v>
      </c>
      <c r="CB60" s="104">
        <f t="shared" si="359"/>
        <v>0</v>
      </c>
      <c r="CC60" s="102"/>
      <c r="CD60" s="1">
        <v>5</v>
      </c>
      <c r="CE60" s="104">
        <f t="shared" si="360"/>
        <v>0</v>
      </c>
      <c r="CF60" s="102"/>
      <c r="CG60" s="1">
        <v>5</v>
      </c>
      <c r="CH60" s="104">
        <f t="shared" si="361"/>
        <v>0</v>
      </c>
      <c r="CI60" s="102"/>
      <c r="CJ60" s="1">
        <v>5</v>
      </c>
      <c r="CK60" s="104">
        <f t="shared" si="362"/>
        <v>0</v>
      </c>
      <c r="CL60" s="102"/>
      <c r="CM60" s="1">
        <v>5</v>
      </c>
      <c r="CN60" s="104">
        <f t="shared" si="363"/>
        <v>0</v>
      </c>
      <c r="CO60" s="102"/>
      <c r="CP60" s="1">
        <v>5</v>
      </c>
      <c r="CQ60" s="104">
        <f t="shared" si="364"/>
        <v>0</v>
      </c>
      <c r="CR60" s="102"/>
      <c r="CS60" s="1">
        <v>5</v>
      </c>
      <c r="CT60" s="104">
        <f t="shared" si="365"/>
        <v>0</v>
      </c>
      <c r="CU60" s="102"/>
      <c r="CV60" s="1">
        <v>5</v>
      </c>
      <c r="CW60" s="104">
        <f t="shared" si="366"/>
        <v>0</v>
      </c>
      <c r="CX60" s="102"/>
      <c r="CY60" s="1">
        <v>5</v>
      </c>
      <c r="CZ60" s="104">
        <f t="shared" si="367"/>
        <v>0</v>
      </c>
      <c r="DA60" s="102"/>
      <c r="DB60" s="1">
        <v>5</v>
      </c>
      <c r="DC60" s="104">
        <f t="shared" si="368"/>
        <v>0</v>
      </c>
      <c r="DD60" s="102"/>
      <c r="DE60" s="1">
        <v>5</v>
      </c>
      <c r="DF60" s="104">
        <f t="shared" si="369"/>
        <v>0</v>
      </c>
      <c r="DG60" s="102"/>
      <c r="DH60" s="1">
        <v>5</v>
      </c>
      <c r="DI60" s="104">
        <f t="shared" si="370"/>
        <v>0</v>
      </c>
      <c r="DJ60" s="102"/>
      <c r="DK60" s="1">
        <v>5</v>
      </c>
      <c r="DL60" s="104">
        <f t="shared" si="371"/>
        <v>0</v>
      </c>
      <c r="DM60" s="102"/>
      <c r="DN60" s="1">
        <v>5</v>
      </c>
      <c r="DO60" s="104">
        <f t="shared" si="372"/>
        <v>0</v>
      </c>
      <c r="DP60" s="102"/>
      <c r="DQ60" s="1">
        <v>5</v>
      </c>
      <c r="DR60" s="104">
        <f t="shared" si="373"/>
        <v>0</v>
      </c>
      <c r="DS60" s="102"/>
      <c r="DT60" s="1">
        <v>5</v>
      </c>
      <c r="DU60" s="104">
        <f t="shared" si="374"/>
        <v>0</v>
      </c>
      <c r="DV60" s="102"/>
      <c r="DW60" s="1">
        <v>5</v>
      </c>
      <c r="DX60" s="104">
        <f t="shared" si="375"/>
        <v>0</v>
      </c>
      <c r="DY60" s="102"/>
      <c r="DZ60" s="1">
        <v>5</v>
      </c>
      <c r="EA60" s="104">
        <f t="shared" si="376"/>
        <v>0</v>
      </c>
      <c r="EB60" s="102"/>
      <c r="EC60" s="1">
        <v>5</v>
      </c>
      <c r="ED60" s="104">
        <f t="shared" si="377"/>
        <v>0</v>
      </c>
      <c r="EE60" s="102"/>
      <c r="EF60" s="1">
        <v>5</v>
      </c>
      <c r="EG60" s="104">
        <f t="shared" si="378"/>
        <v>0</v>
      </c>
      <c r="EH60" s="102"/>
      <c r="EI60" s="1">
        <v>5</v>
      </c>
      <c r="EJ60" s="104">
        <f t="shared" si="379"/>
        <v>0</v>
      </c>
      <c r="EK60" s="102"/>
      <c r="EL60" s="1">
        <v>5</v>
      </c>
      <c r="EM60" s="104">
        <f t="shared" si="380"/>
        <v>0</v>
      </c>
      <c r="EN60" s="102"/>
      <c r="EO60" s="1">
        <v>5</v>
      </c>
      <c r="EP60" s="104">
        <f t="shared" si="381"/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16" customHeight="1" spans="1:148" x14ac:dyDescent="0.25">
      <c r="A61" s="169" t="s">
        <v>126</v>
      </c>
      <c r="B61" s="101"/>
      <c r="C61" s="102"/>
      <c r="D61" s="103">
        <v>5</v>
      </c>
      <c r="E61" s="104">
        <f t="shared" si="334"/>
        <v>0</v>
      </c>
      <c r="F61" s="102"/>
      <c r="G61" s="103">
        <v>5</v>
      </c>
      <c r="H61" s="104">
        <f t="shared" si="335"/>
        <v>0</v>
      </c>
      <c r="I61" s="105"/>
      <c r="J61" s="103">
        <v>5</v>
      </c>
      <c r="K61" s="104">
        <f t="shared" si="336"/>
        <v>0</v>
      </c>
      <c r="L61" s="105"/>
      <c r="M61" s="103">
        <v>5</v>
      </c>
      <c r="N61" s="104">
        <f t="shared" si="337"/>
        <v>0</v>
      </c>
      <c r="O61" s="106"/>
      <c r="P61" s="107">
        <v>5</v>
      </c>
      <c r="Q61" s="104">
        <f t="shared" si="338"/>
        <v>0</v>
      </c>
      <c r="R61" s="102"/>
      <c r="S61" s="107">
        <v>5</v>
      </c>
      <c r="T61" s="104">
        <f t="shared" si="339"/>
        <v>0</v>
      </c>
      <c r="U61" s="102"/>
      <c r="V61" s="107">
        <v>5</v>
      </c>
      <c r="W61" s="104">
        <f t="shared" si="340"/>
        <v>0</v>
      </c>
      <c r="X61" s="102"/>
      <c r="Y61" s="107">
        <v>5</v>
      </c>
      <c r="Z61" s="104">
        <f t="shared" si="341"/>
        <v>0</v>
      </c>
      <c r="AA61" s="106"/>
      <c r="AB61" s="107">
        <v>5</v>
      </c>
      <c r="AC61" s="104">
        <f t="shared" si="342"/>
        <v>0</v>
      </c>
      <c r="AD61" s="106"/>
      <c r="AE61" s="107">
        <v>5</v>
      </c>
      <c r="AF61" s="104">
        <f t="shared" si="343"/>
        <v>0</v>
      </c>
      <c r="AG61" s="106"/>
      <c r="AH61" s="107">
        <v>5</v>
      </c>
      <c r="AI61" s="104">
        <f t="shared" si="344"/>
        <v>0</v>
      </c>
      <c r="AJ61" s="106"/>
      <c r="AK61" s="107">
        <v>5</v>
      </c>
      <c r="AL61" s="104">
        <f t="shared" si="345"/>
        <v>0</v>
      </c>
      <c r="AM61" s="102"/>
      <c r="AN61" s="1">
        <v>5</v>
      </c>
      <c r="AO61" s="104">
        <f t="shared" si="346"/>
        <v>0</v>
      </c>
      <c r="AP61" s="102"/>
      <c r="AQ61" s="1">
        <v>5</v>
      </c>
      <c r="AR61" s="104">
        <f t="shared" si="347"/>
        <v>0</v>
      </c>
      <c r="AS61" s="102"/>
      <c r="AT61" s="1">
        <v>5</v>
      </c>
      <c r="AU61" s="104">
        <f t="shared" si="348"/>
        <v>0</v>
      </c>
      <c r="AV61" s="102"/>
      <c r="AW61" s="1">
        <v>5</v>
      </c>
      <c r="AX61" s="104">
        <f t="shared" si="349"/>
        <v>0</v>
      </c>
      <c r="AY61" s="102"/>
      <c r="AZ61" s="1">
        <v>5</v>
      </c>
      <c r="BA61" s="104">
        <f t="shared" si="350"/>
        <v>0</v>
      </c>
      <c r="BB61" s="102"/>
      <c r="BC61" s="1">
        <v>5</v>
      </c>
      <c r="BD61" s="104">
        <f t="shared" si="351"/>
        <v>0</v>
      </c>
      <c r="BE61" s="102"/>
      <c r="BF61" s="1">
        <v>5</v>
      </c>
      <c r="BG61" s="104">
        <f t="shared" si="352"/>
        <v>0</v>
      </c>
      <c r="BH61" s="102"/>
      <c r="BI61" s="1">
        <v>5</v>
      </c>
      <c r="BJ61" s="104">
        <f t="shared" si="353"/>
        <v>0</v>
      </c>
      <c r="BK61" s="102"/>
      <c r="BL61" s="1">
        <v>5</v>
      </c>
      <c r="BM61" s="104">
        <f t="shared" si="354"/>
        <v>0</v>
      </c>
      <c r="BN61" s="102"/>
      <c r="BO61" s="1">
        <v>5</v>
      </c>
      <c r="BP61" s="104">
        <f t="shared" si="355"/>
        <v>0</v>
      </c>
      <c r="BQ61" s="102"/>
      <c r="BR61" s="1">
        <v>5</v>
      </c>
      <c r="BS61" s="104">
        <f t="shared" si="356"/>
        <v>0</v>
      </c>
      <c r="BT61" s="102"/>
      <c r="BU61" s="1">
        <v>5</v>
      </c>
      <c r="BV61" s="104">
        <f t="shared" si="357"/>
        <v>0</v>
      </c>
      <c r="BW61" s="102"/>
      <c r="BX61" s="1">
        <v>5</v>
      </c>
      <c r="BY61" s="104">
        <f t="shared" si="358"/>
        <v>0</v>
      </c>
      <c r="BZ61" s="102"/>
      <c r="CA61" s="1">
        <v>5</v>
      </c>
      <c r="CB61" s="104">
        <f t="shared" si="359"/>
        <v>0</v>
      </c>
      <c r="CC61" s="102"/>
      <c r="CD61" s="1">
        <v>5</v>
      </c>
      <c r="CE61" s="104">
        <f t="shared" si="360"/>
        <v>0</v>
      </c>
      <c r="CF61" s="102"/>
      <c r="CG61" s="1">
        <v>5</v>
      </c>
      <c r="CH61" s="104">
        <f t="shared" si="361"/>
        <v>0</v>
      </c>
      <c r="CI61" s="102"/>
      <c r="CJ61" s="1">
        <v>5</v>
      </c>
      <c r="CK61" s="104">
        <f t="shared" si="362"/>
        <v>0</v>
      </c>
      <c r="CL61" s="102"/>
      <c r="CM61" s="1">
        <v>5</v>
      </c>
      <c r="CN61" s="104">
        <f t="shared" si="363"/>
        <v>0</v>
      </c>
      <c r="CO61" s="102"/>
      <c r="CP61" s="1">
        <v>5</v>
      </c>
      <c r="CQ61" s="104">
        <f t="shared" si="364"/>
        <v>0</v>
      </c>
      <c r="CR61" s="102"/>
      <c r="CS61" s="1">
        <v>5</v>
      </c>
      <c r="CT61" s="104">
        <f t="shared" si="365"/>
        <v>0</v>
      </c>
      <c r="CU61" s="102"/>
      <c r="CV61" s="1">
        <v>5</v>
      </c>
      <c r="CW61" s="104">
        <f t="shared" si="366"/>
        <v>0</v>
      </c>
      <c r="CX61" s="102"/>
      <c r="CY61" s="1">
        <v>5</v>
      </c>
      <c r="CZ61" s="104">
        <f t="shared" si="367"/>
        <v>0</v>
      </c>
      <c r="DA61" s="102"/>
      <c r="DB61" s="1">
        <v>5</v>
      </c>
      <c r="DC61" s="104">
        <f t="shared" si="368"/>
        <v>0</v>
      </c>
      <c r="DD61" s="102"/>
      <c r="DE61" s="1">
        <v>5</v>
      </c>
      <c r="DF61" s="104">
        <f t="shared" si="369"/>
        <v>0</v>
      </c>
      <c r="DG61" s="102"/>
      <c r="DH61" s="1">
        <v>5</v>
      </c>
      <c r="DI61" s="104">
        <f t="shared" si="370"/>
        <v>0</v>
      </c>
      <c r="DJ61" s="102"/>
      <c r="DK61" s="1">
        <v>5</v>
      </c>
      <c r="DL61" s="104">
        <f t="shared" si="371"/>
        <v>0</v>
      </c>
      <c r="DM61" s="102"/>
      <c r="DN61" s="1">
        <v>5</v>
      </c>
      <c r="DO61" s="104">
        <f t="shared" si="372"/>
        <v>0</v>
      </c>
      <c r="DP61" s="102"/>
      <c r="DQ61" s="1">
        <v>5</v>
      </c>
      <c r="DR61" s="104">
        <f t="shared" si="373"/>
        <v>0</v>
      </c>
      <c r="DS61" s="102"/>
      <c r="DT61" s="1">
        <v>5</v>
      </c>
      <c r="DU61" s="104">
        <f t="shared" si="374"/>
        <v>0</v>
      </c>
      <c r="DV61" s="102"/>
      <c r="DW61" s="1">
        <v>5</v>
      </c>
      <c r="DX61" s="104">
        <f t="shared" si="375"/>
        <v>0</v>
      </c>
      <c r="DY61" s="102"/>
      <c r="DZ61" s="1">
        <v>5</v>
      </c>
      <c r="EA61" s="104">
        <f t="shared" si="376"/>
        <v>0</v>
      </c>
      <c r="EB61" s="102"/>
      <c r="EC61" s="1">
        <v>5</v>
      </c>
      <c r="ED61" s="104">
        <f t="shared" si="377"/>
        <v>0</v>
      </c>
      <c r="EE61" s="102"/>
      <c r="EF61" s="1">
        <v>5</v>
      </c>
      <c r="EG61" s="104">
        <f t="shared" si="378"/>
        <v>0</v>
      </c>
      <c r="EH61" s="102"/>
      <c r="EI61" s="1">
        <v>5</v>
      </c>
      <c r="EJ61" s="104">
        <f t="shared" si="379"/>
        <v>0</v>
      </c>
      <c r="EK61" s="102"/>
      <c r="EL61" s="1">
        <v>5</v>
      </c>
      <c r="EM61" s="104">
        <f t="shared" si="380"/>
        <v>0</v>
      </c>
      <c r="EN61" s="102"/>
      <c r="EO61" s="1">
        <v>5</v>
      </c>
      <c r="EP61" s="104">
        <f t="shared" si="381"/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ht="20.25" customHeight="1" spans="1:148" x14ac:dyDescent="0.25">
      <c r="A62" s="169" t="s">
        <v>181</v>
      </c>
      <c r="B62" s="101"/>
      <c r="C62" s="102"/>
      <c r="D62" s="103">
        <v>5</v>
      </c>
      <c r="E62" s="104">
        <f t="shared" si="334"/>
        <v>0</v>
      </c>
      <c r="F62" s="102"/>
      <c r="G62" s="103">
        <v>5</v>
      </c>
      <c r="H62" s="104">
        <f t="shared" si="335"/>
        <v>0</v>
      </c>
      <c r="I62" s="105"/>
      <c r="J62" s="103">
        <v>5</v>
      </c>
      <c r="K62" s="104">
        <f t="shared" si="336"/>
        <v>0</v>
      </c>
      <c r="L62" s="105"/>
      <c r="M62" s="103">
        <v>5</v>
      </c>
      <c r="N62" s="104">
        <f t="shared" si="337"/>
        <v>0</v>
      </c>
      <c r="O62" s="106"/>
      <c r="P62" s="107">
        <v>5</v>
      </c>
      <c r="Q62" s="104">
        <f t="shared" si="338"/>
        <v>0</v>
      </c>
      <c r="R62" s="102"/>
      <c r="S62" s="107">
        <v>5</v>
      </c>
      <c r="T62" s="104">
        <f t="shared" si="339"/>
        <v>0</v>
      </c>
      <c r="U62" s="102"/>
      <c r="V62" s="107">
        <v>5</v>
      </c>
      <c r="W62" s="104">
        <f t="shared" si="340"/>
        <v>0</v>
      </c>
      <c r="X62" s="102"/>
      <c r="Y62" s="107">
        <v>5</v>
      </c>
      <c r="Z62" s="104">
        <f t="shared" si="341"/>
        <v>0</v>
      </c>
      <c r="AA62" s="106"/>
      <c r="AB62" s="107">
        <v>5</v>
      </c>
      <c r="AC62" s="104">
        <f t="shared" si="342"/>
        <v>0</v>
      </c>
      <c r="AD62" s="106"/>
      <c r="AE62" s="107">
        <v>5</v>
      </c>
      <c r="AF62" s="104">
        <f t="shared" si="343"/>
        <v>0</v>
      </c>
      <c r="AG62" s="106"/>
      <c r="AH62" s="107">
        <v>5</v>
      </c>
      <c r="AI62" s="104">
        <f t="shared" si="344"/>
        <v>0</v>
      </c>
      <c r="AJ62" s="106"/>
      <c r="AK62" s="107">
        <v>5</v>
      </c>
      <c r="AL62" s="104">
        <f t="shared" si="345"/>
        <v>0</v>
      </c>
      <c r="AM62" s="102"/>
      <c r="AN62" s="1">
        <v>5</v>
      </c>
      <c r="AO62" s="104">
        <f t="shared" si="346"/>
        <v>0</v>
      </c>
      <c r="AP62" s="102"/>
      <c r="AQ62" s="1">
        <v>5</v>
      </c>
      <c r="AR62" s="104">
        <f t="shared" si="347"/>
        <v>0</v>
      </c>
      <c r="AS62" s="102"/>
      <c r="AT62" s="1">
        <v>5</v>
      </c>
      <c r="AU62" s="104">
        <f t="shared" si="348"/>
        <v>0</v>
      </c>
      <c r="AV62" s="102"/>
      <c r="AW62" s="1">
        <v>5</v>
      </c>
      <c r="AX62" s="104">
        <f t="shared" si="349"/>
        <v>0</v>
      </c>
      <c r="AY62" s="102"/>
      <c r="AZ62" s="1">
        <v>5</v>
      </c>
      <c r="BA62" s="104">
        <f t="shared" si="350"/>
        <v>0</v>
      </c>
      <c r="BB62" s="102"/>
      <c r="BC62" s="1">
        <v>5</v>
      </c>
      <c r="BD62" s="104">
        <f t="shared" si="351"/>
        <v>0</v>
      </c>
      <c r="BE62" s="102"/>
      <c r="BF62" s="1">
        <v>5</v>
      </c>
      <c r="BG62" s="104">
        <f t="shared" si="352"/>
        <v>0</v>
      </c>
      <c r="BH62" s="102"/>
      <c r="BI62" s="1">
        <v>5</v>
      </c>
      <c r="BJ62" s="104">
        <f t="shared" si="353"/>
        <v>0</v>
      </c>
      <c r="BK62" s="102"/>
      <c r="BL62" s="1">
        <v>5</v>
      </c>
      <c r="BM62" s="104">
        <f t="shared" si="354"/>
        <v>0</v>
      </c>
      <c r="BN62" s="102"/>
      <c r="BO62" s="1">
        <v>5</v>
      </c>
      <c r="BP62" s="104">
        <f t="shared" si="355"/>
        <v>0</v>
      </c>
      <c r="BQ62" s="102"/>
      <c r="BR62" s="1">
        <v>5</v>
      </c>
      <c r="BS62" s="104">
        <f t="shared" si="356"/>
        <v>0</v>
      </c>
      <c r="BT62" s="102"/>
      <c r="BU62" s="1">
        <v>5</v>
      </c>
      <c r="BV62" s="104">
        <f t="shared" si="357"/>
        <v>0</v>
      </c>
      <c r="BW62" s="102"/>
      <c r="BX62" s="1">
        <v>5</v>
      </c>
      <c r="BY62" s="104">
        <f t="shared" si="358"/>
        <v>0</v>
      </c>
      <c r="BZ62" s="102"/>
      <c r="CA62" s="1">
        <v>5</v>
      </c>
      <c r="CB62" s="104">
        <f t="shared" si="359"/>
        <v>0</v>
      </c>
      <c r="CC62" s="102"/>
      <c r="CD62" s="1">
        <v>5</v>
      </c>
      <c r="CE62" s="104">
        <f t="shared" si="360"/>
        <v>0</v>
      </c>
      <c r="CF62" s="102"/>
      <c r="CG62" s="1">
        <v>5</v>
      </c>
      <c r="CH62" s="104">
        <f t="shared" si="361"/>
        <v>0</v>
      </c>
      <c r="CI62" s="102"/>
      <c r="CJ62" s="1">
        <v>5</v>
      </c>
      <c r="CK62" s="104">
        <f t="shared" si="362"/>
        <v>0</v>
      </c>
      <c r="CL62" s="102"/>
      <c r="CM62" s="1">
        <v>5</v>
      </c>
      <c r="CN62" s="104">
        <f t="shared" si="363"/>
        <v>0</v>
      </c>
      <c r="CO62" s="102"/>
      <c r="CP62" s="1">
        <v>5</v>
      </c>
      <c r="CQ62" s="104">
        <f t="shared" si="364"/>
        <v>0</v>
      </c>
      <c r="CR62" s="102"/>
      <c r="CS62" s="1">
        <v>5</v>
      </c>
      <c r="CT62" s="104">
        <f t="shared" si="365"/>
        <v>0</v>
      </c>
      <c r="CU62" s="102"/>
      <c r="CV62" s="1">
        <v>5</v>
      </c>
      <c r="CW62" s="104">
        <f t="shared" si="366"/>
        <v>0</v>
      </c>
      <c r="CX62" s="102"/>
      <c r="CY62" s="1">
        <v>5</v>
      </c>
      <c r="CZ62" s="104">
        <f t="shared" si="367"/>
        <v>0</v>
      </c>
      <c r="DA62" s="102"/>
      <c r="DB62" s="1">
        <v>5</v>
      </c>
      <c r="DC62" s="104">
        <f t="shared" si="368"/>
        <v>0</v>
      </c>
      <c r="DD62" s="102"/>
      <c r="DE62" s="1">
        <v>5</v>
      </c>
      <c r="DF62" s="104">
        <f t="shared" si="369"/>
        <v>0</v>
      </c>
      <c r="DG62" s="102"/>
      <c r="DH62" s="1">
        <v>5</v>
      </c>
      <c r="DI62" s="104">
        <f t="shared" si="370"/>
        <v>0</v>
      </c>
      <c r="DJ62" s="102"/>
      <c r="DK62" s="1">
        <v>5</v>
      </c>
      <c r="DL62" s="104">
        <f t="shared" si="371"/>
        <v>0</v>
      </c>
      <c r="DM62" s="102"/>
      <c r="DN62" s="1">
        <v>5</v>
      </c>
      <c r="DO62" s="104">
        <f t="shared" si="372"/>
        <v>0</v>
      </c>
      <c r="DP62" s="102"/>
      <c r="DQ62" s="1">
        <v>5</v>
      </c>
      <c r="DR62" s="104">
        <f t="shared" si="373"/>
        <v>0</v>
      </c>
      <c r="DS62" s="102"/>
      <c r="DT62" s="1">
        <v>5</v>
      </c>
      <c r="DU62" s="104">
        <f t="shared" si="374"/>
        <v>0</v>
      </c>
      <c r="DV62" s="102"/>
      <c r="DW62" s="1">
        <v>5</v>
      </c>
      <c r="DX62" s="104">
        <f t="shared" si="375"/>
        <v>0</v>
      </c>
      <c r="DY62" s="102"/>
      <c r="DZ62" s="1">
        <v>5</v>
      </c>
      <c r="EA62" s="104">
        <f t="shared" si="376"/>
        <v>0</v>
      </c>
      <c r="EB62" s="102"/>
      <c r="EC62" s="1">
        <v>5</v>
      </c>
      <c r="ED62" s="104">
        <f t="shared" si="377"/>
        <v>0</v>
      </c>
      <c r="EE62" s="102"/>
      <c r="EF62" s="1">
        <v>5</v>
      </c>
      <c r="EG62" s="104">
        <f t="shared" si="378"/>
        <v>0</v>
      </c>
      <c r="EH62" s="102"/>
      <c r="EI62" s="1">
        <v>5</v>
      </c>
      <c r="EJ62" s="104">
        <f t="shared" si="379"/>
        <v>0</v>
      </c>
      <c r="EK62" s="102"/>
      <c r="EL62" s="1">
        <v>5</v>
      </c>
      <c r="EM62" s="104">
        <f t="shared" si="380"/>
        <v>0</v>
      </c>
      <c r="EN62" s="102"/>
      <c r="EO62" s="1">
        <v>5</v>
      </c>
      <c r="EP62" s="104">
        <f t="shared" si="381"/>
        <v>0</v>
      </c>
      <c r="EQ62" s="85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62" t="str">
        <f t="array" ref="ER62">_xlfn.IFS(EQ62&gt;=91.5%,"MENSUAL",EQ62&gt;=75%,"QUINCENAL",EQ62&lt;75%,"SEMANAL")</f>
        <v>SEMANAL</v>
      </c>
    </row>
    <row r="63" ht="26.25" customHeight="1" spans="1:148" x14ac:dyDescent="0.25">
      <c r="A63" s="172" t="s">
        <v>156</v>
      </c>
      <c r="B63" s="101"/>
      <c r="C63" s="102"/>
      <c r="D63" s="103">
        <v>5</v>
      </c>
      <c r="E63" s="104">
        <f t="shared" si="334"/>
        <v>0</v>
      </c>
      <c r="F63" s="102"/>
      <c r="G63" s="103">
        <v>5</v>
      </c>
      <c r="H63" s="104">
        <f t="shared" si="335"/>
        <v>0</v>
      </c>
      <c r="I63" s="105"/>
      <c r="J63" s="103">
        <v>5</v>
      </c>
      <c r="K63" s="104">
        <f t="shared" si="336"/>
        <v>0</v>
      </c>
      <c r="L63" s="105"/>
      <c r="M63" s="103">
        <v>5</v>
      </c>
      <c r="N63" s="104">
        <f t="shared" si="337"/>
        <v>0</v>
      </c>
      <c r="O63" s="106"/>
      <c r="P63" s="107">
        <v>5</v>
      </c>
      <c r="Q63" s="104">
        <f t="shared" si="338"/>
        <v>0</v>
      </c>
      <c r="R63" s="102"/>
      <c r="S63" s="107">
        <v>5</v>
      </c>
      <c r="T63" s="104">
        <f t="shared" si="339"/>
        <v>0</v>
      </c>
      <c r="U63" s="102"/>
      <c r="V63" s="107">
        <v>5</v>
      </c>
      <c r="W63" s="104">
        <f t="shared" si="340"/>
        <v>0</v>
      </c>
      <c r="X63" s="102"/>
      <c r="Y63" s="107">
        <v>5</v>
      </c>
      <c r="Z63" s="104">
        <f t="shared" si="341"/>
        <v>0</v>
      </c>
      <c r="AA63" s="106"/>
      <c r="AB63" s="107">
        <v>5</v>
      </c>
      <c r="AC63" s="104">
        <f t="shared" si="342"/>
        <v>0</v>
      </c>
      <c r="AD63" s="106"/>
      <c r="AE63" s="107">
        <v>5</v>
      </c>
      <c r="AF63" s="104">
        <f t="shared" si="343"/>
        <v>0</v>
      </c>
      <c r="AG63" s="106"/>
      <c r="AH63" s="107">
        <v>5</v>
      </c>
      <c r="AI63" s="104">
        <f t="shared" si="344"/>
        <v>0</v>
      </c>
      <c r="AJ63" s="106"/>
      <c r="AK63" s="107">
        <v>5</v>
      </c>
      <c r="AL63" s="104">
        <f t="shared" si="345"/>
        <v>0</v>
      </c>
      <c r="AM63" s="102"/>
      <c r="AN63" s="1">
        <v>5</v>
      </c>
      <c r="AO63" s="104">
        <f t="shared" si="346"/>
        <v>0</v>
      </c>
      <c r="AP63" s="102"/>
      <c r="AQ63" s="1">
        <v>5</v>
      </c>
      <c r="AR63" s="104">
        <f t="shared" si="347"/>
        <v>0</v>
      </c>
      <c r="AS63" s="102"/>
      <c r="AT63" s="1">
        <v>5</v>
      </c>
      <c r="AU63" s="104">
        <f t="shared" si="348"/>
        <v>0</v>
      </c>
      <c r="AV63" s="102"/>
      <c r="AW63" s="1">
        <v>5</v>
      </c>
      <c r="AX63" s="104">
        <f t="shared" si="349"/>
        <v>0</v>
      </c>
      <c r="AY63" s="102"/>
      <c r="AZ63" s="1">
        <v>5</v>
      </c>
      <c r="BA63" s="104">
        <f t="shared" si="350"/>
        <v>0</v>
      </c>
      <c r="BB63" s="102"/>
      <c r="BC63" s="1">
        <v>5</v>
      </c>
      <c r="BD63" s="104">
        <f t="shared" si="351"/>
        <v>0</v>
      </c>
      <c r="BE63" s="102"/>
      <c r="BF63" s="1">
        <v>5</v>
      </c>
      <c r="BG63" s="104">
        <f t="shared" si="352"/>
        <v>0</v>
      </c>
      <c r="BH63" s="102"/>
      <c r="BI63" s="1">
        <v>5</v>
      </c>
      <c r="BJ63" s="104">
        <f t="shared" si="353"/>
        <v>0</v>
      </c>
      <c r="BK63" s="102"/>
      <c r="BL63" s="1">
        <v>5</v>
      </c>
      <c r="BM63" s="104">
        <f t="shared" si="354"/>
        <v>0</v>
      </c>
      <c r="BN63" s="102"/>
      <c r="BO63" s="1">
        <v>5</v>
      </c>
      <c r="BP63" s="104">
        <f t="shared" si="355"/>
        <v>0</v>
      </c>
      <c r="BQ63" s="102"/>
      <c r="BR63" s="1">
        <v>5</v>
      </c>
      <c r="BS63" s="104">
        <f t="shared" si="356"/>
        <v>0</v>
      </c>
      <c r="BT63" s="102"/>
      <c r="BU63" s="1">
        <v>5</v>
      </c>
      <c r="BV63" s="104">
        <f t="shared" si="357"/>
        <v>0</v>
      </c>
      <c r="BW63" s="102"/>
      <c r="BX63" s="1">
        <v>5</v>
      </c>
      <c r="BY63" s="104">
        <f t="shared" si="358"/>
        <v>0</v>
      </c>
      <c r="BZ63" s="102"/>
      <c r="CA63" s="1">
        <v>5</v>
      </c>
      <c r="CB63" s="104">
        <f t="shared" si="359"/>
        <v>0</v>
      </c>
      <c r="CC63" s="102"/>
      <c r="CD63" s="1">
        <v>5</v>
      </c>
      <c r="CE63" s="104">
        <f t="shared" si="360"/>
        <v>0</v>
      </c>
      <c r="CF63" s="102"/>
      <c r="CG63" s="1">
        <v>5</v>
      </c>
      <c r="CH63" s="104">
        <f t="shared" si="361"/>
        <v>0</v>
      </c>
      <c r="CI63" s="102"/>
      <c r="CJ63" s="1">
        <v>5</v>
      </c>
      <c r="CK63" s="104">
        <f t="shared" si="362"/>
        <v>0</v>
      </c>
      <c r="CL63" s="102"/>
      <c r="CM63" s="1">
        <v>5</v>
      </c>
      <c r="CN63" s="104">
        <f t="shared" si="363"/>
        <v>0</v>
      </c>
      <c r="CO63" s="102"/>
      <c r="CP63" s="1">
        <v>5</v>
      </c>
      <c r="CQ63" s="104">
        <f t="shared" si="364"/>
        <v>0</v>
      </c>
      <c r="CR63" s="102"/>
      <c r="CS63" s="1">
        <v>5</v>
      </c>
      <c r="CT63" s="104">
        <f t="shared" si="365"/>
        <v>0</v>
      </c>
      <c r="CU63" s="102"/>
      <c r="CV63" s="1">
        <v>5</v>
      </c>
      <c r="CW63" s="104">
        <f t="shared" si="366"/>
        <v>0</v>
      </c>
      <c r="CX63" s="102"/>
      <c r="CY63" s="1">
        <v>5</v>
      </c>
      <c r="CZ63" s="104">
        <f t="shared" si="367"/>
        <v>0</v>
      </c>
      <c r="DA63" s="102"/>
      <c r="DB63" s="1">
        <v>5</v>
      </c>
      <c r="DC63" s="104">
        <f t="shared" si="368"/>
        <v>0</v>
      </c>
      <c r="DD63" s="102"/>
      <c r="DE63" s="1">
        <v>5</v>
      </c>
      <c r="DF63" s="104">
        <f t="shared" si="369"/>
        <v>0</v>
      </c>
      <c r="DG63" s="102"/>
      <c r="DH63" s="1">
        <v>5</v>
      </c>
      <c r="DI63" s="104">
        <f t="shared" si="370"/>
        <v>0</v>
      </c>
      <c r="DJ63" s="102"/>
      <c r="DK63" s="1">
        <v>5</v>
      </c>
      <c r="DL63" s="104">
        <f t="shared" si="371"/>
        <v>0</v>
      </c>
      <c r="DM63" s="102"/>
      <c r="DN63" s="1">
        <v>5</v>
      </c>
      <c r="DO63" s="104">
        <f t="shared" si="372"/>
        <v>0</v>
      </c>
      <c r="DP63" s="102"/>
      <c r="DQ63" s="1">
        <v>5</v>
      </c>
      <c r="DR63" s="104">
        <f t="shared" si="373"/>
        <v>0</v>
      </c>
      <c r="DS63" s="102"/>
      <c r="DT63" s="1">
        <v>5</v>
      </c>
      <c r="DU63" s="104">
        <f t="shared" si="374"/>
        <v>0</v>
      </c>
      <c r="DV63" s="102"/>
      <c r="DW63" s="1">
        <v>5</v>
      </c>
      <c r="DX63" s="104">
        <f t="shared" si="375"/>
        <v>0</v>
      </c>
      <c r="DY63" s="102"/>
      <c r="DZ63" s="1">
        <v>5</v>
      </c>
      <c r="EA63" s="104">
        <f t="shared" si="376"/>
        <v>0</v>
      </c>
      <c r="EB63" s="102"/>
      <c r="EC63" s="1">
        <v>5</v>
      </c>
      <c r="ED63" s="104">
        <f t="shared" si="377"/>
        <v>0</v>
      </c>
      <c r="EE63" s="102"/>
      <c r="EF63" s="1">
        <v>5</v>
      </c>
      <c r="EG63" s="104">
        <f t="shared" si="378"/>
        <v>0</v>
      </c>
      <c r="EH63" s="102"/>
      <c r="EI63" s="1">
        <v>5</v>
      </c>
      <c r="EJ63" s="104">
        <f t="shared" si="379"/>
        <v>0</v>
      </c>
      <c r="EK63" s="102"/>
      <c r="EL63" s="1">
        <v>5</v>
      </c>
      <c r="EM63" s="104">
        <f t="shared" si="380"/>
        <v>0</v>
      </c>
      <c r="EN63" s="102"/>
      <c r="EO63" s="1">
        <v>5</v>
      </c>
      <c r="EP63" s="104">
        <f t="shared" si="381"/>
        <v>0</v>
      </c>
      <c r="EQ63" s="85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62" t="str">
        <f t="array" ref="ER63">_xlfn.IFS(EQ63&gt;=91.5%,"MENSUAL",EQ63&gt;=75%,"QUINCENAL",EQ63&lt;75%,"SEMANAL")</f>
        <v>SEMANAL</v>
      </c>
    </row>
    <row r="64" ht="16" customHeight="1" spans="1:148" x14ac:dyDescent="0.25">
      <c r="A64" s="124" t="s">
        <v>128</v>
      </c>
      <c r="B64" s="125"/>
      <c r="C64" s="126"/>
      <c r="D64" s="127"/>
      <c r="E64" s="82">
        <f>AVERAGE(E65)</f>
        <v>0</v>
      </c>
      <c r="F64" s="126"/>
      <c r="G64" s="127"/>
      <c r="H64" s="82">
        <f>AVERAGE(H65)</f>
        <v>0</v>
      </c>
      <c r="I64" s="126"/>
      <c r="J64" s="127"/>
      <c r="K64" s="82">
        <f>AVERAGE(K65)</f>
        <v>0</v>
      </c>
      <c r="L64" s="126"/>
      <c r="M64" s="127"/>
      <c r="N64" s="82">
        <f>AVERAGE(N65)</f>
        <v>0</v>
      </c>
      <c r="O64" s="126"/>
      <c r="P64" s="127"/>
      <c r="Q64" s="82">
        <f>AVERAGE(Q65)</f>
        <v>0</v>
      </c>
      <c r="R64" s="126"/>
      <c r="S64" s="127"/>
      <c r="T64" s="82">
        <f>AVERAGE(T65)</f>
        <v>0</v>
      </c>
      <c r="U64" s="126"/>
      <c r="V64" s="127"/>
      <c r="W64" s="82">
        <f>AVERAGE(W65)</f>
        <v>0</v>
      </c>
      <c r="X64" s="126"/>
      <c r="Y64" s="127"/>
      <c r="Z64" s="82">
        <f>AVERAGE(Z65)</f>
        <v>0</v>
      </c>
      <c r="AA64" s="126"/>
      <c r="AB64" s="127"/>
      <c r="AC64" s="82">
        <f>AVERAGE(AC65)</f>
        <v>0</v>
      </c>
      <c r="AD64" s="126"/>
      <c r="AE64" s="127"/>
      <c r="AF64" s="82">
        <f>AVERAGE(AF65)</f>
        <v>0</v>
      </c>
      <c r="AG64" s="126"/>
      <c r="AH64" s="127"/>
      <c r="AI64" s="82">
        <f>AVERAGE(AI65)</f>
        <v>0</v>
      </c>
      <c r="AJ64" s="126"/>
      <c r="AK64" s="127"/>
      <c r="AL64" s="82">
        <f>AVERAGE(AL65)</f>
        <v>0</v>
      </c>
      <c r="AM64" s="126"/>
      <c r="AN64" s="136"/>
      <c r="AO64" s="82">
        <f>AVERAGE(AO65)</f>
        <v>0</v>
      </c>
      <c r="AP64" s="128"/>
      <c r="AQ64" s="129"/>
      <c r="AR64" s="82">
        <f>AVERAGE(AR65)</f>
        <v>0</v>
      </c>
      <c r="AS64" s="130"/>
      <c r="AT64" s="129"/>
      <c r="AU64" s="82">
        <f>AVERAGE(AU65)</f>
        <v>0</v>
      </c>
      <c r="AV64" s="126"/>
      <c r="AW64" s="136"/>
      <c r="AX64" s="82">
        <f>AVERAGE(AX65)</f>
        <v>0</v>
      </c>
      <c r="AY64" s="137"/>
      <c r="AZ64" s="138"/>
      <c r="BA64" s="82">
        <f>AVERAGE(BA65)</f>
        <v>0</v>
      </c>
      <c r="BB64" s="128"/>
      <c r="BC64" s="132"/>
      <c r="BD64" s="82">
        <f>AVERAGE(BD65)</f>
        <v>0</v>
      </c>
      <c r="BE64" s="128"/>
      <c r="BF64" s="132"/>
      <c r="BG64" s="82">
        <f>AVERAGE(BG65)</f>
        <v>0</v>
      </c>
      <c r="BH64" s="128"/>
      <c r="BI64" s="132"/>
      <c r="BJ64" s="82">
        <f>AVERAGE(BJ65)</f>
        <v>0</v>
      </c>
      <c r="BK64" s="128"/>
      <c r="BL64" s="132"/>
      <c r="BM64" s="82">
        <f>AVERAGE(BM65)</f>
        <v>0</v>
      </c>
      <c r="BN64" s="128"/>
      <c r="BO64" s="132"/>
      <c r="BP64" s="82">
        <f>AVERAGE(BP65)</f>
        <v>0</v>
      </c>
      <c r="BQ64" s="128"/>
      <c r="BR64" s="132"/>
      <c r="BS64" s="82">
        <f>AVERAGE(BS65)</f>
        <v>0</v>
      </c>
      <c r="BT64" s="128"/>
      <c r="BU64" s="132"/>
      <c r="BV64" s="82">
        <f>AVERAGE(BV65)</f>
        <v>0</v>
      </c>
      <c r="BW64" s="128"/>
      <c r="BX64" s="132"/>
      <c r="BY64" s="82">
        <f>AVERAGE(BY65)</f>
        <v>0</v>
      </c>
      <c r="BZ64" s="126"/>
      <c r="CA64" s="127"/>
      <c r="CB64" s="82">
        <f>AVERAGE(CB65)</f>
        <v>0</v>
      </c>
      <c r="CC64" s="126"/>
      <c r="CD64" s="127"/>
      <c r="CE64" s="82">
        <f>AVERAGE(CE65)</f>
        <v>0</v>
      </c>
      <c r="CF64" s="126"/>
      <c r="CG64" s="127"/>
      <c r="CH64" s="82">
        <f>AVERAGE(CH65)</f>
        <v>0</v>
      </c>
      <c r="CI64" s="126"/>
      <c r="CJ64" s="127"/>
      <c r="CK64" s="82">
        <f>AVERAGE(CK65)</f>
        <v>0</v>
      </c>
      <c r="CL64" s="126"/>
      <c r="CM64" s="127"/>
      <c r="CN64" s="82">
        <f>AVERAGE(CN65)</f>
        <v>0</v>
      </c>
      <c r="CO64" s="126"/>
      <c r="CP64" s="127"/>
      <c r="CQ64" s="82">
        <f>AVERAGE(CQ65)</f>
        <v>0</v>
      </c>
      <c r="CR64" s="126"/>
      <c r="CS64" s="127"/>
      <c r="CT64" s="82">
        <f>AVERAGE(CT65)</f>
        <v>0</v>
      </c>
      <c r="CU64" s="126"/>
      <c r="CV64" s="127"/>
      <c r="CW64" s="82">
        <f>AVERAGE(CW65)</f>
        <v>0</v>
      </c>
      <c r="CX64" s="126"/>
      <c r="CY64" s="127"/>
      <c r="CZ64" s="82">
        <f>AVERAGE(CZ65)</f>
        <v>0</v>
      </c>
      <c r="DA64" s="126"/>
      <c r="DB64" s="127"/>
      <c r="DC64" s="82">
        <f>AVERAGE(DC65)</f>
        <v>0</v>
      </c>
      <c r="DD64" s="126"/>
      <c r="DE64" s="127"/>
      <c r="DF64" s="82">
        <f>AVERAGE(DF65)</f>
        <v>0</v>
      </c>
      <c r="DG64" s="126"/>
      <c r="DH64" s="127"/>
      <c r="DI64" s="82">
        <f>AVERAGE(DI65)</f>
        <v>0</v>
      </c>
      <c r="DJ64" s="126"/>
      <c r="DK64" s="127"/>
      <c r="DL64" s="82">
        <f>AVERAGE(DL65)</f>
        <v>0</v>
      </c>
      <c r="DM64" s="126"/>
      <c r="DN64" s="127"/>
      <c r="DO64" s="82">
        <f>AVERAGE(DO65)</f>
        <v>0</v>
      </c>
      <c r="DP64" s="126"/>
      <c r="DQ64" s="127"/>
      <c r="DR64" s="82">
        <f>AVERAGE(DR65)</f>
        <v>0</v>
      </c>
      <c r="DS64" s="126"/>
      <c r="DT64" s="127"/>
      <c r="DU64" s="82">
        <f>AVERAGE(DU65)</f>
        <v>0</v>
      </c>
      <c r="DV64" s="126"/>
      <c r="DW64" s="127"/>
      <c r="DX64" s="82">
        <f>AVERAGE(DX65)</f>
        <v>0</v>
      </c>
      <c r="DY64" s="126"/>
      <c r="DZ64" s="127"/>
      <c r="EA64" s="82">
        <f>AVERAGE(EA65)</f>
        <v>0</v>
      </c>
      <c r="EB64" s="126"/>
      <c r="EC64" s="127"/>
      <c r="ED64" s="82">
        <f>AVERAGE(ED65)</f>
        <v>0</v>
      </c>
      <c r="EE64" s="126"/>
      <c r="EF64" s="127"/>
      <c r="EG64" s="82">
        <f>AVERAGE(EG65)</f>
        <v>0</v>
      </c>
      <c r="EH64" s="126"/>
      <c r="EI64" s="127"/>
      <c r="EJ64" s="82">
        <f>AVERAGE(EJ65)</f>
        <v>0</v>
      </c>
      <c r="EK64" s="126"/>
      <c r="EL64" s="127"/>
      <c r="EM64" s="82">
        <f>AVERAGE(EM65)</f>
        <v>0</v>
      </c>
      <c r="EN64" s="126"/>
      <c r="EO64" s="127"/>
      <c r="EP64" s="82">
        <f>AVERAGE(EP65)</f>
        <v>0</v>
      </c>
      <c r="EQ64" s="85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162" t="str">
        <f t="array" ref="ER64">_xlfn.IFS(EQ64&gt;=91.5%,"MENSUAL",EQ64&gt;=75%,"QUINCENAL",EQ64&lt;75%,"SEMANAL")</f>
        <v>SEMANAL</v>
      </c>
    </row>
    <row r="65" ht="27" customHeight="1" spans="1:148" x14ac:dyDescent="0.25">
      <c r="A65" s="199" t="s">
        <v>157</v>
      </c>
      <c r="B65" s="200"/>
      <c r="C65" s="151"/>
      <c r="D65" s="152">
        <v>5</v>
      </c>
      <c r="E65" s="153">
        <f t="shared" ref="E65" si="382">C65/D65</f>
        <v>0</v>
      </c>
      <c r="F65" s="151"/>
      <c r="G65" s="152">
        <v>5</v>
      </c>
      <c r="H65" s="153">
        <f t="shared" ref="H65" si="383">F65/G65</f>
        <v>0</v>
      </c>
      <c r="I65" s="154"/>
      <c r="J65" s="152">
        <v>5</v>
      </c>
      <c r="K65" s="153">
        <f t="shared" ref="K65" si="384">I65/J65</f>
        <v>0</v>
      </c>
      <c r="L65" s="154"/>
      <c r="M65" s="152">
        <v>5</v>
      </c>
      <c r="N65" s="153">
        <f t="shared" ref="N65" si="385">L65/M65</f>
        <v>0</v>
      </c>
      <c r="O65" s="155"/>
      <c r="P65" s="156">
        <v>5</v>
      </c>
      <c r="Q65" s="153">
        <f t="shared" ref="Q65" si="386">O65/P65</f>
        <v>0</v>
      </c>
      <c r="R65" s="151"/>
      <c r="S65" s="156">
        <v>5</v>
      </c>
      <c r="T65" s="153">
        <f t="shared" ref="T65" si="387">R65/S65</f>
        <v>0</v>
      </c>
      <c r="U65" s="151"/>
      <c r="V65" s="156">
        <v>5</v>
      </c>
      <c r="W65" s="153">
        <f t="shared" ref="W65" si="388">U65/V65</f>
        <v>0</v>
      </c>
      <c r="X65" s="151"/>
      <c r="Y65" s="156">
        <v>5</v>
      </c>
      <c r="Z65" s="153">
        <f t="shared" ref="Z65" si="389">X65/Y65</f>
        <v>0</v>
      </c>
      <c r="AA65" s="155"/>
      <c r="AB65" s="156">
        <v>5</v>
      </c>
      <c r="AC65" s="153">
        <f t="shared" ref="AC65" si="390">AA65/AB65</f>
        <v>0</v>
      </c>
      <c r="AD65" s="155"/>
      <c r="AE65" s="156">
        <v>5</v>
      </c>
      <c r="AF65" s="153">
        <f t="shared" ref="AF65" si="391">AD65/AE65</f>
        <v>0</v>
      </c>
      <c r="AG65" s="155"/>
      <c r="AH65" s="156">
        <v>5</v>
      </c>
      <c r="AI65" s="153">
        <f t="shared" ref="AI65" si="392">AG65/AH65</f>
        <v>0</v>
      </c>
      <c r="AJ65" s="155"/>
      <c r="AK65" s="156">
        <v>5</v>
      </c>
      <c r="AL65" s="153">
        <f t="shared" ref="AL65" si="393">AJ65/AK65</f>
        <v>0</v>
      </c>
      <c r="AM65" s="151"/>
      <c r="AN65" s="157">
        <v>5</v>
      </c>
      <c r="AO65" s="153">
        <f t="shared" ref="AO65" si="394">AM65/AN65</f>
        <v>0</v>
      </c>
      <c r="AP65" s="151"/>
      <c r="AQ65" s="157">
        <v>5</v>
      </c>
      <c r="AR65" s="153">
        <f t="shared" ref="AR65" si="395">AP65/AQ65</f>
        <v>0</v>
      </c>
      <c r="AS65" s="151"/>
      <c r="AT65" s="157">
        <v>5</v>
      </c>
      <c r="AU65" s="153">
        <f t="shared" ref="AU65" si="396">AS65/AT65</f>
        <v>0</v>
      </c>
      <c r="AV65" s="151"/>
      <c r="AW65" s="157">
        <v>5</v>
      </c>
      <c r="AX65" s="153">
        <f t="shared" ref="AX65" si="397">AV65/AW65</f>
        <v>0</v>
      </c>
      <c r="AY65" s="151"/>
      <c r="AZ65" s="157">
        <v>5</v>
      </c>
      <c r="BA65" s="153">
        <f t="shared" ref="BA65" si="398">AY65/AZ65</f>
        <v>0</v>
      </c>
      <c r="BB65" s="151"/>
      <c r="BC65" s="157">
        <v>5</v>
      </c>
      <c r="BD65" s="153">
        <f t="shared" ref="BD65" si="399">BB65/BC65</f>
        <v>0</v>
      </c>
      <c r="BE65" s="151"/>
      <c r="BF65" s="157">
        <v>5</v>
      </c>
      <c r="BG65" s="153">
        <f t="shared" ref="BG65" si="400">BE65/BF65</f>
        <v>0</v>
      </c>
      <c r="BH65" s="151"/>
      <c r="BI65" s="157">
        <v>5</v>
      </c>
      <c r="BJ65" s="153">
        <f t="shared" ref="BJ65" si="401">BH65/BI65</f>
        <v>0</v>
      </c>
      <c r="BK65" s="151"/>
      <c r="BL65" s="157">
        <v>5</v>
      </c>
      <c r="BM65" s="153">
        <f t="shared" ref="BM65" si="402">BK65/BL65</f>
        <v>0</v>
      </c>
      <c r="BN65" s="151"/>
      <c r="BO65" s="157">
        <v>5</v>
      </c>
      <c r="BP65" s="153">
        <f t="shared" ref="BP65" si="403">BN65/BO65</f>
        <v>0</v>
      </c>
      <c r="BQ65" s="151"/>
      <c r="BR65" s="157">
        <v>5</v>
      </c>
      <c r="BS65" s="153">
        <f t="shared" ref="BS65" si="404">BQ65/BR65</f>
        <v>0</v>
      </c>
      <c r="BT65" s="151"/>
      <c r="BU65" s="157">
        <v>5</v>
      </c>
      <c r="BV65" s="153">
        <f t="shared" ref="BV65" si="405">BT65/BU65</f>
        <v>0</v>
      </c>
      <c r="BW65" s="151"/>
      <c r="BX65" s="157">
        <v>5</v>
      </c>
      <c r="BY65" s="153">
        <f t="shared" ref="BY65" si="406">BW65/BX65</f>
        <v>0</v>
      </c>
      <c r="BZ65" s="151"/>
      <c r="CA65" s="157">
        <v>5</v>
      </c>
      <c r="CB65" s="153">
        <f t="shared" ref="CB65" si="407">BZ65/CA65</f>
        <v>0</v>
      </c>
      <c r="CC65" s="151"/>
      <c r="CD65" s="157">
        <v>5</v>
      </c>
      <c r="CE65" s="153">
        <f t="shared" ref="CE65" si="408">CC65/CD65</f>
        <v>0</v>
      </c>
      <c r="CF65" s="151"/>
      <c r="CG65" s="157">
        <v>5</v>
      </c>
      <c r="CH65" s="153">
        <f t="shared" ref="CH65" si="409">CF65/CG65</f>
        <v>0</v>
      </c>
      <c r="CI65" s="151"/>
      <c r="CJ65" s="157">
        <v>5</v>
      </c>
      <c r="CK65" s="153">
        <f t="shared" ref="CK65" si="410">CI65/CJ65</f>
        <v>0</v>
      </c>
      <c r="CL65" s="151"/>
      <c r="CM65" s="157">
        <v>5</v>
      </c>
      <c r="CN65" s="153">
        <f t="shared" ref="CN65" si="411">CL65/CM65</f>
        <v>0</v>
      </c>
      <c r="CO65" s="151"/>
      <c r="CP65" s="157">
        <v>5</v>
      </c>
      <c r="CQ65" s="153">
        <f t="shared" ref="CQ65" si="412">CO65/CP65</f>
        <v>0</v>
      </c>
      <c r="CR65" s="151"/>
      <c r="CS65" s="157">
        <v>5</v>
      </c>
      <c r="CT65" s="153">
        <f t="shared" ref="CT65" si="413">CR65/CS65</f>
        <v>0</v>
      </c>
      <c r="CU65" s="151"/>
      <c r="CV65" s="157">
        <v>5</v>
      </c>
      <c r="CW65" s="153">
        <f t="shared" ref="CW65" si="414">CU65/CV65</f>
        <v>0</v>
      </c>
      <c r="CX65" s="151"/>
      <c r="CY65" s="157">
        <v>5</v>
      </c>
      <c r="CZ65" s="153">
        <f t="shared" ref="CZ65" si="415">CX65/CY65</f>
        <v>0</v>
      </c>
      <c r="DA65" s="151"/>
      <c r="DB65" s="157">
        <v>5</v>
      </c>
      <c r="DC65" s="153">
        <f t="shared" ref="DC65" si="416">DA65/DB65</f>
        <v>0</v>
      </c>
      <c r="DD65" s="151"/>
      <c r="DE65" s="157">
        <v>5</v>
      </c>
      <c r="DF65" s="153">
        <f t="shared" ref="DF65" si="417">DD65/DE65</f>
        <v>0</v>
      </c>
      <c r="DG65" s="151"/>
      <c r="DH65" s="157">
        <v>5</v>
      </c>
      <c r="DI65" s="153">
        <f t="shared" ref="DI65" si="418">DG65/DH65</f>
        <v>0</v>
      </c>
      <c r="DJ65" s="151"/>
      <c r="DK65" s="157">
        <v>5</v>
      </c>
      <c r="DL65" s="153">
        <f t="shared" ref="DL65" si="419">DJ65/DK65</f>
        <v>0</v>
      </c>
      <c r="DM65" s="151"/>
      <c r="DN65" s="157">
        <v>5</v>
      </c>
      <c r="DO65" s="153">
        <f t="shared" ref="DO65" si="420">DM65/DN65</f>
        <v>0</v>
      </c>
      <c r="DP65" s="151"/>
      <c r="DQ65" s="157">
        <v>5</v>
      </c>
      <c r="DR65" s="153">
        <f t="shared" ref="DR65" si="421">DP65/DQ65</f>
        <v>0</v>
      </c>
      <c r="DS65" s="151"/>
      <c r="DT65" s="157">
        <v>5</v>
      </c>
      <c r="DU65" s="153">
        <f t="shared" ref="DU65" si="422">DS65/DT65</f>
        <v>0</v>
      </c>
      <c r="DV65" s="151"/>
      <c r="DW65" s="157">
        <v>5</v>
      </c>
      <c r="DX65" s="153">
        <f t="shared" ref="DX65" si="423">DV65/DW65</f>
        <v>0</v>
      </c>
      <c r="DY65" s="151"/>
      <c r="DZ65" s="157">
        <v>5</v>
      </c>
      <c r="EA65" s="153">
        <f t="shared" ref="EA65" si="424">DY65/DZ65</f>
        <v>0</v>
      </c>
      <c r="EB65" s="151"/>
      <c r="EC65" s="157">
        <v>5</v>
      </c>
      <c r="ED65" s="153">
        <f t="shared" ref="ED65" si="425">EB65/EC65</f>
        <v>0</v>
      </c>
      <c r="EE65" s="151"/>
      <c r="EF65" s="157">
        <v>5</v>
      </c>
      <c r="EG65" s="153">
        <f t="shared" ref="EG65" si="426">EE65/EF65</f>
        <v>0</v>
      </c>
      <c r="EH65" s="151"/>
      <c r="EI65" s="157">
        <v>5</v>
      </c>
      <c r="EJ65" s="153">
        <f t="shared" ref="EJ65" si="427">EH65/EI65</f>
        <v>0</v>
      </c>
      <c r="EK65" s="151"/>
      <c r="EL65" s="157">
        <v>5</v>
      </c>
      <c r="EM65" s="153">
        <f t="shared" ref="EM65" si="428">EK65/EL65</f>
        <v>0</v>
      </c>
      <c r="EN65" s="151"/>
      <c r="EO65" s="157">
        <v>5</v>
      </c>
      <c r="EP65" s="153">
        <f t="shared" ref="EP65" si="429">EN65/EO65</f>
        <v>0</v>
      </c>
      <c r="EQ65" s="85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62" t="str">
        <f t="array" ref="ER65">_xlfn.IFS(EQ65&gt;=91.5%,"MENSUAL",EQ65&gt;=75%,"QUINCENAL",EQ65&lt;75%,"SEMANAL")</f>
        <v>SEMANAL</v>
      </c>
    </row>
    <row r="66" spans="88:100" x14ac:dyDescent="0.25">
      <c r="CJ66" s="12"/>
      <c r="CP66" s="12"/>
      <c r="CS66" s="12"/>
      <c r="CV66" s="12"/>
    </row>
    <row r="67" spans="88:100" x14ac:dyDescent="0.25">
      <c r="CJ67" s="12"/>
      <c r="CP67" s="12"/>
      <c r="CS67" s="12"/>
      <c r="CV67" s="12"/>
    </row>
    <row r="68" spans="88:100" x14ac:dyDescent="0.25">
      <c r="CJ68" s="12"/>
      <c r="CP68" s="12"/>
      <c r="CS68" s="12"/>
      <c r="CV68" s="12"/>
    </row>
    <row r="69" spans="88:100" x14ac:dyDescent="0.25">
      <c r="CJ69" s="12"/>
      <c r="CP69" s="12"/>
      <c r="CS69" s="12"/>
      <c r="CV69" s="12"/>
    </row>
    <row r="70" spans="88:100" x14ac:dyDescent="0.25">
      <c r="CJ70" s="12"/>
      <c r="CP70" s="12"/>
      <c r="CS70" s="12"/>
      <c r="CV70" s="12"/>
    </row>
    <row r="71" spans="88:100" x14ac:dyDescent="0.25">
      <c r="CJ71" s="12"/>
      <c r="CP71" s="12"/>
      <c r="CS71" s="12"/>
      <c r="CV71" s="12"/>
    </row>
    <row r="72" spans="88:100" x14ac:dyDescent="0.25">
      <c r="CJ72" s="12"/>
      <c r="CP72" s="12"/>
      <c r="CS72" s="12"/>
      <c r="CV72" s="12"/>
    </row>
    <row r="73" spans="88:100" x14ac:dyDescent="0.25">
      <c r="CJ73" s="12"/>
      <c r="CP73" s="12"/>
      <c r="CS73" s="12"/>
      <c r="CV73" s="12"/>
    </row>
    <row r="74" spans="52:100" x14ac:dyDescent="0.25">
      <c r="AZ74" s="160"/>
      <c r="CJ74" s="12"/>
      <c r="CP74" s="12"/>
      <c r="CS74" s="12"/>
      <c r="CV74" s="12"/>
    </row>
    <row r="75" spans="88:100" x14ac:dyDescent="0.25">
      <c r="CJ75" s="12"/>
      <c r="CP75" s="12"/>
      <c r="CS75" s="12"/>
      <c r="CV75" s="12"/>
    </row>
    <row r="76" spans="88:100" x14ac:dyDescent="0.25">
      <c r="CJ76" s="12"/>
      <c r="CP76" s="12"/>
      <c r="CS76" s="12"/>
      <c r="CV76" s="12"/>
    </row>
    <row r="77" spans="88:100" x14ac:dyDescent="0.25">
      <c r="CJ77" s="12"/>
      <c r="CS77" s="12"/>
      <c r="CV77" s="12"/>
    </row>
    <row r="78" spans="88:100" x14ac:dyDescent="0.25">
      <c r="CJ78" s="12"/>
      <c r="CS78" s="12"/>
      <c r="CV78" s="12"/>
    </row>
    <row r="79" spans="88:100" x14ac:dyDescent="0.25">
      <c r="CJ79" s="12"/>
      <c r="CS79" s="12"/>
      <c r="CV79" s="12"/>
    </row>
    <row r="80" spans="88:100" x14ac:dyDescent="0.25">
      <c r="CJ80" s="12"/>
      <c r="CV80" s="12"/>
    </row>
    <row r="81" spans="88:88" x14ac:dyDescent="0.25">
      <c r="CJ81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65">
    <cfRule type="containsText" dxfId="6" priority="1">
      <formula>NOT(ISERROR(SEARCH("QUINCENAL",ER8)))</formula>
    </cfRule>
    <cfRule type="containsText" dxfId="7" priority="2">
      <formula>NOT(ISERROR(SEARCH("MENSUAL",ER8)))</formula>
    </cfRule>
    <cfRule type="containsText" dxfId="8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84"/>
  <sheetViews>
    <sheetView workbookViewId="0" zoomScale="60" zoomScaleNormal="60">
      <pane xSplit="1" topLeftCell="EC1" activePane="topRight" state="frozen"/>
      <selection pane="topRight" activeCell="C11" sqref="C11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220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AVERAGE(E9:E17)</f>
        <v>0</v>
      </c>
      <c r="F8" s="80"/>
      <c r="G8" s="83"/>
      <c r="H8" s="82">
        <f>AVERAGE(H9:H17)</f>
        <v>0</v>
      </c>
      <c r="I8" s="80"/>
      <c r="J8" s="83"/>
      <c r="K8" s="82">
        <f>AVERAGE(K9:K17)</f>
        <v>0</v>
      </c>
      <c r="L8" s="80"/>
      <c r="M8" s="83"/>
      <c r="N8" s="82">
        <f>AVERAGE(N9:N17)</f>
        <v>0</v>
      </c>
      <c r="O8" s="80"/>
      <c r="P8" s="83"/>
      <c r="Q8" s="82">
        <f>AVERAGE(Q9:Q17)</f>
        <v>0</v>
      </c>
      <c r="R8" s="80"/>
      <c r="S8" s="83"/>
      <c r="T8" s="82">
        <f>AVERAGE(T9:T17)</f>
        <v>0</v>
      </c>
      <c r="U8" s="80"/>
      <c r="V8" s="83"/>
      <c r="W8" s="82">
        <f>AVERAGE(W9:W17)</f>
        <v>0</v>
      </c>
      <c r="X8" s="80"/>
      <c r="Y8" s="83"/>
      <c r="Z8" s="82">
        <f>AVERAGE(Z9:Z17)</f>
        <v>0</v>
      </c>
      <c r="AA8" s="80"/>
      <c r="AB8" s="83"/>
      <c r="AC8" s="82">
        <f>AVERAGE(AC9:AC17)</f>
        <v>0</v>
      </c>
      <c r="AD8" s="80"/>
      <c r="AE8" s="83"/>
      <c r="AF8" s="82">
        <f>AVERAGE(AF9:AF17)</f>
        <v>0</v>
      </c>
      <c r="AG8" s="80"/>
      <c r="AH8" s="83"/>
      <c r="AI8" s="82">
        <f>AVERAGE(AI9:AI17)</f>
        <v>0</v>
      </c>
      <c r="AJ8" s="80"/>
      <c r="AK8" s="83"/>
      <c r="AL8" s="82">
        <f>AVERAGE(AL9:AL17)</f>
        <v>0</v>
      </c>
      <c r="AM8" s="80"/>
      <c r="AN8" s="83"/>
      <c r="AO8" s="82">
        <f>AVERAGE(AO9:AO17)</f>
        <v>0</v>
      </c>
      <c r="AP8" s="80"/>
      <c r="AQ8" s="83"/>
      <c r="AR8" s="82">
        <f>AVERAGE(AR9:AR17)</f>
        <v>0</v>
      </c>
      <c r="AS8" s="80"/>
      <c r="AT8" s="83"/>
      <c r="AU8" s="82">
        <f>AVERAGE(AU9:AU17)</f>
        <v>0</v>
      </c>
      <c r="AV8" s="80"/>
      <c r="AW8" s="83"/>
      <c r="AX8" s="82">
        <f>AVERAGE(AX9:AX17)</f>
        <v>0</v>
      </c>
      <c r="AY8" s="80"/>
      <c r="AZ8" s="83"/>
      <c r="BA8" s="82">
        <f>AVERAGE(BA9:BA17)</f>
        <v>0</v>
      </c>
      <c r="BB8" s="80"/>
      <c r="BC8" s="83"/>
      <c r="BD8" s="82">
        <f>AVERAGE(BD9:BD17)</f>
        <v>0</v>
      </c>
      <c r="BE8" s="80"/>
      <c r="BF8" s="83"/>
      <c r="BG8" s="82">
        <f>AVERAGE(BG9:BG17)</f>
        <v>0</v>
      </c>
      <c r="BH8" s="80"/>
      <c r="BI8" s="83"/>
      <c r="BJ8" s="82">
        <f>AVERAGE(BJ9:BJ17)</f>
        <v>0</v>
      </c>
      <c r="BK8" s="80"/>
      <c r="BL8" s="83"/>
      <c r="BM8" s="82">
        <f>AVERAGE(BM9:BM17)</f>
        <v>0</v>
      </c>
      <c r="BN8" s="80"/>
      <c r="BO8" s="83"/>
      <c r="BP8" s="82">
        <f>AVERAGE(BP9:BP17)</f>
        <v>0</v>
      </c>
      <c r="BQ8" s="80"/>
      <c r="BR8" s="83"/>
      <c r="BS8" s="82">
        <f>AVERAGE(BS9:BS17)</f>
        <v>0</v>
      </c>
      <c r="BT8" s="80"/>
      <c r="BU8" s="83"/>
      <c r="BV8" s="82">
        <f>AVERAGE(BV9:BV17)</f>
        <v>0</v>
      </c>
      <c r="BW8" s="80"/>
      <c r="BX8" s="83"/>
      <c r="BY8" s="82">
        <f>AVERAGE(BY9:BY17)</f>
        <v>0</v>
      </c>
      <c r="BZ8" s="80"/>
      <c r="CA8" s="83"/>
      <c r="CB8" s="82">
        <f>AVERAGE(CB9:CB17)</f>
        <v>0</v>
      </c>
      <c r="CC8" s="80"/>
      <c r="CD8" s="83"/>
      <c r="CE8" s="82">
        <f>AVERAGE(CE9:CE17)</f>
        <v>0</v>
      </c>
      <c r="CF8" s="80"/>
      <c r="CG8" s="83"/>
      <c r="CH8" s="82">
        <f>AVERAGE(CH9:CH17)</f>
        <v>0</v>
      </c>
      <c r="CI8" s="80"/>
      <c r="CJ8" s="83"/>
      <c r="CK8" s="82">
        <f>AVERAGE(CK9:CK17)</f>
        <v>0</v>
      </c>
      <c r="CL8" s="80"/>
      <c r="CM8" s="83"/>
      <c r="CN8" s="82">
        <f>AVERAGE(CN9:CN17)</f>
        <v>0</v>
      </c>
      <c r="CO8" s="80"/>
      <c r="CP8" s="83"/>
      <c r="CQ8" s="82">
        <f>AVERAGE(CQ9:CQ17)</f>
        <v>0</v>
      </c>
      <c r="CR8" s="80"/>
      <c r="CS8" s="83"/>
      <c r="CT8" s="82">
        <f>AVERAGE(CT9:CT17)</f>
        <v>0</v>
      </c>
      <c r="CU8" s="80"/>
      <c r="CV8" s="83"/>
      <c r="CW8" s="82">
        <f>AVERAGE(CW9:CW17)</f>
        <v>0</v>
      </c>
      <c r="CX8" s="80"/>
      <c r="CY8" s="83"/>
      <c r="CZ8" s="82">
        <f>AVERAGE(CZ9:CZ17)</f>
        <v>0</v>
      </c>
      <c r="DA8" s="80"/>
      <c r="DB8" s="83"/>
      <c r="DC8" s="82">
        <f>AVERAGE(DC9:DC17)</f>
        <v>0</v>
      </c>
      <c r="DD8" s="80"/>
      <c r="DE8" s="83"/>
      <c r="DF8" s="82">
        <f>AVERAGE(DF9:DF17)</f>
        <v>0</v>
      </c>
      <c r="DG8" s="80"/>
      <c r="DH8" s="83"/>
      <c r="DI8" s="82">
        <f>AVERAGE(DI9:DI17)</f>
        <v>0</v>
      </c>
      <c r="DJ8" s="80"/>
      <c r="DK8" s="83"/>
      <c r="DL8" s="82">
        <f>AVERAGE(DL9:DL17)</f>
        <v>0</v>
      </c>
      <c r="DM8" s="80"/>
      <c r="DN8" s="83"/>
      <c r="DO8" s="82">
        <f>AVERAGE(DO9:DO17)</f>
        <v>0</v>
      </c>
      <c r="DP8" s="80"/>
      <c r="DQ8" s="83"/>
      <c r="DR8" s="82">
        <f>AVERAGE(DR9:DR17)</f>
        <v>0</v>
      </c>
      <c r="DS8" s="80"/>
      <c r="DT8" s="83"/>
      <c r="DU8" s="82">
        <f>AVERAGE(DU9:DU17)</f>
        <v>0</v>
      </c>
      <c r="DV8" s="80"/>
      <c r="DW8" s="83"/>
      <c r="DX8" s="82">
        <f>AVERAGE(DX9:DX17)</f>
        <v>0</v>
      </c>
      <c r="DY8" s="80"/>
      <c r="DZ8" s="83"/>
      <c r="EA8" s="82">
        <f>AVERAGE(EA9:EA17)</f>
        <v>0</v>
      </c>
      <c r="EB8" s="80"/>
      <c r="EC8" s="83"/>
      <c r="ED8" s="82">
        <f>AVERAGE(ED9:ED17)</f>
        <v>0</v>
      </c>
      <c r="EE8" s="80"/>
      <c r="EF8" s="83"/>
      <c r="EG8" s="82">
        <f>AVERAGE(EG9:EG17)</f>
        <v>0</v>
      </c>
      <c r="EH8" s="80"/>
      <c r="EI8" s="83"/>
      <c r="EJ8" s="82">
        <f>AVERAGE(EJ9:EJ17)</f>
        <v>0</v>
      </c>
      <c r="EK8" s="80"/>
      <c r="EL8" s="83"/>
      <c r="EM8" s="82">
        <f>AVERAGE(EM9:EM17)</f>
        <v>0</v>
      </c>
      <c r="EN8" s="80"/>
      <c r="EO8" s="83"/>
      <c r="EP8" s="82">
        <f>AVERAGE(EP9:EP17)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102"/>
      <c r="D9" s="103">
        <v>5</v>
      </c>
      <c r="E9" s="104">
        <f t="shared" ref="E9:E17" si="0">C9/D9</f>
        <v>0</v>
      </c>
      <c r="F9" s="102"/>
      <c r="G9" s="103">
        <v>5</v>
      </c>
      <c r="H9" s="104">
        <f t="shared" ref="H9:H17" si="1">F9/G9</f>
        <v>0</v>
      </c>
      <c r="I9" s="105"/>
      <c r="J9" s="103">
        <v>5</v>
      </c>
      <c r="K9" s="104">
        <f t="shared" ref="K9:K17" si="2">I9/J9</f>
        <v>0</v>
      </c>
      <c r="L9" s="105"/>
      <c r="M9" s="103">
        <v>5</v>
      </c>
      <c r="N9" s="104">
        <f t="shared" ref="N9:N17" si="3">L9/M9</f>
        <v>0</v>
      </c>
      <c r="O9" s="106"/>
      <c r="P9" s="107">
        <v>5</v>
      </c>
      <c r="Q9" s="104">
        <f t="shared" ref="Q9:Q17" si="4">O9/P9</f>
        <v>0</v>
      </c>
      <c r="R9" s="102"/>
      <c r="S9" s="107">
        <v>5</v>
      </c>
      <c r="T9" s="104">
        <f t="shared" ref="T9:T17" si="5">R9/S9</f>
        <v>0</v>
      </c>
      <c r="U9" s="102"/>
      <c r="V9" s="107">
        <v>5</v>
      </c>
      <c r="W9" s="104">
        <f t="shared" ref="W9:W17" si="6">U9/V9</f>
        <v>0</v>
      </c>
      <c r="X9" s="102"/>
      <c r="Y9" s="107">
        <v>5</v>
      </c>
      <c r="Z9" s="104">
        <f t="shared" ref="Z9:Z17" si="7">X9/Y9</f>
        <v>0</v>
      </c>
      <c r="AA9" s="106"/>
      <c r="AB9" s="107">
        <v>5</v>
      </c>
      <c r="AC9" s="104">
        <f t="shared" ref="AC9:AC17" si="8">AA9/AB9</f>
        <v>0</v>
      </c>
      <c r="AD9" s="106"/>
      <c r="AE9" s="107">
        <v>5</v>
      </c>
      <c r="AF9" s="104">
        <f t="shared" ref="AF9:AF17" si="9">AD9/AE9</f>
        <v>0</v>
      </c>
      <c r="AG9" s="106"/>
      <c r="AH9" s="107">
        <v>5</v>
      </c>
      <c r="AI9" s="104">
        <f t="shared" ref="AI9:AI17" si="10">AG9/AH9</f>
        <v>0</v>
      </c>
      <c r="AJ9" s="106"/>
      <c r="AK9" s="107">
        <v>5</v>
      </c>
      <c r="AL9" s="104">
        <f t="shared" ref="AL9:AL17" si="11">AJ9/AK9</f>
        <v>0</v>
      </c>
      <c r="AM9" s="102"/>
      <c r="AN9" s="1">
        <v>5</v>
      </c>
      <c r="AO9" s="104">
        <f t="shared" ref="AO9:AO17" si="12">AM9/AN9</f>
        <v>0</v>
      </c>
      <c r="AP9" s="102"/>
      <c r="AQ9" s="1">
        <v>5</v>
      </c>
      <c r="AR9" s="104">
        <f t="shared" ref="AR9:AR17" si="13">AP9/AQ9</f>
        <v>0</v>
      </c>
      <c r="AS9" s="102"/>
      <c r="AT9" s="1">
        <v>5</v>
      </c>
      <c r="AU9" s="104">
        <f t="shared" ref="AU9:AU17" si="14">AS9/AT9</f>
        <v>0</v>
      </c>
      <c r="AV9" s="102"/>
      <c r="AW9" s="1">
        <v>5</v>
      </c>
      <c r="AX9" s="104">
        <f t="shared" ref="AX9:AX17" si="15">AV9/AW9</f>
        <v>0</v>
      </c>
      <c r="AY9" s="102"/>
      <c r="AZ9" s="1">
        <v>5</v>
      </c>
      <c r="BA9" s="104">
        <f t="shared" ref="BA9:BA17" si="16">AY9/AZ9</f>
        <v>0</v>
      </c>
      <c r="BB9" s="102"/>
      <c r="BC9" s="1">
        <v>5</v>
      </c>
      <c r="BD9" s="104">
        <f t="shared" ref="BD9:BD17" si="17">BB9/BC9</f>
        <v>0</v>
      </c>
      <c r="BE9" s="102"/>
      <c r="BF9" s="1">
        <v>5</v>
      </c>
      <c r="BG9" s="104">
        <f t="shared" ref="BG9:BG17" si="18">BE9/BF9</f>
        <v>0</v>
      </c>
      <c r="BH9" s="102"/>
      <c r="BI9" s="1">
        <v>5</v>
      </c>
      <c r="BJ9" s="104">
        <f t="shared" ref="BJ9:BJ17" si="19">BH9/BI9</f>
        <v>0</v>
      </c>
      <c r="BK9" s="102"/>
      <c r="BL9" s="1">
        <v>5</v>
      </c>
      <c r="BM9" s="104">
        <f t="shared" ref="BM9:BM17" si="20">BK9/BL9</f>
        <v>0</v>
      </c>
      <c r="BN9" s="102"/>
      <c r="BO9" s="1">
        <v>5</v>
      </c>
      <c r="BP9" s="104">
        <f t="shared" ref="BP9:BP17" si="21">BN9/BO9</f>
        <v>0</v>
      </c>
      <c r="BQ9" s="102"/>
      <c r="BR9" s="1">
        <v>5</v>
      </c>
      <c r="BS9" s="104">
        <f t="shared" ref="BS9:BS17" si="22">BQ9/BR9</f>
        <v>0</v>
      </c>
      <c r="BT9" s="102"/>
      <c r="BU9" s="1">
        <v>5</v>
      </c>
      <c r="BV9" s="104">
        <f t="shared" ref="BV9:BV17" si="23">BT9/BU9</f>
        <v>0</v>
      </c>
      <c r="BW9" s="102"/>
      <c r="BX9" s="1">
        <v>5</v>
      </c>
      <c r="BY9" s="104">
        <f t="shared" ref="BY9:BY17" si="24">BW9/BX9</f>
        <v>0</v>
      </c>
      <c r="BZ9" s="102"/>
      <c r="CA9" s="1">
        <v>5</v>
      </c>
      <c r="CB9" s="104">
        <f t="shared" ref="CB9:CB17" si="25">BZ9/CA9</f>
        <v>0</v>
      </c>
      <c r="CC9" s="102"/>
      <c r="CD9" s="1">
        <v>5</v>
      </c>
      <c r="CE9" s="104">
        <f t="shared" ref="CE9:CE17" si="26">CC9/CD9</f>
        <v>0</v>
      </c>
      <c r="CF9" s="102"/>
      <c r="CG9" s="1">
        <v>5</v>
      </c>
      <c r="CH9" s="104">
        <f t="shared" ref="CH9:CH17" si="27">CF9/CG9</f>
        <v>0</v>
      </c>
      <c r="CI9" s="102"/>
      <c r="CJ9" s="1">
        <v>5</v>
      </c>
      <c r="CK9" s="104">
        <f t="shared" ref="CK9:CK17" si="28">CI9/CJ9</f>
        <v>0</v>
      </c>
      <c r="CL9" s="102"/>
      <c r="CM9" s="1">
        <v>5</v>
      </c>
      <c r="CN9" s="104">
        <f t="shared" ref="CN9:CN17" si="29">CL9/CM9</f>
        <v>0</v>
      </c>
      <c r="CO9" s="102"/>
      <c r="CP9" s="1">
        <v>5</v>
      </c>
      <c r="CQ9" s="104">
        <f t="shared" ref="CQ9:CQ17" si="30">CO9/CP9</f>
        <v>0</v>
      </c>
      <c r="CR9" s="102"/>
      <c r="CS9" s="1">
        <v>5</v>
      </c>
      <c r="CT9" s="104">
        <f t="shared" ref="CT9:CT17" si="31">CR9/CS9</f>
        <v>0</v>
      </c>
      <c r="CU9" s="102"/>
      <c r="CV9" s="1">
        <v>5</v>
      </c>
      <c r="CW9" s="104">
        <f t="shared" ref="CW9:CW17" si="32">CU9/CV9</f>
        <v>0</v>
      </c>
      <c r="CX9" s="102"/>
      <c r="CY9" s="1">
        <v>5</v>
      </c>
      <c r="CZ9" s="104">
        <f t="shared" ref="CZ9:CZ17" si="33">CX9/CY9</f>
        <v>0</v>
      </c>
      <c r="DA9" s="102"/>
      <c r="DB9" s="1">
        <v>5</v>
      </c>
      <c r="DC9" s="104">
        <f t="shared" ref="DC9:DC17" si="34">DA9/DB9</f>
        <v>0</v>
      </c>
      <c r="DD9" s="102"/>
      <c r="DE9" s="1">
        <v>5</v>
      </c>
      <c r="DF9" s="104">
        <f t="shared" ref="DF9:DF17" si="35">DD9/DE9</f>
        <v>0</v>
      </c>
      <c r="DG9" s="102"/>
      <c r="DH9" s="1">
        <v>5</v>
      </c>
      <c r="DI9" s="104">
        <f t="shared" ref="DI9:DI17" si="36">DG9/DH9</f>
        <v>0</v>
      </c>
      <c r="DJ9" s="102"/>
      <c r="DK9" s="1">
        <v>5</v>
      </c>
      <c r="DL9" s="104">
        <f t="shared" ref="DL9:DL17" si="37">DJ9/DK9</f>
        <v>0</v>
      </c>
      <c r="DM9" s="102"/>
      <c r="DN9" s="1">
        <v>5</v>
      </c>
      <c r="DO9" s="104">
        <f t="shared" ref="DO9:DO17" si="38">DM9/DN9</f>
        <v>0</v>
      </c>
      <c r="DP9" s="102"/>
      <c r="DQ9" s="1">
        <v>5</v>
      </c>
      <c r="DR9" s="104">
        <f t="shared" ref="DR9:DR17" si="39">DP9/DQ9</f>
        <v>0</v>
      </c>
      <c r="DS9" s="102"/>
      <c r="DT9" s="1">
        <v>5</v>
      </c>
      <c r="DU9" s="104">
        <f t="shared" ref="DU9:DU17" si="40">DS9/DT9</f>
        <v>0</v>
      </c>
      <c r="DV9" s="102"/>
      <c r="DW9" s="1">
        <v>5</v>
      </c>
      <c r="DX9" s="104">
        <f t="shared" ref="DX9:DX17" si="41">DV9/DW9</f>
        <v>0</v>
      </c>
      <c r="DY9" s="102"/>
      <c r="DZ9" s="1">
        <v>5</v>
      </c>
      <c r="EA9" s="104">
        <f t="shared" ref="EA9:EA17" si="42">DY9/DZ9</f>
        <v>0</v>
      </c>
      <c r="EB9" s="102"/>
      <c r="EC9" s="1">
        <v>5</v>
      </c>
      <c r="ED9" s="104">
        <f t="shared" ref="ED9:ED17" si="43">EB9/EC9</f>
        <v>0</v>
      </c>
      <c r="EE9" s="102"/>
      <c r="EF9" s="1">
        <v>5</v>
      </c>
      <c r="EG9" s="104">
        <f t="shared" ref="EG9:EG17" si="44">EE9/EF9</f>
        <v>0</v>
      </c>
      <c r="EH9" s="102"/>
      <c r="EI9" s="1">
        <v>5</v>
      </c>
      <c r="EJ9" s="104">
        <f t="shared" ref="EJ9:EJ17" si="45">EH9/EI9</f>
        <v>0</v>
      </c>
      <c r="EK9" s="102"/>
      <c r="EL9" s="1">
        <v>5</v>
      </c>
      <c r="EM9" s="104">
        <f t="shared" ref="EM9:EM17" si="46">EK9/EL9</f>
        <v>0</v>
      </c>
      <c r="EN9" s="102"/>
      <c r="EO9" s="1">
        <v>5</v>
      </c>
      <c r="EP9" s="104">
        <f t="shared" ref="EP9:EP17" si="47"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si="0"/>
        <v>0</v>
      </c>
      <c r="F10" s="102"/>
      <c r="G10" s="103">
        <v>5</v>
      </c>
      <c r="H10" s="104">
        <f t="shared" si="1"/>
        <v>0</v>
      </c>
      <c r="I10" s="105"/>
      <c r="J10" s="103">
        <v>5</v>
      </c>
      <c r="K10" s="104">
        <f t="shared" si="2"/>
        <v>0</v>
      </c>
      <c r="L10" s="105"/>
      <c r="M10" s="103">
        <v>5</v>
      </c>
      <c r="N10" s="104">
        <f t="shared" si="3"/>
        <v>0</v>
      </c>
      <c r="O10" s="106"/>
      <c r="P10" s="107">
        <v>5</v>
      </c>
      <c r="Q10" s="104">
        <f t="shared" si="4"/>
        <v>0</v>
      </c>
      <c r="R10" s="102"/>
      <c r="S10" s="107">
        <v>5</v>
      </c>
      <c r="T10" s="104">
        <f t="shared" si="5"/>
        <v>0</v>
      </c>
      <c r="U10" s="102"/>
      <c r="V10" s="107">
        <v>5</v>
      </c>
      <c r="W10" s="104">
        <f t="shared" si="6"/>
        <v>0</v>
      </c>
      <c r="X10" s="102"/>
      <c r="Y10" s="107">
        <v>5</v>
      </c>
      <c r="Z10" s="104">
        <f t="shared" si="7"/>
        <v>0</v>
      </c>
      <c r="AA10" s="106"/>
      <c r="AB10" s="107">
        <v>5</v>
      </c>
      <c r="AC10" s="104">
        <f t="shared" si="8"/>
        <v>0</v>
      </c>
      <c r="AD10" s="106"/>
      <c r="AE10" s="107">
        <v>5</v>
      </c>
      <c r="AF10" s="104">
        <f t="shared" si="9"/>
        <v>0</v>
      </c>
      <c r="AG10" s="106"/>
      <c r="AH10" s="107">
        <v>5</v>
      </c>
      <c r="AI10" s="104">
        <f t="shared" si="10"/>
        <v>0</v>
      </c>
      <c r="AJ10" s="106"/>
      <c r="AK10" s="107">
        <v>5</v>
      </c>
      <c r="AL10" s="104">
        <f t="shared" si="11"/>
        <v>0</v>
      </c>
      <c r="AM10" s="102"/>
      <c r="AN10" s="1">
        <v>5</v>
      </c>
      <c r="AO10" s="104">
        <f t="shared" si="12"/>
        <v>0</v>
      </c>
      <c r="AP10" s="102"/>
      <c r="AQ10" s="1">
        <v>5</v>
      </c>
      <c r="AR10" s="104">
        <f t="shared" si="13"/>
        <v>0</v>
      </c>
      <c r="AS10" s="102"/>
      <c r="AT10" s="1">
        <v>5</v>
      </c>
      <c r="AU10" s="104">
        <f t="shared" si="14"/>
        <v>0</v>
      </c>
      <c r="AV10" s="102"/>
      <c r="AW10" s="1">
        <v>5</v>
      </c>
      <c r="AX10" s="104">
        <f t="shared" si="15"/>
        <v>0</v>
      </c>
      <c r="AY10" s="102"/>
      <c r="AZ10" s="1">
        <v>5</v>
      </c>
      <c r="BA10" s="104">
        <f t="shared" si="16"/>
        <v>0</v>
      </c>
      <c r="BB10" s="102"/>
      <c r="BC10" s="1">
        <v>5</v>
      </c>
      <c r="BD10" s="104">
        <f t="shared" si="17"/>
        <v>0</v>
      </c>
      <c r="BE10" s="102"/>
      <c r="BF10" s="1">
        <v>5</v>
      </c>
      <c r="BG10" s="104">
        <f t="shared" si="18"/>
        <v>0</v>
      </c>
      <c r="BH10" s="102"/>
      <c r="BI10" s="1">
        <v>5</v>
      </c>
      <c r="BJ10" s="104">
        <f t="shared" si="19"/>
        <v>0</v>
      </c>
      <c r="BK10" s="102"/>
      <c r="BL10" s="1">
        <v>5</v>
      </c>
      <c r="BM10" s="104">
        <f t="shared" si="20"/>
        <v>0</v>
      </c>
      <c r="BN10" s="102"/>
      <c r="BO10" s="1">
        <v>5</v>
      </c>
      <c r="BP10" s="104">
        <f t="shared" si="21"/>
        <v>0</v>
      </c>
      <c r="BQ10" s="102"/>
      <c r="BR10" s="1">
        <v>5</v>
      </c>
      <c r="BS10" s="104">
        <f t="shared" si="22"/>
        <v>0</v>
      </c>
      <c r="BT10" s="102"/>
      <c r="BU10" s="1">
        <v>5</v>
      </c>
      <c r="BV10" s="104">
        <f t="shared" si="23"/>
        <v>0</v>
      </c>
      <c r="BW10" s="102"/>
      <c r="BX10" s="1">
        <v>5</v>
      </c>
      <c r="BY10" s="104">
        <f t="shared" si="24"/>
        <v>0</v>
      </c>
      <c r="BZ10" s="102"/>
      <c r="CA10" s="1">
        <v>5</v>
      </c>
      <c r="CB10" s="104">
        <f t="shared" si="25"/>
        <v>0</v>
      </c>
      <c r="CC10" s="102"/>
      <c r="CD10" s="1">
        <v>5</v>
      </c>
      <c r="CE10" s="104">
        <f t="shared" si="26"/>
        <v>0</v>
      </c>
      <c r="CF10" s="102"/>
      <c r="CG10" s="1">
        <v>5</v>
      </c>
      <c r="CH10" s="104">
        <f t="shared" si="27"/>
        <v>0</v>
      </c>
      <c r="CI10" s="102"/>
      <c r="CJ10" s="1">
        <v>5</v>
      </c>
      <c r="CK10" s="104">
        <f t="shared" si="28"/>
        <v>0</v>
      </c>
      <c r="CL10" s="102"/>
      <c r="CM10" s="1">
        <v>5</v>
      </c>
      <c r="CN10" s="104">
        <f t="shared" si="29"/>
        <v>0</v>
      </c>
      <c r="CO10" s="102"/>
      <c r="CP10" s="1">
        <v>5</v>
      </c>
      <c r="CQ10" s="104">
        <f t="shared" si="30"/>
        <v>0</v>
      </c>
      <c r="CR10" s="102"/>
      <c r="CS10" s="1">
        <v>5</v>
      </c>
      <c r="CT10" s="104">
        <f t="shared" si="31"/>
        <v>0</v>
      </c>
      <c r="CU10" s="102"/>
      <c r="CV10" s="1">
        <v>5</v>
      </c>
      <c r="CW10" s="104">
        <f t="shared" si="32"/>
        <v>0</v>
      </c>
      <c r="CX10" s="102"/>
      <c r="CY10" s="1">
        <v>5</v>
      </c>
      <c r="CZ10" s="104">
        <f t="shared" si="33"/>
        <v>0</v>
      </c>
      <c r="DA10" s="102"/>
      <c r="DB10" s="1">
        <v>5</v>
      </c>
      <c r="DC10" s="104">
        <f t="shared" si="34"/>
        <v>0</v>
      </c>
      <c r="DD10" s="102"/>
      <c r="DE10" s="1">
        <v>5</v>
      </c>
      <c r="DF10" s="104">
        <f t="shared" si="35"/>
        <v>0</v>
      </c>
      <c r="DG10" s="102"/>
      <c r="DH10" s="1">
        <v>5</v>
      </c>
      <c r="DI10" s="104">
        <f t="shared" si="36"/>
        <v>0</v>
      </c>
      <c r="DJ10" s="102"/>
      <c r="DK10" s="1">
        <v>5</v>
      </c>
      <c r="DL10" s="104">
        <f t="shared" si="37"/>
        <v>0</v>
      </c>
      <c r="DM10" s="102"/>
      <c r="DN10" s="1">
        <v>5</v>
      </c>
      <c r="DO10" s="104">
        <f t="shared" si="38"/>
        <v>0</v>
      </c>
      <c r="DP10" s="102"/>
      <c r="DQ10" s="1">
        <v>5</v>
      </c>
      <c r="DR10" s="104">
        <f t="shared" si="39"/>
        <v>0</v>
      </c>
      <c r="DS10" s="102"/>
      <c r="DT10" s="1">
        <v>5</v>
      </c>
      <c r="DU10" s="104">
        <f t="shared" si="40"/>
        <v>0</v>
      </c>
      <c r="DV10" s="102"/>
      <c r="DW10" s="1">
        <v>5</v>
      </c>
      <c r="DX10" s="104">
        <f t="shared" si="41"/>
        <v>0</v>
      </c>
      <c r="DY10" s="102"/>
      <c r="DZ10" s="1">
        <v>5</v>
      </c>
      <c r="EA10" s="104">
        <f t="shared" si="42"/>
        <v>0</v>
      </c>
      <c r="EB10" s="102"/>
      <c r="EC10" s="1">
        <v>5</v>
      </c>
      <c r="ED10" s="104">
        <f t="shared" si="43"/>
        <v>0</v>
      </c>
      <c r="EE10" s="102"/>
      <c r="EF10" s="1">
        <v>5</v>
      </c>
      <c r="EG10" s="104">
        <f t="shared" si="44"/>
        <v>0</v>
      </c>
      <c r="EH10" s="102"/>
      <c r="EI10" s="1">
        <v>5</v>
      </c>
      <c r="EJ10" s="104">
        <f t="shared" si="45"/>
        <v>0</v>
      </c>
      <c r="EK10" s="102"/>
      <c r="EL10" s="1">
        <v>5</v>
      </c>
      <c r="EM10" s="104">
        <f t="shared" si="46"/>
        <v>0</v>
      </c>
      <c r="EN10" s="102"/>
      <c r="EO10" s="1">
        <v>5</v>
      </c>
      <c r="EP10" s="104">
        <f t="shared" si="47"/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221</v>
      </c>
      <c r="B11" s="101"/>
      <c r="C11" s="102"/>
      <c r="D11" s="103">
        <v>5</v>
      </c>
      <c r="E11" s="104">
        <f t="shared" si="0"/>
        <v>0</v>
      </c>
      <c r="F11" s="102"/>
      <c r="G11" s="103">
        <v>5</v>
      </c>
      <c r="H11" s="104">
        <f t="shared" si="1"/>
        <v>0</v>
      </c>
      <c r="I11" s="105"/>
      <c r="J11" s="103">
        <v>5</v>
      </c>
      <c r="K11" s="104">
        <f t="shared" si="2"/>
        <v>0</v>
      </c>
      <c r="L11" s="105"/>
      <c r="M11" s="103">
        <v>5</v>
      </c>
      <c r="N11" s="104">
        <f t="shared" si="3"/>
        <v>0</v>
      </c>
      <c r="O11" s="106"/>
      <c r="P11" s="107">
        <v>5</v>
      </c>
      <c r="Q11" s="104">
        <f t="shared" si="4"/>
        <v>0</v>
      </c>
      <c r="R11" s="102"/>
      <c r="S11" s="107">
        <v>5</v>
      </c>
      <c r="T11" s="104">
        <f t="shared" si="5"/>
        <v>0</v>
      </c>
      <c r="U11" s="102"/>
      <c r="V11" s="107">
        <v>5</v>
      </c>
      <c r="W11" s="104">
        <f t="shared" si="6"/>
        <v>0</v>
      </c>
      <c r="X11" s="102"/>
      <c r="Y11" s="107">
        <v>5</v>
      </c>
      <c r="Z11" s="104">
        <f t="shared" si="7"/>
        <v>0</v>
      </c>
      <c r="AA11" s="106"/>
      <c r="AB11" s="107">
        <v>5</v>
      </c>
      <c r="AC11" s="104">
        <f t="shared" si="8"/>
        <v>0</v>
      </c>
      <c r="AD11" s="106"/>
      <c r="AE11" s="107">
        <v>5</v>
      </c>
      <c r="AF11" s="104">
        <f t="shared" si="9"/>
        <v>0</v>
      </c>
      <c r="AG11" s="106"/>
      <c r="AH11" s="107">
        <v>5</v>
      </c>
      <c r="AI11" s="104">
        <f t="shared" si="10"/>
        <v>0</v>
      </c>
      <c r="AJ11" s="106"/>
      <c r="AK11" s="107">
        <v>5</v>
      </c>
      <c r="AL11" s="104">
        <f t="shared" si="11"/>
        <v>0</v>
      </c>
      <c r="AM11" s="102"/>
      <c r="AN11" s="1">
        <v>5</v>
      </c>
      <c r="AO11" s="104">
        <f t="shared" si="12"/>
        <v>0</v>
      </c>
      <c r="AP11" s="102"/>
      <c r="AQ11" s="1">
        <v>5</v>
      </c>
      <c r="AR11" s="104">
        <f t="shared" si="13"/>
        <v>0</v>
      </c>
      <c r="AS11" s="102"/>
      <c r="AT11" s="1">
        <v>5</v>
      </c>
      <c r="AU11" s="104">
        <f t="shared" si="14"/>
        <v>0</v>
      </c>
      <c r="AV11" s="102"/>
      <c r="AW11" s="1">
        <v>5</v>
      </c>
      <c r="AX11" s="104">
        <f t="shared" si="15"/>
        <v>0</v>
      </c>
      <c r="AY11" s="102"/>
      <c r="AZ11" s="1">
        <v>5</v>
      </c>
      <c r="BA11" s="104">
        <f t="shared" si="16"/>
        <v>0</v>
      </c>
      <c r="BB11" s="102"/>
      <c r="BC11" s="1">
        <v>5</v>
      </c>
      <c r="BD11" s="104">
        <f t="shared" si="17"/>
        <v>0</v>
      </c>
      <c r="BE11" s="102"/>
      <c r="BF11" s="1">
        <v>5</v>
      </c>
      <c r="BG11" s="104">
        <f t="shared" si="18"/>
        <v>0</v>
      </c>
      <c r="BH11" s="102"/>
      <c r="BI11" s="1">
        <v>5</v>
      </c>
      <c r="BJ11" s="104">
        <f t="shared" si="19"/>
        <v>0</v>
      </c>
      <c r="BK11" s="102"/>
      <c r="BL11" s="1">
        <v>5</v>
      </c>
      <c r="BM11" s="104">
        <f t="shared" si="20"/>
        <v>0</v>
      </c>
      <c r="BN11" s="102"/>
      <c r="BO11" s="1">
        <v>5</v>
      </c>
      <c r="BP11" s="104">
        <f t="shared" si="21"/>
        <v>0</v>
      </c>
      <c r="BQ11" s="102"/>
      <c r="BR11" s="1">
        <v>5</v>
      </c>
      <c r="BS11" s="104">
        <f t="shared" si="22"/>
        <v>0</v>
      </c>
      <c r="BT11" s="102"/>
      <c r="BU11" s="1">
        <v>5</v>
      </c>
      <c r="BV11" s="104">
        <f t="shared" si="23"/>
        <v>0</v>
      </c>
      <c r="BW11" s="102"/>
      <c r="BX11" s="1">
        <v>5</v>
      </c>
      <c r="BY11" s="104">
        <f t="shared" si="24"/>
        <v>0</v>
      </c>
      <c r="BZ11" s="102"/>
      <c r="CA11" s="1">
        <v>5</v>
      </c>
      <c r="CB11" s="104">
        <f t="shared" si="25"/>
        <v>0</v>
      </c>
      <c r="CC11" s="102"/>
      <c r="CD11" s="1">
        <v>5</v>
      </c>
      <c r="CE11" s="104">
        <f t="shared" si="26"/>
        <v>0</v>
      </c>
      <c r="CF11" s="102"/>
      <c r="CG11" s="1">
        <v>5</v>
      </c>
      <c r="CH11" s="104">
        <f t="shared" si="27"/>
        <v>0</v>
      </c>
      <c r="CI11" s="102"/>
      <c r="CJ11" s="1">
        <v>5</v>
      </c>
      <c r="CK11" s="104">
        <f t="shared" si="28"/>
        <v>0</v>
      </c>
      <c r="CL11" s="102"/>
      <c r="CM11" s="1">
        <v>5</v>
      </c>
      <c r="CN11" s="104">
        <f t="shared" si="29"/>
        <v>0</v>
      </c>
      <c r="CO11" s="102"/>
      <c r="CP11" s="1">
        <v>5</v>
      </c>
      <c r="CQ11" s="104">
        <f t="shared" si="30"/>
        <v>0</v>
      </c>
      <c r="CR11" s="102"/>
      <c r="CS11" s="1">
        <v>5</v>
      </c>
      <c r="CT11" s="104">
        <f t="shared" si="31"/>
        <v>0</v>
      </c>
      <c r="CU11" s="102"/>
      <c r="CV11" s="1">
        <v>5</v>
      </c>
      <c r="CW11" s="104">
        <f t="shared" si="32"/>
        <v>0</v>
      </c>
      <c r="CX11" s="102"/>
      <c r="CY11" s="1">
        <v>5</v>
      </c>
      <c r="CZ11" s="104">
        <f t="shared" si="33"/>
        <v>0</v>
      </c>
      <c r="DA11" s="102"/>
      <c r="DB11" s="1">
        <v>5</v>
      </c>
      <c r="DC11" s="104">
        <f t="shared" si="34"/>
        <v>0</v>
      </c>
      <c r="DD11" s="102"/>
      <c r="DE11" s="1">
        <v>5</v>
      </c>
      <c r="DF11" s="104">
        <f t="shared" si="35"/>
        <v>0</v>
      </c>
      <c r="DG11" s="102"/>
      <c r="DH11" s="1">
        <v>5</v>
      </c>
      <c r="DI11" s="104">
        <f t="shared" si="36"/>
        <v>0</v>
      </c>
      <c r="DJ11" s="102"/>
      <c r="DK11" s="1">
        <v>5</v>
      </c>
      <c r="DL11" s="104">
        <f t="shared" si="37"/>
        <v>0</v>
      </c>
      <c r="DM11" s="102"/>
      <c r="DN11" s="1">
        <v>5</v>
      </c>
      <c r="DO11" s="104">
        <f t="shared" si="38"/>
        <v>0</v>
      </c>
      <c r="DP11" s="102"/>
      <c r="DQ11" s="1">
        <v>5</v>
      </c>
      <c r="DR11" s="104">
        <f t="shared" si="39"/>
        <v>0</v>
      </c>
      <c r="DS11" s="102"/>
      <c r="DT11" s="1">
        <v>5</v>
      </c>
      <c r="DU11" s="104">
        <f t="shared" si="40"/>
        <v>0</v>
      </c>
      <c r="DV11" s="102"/>
      <c r="DW11" s="1">
        <v>5</v>
      </c>
      <c r="DX11" s="104">
        <f t="shared" si="41"/>
        <v>0</v>
      </c>
      <c r="DY11" s="102"/>
      <c r="DZ11" s="1">
        <v>5</v>
      </c>
      <c r="EA11" s="104">
        <f t="shared" si="42"/>
        <v>0</v>
      </c>
      <c r="EB11" s="102"/>
      <c r="EC11" s="1">
        <v>5</v>
      </c>
      <c r="ED11" s="104">
        <f t="shared" si="43"/>
        <v>0</v>
      </c>
      <c r="EE11" s="102"/>
      <c r="EF11" s="1">
        <v>5</v>
      </c>
      <c r="EG11" s="104">
        <f t="shared" si="44"/>
        <v>0</v>
      </c>
      <c r="EH11" s="102"/>
      <c r="EI11" s="1">
        <v>5</v>
      </c>
      <c r="EJ11" s="104">
        <f t="shared" si="45"/>
        <v>0</v>
      </c>
      <c r="EK11" s="102"/>
      <c r="EL11" s="1">
        <v>5</v>
      </c>
      <c r="EM11" s="104">
        <f t="shared" si="46"/>
        <v>0</v>
      </c>
      <c r="EN11" s="102"/>
      <c r="EO11" s="1">
        <v>5</v>
      </c>
      <c r="EP11" s="104">
        <f t="shared" si="47"/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si="0"/>
        <v>0</v>
      </c>
      <c r="F12" s="102"/>
      <c r="G12" s="103">
        <v>5</v>
      </c>
      <c r="H12" s="104">
        <f t="shared" si="1"/>
        <v>0</v>
      </c>
      <c r="I12" s="105"/>
      <c r="J12" s="103">
        <v>5</v>
      </c>
      <c r="K12" s="104">
        <f t="shared" si="2"/>
        <v>0</v>
      </c>
      <c r="L12" s="105"/>
      <c r="M12" s="103">
        <v>5</v>
      </c>
      <c r="N12" s="104">
        <f t="shared" si="3"/>
        <v>0</v>
      </c>
      <c r="O12" s="106"/>
      <c r="P12" s="107">
        <v>5</v>
      </c>
      <c r="Q12" s="104">
        <f t="shared" si="4"/>
        <v>0</v>
      </c>
      <c r="R12" s="102"/>
      <c r="S12" s="107">
        <v>5</v>
      </c>
      <c r="T12" s="104">
        <f t="shared" si="5"/>
        <v>0</v>
      </c>
      <c r="U12" s="102"/>
      <c r="V12" s="107">
        <v>5</v>
      </c>
      <c r="W12" s="104">
        <f t="shared" si="6"/>
        <v>0</v>
      </c>
      <c r="X12" s="102"/>
      <c r="Y12" s="107">
        <v>5</v>
      </c>
      <c r="Z12" s="104">
        <f t="shared" si="7"/>
        <v>0</v>
      </c>
      <c r="AA12" s="106"/>
      <c r="AB12" s="107">
        <v>5</v>
      </c>
      <c r="AC12" s="104">
        <f t="shared" si="8"/>
        <v>0</v>
      </c>
      <c r="AD12" s="106"/>
      <c r="AE12" s="107">
        <v>5</v>
      </c>
      <c r="AF12" s="104">
        <f t="shared" si="9"/>
        <v>0</v>
      </c>
      <c r="AG12" s="106"/>
      <c r="AH12" s="107">
        <v>5</v>
      </c>
      <c r="AI12" s="104">
        <f t="shared" si="10"/>
        <v>0</v>
      </c>
      <c r="AJ12" s="106"/>
      <c r="AK12" s="107">
        <v>5</v>
      </c>
      <c r="AL12" s="104">
        <f t="shared" si="11"/>
        <v>0</v>
      </c>
      <c r="AM12" s="102"/>
      <c r="AN12" s="1">
        <v>5</v>
      </c>
      <c r="AO12" s="104">
        <f t="shared" si="12"/>
        <v>0</v>
      </c>
      <c r="AP12" s="102"/>
      <c r="AQ12" s="1">
        <v>5</v>
      </c>
      <c r="AR12" s="104">
        <f t="shared" si="13"/>
        <v>0</v>
      </c>
      <c r="AS12" s="102"/>
      <c r="AT12" s="1">
        <v>5</v>
      </c>
      <c r="AU12" s="104">
        <f t="shared" si="14"/>
        <v>0</v>
      </c>
      <c r="AV12" s="102"/>
      <c r="AW12" s="1">
        <v>5</v>
      </c>
      <c r="AX12" s="104">
        <f t="shared" si="15"/>
        <v>0</v>
      </c>
      <c r="AY12" s="102"/>
      <c r="AZ12" s="1">
        <v>5</v>
      </c>
      <c r="BA12" s="104">
        <f t="shared" si="16"/>
        <v>0</v>
      </c>
      <c r="BB12" s="102"/>
      <c r="BC12" s="1">
        <v>5</v>
      </c>
      <c r="BD12" s="104">
        <f t="shared" si="17"/>
        <v>0</v>
      </c>
      <c r="BE12" s="102"/>
      <c r="BF12" s="1">
        <v>5</v>
      </c>
      <c r="BG12" s="104">
        <f t="shared" si="18"/>
        <v>0</v>
      </c>
      <c r="BH12" s="102"/>
      <c r="BI12" s="1">
        <v>5</v>
      </c>
      <c r="BJ12" s="104">
        <f t="shared" si="19"/>
        <v>0</v>
      </c>
      <c r="BK12" s="102"/>
      <c r="BL12" s="1">
        <v>5</v>
      </c>
      <c r="BM12" s="104">
        <f t="shared" si="20"/>
        <v>0</v>
      </c>
      <c r="BN12" s="102"/>
      <c r="BO12" s="1">
        <v>5</v>
      </c>
      <c r="BP12" s="104">
        <f t="shared" si="21"/>
        <v>0</v>
      </c>
      <c r="BQ12" s="102"/>
      <c r="BR12" s="1">
        <v>5</v>
      </c>
      <c r="BS12" s="104">
        <f t="shared" si="22"/>
        <v>0</v>
      </c>
      <c r="BT12" s="102"/>
      <c r="BU12" s="1">
        <v>5</v>
      </c>
      <c r="BV12" s="104">
        <f t="shared" si="23"/>
        <v>0</v>
      </c>
      <c r="BW12" s="102"/>
      <c r="BX12" s="1">
        <v>5</v>
      </c>
      <c r="BY12" s="104">
        <f t="shared" si="24"/>
        <v>0</v>
      </c>
      <c r="BZ12" s="102"/>
      <c r="CA12" s="1">
        <v>5</v>
      </c>
      <c r="CB12" s="104">
        <f t="shared" si="25"/>
        <v>0</v>
      </c>
      <c r="CC12" s="102"/>
      <c r="CD12" s="1">
        <v>5</v>
      </c>
      <c r="CE12" s="104">
        <f t="shared" si="26"/>
        <v>0</v>
      </c>
      <c r="CF12" s="102"/>
      <c r="CG12" s="1">
        <v>5</v>
      </c>
      <c r="CH12" s="104">
        <f t="shared" si="27"/>
        <v>0</v>
      </c>
      <c r="CI12" s="102"/>
      <c r="CJ12" s="1">
        <v>5</v>
      </c>
      <c r="CK12" s="104">
        <f t="shared" si="28"/>
        <v>0</v>
      </c>
      <c r="CL12" s="102"/>
      <c r="CM12" s="1">
        <v>5</v>
      </c>
      <c r="CN12" s="104">
        <f t="shared" si="29"/>
        <v>0</v>
      </c>
      <c r="CO12" s="102"/>
      <c r="CP12" s="1">
        <v>5</v>
      </c>
      <c r="CQ12" s="104">
        <f t="shared" si="30"/>
        <v>0</v>
      </c>
      <c r="CR12" s="102"/>
      <c r="CS12" s="1">
        <v>5</v>
      </c>
      <c r="CT12" s="104">
        <f t="shared" si="31"/>
        <v>0</v>
      </c>
      <c r="CU12" s="102"/>
      <c r="CV12" s="1">
        <v>5</v>
      </c>
      <c r="CW12" s="104">
        <f t="shared" si="32"/>
        <v>0</v>
      </c>
      <c r="CX12" s="102"/>
      <c r="CY12" s="1">
        <v>5</v>
      </c>
      <c r="CZ12" s="104">
        <f t="shared" si="33"/>
        <v>0</v>
      </c>
      <c r="DA12" s="102"/>
      <c r="DB12" s="1">
        <v>5</v>
      </c>
      <c r="DC12" s="104">
        <f t="shared" si="34"/>
        <v>0</v>
      </c>
      <c r="DD12" s="102"/>
      <c r="DE12" s="1">
        <v>5</v>
      </c>
      <c r="DF12" s="104">
        <f t="shared" si="35"/>
        <v>0</v>
      </c>
      <c r="DG12" s="102"/>
      <c r="DH12" s="1">
        <v>5</v>
      </c>
      <c r="DI12" s="104">
        <f t="shared" si="36"/>
        <v>0</v>
      </c>
      <c r="DJ12" s="102"/>
      <c r="DK12" s="1">
        <v>5</v>
      </c>
      <c r="DL12" s="104">
        <f t="shared" si="37"/>
        <v>0</v>
      </c>
      <c r="DM12" s="102"/>
      <c r="DN12" s="1">
        <v>5</v>
      </c>
      <c r="DO12" s="104">
        <f t="shared" si="38"/>
        <v>0</v>
      </c>
      <c r="DP12" s="102"/>
      <c r="DQ12" s="1">
        <v>5</v>
      </c>
      <c r="DR12" s="104">
        <f t="shared" si="39"/>
        <v>0</v>
      </c>
      <c r="DS12" s="102"/>
      <c r="DT12" s="1">
        <v>5</v>
      </c>
      <c r="DU12" s="104">
        <f t="shared" si="40"/>
        <v>0</v>
      </c>
      <c r="DV12" s="102"/>
      <c r="DW12" s="1">
        <v>5</v>
      </c>
      <c r="DX12" s="104">
        <f t="shared" si="41"/>
        <v>0</v>
      </c>
      <c r="DY12" s="102"/>
      <c r="DZ12" s="1">
        <v>5</v>
      </c>
      <c r="EA12" s="104">
        <f t="shared" si="42"/>
        <v>0</v>
      </c>
      <c r="EB12" s="102"/>
      <c r="EC12" s="1">
        <v>5</v>
      </c>
      <c r="ED12" s="104">
        <f t="shared" si="43"/>
        <v>0</v>
      </c>
      <c r="EE12" s="102"/>
      <c r="EF12" s="1">
        <v>5</v>
      </c>
      <c r="EG12" s="104">
        <f t="shared" si="44"/>
        <v>0</v>
      </c>
      <c r="EH12" s="102"/>
      <c r="EI12" s="1">
        <v>5</v>
      </c>
      <c r="EJ12" s="104">
        <f t="shared" si="45"/>
        <v>0</v>
      </c>
      <c r="EK12" s="102"/>
      <c r="EL12" s="1">
        <v>5</v>
      </c>
      <c r="EM12" s="104">
        <f t="shared" si="46"/>
        <v>0</v>
      </c>
      <c r="EN12" s="102"/>
      <c r="EO12" s="1">
        <v>5</v>
      </c>
      <c r="EP12" s="104">
        <f t="shared" si="47"/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102"/>
      <c r="D13" s="103">
        <v>5</v>
      </c>
      <c r="E13" s="104">
        <f t="shared" si="0"/>
        <v>0</v>
      </c>
      <c r="F13" s="102"/>
      <c r="G13" s="103">
        <v>5</v>
      </c>
      <c r="H13" s="104">
        <f t="shared" si="1"/>
        <v>0</v>
      </c>
      <c r="I13" s="105"/>
      <c r="J13" s="103">
        <v>5</v>
      </c>
      <c r="K13" s="104">
        <f t="shared" si="2"/>
        <v>0</v>
      </c>
      <c r="L13" s="105"/>
      <c r="M13" s="103">
        <v>5</v>
      </c>
      <c r="N13" s="104">
        <f t="shared" si="3"/>
        <v>0</v>
      </c>
      <c r="O13" s="106"/>
      <c r="P13" s="107">
        <v>5</v>
      </c>
      <c r="Q13" s="104">
        <f t="shared" si="4"/>
        <v>0</v>
      </c>
      <c r="R13" s="102"/>
      <c r="S13" s="107">
        <v>5</v>
      </c>
      <c r="T13" s="104">
        <f t="shared" si="5"/>
        <v>0</v>
      </c>
      <c r="U13" s="102"/>
      <c r="V13" s="107">
        <v>5</v>
      </c>
      <c r="W13" s="104">
        <f t="shared" si="6"/>
        <v>0</v>
      </c>
      <c r="X13" s="102"/>
      <c r="Y13" s="107">
        <v>5</v>
      </c>
      <c r="Z13" s="104">
        <f t="shared" si="7"/>
        <v>0</v>
      </c>
      <c r="AA13" s="106"/>
      <c r="AB13" s="107">
        <v>5</v>
      </c>
      <c r="AC13" s="104">
        <f t="shared" si="8"/>
        <v>0</v>
      </c>
      <c r="AD13" s="106"/>
      <c r="AE13" s="107">
        <v>5</v>
      </c>
      <c r="AF13" s="104">
        <f t="shared" si="9"/>
        <v>0</v>
      </c>
      <c r="AG13" s="106"/>
      <c r="AH13" s="107">
        <v>5</v>
      </c>
      <c r="AI13" s="104">
        <f t="shared" si="10"/>
        <v>0</v>
      </c>
      <c r="AJ13" s="106"/>
      <c r="AK13" s="107">
        <v>5</v>
      </c>
      <c r="AL13" s="104">
        <f t="shared" si="11"/>
        <v>0</v>
      </c>
      <c r="AM13" s="102"/>
      <c r="AN13" s="1">
        <v>5</v>
      </c>
      <c r="AO13" s="104">
        <f t="shared" si="12"/>
        <v>0</v>
      </c>
      <c r="AP13" s="102"/>
      <c r="AQ13" s="1">
        <v>5</v>
      </c>
      <c r="AR13" s="104">
        <f t="shared" si="13"/>
        <v>0</v>
      </c>
      <c r="AS13" s="102"/>
      <c r="AT13" s="1">
        <v>5</v>
      </c>
      <c r="AU13" s="104">
        <f t="shared" si="14"/>
        <v>0</v>
      </c>
      <c r="AV13" s="102"/>
      <c r="AW13" s="1">
        <v>5</v>
      </c>
      <c r="AX13" s="104">
        <f t="shared" si="15"/>
        <v>0</v>
      </c>
      <c r="AY13" s="102"/>
      <c r="AZ13" s="1">
        <v>5</v>
      </c>
      <c r="BA13" s="104">
        <f t="shared" si="16"/>
        <v>0</v>
      </c>
      <c r="BB13" s="102"/>
      <c r="BC13" s="1">
        <v>5</v>
      </c>
      <c r="BD13" s="104">
        <f t="shared" si="17"/>
        <v>0</v>
      </c>
      <c r="BE13" s="102"/>
      <c r="BF13" s="1">
        <v>5</v>
      </c>
      <c r="BG13" s="104">
        <f t="shared" si="18"/>
        <v>0</v>
      </c>
      <c r="BH13" s="102"/>
      <c r="BI13" s="1">
        <v>5</v>
      </c>
      <c r="BJ13" s="104">
        <f t="shared" si="19"/>
        <v>0</v>
      </c>
      <c r="BK13" s="102"/>
      <c r="BL13" s="1">
        <v>5</v>
      </c>
      <c r="BM13" s="104">
        <f t="shared" si="20"/>
        <v>0</v>
      </c>
      <c r="BN13" s="102"/>
      <c r="BO13" s="1">
        <v>5</v>
      </c>
      <c r="BP13" s="104">
        <f t="shared" si="21"/>
        <v>0</v>
      </c>
      <c r="BQ13" s="102"/>
      <c r="BR13" s="1">
        <v>5</v>
      </c>
      <c r="BS13" s="104">
        <f t="shared" si="22"/>
        <v>0</v>
      </c>
      <c r="BT13" s="102"/>
      <c r="BU13" s="1">
        <v>5</v>
      </c>
      <c r="BV13" s="104">
        <f t="shared" si="23"/>
        <v>0</v>
      </c>
      <c r="BW13" s="102"/>
      <c r="BX13" s="1">
        <v>5</v>
      </c>
      <c r="BY13" s="104">
        <f t="shared" si="24"/>
        <v>0</v>
      </c>
      <c r="BZ13" s="102"/>
      <c r="CA13" s="1">
        <v>5</v>
      </c>
      <c r="CB13" s="104">
        <f t="shared" si="25"/>
        <v>0</v>
      </c>
      <c r="CC13" s="102"/>
      <c r="CD13" s="1">
        <v>5</v>
      </c>
      <c r="CE13" s="104">
        <f t="shared" si="26"/>
        <v>0</v>
      </c>
      <c r="CF13" s="102"/>
      <c r="CG13" s="1">
        <v>5</v>
      </c>
      <c r="CH13" s="104">
        <f t="shared" si="27"/>
        <v>0</v>
      </c>
      <c r="CI13" s="102"/>
      <c r="CJ13" s="1">
        <v>5</v>
      </c>
      <c r="CK13" s="104">
        <f t="shared" si="28"/>
        <v>0</v>
      </c>
      <c r="CL13" s="102"/>
      <c r="CM13" s="1">
        <v>5</v>
      </c>
      <c r="CN13" s="104">
        <f t="shared" si="29"/>
        <v>0</v>
      </c>
      <c r="CO13" s="102"/>
      <c r="CP13" s="1">
        <v>5</v>
      </c>
      <c r="CQ13" s="104">
        <f t="shared" si="30"/>
        <v>0</v>
      </c>
      <c r="CR13" s="102"/>
      <c r="CS13" s="1">
        <v>5</v>
      </c>
      <c r="CT13" s="104">
        <f t="shared" si="31"/>
        <v>0</v>
      </c>
      <c r="CU13" s="102"/>
      <c r="CV13" s="1">
        <v>5</v>
      </c>
      <c r="CW13" s="104">
        <f t="shared" si="32"/>
        <v>0</v>
      </c>
      <c r="CX13" s="102"/>
      <c r="CY13" s="1">
        <v>5</v>
      </c>
      <c r="CZ13" s="104">
        <f t="shared" si="33"/>
        <v>0</v>
      </c>
      <c r="DA13" s="102"/>
      <c r="DB13" s="1">
        <v>5</v>
      </c>
      <c r="DC13" s="104">
        <f t="shared" si="34"/>
        <v>0</v>
      </c>
      <c r="DD13" s="102"/>
      <c r="DE13" s="1">
        <v>5</v>
      </c>
      <c r="DF13" s="104">
        <f t="shared" si="35"/>
        <v>0</v>
      </c>
      <c r="DG13" s="102"/>
      <c r="DH13" s="1">
        <v>5</v>
      </c>
      <c r="DI13" s="104">
        <f t="shared" si="36"/>
        <v>0</v>
      </c>
      <c r="DJ13" s="102"/>
      <c r="DK13" s="1">
        <v>5</v>
      </c>
      <c r="DL13" s="104">
        <f t="shared" si="37"/>
        <v>0</v>
      </c>
      <c r="DM13" s="102"/>
      <c r="DN13" s="1">
        <v>5</v>
      </c>
      <c r="DO13" s="104">
        <f t="shared" si="38"/>
        <v>0</v>
      </c>
      <c r="DP13" s="102"/>
      <c r="DQ13" s="1">
        <v>5</v>
      </c>
      <c r="DR13" s="104">
        <f t="shared" si="39"/>
        <v>0</v>
      </c>
      <c r="DS13" s="102"/>
      <c r="DT13" s="1">
        <v>5</v>
      </c>
      <c r="DU13" s="104">
        <f t="shared" si="40"/>
        <v>0</v>
      </c>
      <c r="DV13" s="102"/>
      <c r="DW13" s="1">
        <v>5</v>
      </c>
      <c r="DX13" s="104">
        <f t="shared" si="41"/>
        <v>0</v>
      </c>
      <c r="DY13" s="102"/>
      <c r="DZ13" s="1">
        <v>5</v>
      </c>
      <c r="EA13" s="104">
        <f t="shared" si="42"/>
        <v>0</v>
      </c>
      <c r="EB13" s="102"/>
      <c r="EC13" s="1">
        <v>5</v>
      </c>
      <c r="ED13" s="104">
        <f t="shared" si="43"/>
        <v>0</v>
      </c>
      <c r="EE13" s="102"/>
      <c r="EF13" s="1">
        <v>5</v>
      </c>
      <c r="EG13" s="104">
        <f t="shared" si="44"/>
        <v>0</v>
      </c>
      <c r="EH13" s="102"/>
      <c r="EI13" s="1">
        <v>5</v>
      </c>
      <c r="EJ13" s="104">
        <f t="shared" si="45"/>
        <v>0</v>
      </c>
      <c r="EK13" s="102"/>
      <c r="EL13" s="1">
        <v>5</v>
      </c>
      <c r="EM13" s="104">
        <f t="shared" si="46"/>
        <v>0</v>
      </c>
      <c r="EN13" s="102"/>
      <c r="EO13" s="1">
        <v>5</v>
      </c>
      <c r="EP13" s="104">
        <f t="shared" si="47"/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84</v>
      </c>
      <c r="B14" s="101"/>
      <c r="C14" s="102"/>
      <c r="D14" s="103">
        <v>5</v>
      </c>
      <c r="E14" s="104">
        <f t="shared" si="0"/>
        <v>0</v>
      </c>
      <c r="F14" s="102"/>
      <c r="G14" s="103">
        <v>5</v>
      </c>
      <c r="H14" s="104">
        <f t="shared" si="1"/>
        <v>0</v>
      </c>
      <c r="I14" s="105"/>
      <c r="J14" s="103">
        <v>5</v>
      </c>
      <c r="K14" s="104">
        <f t="shared" si="2"/>
        <v>0</v>
      </c>
      <c r="L14" s="105"/>
      <c r="M14" s="103">
        <v>5</v>
      </c>
      <c r="N14" s="104">
        <f t="shared" si="3"/>
        <v>0</v>
      </c>
      <c r="O14" s="106"/>
      <c r="P14" s="107">
        <v>5</v>
      </c>
      <c r="Q14" s="104">
        <f t="shared" si="4"/>
        <v>0</v>
      </c>
      <c r="R14" s="102"/>
      <c r="S14" s="107">
        <v>5</v>
      </c>
      <c r="T14" s="104">
        <f t="shared" si="5"/>
        <v>0</v>
      </c>
      <c r="U14" s="102"/>
      <c r="V14" s="107">
        <v>5</v>
      </c>
      <c r="W14" s="104">
        <f t="shared" si="6"/>
        <v>0</v>
      </c>
      <c r="X14" s="102"/>
      <c r="Y14" s="107">
        <v>5</v>
      </c>
      <c r="Z14" s="104">
        <f t="shared" si="7"/>
        <v>0</v>
      </c>
      <c r="AA14" s="106"/>
      <c r="AB14" s="107">
        <v>5</v>
      </c>
      <c r="AC14" s="104">
        <f t="shared" si="8"/>
        <v>0</v>
      </c>
      <c r="AD14" s="106"/>
      <c r="AE14" s="107">
        <v>5</v>
      </c>
      <c r="AF14" s="104">
        <f t="shared" si="9"/>
        <v>0</v>
      </c>
      <c r="AG14" s="106"/>
      <c r="AH14" s="107">
        <v>5</v>
      </c>
      <c r="AI14" s="104">
        <f t="shared" si="10"/>
        <v>0</v>
      </c>
      <c r="AJ14" s="106"/>
      <c r="AK14" s="107">
        <v>5</v>
      </c>
      <c r="AL14" s="104">
        <f t="shared" si="11"/>
        <v>0</v>
      </c>
      <c r="AM14" s="102"/>
      <c r="AN14" s="1">
        <v>5</v>
      </c>
      <c r="AO14" s="104">
        <f t="shared" si="12"/>
        <v>0</v>
      </c>
      <c r="AP14" s="102"/>
      <c r="AQ14" s="1">
        <v>5</v>
      </c>
      <c r="AR14" s="104">
        <f t="shared" si="13"/>
        <v>0</v>
      </c>
      <c r="AS14" s="102"/>
      <c r="AT14" s="1">
        <v>5</v>
      </c>
      <c r="AU14" s="104">
        <f t="shared" si="14"/>
        <v>0</v>
      </c>
      <c r="AV14" s="102"/>
      <c r="AW14" s="1">
        <v>5</v>
      </c>
      <c r="AX14" s="104">
        <f t="shared" si="15"/>
        <v>0</v>
      </c>
      <c r="AY14" s="102"/>
      <c r="AZ14" s="1">
        <v>5</v>
      </c>
      <c r="BA14" s="104">
        <f t="shared" si="16"/>
        <v>0</v>
      </c>
      <c r="BB14" s="102"/>
      <c r="BC14" s="1">
        <v>5</v>
      </c>
      <c r="BD14" s="104">
        <f t="shared" si="17"/>
        <v>0</v>
      </c>
      <c r="BE14" s="102"/>
      <c r="BF14" s="1">
        <v>5</v>
      </c>
      <c r="BG14" s="104">
        <f t="shared" si="18"/>
        <v>0</v>
      </c>
      <c r="BH14" s="102"/>
      <c r="BI14" s="1">
        <v>5</v>
      </c>
      <c r="BJ14" s="104">
        <f t="shared" si="19"/>
        <v>0</v>
      </c>
      <c r="BK14" s="102"/>
      <c r="BL14" s="1">
        <v>5</v>
      </c>
      <c r="BM14" s="104">
        <f t="shared" si="20"/>
        <v>0</v>
      </c>
      <c r="BN14" s="102"/>
      <c r="BO14" s="1">
        <v>5</v>
      </c>
      <c r="BP14" s="104">
        <f t="shared" si="21"/>
        <v>0</v>
      </c>
      <c r="BQ14" s="102"/>
      <c r="BR14" s="1">
        <v>5</v>
      </c>
      <c r="BS14" s="104">
        <f t="shared" si="22"/>
        <v>0</v>
      </c>
      <c r="BT14" s="102"/>
      <c r="BU14" s="1">
        <v>5</v>
      </c>
      <c r="BV14" s="104">
        <f t="shared" si="23"/>
        <v>0</v>
      </c>
      <c r="BW14" s="102"/>
      <c r="BX14" s="1">
        <v>5</v>
      </c>
      <c r="BY14" s="104">
        <f t="shared" si="24"/>
        <v>0</v>
      </c>
      <c r="BZ14" s="102"/>
      <c r="CA14" s="1">
        <v>5</v>
      </c>
      <c r="CB14" s="104">
        <f t="shared" si="25"/>
        <v>0</v>
      </c>
      <c r="CC14" s="102"/>
      <c r="CD14" s="1">
        <v>5</v>
      </c>
      <c r="CE14" s="104">
        <f t="shared" si="26"/>
        <v>0</v>
      </c>
      <c r="CF14" s="102"/>
      <c r="CG14" s="1">
        <v>5</v>
      </c>
      <c r="CH14" s="104">
        <f t="shared" si="27"/>
        <v>0</v>
      </c>
      <c r="CI14" s="102"/>
      <c r="CJ14" s="1">
        <v>5</v>
      </c>
      <c r="CK14" s="104">
        <f t="shared" si="28"/>
        <v>0</v>
      </c>
      <c r="CL14" s="102"/>
      <c r="CM14" s="1">
        <v>5</v>
      </c>
      <c r="CN14" s="104">
        <f t="shared" si="29"/>
        <v>0</v>
      </c>
      <c r="CO14" s="102"/>
      <c r="CP14" s="1">
        <v>5</v>
      </c>
      <c r="CQ14" s="104">
        <f t="shared" si="30"/>
        <v>0</v>
      </c>
      <c r="CR14" s="102"/>
      <c r="CS14" s="1">
        <v>5</v>
      </c>
      <c r="CT14" s="104">
        <f t="shared" si="31"/>
        <v>0</v>
      </c>
      <c r="CU14" s="102"/>
      <c r="CV14" s="1">
        <v>5</v>
      </c>
      <c r="CW14" s="104">
        <f t="shared" si="32"/>
        <v>0</v>
      </c>
      <c r="CX14" s="102"/>
      <c r="CY14" s="1">
        <v>5</v>
      </c>
      <c r="CZ14" s="104">
        <f t="shared" si="33"/>
        <v>0</v>
      </c>
      <c r="DA14" s="102"/>
      <c r="DB14" s="1">
        <v>5</v>
      </c>
      <c r="DC14" s="104">
        <f t="shared" si="34"/>
        <v>0</v>
      </c>
      <c r="DD14" s="102"/>
      <c r="DE14" s="1">
        <v>5</v>
      </c>
      <c r="DF14" s="104">
        <f t="shared" si="35"/>
        <v>0</v>
      </c>
      <c r="DG14" s="102"/>
      <c r="DH14" s="1">
        <v>5</v>
      </c>
      <c r="DI14" s="104">
        <f t="shared" si="36"/>
        <v>0</v>
      </c>
      <c r="DJ14" s="102"/>
      <c r="DK14" s="1">
        <v>5</v>
      </c>
      <c r="DL14" s="104">
        <f t="shared" si="37"/>
        <v>0</v>
      </c>
      <c r="DM14" s="102"/>
      <c r="DN14" s="1">
        <v>5</v>
      </c>
      <c r="DO14" s="104">
        <f t="shared" si="38"/>
        <v>0</v>
      </c>
      <c r="DP14" s="102"/>
      <c r="DQ14" s="1">
        <v>5</v>
      </c>
      <c r="DR14" s="104">
        <f t="shared" si="39"/>
        <v>0</v>
      </c>
      <c r="DS14" s="102"/>
      <c r="DT14" s="1">
        <v>5</v>
      </c>
      <c r="DU14" s="104">
        <f t="shared" si="40"/>
        <v>0</v>
      </c>
      <c r="DV14" s="102"/>
      <c r="DW14" s="1">
        <v>5</v>
      </c>
      <c r="DX14" s="104">
        <f t="shared" si="41"/>
        <v>0</v>
      </c>
      <c r="DY14" s="102"/>
      <c r="DZ14" s="1">
        <v>5</v>
      </c>
      <c r="EA14" s="104">
        <f t="shared" si="42"/>
        <v>0</v>
      </c>
      <c r="EB14" s="102"/>
      <c r="EC14" s="1">
        <v>5</v>
      </c>
      <c r="ED14" s="104">
        <f t="shared" si="43"/>
        <v>0</v>
      </c>
      <c r="EE14" s="102"/>
      <c r="EF14" s="1">
        <v>5</v>
      </c>
      <c r="EG14" s="104">
        <f t="shared" si="44"/>
        <v>0</v>
      </c>
      <c r="EH14" s="102"/>
      <c r="EI14" s="1">
        <v>5</v>
      </c>
      <c r="EJ14" s="104">
        <f t="shared" si="45"/>
        <v>0</v>
      </c>
      <c r="EK14" s="102"/>
      <c r="EL14" s="1">
        <v>5</v>
      </c>
      <c r="EM14" s="104">
        <f t="shared" si="46"/>
        <v>0</v>
      </c>
      <c r="EN14" s="102"/>
      <c r="EO14" s="1">
        <v>5</v>
      </c>
      <c r="EP14" s="104">
        <f t="shared" si="47"/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38.5" customHeight="1" spans="1:148" x14ac:dyDescent="0.25">
      <c r="A15" s="100" t="s">
        <v>222</v>
      </c>
      <c r="B15" s="101"/>
      <c r="C15" s="102"/>
      <c r="D15" s="103">
        <v>5</v>
      </c>
      <c r="E15" s="104">
        <f t="shared" si="0"/>
        <v>0</v>
      </c>
      <c r="F15" s="102"/>
      <c r="G15" s="103">
        <v>5</v>
      </c>
      <c r="H15" s="104">
        <f t="shared" si="1"/>
        <v>0</v>
      </c>
      <c r="I15" s="105"/>
      <c r="J15" s="103">
        <v>5</v>
      </c>
      <c r="K15" s="104">
        <f t="shared" si="2"/>
        <v>0</v>
      </c>
      <c r="L15" s="105"/>
      <c r="M15" s="103">
        <v>5</v>
      </c>
      <c r="N15" s="104">
        <f t="shared" si="3"/>
        <v>0</v>
      </c>
      <c r="O15" s="106"/>
      <c r="P15" s="107">
        <v>5</v>
      </c>
      <c r="Q15" s="104">
        <f t="shared" si="4"/>
        <v>0</v>
      </c>
      <c r="R15" s="102"/>
      <c r="S15" s="107">
        <v>5</v>
      </c>
      <c r="T15" s="104">
        <f t="shared" si="5"/>
        <v>0</v>
      </c>
      <c r="U15" s="102"/>
      <c r="V15" s="107">
        <v>5</v>
      </c>
      <c r="W15" s="104">
        <f t="shared" si="6"/>
        <v>0</v>
      </c>
      <c r="X15" s="102"/>
      <c r="Y15" s="107">
        <v>5</v>
      </c>
      <c r="Z15" s="104">
        <f t="shared" si="7"/>
        <v>0</v>
      </c>
      <c r="AA15" s="106"/>
      <c r="AB15" s="107">
        <v>5</v>
      </c>
      <c r="AC15" s="104">
        <f t="shared" si="8"/>
        <v>0</v>
      </c>
      <c r="AD15" s="106"/>
      <c r="AE15" s="107">
        <v>5</v>
      </c>
      <c r="AF15" s="104">
        <f t="shared" si="9"/>
        <v>0</v>
      </c>
      <c r="AG15" s="106"/>
      <c r="AH15" s="107">
        <v>5</v>
      </c>
      <c r="AI15" s="104">
        <f t="shared" si="10"/>
        <v>0</v>
      </c>
      <c r="AJ15" s="106"/>
      <c r="AK15" s="107">
        <v>5</v>
      </c>
      <c r="AL15" s="104">
        <f t="shared" si="11"/>
        <v>0</v>
      </c>
      <c r="AM15" s="102"/>
      <c r="AN15" s="1">
        <v>5</v>
      </c>
      <c r="AO15" s="104">
        <f t="shared" si="12"/>
        <v>0</v>
      </c>
      <c r="AP15" s="102"/>
      <c r="AQ15" s="1">
        <v>5</v>
      </c>
      <c r="AR15" s="104">
        <f t="shared" si="13"/>
        <v>0</v>
      </c>
      <c r="AS15" s="102"/>
      <c r="AT15" s="1">
        <v>5</v>
      </c>
      <c r="AU15" s="104">
        <f t="shared" si="14"/>
        <v>0</v>
      </c>
      <c r="AV15" s="102"/>
      <c r="AW15" s="1">
        <v>5</v>
      </c>
      <c r="AX15" s="104">
        <f t="shared" si="15"/>
        <v>0</v>
      </c>
      <c r="AY15" s="102"/>
      <c r="AZ15" s="1">
        <v>5</v>
      </c>
      <c r="BA15" s="104">
        <f t="shared" si="16"/>
        <v>0</v>
      </c>
      <c r="BB15" s="102"/>
      <c r="BC15" s="1">
        <v>5</v>
      </c>
      <c r="BD15" s="104">
        <f t="shared" si="17"/>
        <v>0</v>
      </c>
      <c r="BE15" s="102"/>
      <c r="BF15" s="1">
        <v>5</v>
      </c>
      <c r="BG15" s="104">
        <f t="shared" si="18"/>
        <v>0</v>
      </c>
      <c r="BH15" s="102"/>
      <c r="BI15" s="1">
        <v>5</v>
      </c>
      <c r="BJ15" s="104">
        <f t="shared" si="19"/>
        <v>0</v>
      </c>
      <c r="BK15" s="102"/>
      <c r="BL15" s="1">
        <v>5</v>
      </c>
      <c r="BM15" s="104">
        <f t="shared" si="20"/>
        <v>0</v>
      </c>
      <c r="BN15" s="102"/>
      <c r="BO15" s="1">
        <v>5</v>
      </c>
      <c r="BP15" s="104">
        <f t="shared" si="21"/>
        <v>0</v>
      </c>
      <c r="BQ15" s="102"/>
      <c r="BR15" s="1">
        <v>5</v>
      </c>
      <c r="BS15" s="104">
        <f t="shared" si="22"/>
        <v>0</v>
      </c>
      <c r="BT15" s="102"/>
      <c r="BU15" s="1">
        <v>5</v>
      </c>
      <c r="BV15" s="104">
        <f t="shared" si="23"/>
        <v>0</v>
      </c>
      <c r="BW15" s="102"/>
      <c r="BX15" s="1">
        <v>5</v>
      </c>
      <c r="BY15" s="104">
        <f t="shared" si="24"/>
        <v>0</v>
      </c>
      <c r="BZ15" s="102"/>
      <c r="CA15" s="1">
        <v>5</v>
      </c>
      <c r="CB15" s="104">
        <f t="shared" si="25"/>
        <v>0</v>
      </c>
      <c r="CC15" s="102"/>
      <c r="CD15" s="1">
        <v>5</v>
      </c>
      <c r="CE15" s="104">
        <f t="shared" si="26"/>
        <v>0</v>
      </c>
      <c r="CF15" s="102"/>
      <c r="CG15" s="1">
        <v>5</v>
      </c>
      <c r="CH15" s="104">
        <f t="shared" si="27"/>
        <v>0</v>
      </c>
      <c r="CI15" s="102"/>
      <c r="CJ15" s="1">
        <v>5</v>
      </c>
      <c r="CK15" s="104">
        <f t="shared" si="28"/>
        <v>0</v>
      </c>
      <c r="CL15" s="102"/>
      <c r="CM15" s="1">
        <v>5</v>
      </c>
      <c r="CN15" s="104">
        <f t="shared" si="29"/>
        <v>0</v>
      </c>
      <c r="CO15" s="102"/>
      <c r="CP15" s="1">
        <v>5</v>
      </c>
      <c r="CQ15" s="104">
        <f t="shared" si="30"/>
        <v>0</v>
      </c>
      <c r="CR15" s="102"/>
      <c r="CS15" s="1">
        <v>5</v>
      </c>
      <c r="CT15" s="104">
        <f t="shared" si="31"/>
        <v>0</v>
      </c>
      <c r="CU15" s="102"/>
      <c r="CV15" s="1">
        <v>5</v>
      </c>
      <c r="CW15" s="104">
        <f t="shared" si="32"/>
        <v>0</v>
      </c>
      <c r="CX15" s="102"/>
      <c r="CY15" s="1">
        <v>5</v>
      </c>
      <c r="CZ15" s="104">
        <f t="shared" si="33"/>
        <v>0</v>
      </c>
      <c r="DA15" s="102"/>
      <c r="DB15" s="1">
        <v>5</v>
      </c>
      <c r="DC15" s="104">
        <f t="shared" si="34"/>
        <v>0</v>
      </c>
      <c r="DD15" s="102"/>
      <c r="DE15" s="1">
        <v>5</v>
      </c>
      <c r="DF15" s="104">
        <f t="shared" si="35"/>
        <v>0</v>
      </c>
      <c r="DG15" s="102"/>
      <c r="DH15" s="1">
        <v>5</v>
      </c>
      <c r="DI15" s="104">
        <f t="shared" si="36"/>
        <v>0</v>
      </c>
      <c r="DJ15" s="102"/>
      <c r="DK15" s="1">
        <v>5</v>
      </c>
      <c r="DL15" s="104">
        <f t="shared" si="37"/>
        <v>0</v>
      </c>
      <c r="DM15" s="102"/>
      <c r="DN15" s="1">
        <v>5</v>
      </c>
      <c r="DO15" s="104">
        <f t="shared" si="38"/>
        <v>0</v>
      </c>
      <c r="DP15" s="102"/>
      <c r="DQ15" s="1">
        <v>5</v>
      </c>
      <c r="DR15" s="104">
        <f t="shared" si="39"/>
        <v>0</v>
      </c>
      <c r="DS15" s="102"/>
      <c r="DT15" s="1">
        <v>5</v>
      </c>
      <c r="DU15" s="104">
        <f t="shared" si="40"/>
        <v>0</v>
      </c>
      <c r="DV15" s="102"/>
      <c r="DW15" s="1">
        <v>5</v>
      </c>
      <c r="DX15" s="104">
        <f t="shared" si="41"/>
        <v>0</v>
      </c>
      <c r="DY15" s="102"/>
      <c r="DZ15" s="1">
        <v>5</v>
      </c>
      <c r="EA15" s="104">
        <f t="shared" si="42"/>
        <v>0</v>
      </c>
      <c r="EB15" s="102"/>
      <c r="EC15" s="1">
        <v>5</v>
      </c>
      <c r="ED15" s="104">
        <f t="shared" si="43"/>
        <v>0</v>
      </c>
      <c r="EE15" s="102"/>
      <c r="EF15" s="1">
        <v>5</v>
      </c>
      <c r="EG15" s="104">
        <f t="shared" si="44"/>
        <v>0</v>
      </c>
      <c r="EH15" s="102"/>
      <c r="EI15" s="1">
        <v>5</v>
      </c>
      <c r="EJ15" s="104">
        <f t="shared" si="45"/>
        <v>0</v>
      </c>
      <c r="EK15" s="102"/>
      <c r="EL15" s="1">
        <v>5</v>
      </c>
      <c r="EM15" s="104">
        <f t="shared" si="46"/>
        <v>0</v>
      </c>
      <c r="EN15" s="102"/>
      <c r="EO15" s="1">
        <v>5</v>
      </c>
      <c r="EP15" s="104">
        <f t="shared" si="47"/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46" customHeight="1" spans="1:148" x14ac:dyDescent="0.25">
      <c r="A16" s="100" t="s">
        <v>218</v>
      </c>
      <c r="B16" s="101"/>
      <c r="C16" s="102"/>
      <c r="D16" s="103">
        <v>5</v>
      </c>
      <c r="E16" s="104">
        <f t="shared" si="0"/>
        <v>0</v>
      </c>
      <c r="F16" s="102"/>
      <c r="G16" s="103">
        <v>5</v>
      </c>
      <c r="H16" s="104">
        <f t="shared" si="1"/>
        <v>0</v>
      </c>
      <c r="I16" s="105"/>
      <c r="J16" s="103">
        <v>5</v>
      </c>
      <c r="K16" s="104">
        <f t="shared" si="2"/>
        <v>0</v>
      </c>
      <c r="L16" s="105"/>
      <c r="M16" s="103">
        <v>5</v>
      </c>
      <c r="N16" s="104">
        <f t="shared" si="3"/>
        <v>0</v>
      </c>
      <c r="O16" s="106"/>
      <c r="P16" s="107">
        <v>5</v>
      </c>
      <c r="Q16" s="104">
        <f t="shared" si="4"/>
        <v>0</v>
      </c>
      <c r="R16" s="102"/>
      <c r="S16" s="107">
        <v>5</v>
      </c>
      <c r="T16" s="104">
        <f t="shared" si="5"/>
        <v>0</v>
      </c>
      <c r="U16" s="102"/>
      <c r="V16" s="107">
        <v>5</v>
      </c>
      <c r="W16" s="104">
        <f t="shared" si="6"/>
        <v>0</v>
      </c>
      <c r="X16" s="102"/>
      <c r="Y16" s="107">
        <v>5</v>
      </c>
      <c r="Z16" s="104">
        <f t="shared" si="7"/>
        <v>0</v>
      </c>
      <c r="AA16" s="106"/>
      <c r="AB16" s="107">
        <v>5</v>
      </c>
      <c r="AC16" s="104">
        <f t="shared" si="8"/>
        <v>0</v>
      </c>
      <c r="AD16" s="106"/>
      <c r="AE16" s="107">
        <v>5</v>
      </c>
      <c r="AF16" s="104">
        <f t="shared" si="9"/>
        <v>0</v>
      </c>
      <c r="AG16" s="106"/>
      <c r="AH16" s="107">
        <v>5</v>
      </c>
      <c r="AI16" s="104">
        <f t="shared" si="10"/>
        <v>0</v>
      </c>
      <c r="AJ16" s="106"/>
      <c r="AK16" s="107">
        <v>5</v>
      </c>
      <c r="AL16" s="104">
        <f t="shared" si="11"/>
        <v>0</v>
      </c>
      <c r="AM16" s="102"/>
      <c r="AN16" s="1">
        <v>5</v>
      </c>
      <c r="AO16" s="104">
        <f t="shared" si="12"/>
        <v>0</v>
      </c>
      <c r="AP16" s="102"/>
      <c r="AQ16" s="1">
        <v>5</v>
      </c>
      <c r="AR16" s="104">
        <f t="shared" si="13"/>
        <v>0</v>
      </c>
      <c r="AS16" s="102"/>
      <c r="AT16" s="1">
        <v>5</v>
      </c>
      <c r="AU16" s="104">
        <f t="shared" si="14"/>
        <v>0</v>
      </c>
      <c r="AV16" s="102"/>
      <c r="AW16" s="1">
        <v>5</v>
      </c>
      <c r="AX16" s="104">
        <f t="shared" si="15"/>
        <v>0</v>
      </c>
      <c r="AY16" s="102"/>
      <c r="AZ16" s="1">
        <v>5</v>
      </c>
      <c r="BA16" s="104">
        <f t="shared" si="16"/>
        <v>0</v>
      </c>
      <c r="BB16" s="102"/>
      <c r="BC16" s="1">
        <v>5</v>
      </c>
      <c r="BD16" s="104">
        <f t="shared" si="17"/>
        <v>0</v>
      </c>
      <c r="BE16" s="102"/>
      <c r="BF16" s="1">
        <v>5</v>
      </c>
      <c r="BG16" s="104">
        <f t="shared" si="18"/>
        <v>0</v>
      </c>
      <c r="BH16" s="102"/>
      <c r="BI16" s="1">
        <v>5</v>
      </c>
      <c r="BJ16" s="104">
        <f t="shared" si="19"/>
        <v>0</v>
      </c>
      <c r="BK16" s="102"/>
      <c r="BL16" s="1">
        <v>5</v>
      </c>
      <c r="BM16" s="104">
        <f t="shared" si="20"/>
        <v>0</v>
      </c>
      <c r="BN16" s="102"/>
      <c r="BO16" s="1">
        <v>5</v>
      </c>
      <c r="BP16" s="104">
        <f t="shared" si="21"/>
        <v>0</v>
      </c>
      <c r="BQ16" s="102"/>
      <c r="BR16" s="1">
        <v>5</v>
      </c>
      <c r="BS16" s="104">
        <f t="shared" si="22"/>
        <v>0</v>
      </c>
      <c r="BT16" s="102"/>
      <c r="BU16" s="1">
        <v>5</v>
      </c>
      <c r="BV16" s="104">
        <f t="shared" si="23"/>
        <v>0</v>
      </c>
      <c r="BW16" s="102"/>
      <c r="BX16" s="1">
        <v>5</v>
      </c>
      <c r="BY16" s="104">
        <f t="shared" si="24"/>
        <v>0</v>
      </c>
      <c r="BZ16" s="102"/>
      <c r="CA16" s="1">
        <v>5</v>
      </c>
      <c r="CB16" s="104">
        <f t="shared" si="25"/>
        <v>0</v>
      </c>
      <c r="CC16" s="102"/>
      <c r="CD16" s="1">
        <v>5</v>
      </c>
      <c r="CE16" s="104">
        <f t="shared" si="26"/>
        <v>0</v>
      </c>
      <c r="CF16" s="102"/>
      <c r="CG16" s="1">
        <v>5</v>
      </c>
      <c r="CH16" s="104">
        <f t="shared" si="27"/>
        <v>0</v>
      </c>
      <c r="CI16" s="102"/>
      <c r="CJ16" s="1">
        <v>5</v>
      </c>
      <c r="CK16" s="104">
        <f t="shared" si="28"/>
        <v>0</v>
      </c>
      <c r="CL16" s="102"/>
      <c r="CM16" s="1">
        <v>5</v>
      </c>
      <c r="CN16" s="104">
        <f t="shared" si="29"/>
        <v>0</v>
      </c>
      <c r="CO16" s="102"/>
      <c r="CP16" s="1">
        <v>5</v>
      </c>
      <c r="CQ16" s="104">
        <f t="shared" si="30"/>
        <v>0</v>
      </c>
      <c r="CR16" s="102"/>
      <c r="CS16" s="1">
        <v>5</v>
      </c>
      <c r="CT16" s="104">
        <f t="shared" si="31"/>
        <v>0</v>
      </c>
      <c r="CU16" s="102"/>
      <c r="CV16" s="1">
        <v>5</v>
      </c>
      <c r="CW16" s="104">
        <f t="shared" si="32"/>
        <v>0</v>
      </c>
      <c r="CX16" s="102"/>
      <c r="CY16" s="1">
        <v>5</v>
      </c>
      <c r="CZ16" s="104">
        <f t="shared" si="33"/>
        <v>0</v>
      </c>
      <c r="DA16" s="102"/>
      <c r="DB16" s="1">
        <v>5</v>
      </c>
      <c r="DC16" s="104">
        <f t="shared" si="34"/>
        <v>0</v>
      </c>
      <c r="DD16" s="102"/>
      <c r="DE16" s="1">
        <v>5</v>
      </c>
      <c r="DF16" s="104">
        <f t="shared" si="35"/>
        <v>0</v>
      </c>
      <c r="DG16" s="102"/>
      <c r="DH16" s="1">
        <v>5</v>
      </c>
      <c r="DI16" s="104">
        <f t="shared" si="36"/>
        <v>0</v>
      </c>
      <c r="DJ16" s="102"/>
      <c r="DK16" s="1">
        <v>5</v>
      </c>
      <c r="DL16" s="104">
        <f t="shared" si="37"/>
        <v>0</v>
      </c>
      <c r="DM16" s="102"/>
      <c r="DN16" s="1">
        <v>5</v>
      </c>
      <c r="DO16" s="104">
        <f t="shared" si="38"/>
        <v>0</v>
      </c>
      <c r="DP16" s="102"/>
      <c r="DQ16" s="1">
        <v>5</v>
      </c>
      <c r="DR16" s="104">
        <f t="shared" si="39"/>
        <v>0</v>
      </c>
      <c r="DS16" s="102"/>
      <c r="DT16" s="1">
        <v>5</v>
      </c>
      <c r="DU16" s="104">
        <f t="shared" si="40"/>
        <v>0</v>
      </c>
      <c r="DV16" s="102"/>
      <c r="DW16" s="1">
        <v>5</v>
      </c>
      <c r="DX16" s="104">
        <f t="shared" si="41"/>
        <v>0</v>
      </c>
      <c r="DY16" s="102"/>
      <c r="DZ16" s="1">
        <v>5</v>
      </c>
      <c r="EA16" s="104">
        <f t="shared" si="42"/>
        <v>0</v>
      </c>
      <c r="EB16" s="102"/>
      <c r="EC16" s="1">
        <v>5</v>
      </c>
      <c r="ED16" s="104">
        <f t="shared" si="43"/>
        <v>0</v>
      </c>
      <c r="EE16" s="102"/>
      <c r="EF16" s="1">
        <v>5</v>
      </c>
      <c r="EG16" s="104">
        <f t="shared" si="44"/>
        <v>0</v>
      </c>
      <c r="EH16" s="102"/>
      <c r="EI16" s="1">
        <v>5</v>
      </c>
      <c r="EJ16" s="104">
        <f t="shared" si="45"/>
        <v>0</v>
      </c>
      <c r="EK16" s="102"/>
      <c r="EL16" s="1">
        <v>5</v>
      </c>
      <c r="EM16" s="104">
        <f t="shared" si="46"/>
        <v>0</v>
      </c>
      <c r="EN16" s="102"/>
      <c r="EO16" s="1">
        <v>5</v>
      </c>
      <c r="EP16" s="104">
        <f t="shared" si="47"/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30" customHeight="1" spans="1:148" x14ac:dyDescent="0.25">
      <c r="A17" s="115" t="s">
        <v>223</v>
      </c>
      <c r="B17" s="101"/>
      <c r="C17" s="102"/>
      <c r="D17" s="103">
        <v>5</v>
      </c>
      <c r="E17" s="104">
        <f t="shared" si="0"/>
        <v>0</v>
      </c>
      <c r="F17" s="102"/>
      <c r="G17" s="103">
        <v>5</v>
      </c>
      <c r="H17" s="104">
        <f t="shared" si="1"/>
        <v>0</v>
      </c>
      <c r="I17" s="105"/>
      <c r="J17" s="103">
        <v>5</v>
      </c>
      <c r="K17" s="104">
        <f t="shared" si="2"/>
        <v>0</v>
      </c>
      <c r="L17" s="105"/>
      <c r="M17" s="103">
        <v>5</v>
      </c>
      <c r="N17" s="104">
        <f t="shared" si="3"/>
        <v>0</v>
      </c>
      <c r="O17" s="106"/>
      <c r="P17" s="107">
        <v>5</v>
      </c>
      <c r="Q17" s="104">
        <f t="shared" si="4"/>
        <v>0</v>
      </c>
      <c r="R17" s="102"/>
      <c r="S17" s="107">
        <v>5</v>
      </c>
      <c r="T17" s="104">
        <f t="shared" si="5"/>
        <v>0</v>
      </c>
      <c r="U17" s="102"/>
      <c r="V17" s="107">
        <v>5</v>
      </c>
      <c r="W17" s="104">
        <f t="shared" si="6"/>
        <v>0</v>
      </c>
      <c r="X17" s="102"/>
      <c r="Y17" s="107">
        <v>5</v>
      </c>
      <c r="Z17" s="104">
        <f t="shared" si="7"/>
        <v>0</v>
      </c>
      <c r="AA17" s="106"/>
      <c r="AB17" s="107">
        <v>5</v>
      </c>
      <c r="AC17" s="104">
        <f t="shared" si="8"/>
        <v>0</v>
      </c>
      <c r="AD17" s="106"/>
      <c r="AE17" s="107">
        <v>5</v>
      </c>
      <c r="AF17" s="104">
        <f t="shared" si="9"/>
        <v>0</v>
      </c>
      <c r="AG17" s="106"/>
      <c r="AH17" s="107">
        <v>5</v>
      </c>
      <c r="AI17" s="104">
        <f t="shared" si="10"/>
        <v>0</v>
      </c>
      <c r="AJ17" s="106"/>
      <c r="AK17" s="107">
        <v>5</v>
      </c>
      <c r="AL17" s="104">
        <f t="shared" si="11"/>
        <v>0</v>
      </c>
      <c r="AM17" s="102"/>
      <c r="AN17" s="1">
        <v>5</v>
      </c>
      <c r="AO17" s="104">
        <f t="shared" si="12"/>
        <v>0</v>
      </c>
      <c r="AP17" s="102"/>
      <c r="AQ17" s="1">
        <v>5</v>
      </c>
      <c r="AR17" s="104">
        <f t="shared" si="13"/>
        <v>0</v>
      </c>
      <c r="AS17" s="102"/>
      <c r="AT17" s="1">
        <v>5</v>
      </c>
      <c r="AU17" s="104">
        <f t="shared" si="14"/>
        <v>0</v>
      </c>
      <c r="AV17" s="102"/>
      <c r="AW17" s="1">
        <v>5</v>
      </c>
      <c r="AX17" s="104">
        <f t="shared" si="15"/>
        <v>0</v>
      </c>
      <c r="AY17" s="102"/>
      <c r="AZ17" s="1">
        <v>5</v>
      </c>
      <c r="BA17" s="104">
        <f t="shared" si="16"/>
        <v>0</v>
      </c>
      <c r="BB17" s="102"/>
      <c r="BC17" s="1">
        <v>5</v>
      </c>
      <c r="BD17" s="104">
        <f t="shared" si="17"/>
        <v>0</v>
      </c>
      <c r="BE17" s="102"/>
      <c r="BF17" s="1">
        <v>5</v>
      </c>
      <c r="BG17" s="104">
        <f t="shared" si="18"/>
        <v>0</v>
      </c>
      <c r="BH17" s="102"/>
      <c r="BI17" s="1">
        <v>5</v>
      </c>
      <c r="BJ17" s="104">
        <f t="shared" si="19"/>
        <v>0</v>
      </c>
      <c r="BK17" s="102"/>
      <c r="BL17" s="1">
        <v>5</v>
      </c>
      <c r="BM17" s="104">
        <f t="shared" si="20"/>
        <v>0</v>
      </c>
      <c r="BN17" s="102"/>
      <c r="BO17" s="1">
        <v>5</v>
      </c>
      <c r="BP17" s="104">
        <f t="shared" si="21"/>
        <v>0</v>
      </c>
      <c r="BQ17" s="102"/>
      <c r="BR17" s="1">
        <v>5</v>
      </c>
      <c r="BS17" s="104">
        <f t="shared" si="22"/>
        <v>0</v>
      </c>
      <c r="BT17" s="102"/>
      <c r="BU17" s="1">
        <v>5</v>
      </c>
      <c r="BV17" s="104">
        <f t="shared" si="23"/>
        <v>0</v>
      </c>
      <c r="BW17" s="102"/>
      <c r="BX17" s="1">
        <v>5</v>
      </c>
      <c r="BY17" s="104">
        <f t="shared" si="24"/>
        <v>0</v>
      </c>
      <c r="BZ17" s="102"/>
      <c r="CA17" s="1">
        <v>5</v>
      </c>
      <c r="CB17" s="104">
        <f t="shared" si="25"/>
        <v>0</v>
      </c>
      <c r="CC17" s="102"/>
      <c r="CD17" s="1">
        <v>5</v>
      </c>
      <c r="CE17" s="104">
        <f t="shared" si="26"/>
        <v>0</v>
      </c>
      <c r="CF17" s="102"/>
      <c r="CG17" s="1">
        <v>5</v>
      </c>
      <c r="CH17" s="104">
        <f t="shared" si="27"/>
        <v>0</v>
      </c>
      <c r="CI17" s="102"/>
      <c r="CJ17" s="1">
        <v>5</v>
      </c>
      <c r="CK17" s="104">
        <f t="shared" si="28"/>
        <v>0</v>
      </c>
      <c r="CL17" s="102"/>
      <c r="CM17" s="1">
        <v>5</v>
      </c>
      <c r="CN17" s="104">
        <f t="shared" si="29"/>
        <v>0</v>
      </c>
      <c r="CO17" s="102"/>
      <c r="CP17" s="1">
        <v>5</v>
      </c>
      <c r="CQ17" s="104">
        <f t="shared" si="30"/>
        <v>0</v>
      </c>
      <c r="CR17" s="102"/>
      <c r="CS17" s="1">
        <v>5</v>
      </c>
      <c r="CT17" s="104">
        <f t="shared" si="31"/>
        <v>0</v>
      </c>
      <c r="CU17" s="102"/>
      <c r="CV17" s="1">
        <v>5</v>
      </c>
      <c r="CW17" s="104">
        <f t="shared" si="32"/>
        <v>0</v>
      </c>
      <c r="CX17" s="102"/>
      <c r="CY17" s="1">
        <v>5</v>
      </c>
      <c r="CZ17" s="104">
        <f t="shared" si="33"/>
        <v>0</v>
      </c>
      <c r="DA17" s="102"/>
      <c r="DB17" s="1">
        <v>5</v>
      </c>
      <c r="DC17" s="104">
        <f t="shared" si="34"/>
        <v>0</v>
      </c>
      <c r="DD17" s="102"/>
      <c r="DE17" s="1">
        <v>5</v>
      </c>
      <c r="DF17" s="104">
        <f t="shared" si="35"/>
        <v>0</v>
      </c>
      <c r="DG17" s="102"/>
      <c r="DH17" s="1">
        <v>5</v>
      </c>
      <c r="DI17" s="104">
        <f t="shared" si="36"/>
        <v>0</v>
      </c>
      <c r="DJ17" s="102"/>
      <c r="DK17" s="1">
        <v>5</v>
      </c>
      <c r="DL17" s="104">
        <f t="shared" si="37"/>
        <v>0</v>
      </c>
      <c r="DM17" s="102"/>
      <c r="DN17" s="1">
        <v>5</v>
      </c>
      <c r="DO17" s="104">
        <f t="shared" si="38"/>
        <v>0</v>
      </c>
      <c r="DP17" s="102"/>
      <c r="DQ17" s="1">
        <v>5</v>
      </c>
      <c r="DR17" s="104">
        <f t="shared" si="39"/>
        <v>0</v>
      </c>
      <c r="DS17" s="102"/>
      <c r="DT17" s="1">
        <v>5</v>
      </c>
      <c r="DU17" s="104">
        <f t="shared" si="40"/>
        <v>0</v>
      </c>
      <c r="DV17" s="102"/>
      <c r="DW17" s="1">
        <v>5</v>
      </c>
      <c r="DX17" s="104">
        <f t="shared" si="41"/>
        <v>0</v>
      </c>
      <c r="DY17" s="102"/>
      <c r="DZ17" s="1">
        <v>5</v>
      </c>
      <c r="EA17" s="104">
        <f t="shared" si="42"/>
        <v>0</v>
      </c>
      <c r="EB17" s="102"/>
      <c r="EC17" s="1">
        <v>5</v>
      </c>
      <c r="ED17" s="104">
        <f t="shared" si="43"/>
        <v>0</v>
      </c>
      <c r="EE17" s="102"/>
      <c r="EF17" s="1">
        <v>5</v>
      </c>
      <c r="EG17" s="104">
        <f t="shared" si="44"/>
        <v>0</v>
      </c>
      <c r="EH17" s="102"/>
      <c r="EI17" s="1">
        <v>5</v>
      </c>
      <c r="EJ17" s="104">
        <f t="shared" si="45"/>
        <v>0</v>
      </c>
      <c r="EK17" s="102"/>
      <c r="EL17" s="1">
        <v>5</v>
      </c>
      <c r="EM17" s="104">
        <f t="shared" si="46"/>
        <v>0</v>
      </c>
      <c r="EN17" s="102"/>
      <c r="EO17" s="1">
        <v>5</v>
      </c>
      <c r="EP17" s="104">
        <f t="shared" si="47"/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16" customHeight="1" spans="1:148" x14ac:dyDescent="0.25">
      <c r="A18" s="163" t="s">
        <v>89</v>
      </c>
      <c r="B18" s="125"/>
      <c r="C18" s="126"/>
      <c r="D18" s="127"/>
      <c r="E18" s="82">
        <f>AVERAGE(E19:E20)</f>
        <v>0</v>
      </c>
      <c r="F18" s="126"/>
      <c r="G18" s="127"/>
      <c r="H18" s="82">
        <f>AVERAGE(H19:H20)</f>
        <v>0</v>
      </c>
      <c r="I18" s="126"/>
      <c r="J18" s="127"/>
      <c r="K18" s="82">
        <f>AVERAGE(K19:K20)</f>
        <v>0</v>
      </c>
      <c r="L18" s="126"/>
      <c r="M18" s="127"/>
      <c r="N18" s="82">
        <f>AVERAGE(N19:N20)</f>
        <v>0</v>
      </c>
      <c r="O18" s="126"/>
      <c r="P18" s="127"/>
      <c r="Q18" s="82">
        <f>AVERAGE(Q19:Q20)</f>
        <v>0</v>
      </c>
      <c r="R18" s="126"/>
      <c r="S18" s="127"/>
      <c r="T18" s="82">
        <f>AVERAGE(T19:T20)</f>
        <v>0</v>
      </c>
      <c r="U18" s="126"/>
      <c r="V18" s="127"/>
      <c r="W18" s="82">
        <f>AVERAGE(W19:W20)</f>
        <v>0</v>
      </c>
      <c r="X18" s="126"/>
      <c r="Y18" s="127"/>
      <c r="Z18" s="82">
        <f>AVERAGE(Z19:Z20)</f>
        <v>0</v>
      </c>
      <c r="AA18" s="126"/>
      <c r="AB18" s="127"/>
      <c r="AC18" s="82">
        <f>AVERAGE(AC19:AC20)</f>
        <v>0</v>
      </c>
      <c r="AD18" s="126"/>
      <c r="AE18" s="127"/>
      <c r="AF18" s="82">
        <f>AVERAGE(AF19:AF20)</f>
        <v>0</v>
      </c>
      <c r="AG18" s="126"/>
      <c r="AH18" s="127"/>
      <c r="AI18" s="82">
        <f>AVERAGE(AI19:AI20)</f>
        <v>0</v>
      </c>
      <c r="AJ18" s="126"/>
      <c r="AK18" s="127"/>
      <c r="AL18" s="82">
        <f>AVERAGE(AL19:AL20)</f>
        <v>0</v>
      </c>
      <c r="AM18" s="128"/>
      <c r="AN18" s="127"/>
      <c r="AO18" s="82">
        <f>AVERAGE(AO19:AO20)</f>
        <v>0</v>
      </c>
      <c r="AP18" s="128"/>
      <c r="AQ18" s="129"/>
      <c r="AR18" s="82">
        <f>AVERAGE(AR19:AR20)</f>
        <v>0</v>
      </c>
      <c r="AS18" s="130"/>
      <c r="AT18" s="129"/>
      <c r="AU18" s="82">
        <f>AVERAGE(AU19:AU20)</f>
        <v>0</v>
      </c>
      <c r="AV18" s="128"/>
      <c r="AW18" s="127"/>
      <c r="AX18" s="82">
        <f>AVERAGE(AX19:AX20)</f>
        <v>0</v>
      </c>
      <c r="AY18" s="131"/>
      <c r="AZ18" s="132"/>
      <c r="BA18" s="82">
        <f>AVERAGE(BA19:BA20)</f>
        <v>0</v>
      </c>
      <c r="BB18" s="128"/>
      <c r="BC18" s="132"/>
      <c r="BD18" s="82">
        <f>AVERAGE(BD19:BD20)</f>
        <v>0</v>
      </c>
      <c r="BE18" s="128"/>
      <c r="BF18" s="132"/>
      <c r="BG18" s="82">
        <f>AVERAGE(BG19:BG20)</f>
        <v>0</v>
      </c>
      <c r="BH18" s="128"/>
      <c r="BI18" s="132"/>
      <c r="BJ18" s="82">
        <f>AVERAGE(BJ19:BJ20)</f>
        <v>0</v>
      </c>
      <c r="BK18" s="128"/>
      <c r="BL18" s="132"/>
      <c r="BM18" s="82">
        <f>AVERAGE(BM19:BM20)</f>
        <v>0</v>
      </c>
      <c r="BN18" s="128"/>
      <c r="BO18" s="132"/>
      <c r="BP18" s="82">
        <f>AVERAGE(BP19:BP20)</f>
        <v>0</v>
      </c>
      <c r="BQ18" s="128"/>
      <c r="BR18" s="132"/>
      <c r="BS18" s="82">
        <f>AVERAGE(BS19:BS20)</f>
        <v>0</v>
      </c>
      <c r="BT18" s="128"/>
      <c r="BU18" s="132"/>
      <c r="BV18" s="82">
        <f>AVERAGE(BV19:BV20)</f>
        <v>0</v>
      </c>
      <c r="BW18" s="128"/>
      <c r="BX18" s="132"/>
      <c r="BY18" s="82">
        <f>AVERAGE(BY19:BY20)</f>
        <v>0</v>
      </c>
      <c r="BZ18" s="126"/>
      <c r="CA18" s="127"/>
      <c r="CB18" s="82">
        <f>AVERAGE(CB19:CB20)</f>
        <v>0</v>
      </c>
      <c r="CC18" s="126"/>
      <c r="CD18" s="127"/>
      <c r="CE18" s="82">
        <f>AVERAGE(CE19:CE20)</f>
        <v>0</v>
      </c>
      <c r="CF18" s="126"/>
      <c r="CG18" s="127"/>
      <c r="CH18" s="82">
        <f>AVERAGE(CH19:CH20)</f>
        <v>0</v>
      </c>
      <c r="CI18" s="126"/>
      <c r="CJ18" s="127"/>
      <c r="CK18" s="82">
        <f>AVERAGE(CK19:CK20)</f>
        <v>0</v>
      </c>
      <c r="CL18" s="126"/>
      <c r="CM18" s="127"/>
      <c r="CN18" s="82">
        <f>AVERAGE(CN19:CN20)</f>
        <v>0</v>
      </c>
      <c r="CO18" s="126"/>
      <c r="CP18" s="127"/>
      <c r="CQ18" s="82">
        <f>AVERAGE(CQ19:CQ20)</f>
        <v>0</v>
      </c>
      <c r="CR18" s="126"/>
      <c r="CS18" s="127"/>
      <c r="CT18" s="82">
        <f>AVERAGE(CT19:CT20)</f>
        <v>0</v>
      </c>
      <c r="CU18" s="126"/>
      <c r="CV18" s="127"/>
      <c r="CW18" s="82">
        <f>AVERAGE(CW19:CW20)</f>
        <v>0</v>
      </c>
      <c r="CX18" s="126"/>
      <c r="CY18" s="127"/>
      <c r="CZ18" s="82">
        <f>AVERAGE(CZ19:CZ20)</f>
        <v>0</v>
      </c>
      <c r="DA18" s="126"/>
      <c r="DB18" s="127"/>
      <c r="DC18" s="82">
        <f>AVERAGE(DC19:DC20)</f>
        <v>0</v>
      </c>
      <c r="DD18" s="126"/>
      <c r="DE18" s="127"/>
      <c r="DF18" s="82">
        <f>AVERAGE(DF19:DF20)</f>
        <v>0</v>
      </c>
      <c r="DG18" s="126"/>
      <c r="DH18" s="127"/>
      <c r="DI18" s="82">
        <f>AVERAGE(DI19:DI20)</f>
        <v>0</v>
      </c>
      <c r="DJ18" s="126"/>
      <c r="DK18" s="127"/>
      <c r="DL18" s="82">
        <f>AVERAGE(DL19:DL20)</f>
        <v>0</v>
      </c>
      <c r="DM18" s="126"/>
      <c r="DN18" s="127"/>
      <c r="DO18" s="82">
        <f>AVERAGE(DO19:DO20)</f>
        <v>0</v>
      </c>
      <c r="DP18" s="126"/>
      <c r="DQ18" s="127"/>
      <c r="DR18" s="82">
        <f>AVERAGE(DR19:DR20)</f>
        <v>0</v>
      </c>
      <c r="DS18" s="126"/>
      <c r="DT18" s="127"/>
      <c r="DU18" s="82">
        <f>AVERAGE(DU19:DU20)</f>
        <v>0</v>
      </c>
      <c r="DV18" s="126"/>
      <c r="DW18" s="127"/>
      <c r="DX18" s="82">
        <f>AVERAGE(DX19:DX20)</f>
        <v>0</v>
      </c>
      <c r="DY18" s="126"/>
      <c r="DZ18" s="127"/>
      <c r="EA18" s="82">
        <f>AVERAGE(EA19:EA20)</f>
        <v>0</v>
      </c>
      <c r="EB18" s="126"/>
      <c r="EC18" s="127"/>
      <c r="ED18" s="82">
        <f>AVERAGE(ED19:ED20)</f>
        <v>0</v>
      </c>
      <c r="EE18" s="126"/>
      <c r="EF18" s="127"/>
      <c r="EG18" s="82">
        <f>AVERAGE(EG19:EG20)</f>
        <v>0</v>
      </c>
      <c r="EH18" s="126"/>
      <c r="EI18" s="127"/>
      <c r="EJ18" s="82">
        <f>AVERAGE(EJ19:EJ20)</f>
        <v>0</v>
      </c>
      <c r="EK18" s="126"/>
      <c r="EL18" s="127"/>
      <c r="EM18" s="82">
        <f>AVERAGE(EM19:EM20)</f>
        <v>0</v>
      </c>
      <c r="EN18" s="126"/>
      <c r="EO18" s="127"/>
      <c r="EP18" s="82">
        <f>AVERAGE(EP19:EP20)</f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27" customHeight="1" spans="1:148" x14ac:dyDescent="0.25">
      <c r="A19" s="164" t="s">
        <v>140</v>
      </c>
      <c r="B19" s="101"/>
      <c r="C19" s="102"/>
      <c r="D19" s="103">
        <v>5</v>
      </c>
      <c r="E19" s="104">
        <f t="shared" ref="E19:E20" si="48">C19/D19</f>
        <v>0</v>
      </c>
      <c r="F19" s="102"/>
      <c r="G19" s="103">
        <v>5</v>
      </c>
      <c r="H19" s="104">
        <f t="shared" ref="H19:H20" si="49">F19/G19</f>
        <v>0</v>
      </c>
      <c r="I19" s="105"/>
      <c r="J19" s="103">
        <v>5</v>
      </c>
      <c r="K19" s="104">
        <f t="shared" ref="K19:K20" si="50">I19/J19</f>
        <v>0</v>
      </c>
      <c r="L19" s="105"/>
      <c r="M19" s="103">
        <v>5</v>
      </c>
      <c r="N19" s="104">
        <f t="shared" ref="N19:N20" si="51">L19/M19</f>
        <v>0</v>
      </c>
      <c r="O19" s="106"/>
      <c r="P19" s="107">
        <v>5</v>
      </c>
      <c r="Q19" s="104">
        <f t="shared" ref="Q19:Q20" si="52">O19/P19</f>
        <v>0</v>
      </c>
      <c r="R19" s="102"/>
      <c r="S19" s="107">
        <v>5</v>
      </c>
      <c r="T19" s="104">
        <f t="shared" ref="T19:T20" si="53">R19/S19</f>
        <v>0</v>
      </c>
      <c r="U19" s="102"/>
      <c r="V19" s="107">
        <v>5</v>
      </c>
      <c r="W19" s="104">
        <f t="shared" ref="W19:W20" si="54">U19/V19</f>
        <v>0</v>
      </c>
      <c r="X19" s="102"/>
      <c r="Y19" s="107">
        <v>5</v>
      </c>
      <c r="Z19" s="104">
        <f t="shared" ref="Z19:Z20" si="55">X19/Y19</f>
        <v>0</v>
      </c>
      <c r="AA19" s="106"/>
      <c r="AB19" s="107">
        <v>5</v>
      </c>
      <c r="AC19" s="104">
        <f t="shared" ref="AC19:AC20" si="56">AA19/AB19</f>
        <v>0</v>
      </c>
      <c r="AD19" s="106"/>
      <c r="AE19" s="107">
        <v>5</v>
      </c>
      <c r="AF19" s="104">
        <f t="shared" ref="AF19:AF20" si="57">AD19/AE19</f>
        <v>0</v>
      </c>
      <c r="AG19" s="106"/>
      <c r="AH19" s="107">
        <v>5</v>
      </c>
      <c r="AI19" s="104">
        <f t="shared" ref="AI19:AI20" si="58">AG19/AH19</f>
        <v>0</v>
      </c>
      <c r="AJ19" s="106"/>
      <c r="AK19" s="107">
        <v>5</v>
      </c>
      <c r="AL19" s="104">
        <f t="shared" ref="AL19:AL20" si="59">AJ19/AK19</f>
        <v>0</v>
      </c>
      <c r="AM19" s="102"/>
      <c r="AN19" s="1">
        <v>5</v>
      </c>
      <c r="AO19" s="104">
        <f t="shared" ref="AO19:AO20" si="60">AM19/AN19</f>
        <v>0</v>
      </c>
      <c r="AP19" s="102"/>
      <c r="AQ19" s="1">
        <v>5</v>
      </c>
      <c r="AR19" s="104">
        <f t="shared" ref="AR19:AR20" si="61">AP19/AQ19</f>
        <v>0</v>
      </c>
      <c r="AS19" s="102"/>
      <c r="AT19" s="1">
        <v>5</v>
      </c>
      <c r="AU19" s="104">
        <f t="shared" ref="AU19:AU20" si="62">AS19/AT19</f>
        <v>0</v>
      </c>
      <c r="AV19" s="102"/>
      <c r="AW19" s="1">
        <v>5</v>
      </c>
      <c r="AX19" s="104">
        <f t="shared" ref="AX19:AX20" si="63">AV19/AW19</f>
        <v>0</v>
      </c>
      <c r="AY19" s="102"/>
      <c r="AZ19" s="1">
        <v>5</v>
      </c>
      <c r="BA19" s="104">
        <f t="shared" ref="BA19:BA20" si="64">AY19/AZ19</f>
        <v>0</v>
      </c>
      <c r="BB19" s="102"/>
      <c r="BC19" s="1">
        <v>5</v>
      </c>
      <c r="BD19" s="104">
        <f t="shared" ref="BD19:BD20" si="65">BB19/BC19</f>
        <v>0</v>
      </c>
      <c r="BE19" s="102"/>
      <c r="BF19" s="1">
        <v>5</v>
      </c>
      <c r="BG19" s="104">
        <f t="shared" ref="BG19:BG20" si="66">BE19/BF19</f>
        <v>0</v>
      </c>
      <c r="BH19" s="102"/>
      <c r="BI19" s="1">
        <v>5</v>
      </c>
      <c r="BJ19" s="104">
        <f t="shared" ref="BJ19:BJ20" si="67">BH19/BI19</f>
        <v>0</v>
      </c>
      <c r="BK19" s="102"/>
      <c r="BL19" s="1">
        <v>5</v>
      </c>
      <c r="BM19" s="104">
        <f t="shared" ref="BM19:BM20" si="68">BK19/BL19</f>
        <v>0</v>
      </c>
      <c r="BN19" s="102"/>
      <c r="BO19" s="1">
        <v>5</v>
      </c>
      <c r="BP19" s="104">
        <f t="shared" ref="BP19:BP20" si="69">BN19/BO19</f>
        <v>0</v>
      </c>
      <c r="BQ19" s="102"/>
      <c r="BR19" s="1">
        <v>5</v>
      </c>
      <c r="BS19" s="104">
        <f t="shared" ref="BS19:BS20" si="70">BQ19/BR19</f>
        <v>0</v>
      </c>
      <c r="BT19" s="102"/>
      <c r="BU19" s="1">
        <v>5</v>
      </c>
      <c r="BV19" s="104">
        <f t="shared" ref="BV19:BV20" si="71">BT19/BU19</f>
        <v>0</v>
      </c>
      <c r="BW19" s="102"/>
      <c r="BX19" s="1">
        <v>5</v>
      </c>
      <c r="BY19" s="104">
        <f t="shared" ref="BY19:BY20" si="72">BW19/BX19</f>
        <v>0</v>
      </c>
      <c r="BZ19" s="102"/>
      <c r="CA19" s="1">
        <v>5</v>
      </c>
      <c r="CB19" s="104">
        <f t="shared" ref="CB19:CB20" si="73">BZ19/CA19</f>
        <v>0</v>
      </c>
      <c r="CC19" s="102"/>
      <c r="CD19" s="1">
        <v>5</v>
      </c>
      <c r="CE19" s="104">
        <f t="shared" ref="CE19:CE20" si="74">CC19/CD19</f>
        <v>0</v>
      </c>
      <c r="CF19" s="102"/>
      <c r="CG19" s="1">
        <v>5</v>
      </c>
      <c r="CH19" s="104">
        <f t="shared" ref="CH19:CH20" si="75">CF19/CG19</f>
        <v>0</v>
      </c>
      <c r="CI19" s="102"/>
      <c r="CJ19" s="1">
        <v>5</v>
      </c>
      <c r="CK19" s="104">
        <f t="shared" ref="CK19:CK20" si="76">CI19/CJ19</f>
        <v>0</v>
      </c>
      <c r="CL19" s="102"/>
      <c r="CM19" s="1">
        <v>5</v>
      </c>
      <c r="CN19" s="104">
        <f t="shared" ref="CN19:CN20" si="77">CL19/CM19</f>
        <v>0</v>
      </c>
      <c r="CO19" s="102"/>
      <c r="CP19" s="1">
        <v>5</v>
      </c>
      <c r="CQ19" s="104">
        <f t="shared" ref="CQ19:CQ20" si="78">CO19/CP19</f>
        <v>0</v>
      </c>
      <c r="CR19" s="102"/>
      <c r="CS19" s="1">
        <v>5</v>
      </c>
      <c r="CT19" s="104">
        <f t="shared" ref="CT19:CT20" si="79">CR19/CS19</f>
        <v>0</v>
      </c>
      <c r="CU19" s="102"/>
      <c r="CV19" s="1">
        <v>5</v>
      </c>
      <c r="CW19" s="104">
        <f t="shared" ref="CW19:CW20" si="80">CU19/CV19</f>
        <v>0</v>
      </c>
      <c r="CX19" s="102"/>
      <c r="CY19" s="1">
        <v>5</v>
      </c>
      <c r="CZ19" s="104">
        <f t="shared" ref="CZ19:CZ20" si="81">CX19/CY19</f>
        <v>0</v>
      </c>
      <c r="DA19" s="102"/>
      <c r="DB19" s="1">
        <v>5</v>
      </c>
      <c r="DC19" s="104">
        <f t="shared" ref="DC19:DC20" si="82">DA19/DB19</f>
        <v>0</v>
      </c>
      <c r="DD19" s="102"/>
      <c r="DE19" s="1">
        <v>5</v>
      </c>
      <c r="DF19" s="104">
        <f t="shared" ref="DF19:DF20" si="83">DD19/DE19</f>
        <v>0</v>
      </c>
      <c r="DG19" s="102"/>
      <c r="DH19" s="1">
        <v>5</v>
      </c>
      <c r="DI19" s="104">
        <f t="shared" ref="DI19:DI20" si="84">DG19/DH19</f>
        <v>0</v>
      </c>
      <c r="DJ19" s="102"/>
      <c r="DK19" s="1">
        <v>5</v>
      </c>
      <c r="DL19" s="104">
        <f t="shared" ref="DL19:DL20" si="85">DJ19/DK19</f>
        <v>0</v>
      </c>
      <c r="DM19" s="102"/>
      <c r="DN19" s="1">
        <v>5</v>
      </c>
      <c r="DO19" s="104">
        <f t="shared" ref="DO19:DO20" si="86">DM19/DN19</f>
        <v>0</v>
      </c>
      <c r="DP19" s="102"/>
      <c r="DQ19" s="1">
        <v>5</v>
      </c>
      <c r="DR19" s="104">
        <f t="shared" ref="DR19:DR20" si="87">DP19/DQ19</f>
        <v>0</v>
      </c>
      <c r="DS19" s="102"/>
      <c r="DT19" s="1">
        <v>5</v>
      </c>
      <c r="DU19" s="104">
        <f t="shared" ref="DU19:DU20" si="88">DS19/DT19</f>
        <v>0</v>
      </c>
      <c r="DV19" s="102"/>
      <c r="DW19" s="1">
        <v>5</v>
      </c>
      <c r="DX19" s="104">
        <f t="shared" ref="DX19:DX20" si="89">DV19/DW19</f>
        <v>0</v>
      </c>
      <c r="DY19" s="102"/>
      <c r="DZ19" s="1">
        <v>5</v>
      </c>
      <c r="EA19" s="104">
        <f t="shared" ref="EA19:EA20" si="90">DY19/DZ19</f>
        <v>0</v>
      </c>
      <c r="EB19" s="102"/>
      <c r="EC19" s="1">
        <v>5</v>
      </c>
      <c r="ED19" s="104">
        <f t="shared" ref="ED19:ED20" si="91">EB19/EC19</f>
        <v>0</v>
      </c>
      <c r="EE19" s="102"/>
      <c r="EF19" s="1">
        <v>5</v>
      </c>
      <c r="EG19" s="104">
        <f t="shared" ref="EG19:EG20" si="92">EE19/EF19</f>
        <v>0</v>
      </c>
      <c r="EH19" s="102"/>
      <c r="EI19" s="1">
        <v>5</v>
      </c>
      <c r="EJ19" s="104">
        <f t="shared" ref="EJ19:EJ20" si="93">EH19/EI19</f>
        <v>0</v>
      </c>
      <c r="EK19" s="102"/>
      <c r="EL19" s="1">
        <v>5</v>
      </c>
      <c r="EM19" s="104">
        <f t="shared" ref="EM19:EM20" si="94">EK19/EL19</f>
        <v>0</v>
      </c>
      <c r="EN19" s="102"/>
      <c r="EO19" s="1">
        <v>5</v>
      </c>
      <c r="EP19" s="104">
        <f t="shared" ref="EP19:EP20" si="95">EN19/EO19</f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40.5" customHeight="1" spans="1:148" x14ac:dyDescent="0.25">
      <c r="A20" s="165" t="s">
        <v>224</v>
      </c>
      <c r="B20" s="166"/>
      <c r="C20" s="102"/>
      <c r="D20" s="103">
        <v>5</v>
      </c>
      <c r="E20" s="104">
        <f t="shared" si="48"/>
        <v>0</v>
      </c>
      <c r="F20" s="102"/>
      <c r="G20" s="103">
        <v>5</v>
      </c>
      <c r="H20" s="104">
        <f t="shared" si="49"/>
        <v>0</v>
      </c>
      <c r="I20" s="105"/>
      <c r="J20" s="103">
        <v>5</v>
      </c>
      <c r="K20" s="104">
        <f t="shared" si="50"/>
        <v>0</v>
      </c>
      <c r="L20" s="105"/>
      <c r="M20" s="103">
        <v>5</v>
      </c>
      <c r="N20" s="104">
        <f t="shared" si="51"/>
        <v>0</v>
      </c>
      <c r="O20" s="106"/>
      <c r="P20" s="107">
        <v>5</v>
      </c>
      <c r="Q20" s="104">
        <f t="shared" si="52"/>
        <v>0</v>
      </c>
      <c r="R20" s="102"/>
      <c r="S20" s="107">
        <v>5</v>
      </c>
      <c r="T20" s="104">
        <f t="shared" si="53"/>
        <v>0</v>
      </c>
      <c r="U20" s="102"/>
      <c r="V20" s="107">
        <v>5</v>
      </c>
      <c r="W20" s="104">
        <f t="shared" si="54"/>
        <v>0</v>
      </c>
      <c r="X20" s="102"/>
      <c r="Y20" s="107">
        <v>5</v>
      </c>
      <c r="Z20" s="104">
        <f t="shared" si="55"/>
        <v>0</v>
      </c>
      <c r="AA20" s="106"/>
      <c r="AB20" s="107">
        <v>5</v>
      </c>
      <c r="AC20" s="104">
        <f t="shared" si="56"/>
        <v>0</v>
      </c>
      <c r="AD20" s="106"/>
      <c r="AE20" s="107">
        <v>5</v>
      </c>
      <c r="AF20" s="104">
        <f t="shared" si="57"/>
        <v>0</v>
      </c>
      <c r="AG20" s="106"/>
      <c r="AH20" s="107">
        <v>5</v>
      </c>
      <c r="AI20" s="104">
        <f t="shared" si="58"/>
        <v>0</v>
      </c>
      <c r="AJ20" s="106"/>
      <c r="AK20" s="107">
        <v>5</v>
      </c>
      <c r="AL20" s="104">
        <f t="shared" si="59"/>
        <v>0</v>
      </c>
      <c r="AM20" s="102"/>
      <c r="AN20" s="1">
        <v>5</v>
      </c>
      <c r="AO20" s="104">
        <f t="shared" si="60"/>
        <v>0</v>
      </c>
      <c r="AP20" s="102"/>
      <c r="AQ20" s="1">
        <v>5</v>
      </c>
      <c r="AR20" s="104">
        <f t="shared" si="61"/>
        <v>0</v>
      </c>
      <c r="AS20" s="102"/>
      <c r="AT20" s="1">
        <v>5</v>
      </c>
      <c r="AU20" s="104">
        <f t="shared" si="62"/>
        <v>0</v>
      </c>
      <c r="AV20" s="102"/>
      <c r="AW20" s="1">
        <v>5</v>
      </c>
      <c r="AX20" s="104">
        <f t="shared" si="63"/>
        <v>0</v>
      </c>
      <c r="AY20" s="102"/>
      <c r="AZ20" s="1">
        <v>5</v>
      </c>
      <c r="BA20" s="104">
        <f t="shared" si="64"/>
        <v>0</v>
      </c>
      <c r="BB20" s="102"/>
      <c r="BC20" s="1">
        <v>5</v>
      </c>
      <c r="BD20" s="104">
        <f t="shared" si="65"/>
        <v>0</v>
      </c>
      <c r="BE20" s="102"/>
      <c r="BF20" s="1">
        <v>5</v>
      </c>
      <c r="BG20" s="104">
        <f t="shared" si="66"/>
        <v>0</v>
      </c>
      <c r="BH20" s="102"/>
      <c r="BI20" s="1">
        <v>5</v>
      </c>
      <c r="BJ20" s="104">
        <f t="shared" si="67"/>
        <v>0</v>
      </c>
      <c r="BK20" s="102"/>
      <c r="BL20" s="1">
        <v>5</v>
      </c>
      <c r="BM20" s="104">
        <f t="shared" si="68"/>
        <v>0</v>
      </c>
      <c r="BN20" s="102"/>
      <c r="BO20" s="1">
        <v>5</v>
      </c>
      <c r="BP20" s="104">
        <f t="shared" si="69"/>
        <v>0</v>
      </c>
      <c r="BQ20" s="102"/>
      <c r="BR20" s="1">
        <v>5</v>
      </c>
      <c r="BS20" s="104">
        <f t="shared" si="70"/>
        <v>0</v>
      </c>
      <c r="BT20" s="102"/>
      <c r="BU20" s="1">
        <v>5</v>
      </c>
      <c r="BV20" s="104">
        <f t="shared" si="71"/>
        <v>0</v>
      </c>
      <c r="BW20" s="102"/>
      <c r="BX20" s="1">
        <v>5</v>
      </c>
      <c r="BY20" s="104">
        <f t="shared" si="72"/>
        <v>0</v>
      </c>
      <c r="BZ20" s="102"/>
      <c r="CA20" s="1">
        <v>5</v>
      </c>
      <c r="CB20" s="104">
        <f t="shared" si="73"/>
        <v>0</v>
      </c>
      <c r="CC20" s="102"/>
      <c r="CD20" s="1">
        <v>5</v>
      </c>
      <c r="CE20" s="104">
        <f t="shared" si="74"/>
        <v>0</v>
      </c>
      <c r="CF20" s="102"/>
      <c r="CG20" s="1">
        <v>5</v>
      </c>
      <c r="CH20" s="104">
        <f t="shared" si="75"/>
        <v>0</v>
      </c>
      <c r="CI20" s="102"/>
      <c r="CJ20" s="1">
        <v>5</v>
      </c>
      <c r="CK20" s="104">
        <f t="shared" si="76"/>
        <v>0</v>
      </c>
      <c r="CL20" s="102"/>
      <c r="CM20" s="1">
        <v>5</v>
      </c>
      <c r="CN20" s="104">
        <f t="shared" si="77"/>
        <v>0</v>
      </c>
      <c r="CO20" s="102"/>
      <c r="CP20" s="1">
        <v>5</v>
      </c>
      <c r="CQ20" s="104">
        <f t="shared" si="78"/>
        <v>0</v>
      </c>
      <c r="CR20" s="102"/>
      <c r="CS20" s="1">
        <v>5</v>
      </c>
      <c r="CT20" s="104">
        <f t="shared" si="79"/>
        <v>0</v>
      </c>
      <c r="CU20" s="102"/>
      <c r="CV20" s="1">
        <v>5</v>
      </c>
      <c r="CW20" s="104">
        <f t="shared" si="80"/>
        <v>0</v>
      </c>
      <c r="CX20" s="102"/>
      <c r="CY20" s="1">
        <v>5</v>
      </c>
      <c r="CZ20" s="104">
        <f t="shared" si="81"/>
        <v>0</v>
      </c>
      <c r="DA20" s="102"/>
      <c r="DB20" s="1">
        <v>5</v>
      </c>
      <c r="DC20" s="104">
        <f t="shared" si="82"/>
        <v>0</v>
      </c>
      <c r="DD20" s="102"/>
      <c r="DE20" s="1">
        <v>5</v>
      </c>
      <c r="DF20" s="104">
        <f t="shared" si="83"/>
        <v>0</v>
      </c>
      <c r="DG20" s="102"/>
      <c r="DH20" s="1">
        <v>5</v>
      </c>
      <c r="DI20" s="104">
        <f t="shared" si="84"/>
        <v>0</v>
      </c>
      <c r="DJ20" s="102"/>
      <c r="DK20" s="1">
        <v>5</v>
      </c>
      <c r="DL20" s="104">
        <f t="shared" si="85"/>
        <v>0</v>
      </c>
      <c r="DM20" s="102"/>
      <c r="DN20" s="1">
        <v>5</v>
      </c>
      <c r="DO20" s="104">
        <f t="shared" si="86"/>
        <v>0</v>
      </c>
      <c r="DP20" s="102"/>
      <c r="DQ20" s="1">
        <v>5</v>
      </c>
      <c r="DR20" s="104">
        <f t="shared" si="87"/>
        <v>0</v>
      </c>
      <c r="DS20" s="102"/>
      <c r="DT20" s="1">
        <v>5</v>
      </c>
      <c r="DU20" s="104">
        <f t="shared" si="88"/>
        <v>0</v>
      </c>
      <c r="DV20" s="102"/>
      <c r="DW20" s="1">
        <v>5</v>
      </c>
      <c r="DX20" s="104">
        <f t="shared" si="89"/>
        <v>0</v>
      </c>
      <c r="DY20" s="102"/>
      <c r="DZ20" s="1">
        <v>5</v>
      </c>
      <c r="EA20" s="104">
        <f t="shared" si="90"/>
        <v>0</v>
      </c>
      <c r="EB20" s="102"/>
      <c r="EC20" s="1">
        <v>5</v>
      </c>
      <c r="ED20" s="104">
        <f t="shared" si="91"/>
        <v>0</v>
      </c>
      <c r="EE20" s="102"/>
      <c r="EF20" s="1">
        <v>5</v>
      </c>
      <c r="EG20" s="104">
        <f t="shared" si="92"/>
        <v>0</v>
      </c>
      <c r="EH20" s="102"/>
      <c r="EI20" s="1">
        <v>5</v>
      </c>
      <c r="EJ20" s="104">
        <f t="shared" si="93"/>
        <v>0</v>
      </c>
      <c r="EK20" s="102"/>
      <c r="EL20" s="1">
        <v>5</v>
      </c>
      <c r="EM20" s="104">
        <f t="shared" si="94"/>
        <v>0</v>
      </c>
      <c r="EN20" s="102"/>
      <c r="EO20" s="1">
        <v>5</v>
      </c>
      <c r="EP20" s="104">
        <f t="shared" si="95"/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16" customHeight="1" spans="1:148" x14ac:dyDescent="0.25">
      <c r="A21" s="163" t="s">
        <v>93</v>
      </c>
      <c r="B21" s="125"/>
      <c r="C21" s="126"/>
      <c r="D21" s="127"/>
      <c r="E21" s="82">
        <f>AVERAGE(E22:E33)</f>
        <v>0</v>
      </c>
      <c r="F21" s="126"/>
      <c r="G21" s="127"/>
      <c r="H21" s="82">
        <f>AVERAGE(H22:H33)</f>
        <v>0</v>
      </c>
      <c r="I21" s="126"/>
      <c r="J21" s="127"/>
      <c r="K21" s="82">
        <f>AVERAGE(K22:K33)</f>
        <v>0</v>
      </c>
      <c r="L21" s="126"/>
      <c r="M21" s="127"/>
      <c r="N21" s="82">
        <f>AVERAGE(N22:N33)</f>
        <v>0</v>
      </c>
      <c r="O21" s="126"/>
      <c r="P21" s="127"/>
      <c r="Q21" s="82">
        <f>AVERAGE(Q22:Q33)</f>
        <v>0</v>
      </c>
      <c r="R21" s="126"/>
      <c r="S21" s="127"/>
      <c r="T21" s="82">
        <f>AVERAGE(T22:T33)</f>
        <v>0</v>
      </c>
      <c r="U21" s="126"/>
      <c r="V21" s="127"/>
      <c r="W21" s="82">
        <f>AVERAGE(W22:W33)</f>
        <v>0</v>
      </c>
      <c r="X21" s="126"/>
      <c r="Y21" s="127"/>
      <c r="Z21" s="82">
        <f>AVERAGE(Z22:Z33)</f>
        <v>0</v>
      </c>
      <c r="AA21" s="126"/>
      <c r="AB21" s="127"/>
      <c r="AC21" s="82">
        <f>AVERAGE(AC22:AC33)</f>
        <v>0</v>
      </c>
      <c r="AD21" s="126"/>
      <c r="AE21" s="127"/>
      <c r="AF21" s="82">
        <f>AVERAGE(AF22:AF33)</f>
        <v>0</v>
      </c>
      <c r="AG21" s="126"/>
      <c r="AH21" s="127"/>
      <c r="AI21" s="82">
        <f>AVERAGE(AI22:AI33)</f>
        <v>0</v>
      </c>
      <c r="AJ21" s="126"/>
      <c r="AK21" s="127"/>
      <c r="AL21" s="82">
        <f>AVERAGE(AL22:AL33)</f>
        <v>0</v>
      </c>
      <c r="AM21" s="128"/>
      <c r="AN21" s="127"/>
      <c r="AO21" s="82">
        <f>AVERAGE(AO22:AO33)</f>
        <v>0</v>
      </c>
      <c r="AP21" s="128"/>
      <c r="AQ21" s="129"/>
      <c r="AR21" s="82">
        <f>AVERAGE(AR22:AR33)</f>
        <v>0</v>
      </c>
      <c r="AS21" s="130"/>
      <c r="AT21" s="129"/>
      <c r="AU21" s="82">
        <f>AVERAGE(AU22:AU33)</f>
        <v>0</v>
      </c>
      <c r="AV21" s="128"/>
      <c r="AW21" s="127"/>
      <c r="AX21" s="82">
        <f>AVERAGE(AX22:AX33)</f>
        <v>0</v>
      </c>
      <c r="AY21" s="131"/>
      <c r="AZ21" s="132"/>
      <c r="BA21" s="82">
        <f>AVERAGE(BA22:BA33)</f>
        <v>0</v>
      </c>
      <c r="BB21" s="128"/>
      <c r="BC21" s="132"/>
      <c r="BD21" s="82">
        <f>AVERAGE(BD22:BD33)</f>
        <v>0</v>
      </c>
      <c r="BE21" s="128"/>
      <c r="BF21" s="132"/>
      <c r="BG21" s="82">
        <f>AVERAGE(BG22:BG33)</f>
        <v>0</v>
      </c>
      <c r="BH21" s="128"/>
      <c r="BI21" s="132"/>
      <c r="BJ21" s="82">
        <f>AVERAGE(BJ22:BJ33)</f>
        <v>0</v>
      </c>
      <c r="BK21" s="128"/>
      <c r="BL21" s="132"/>
      <c r="BM21" s="82">
        <f>AVERAGE(BM22:BM33)</f>
        <v>0</v>
      </c>
      <c r="BN21" s="128"/>
      <c r="BO21" s="132"/>
      <c r="BP21" s="82">
        <f>AVERAGE(BP22:BP33)</f>
        <v>0</v>
      </c>
      <c r="BQ21" s="128"/>
      <c r="BR21" s="132"/>
      <c r="BS21" s="82">
        <f>AVERAGE(BS22:BS33)</f>
        <v>0</v>
      </c>
      <c r="BT21" s="128"/>
      <c r="BU21" s="132"/>
      <c r="BV21" s="82">
        <f>AVERAGE(BV22:BV33)</f>
        <v>0</v>
      </c>
      <c r="BW21" s="128"/>
      <c r="BX21" s="132"/>
      <c r="BY21" s="82">
        <f>AVERAGE(BY22:BY33)</f>
        <v>0</v>
      </c>
      <c r="BZ21" s="126"/>
      <c r="CA21" s="127"/>
      <c r="CB21" s="82">
        <f>AVERAGE(CB22:CB33)</f>
        <v>0</v>
      </c>
      <c r="CC21" s="126"/>
      <c r="CD21" s="127"/>
      <c r="CE21" s="82">
        <f>AVERAGE(CE22:CE33)</f>
        <v>0</v>
      </c>
      <c r="CF21" s="126"/>
      <c r="CG21" s="127"/>
      <c r="CH21" s="82">
        <f>AVERAGE(CH22:CH33)</f>
        <v>0</v>
      </c>
      <c r="CI21" s="126"/>
      <c r="CJ21" s="127"/>
      <c r="CK21" s="82">
        <f>AVERAGE(CK22:CK33)</f>
        <v>0</v>
      </c>
      <c r="CL21" s="126"/>
      <c r="CM21" s="127"/>
      <c r="CN21" s="82">
        <f>AVERAGE(CN22:CN33)</f>
        <v>0</v>
      </c>
      <c r="CO21" s="126"/>
      <c r="CP21" s="127"/>
      <c r="CQ21" s="82">
        <f>AVERAGE(CQ22:CQ33)</f>
        <v>0</v>
      </c>
      <c r="CR21" s="126"/>
      <c r="CS21" s="127"/>
      <c r="CT21" s="82">
        <f>AVERAGE(CT22:CT33)</f>
        <v>0</v>
      </c>
      <c r="CU21" s="126"/>
      <c r="CV21" s="127"/>
      <c r="CW21" s="82">
        <f>AVERAGE(CW22:CW33)</f>
        <v>0</v>
      </c>
      <c r="CX21" s="126"/>
      <c r="CY21" s="127"/>
      <c r="CZ21" s="82">
        <f>AVERAGE(CZ22:CZ33)</f>
        <v>0</v>
      </c>
      <c r="DA21" s="126"/>
      <c r="DB21" s="127"/>
      <c r="DC21" s="82">
        <f>AVERAGE(DC22:DC33)</f>
        <v>0</v>
      </c>
      <c r="DD21" s="126"/>
      <c r="DE21" s="127"/>
      <c r="DF21" s="82">
        <f>AVERAGE(DF22:DF33)</f>
        <v>0</v>
      </c>
      <c r="DG21" s="126"/>
      <c r="DH21" s="127"/>
      <c r="DI21" s="82">
        <f>AVERAGE(DI22:DI33)</f>
        <v>0</v>
      </c>
      <c r="DJ21" s="126"/>
      <c r="DK21" s="127"/>
      <c r="DL21" s="82">
        <f>AVERAGE(DL22:DL33)</f>
        <v>0</v>
      </c>
      <c r="DM21" s="126"/>
      <c r="DN21" s="127"/>
      <c r="DO21" s="82">
        <f>AVERAGE(DO22:DO33)</f>
        <v>0</v>
      </c>
      <c r="DP21" s="126"/>
      <c r="DQ21" s="127"/>
      <c r="DR21" s="82">
        <f>AVERAGE(DR22:DR33)</f>
        <v>0</v>
      </c>
      <c r="DS21" s="126"/>
      <c r="DT21" s="127"/>
      <c r="DU21" s="82">
        <f>AVERAGE(DU22:DU33)</f>
        <v>0</v>
      </c>
      <c r="DV21" s="126"/>
      <c r="DW21" s="127"/>
      <c r="DX21" s="82">
        <f>AVERAGE(DX22:DX33)</f>
        <v>0</v>
      </c>
      <c r="DY21" s="126"/>
      <c r="DZ21" s="127"/>
      <c r="EA21" s="82">
        <f>AVERAGE(EA22:EA33)</f>
        <v>0</v>
      </c>
      <c r="EB21" s="126"/>
      <c r="EC21" s="127"/>
      <c r="ED21" s="82">
        <f>AVERAGE(ED22:ED33)</f>
        <v>0</v>
      </c>
      <c r="EE21" s="126"/>
      <c r="EF21" s="127"/>
      <c r="EG21" s="82">
        <f>AVERAGE(EG22:EG33)</f>
        <v>0</v>
      </c>
      <c r="EH21" s="126"/>
      <c r="EI21" s="127"/>
      <c r="EJ21" s="82">
        <f>AVERAGE(EJ22:EJ33)</f>
        <v>0</v>
      </c>
      <c r="EK21" s="126"/>
      <c r="EL21" s="127"/>
      <c r="EM21" s="82">
        <f>AVERAGE(EM22:EM33)</f>
        <v>0</v>
      </c>
      <c r="EN21" s="126"/>
      <c r="EO21" s="127"/>
      <c r="EP21" s="82">
        <f>AVERAGE(EP22:EP33)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9.5" customHeight="1" spans="1:148" x14ac:dyDescent="0.25">
      <c r="A22" s="88" t="s">
        <v>94</v>
      </c>
      <c r="B22" s="101"/>
      <c r="C22" s="102"/>
      <c r="D22" s="103">
        <v>5</v>
      </c>
      <c r="E22" s="104">
        <f t="shared" ref="E22:E33" si="96">C22/D22</f>
        <v>0</v>
      </c>
      <c r="F22" s="102"/>
      <c r="G22" s="103">
        <v>5</v>
      </c>
      <c r="H22" s="104">
        <f t="shared" ref="H22:H33" si="97">F22/G22</f>
        <v>0</v>
      </c>
      <c r="I22" s="105"/>
      <c r="J22" s="103">
        <v>5</v>
      </c>
      <c r="K22" s="104">
        <f t="shared" ref="K22:K33" si="98">I22/J22</f>
        <v>0</v>
      </c>
      <c r="L22" s="105"/>
      <c r="M22" s="103">
        <v>5</v>
      </c>
      <c r="N22" s="104">
        <f t="shared" ref="N22:N33" si="99">L22/M22</f>
        <v>0</v>
      </c>
      <c r="O22" s="106"/>
      <c r="P22" s="107">
        <v>5</v>
      </c>
      <c r="Q22" s="104">
        <f t="shared" ref="Q22:Q33" si="100">O22/P22</f>
        <v>0</v>
      </c>
      <c r="R22" s="102"/>
      <c r="S22" s="107">
        <v>5</v>
      </c>
      <c r="T22" s="104">
        <f t="shared" ref="T22:T33" si="101">R22/S22</f>
        <v>0</v>
      </c>
      <c r="U22" s="102"/>
      <c r="V22" s="107">
        <v>5</v>
      </c>
      <c r="W22" s="104">
        <f t="shared" ref="W22:W33" si="102">U22/V22</f>
        <v>0</v>
      </c>
      <c r="X22" s="102"/>
      <c r="Y22" s="107">
        <v>5</v>
      </c>
      <c r="Z22" s="104">
        <f t="shared" ref="Z22:Z33" si="103">X22/Y22</f>
        <v>0</v>
      </c>
      <c r="AA22" s="106"/>
      <c r="AB22" s="107">
        <v>5</v>
      </c>
      <c r="AC22" s="104">
        <f t="shared" ref="AC22:AC33" si="104">AA22/AB22</f>
        <v>0</v>
      </c>
      <c r="AD22" s="106"/>
      <c r="AE22" s="107">
        <v>5</v>
      </c>
      <c r="AF22" s="104">
        <f t="shared" ref="AF22:AF33" si="105">AD22/AE22</f>
        <v>0</v>
      </c>
      <c r="AG22" s="106"/>
      <c r="AH22" s="107">
        <v>5</v>
      </c>
      <c r="AI22" s="104">
        <f t="shared" ref="AI22:AI33" si="106">AG22/AH22</f>
        <v>0</v>
      </c>
      <c r="AJ22" s="106"/>
      <c r="AK22" s="107">
        <v>5</v>
      </c>
      <c r="AL22" s="104">
        <f t="shared" ref="AL22:AL33" si="107">AJ22/AK22</f>
        <v>0</v>
      </c>
      <c r="AM22" s="102"/>
      <c r="AN22" s="1">
        <v>5</v>
      </c>
      <c r="AO22" s="104">
        <f t="shared" ref="AO22:AO33" si="108">AM22/AN22</f>
        <v>0</v>
      </c>
      <c r="AP22" s="102"/>
      <c r="AQ22" s="1">
        <v>5</v>
      </c>
      <c r="AR22" s="104">
        <f t="shared" ref="AR22:AR33" si="109">AP22/AQ22</f>
        <v>0</v>
      </c>
      <c r="AS22" s="102"/>
      <c r="AT22" s="1">
        <v>5</v>
      </c>
      <c r="AU22" s="104">
        <f t="shared" ref="AU22:AU33" si="110">AS22/AT22</f>
        <v>0</v>
      </c>
      <c r="AV22" s="102"/>
      <c r="AW22" s="1">
        <v>5</v>
      </c>
      <c r="AX22" s="104">
        <f t="shared" ref="AX22:AX33" si="111">AV22/AW22</f>
        <v>0</v>
      </c>
      <c r="AY22" s="102"/>
      <c r="AZ22" s="1">
        <v>5</v>
      </c>
      <c r="BA22" s="104">
        <f t="shared" ref="BA22:BA33" si="112">AY22/AZ22</f>
        <v>0</v>
      </c>
      <c r="BB22" s="102"/>
      <c r="BC22" s="1">
        <v>5</v>
      </c>
      <c r="BD22" s="104">
        <f t="shared" ref="BD22:BD33" si="113">BB22/BC22</f>
        <v>0</v>
      </c>
      <c r="BE22" s="102"/>
      <c r="BF22" s="1">
        <v>5</v>
      </c>
      <c r="BG22" s="104">
        <f t="shared" ref="BG22:BG33" si="114">BE22/BF22</f>
        <v>0</v>
      </c>
      <c r="BH22" s="102"/>
      <c r="BI22" s="1">
        <v>5</v>
      </c>
      <c r="BJ22" s="104">
        <f t="shared" ref="BJ22:BJ33" si="115">BH22/BI22</f>
        <v>0</v>
      </c>
      <c r="BK22" s="102"/>
      <c r="BL22" s="1">
        <v>5</v>
      </c>
      <c r="BM22" s="104">
        <f t="shared" ref="BM22:BM33" si="116">BK22/BL22</f>
        <v>0</v>
      </c>
      <c r="BN22" s="102"/>
      <c r="BO22" s="1">
        <v>5</v>
      </c>
      <c r="BP22" s="104">
        <f t="shared" ref="BP22:BP33" si="117">BN22/BO22</f>
        <v>0</v>
      </c>
      <c r="BQ22" s="102"/>
      <c r="BR22" s="1">
        <v>5</v>
      </c>
      <c r="BS22" s="104">
        <f t="shared" ref="BS22:BS33" si="118">BQ22/BR22</f>
        <v>0</v>
      </c>
      <c r="BT22" s="102"/>
      <c r="BU22" s="1">
        <v>5</v>
      </c>
      <c r="BV22" s="104">
        <f t="shared" ref="BV22:BV33" si="119">BT22/BU22</f>
        <v>0</v>
      </c>
      <c r="BW22" s="102"/>
      <c r="BX22" s="1">
        <v>5</v>
      </c>
      <c r="BY22" s="104">
        <f t="shared" ref="BY22:BY33" si="120">BW22/BX22</f>
        <v>0</v>
      </c>
      <c r="BZ22" s="102"/>
      <c r="CA22" s="1">
        <v>5</v>
      </c>
      <c r="CB22" s="104">
        <f t="shared" ref="CB22:CB33" si="121">BZ22/CA22</f>
        <v>0</v>
      </c>
      <c r="CC22" s="102"/>
      <c r="CD22" s="1">
        <v>5</v>
      </c>
      <c r="CE22" s="104">
        <f t="shared" ref="CE22:CE33" si="122">CC22/CD22</f>
        <v>0</v>
      </c>
      <c r="CF22" s="102"/>
      <c r="CG22" s="1">
        <v>5</v>
      </c>
      <c r="CH22" s="104">
        <f t="shared" ref="CH22:CH33" si="123">CF22/CG22</f>
        <v>0</v>
      </c>
      <c r="CI22" s="102"/>
      <c r="CJ22" s="1">
        <v>5</v>
      </c>
      <c r="CK22" s="104">
        <f t="shared" ref="CK22:CK33" si="124">CI22/CJ22</f>
        <v>0</v>
      </c>
      <c r="CL22" s="102"/>
      <c r="CM22" s="1">
        <v>5</v>
      </c>
      <c r="CN22" s="104">
        <f t="shared" ref="CN22:CN33" si="125">CL22/CM22</f>
        <v>0</v>
      </c>
      <c r="CO22" s="102"/>
      <c r="CP22" s="1">
        <v>5</v>
      </c>
      <c r="CQ22" s="104">
        <f t="shared" ref="CQ22:CQ33" si="126">CO22/CP22</f>
        <v>0</v>
      </c>
      <c r="CR22" s="102"/>
      <c r="CS22" s="1">
        <v>5</v>
      </c>
      <c r="CT22" s="104">
        <f t="shared" ref="CT22:CT33" si="127">CR22/CS22</f>
        <v>0</v>
      </c>
      <c r="CU22" s="102"/>
      <c r="CV22" s="1">
        <v>5</v>
      </c>
      <c r="CW22" s="104">
        <f t="shared" ref="CW22:CW33" si="128">CU22/CV22</f>
        <v>0</v>
      </c>
      <c r="CX22" s="102"/>
      <c r="CY22" s="1">
        <v>5</v>
      </c>
      <c r="CZ22" s="104">
        <f t="shared" ref="CZ22:CZ33" si="129">CX22/CY22</f>
        <v>0</v>
      </c>
      <c r="DA22" s="102"/>
      <c r="DB22" s="1">
        <v>5</v>
      </c>
      <c r="DC22" s="104">
        <f t="shared" ref="DC22:DC33" si="130">DA22/DB22</f>
        <v>0</v>
      </c>
      <c r="DD22" s="102"/>
      <c r="DE22" s="1">
        <v>5</v>
      </c>
      <c r="DF22" s="104">
        <f t="shared" ref="DF22:DF33" si="131">DD22/DE22</f>
        <v>0</v>
      </c>
      <c r="DG22" s="102"/>
      <c r="DH22" s="1">
        <v>5</v>
      </c>
      <c r="DI22" s="104">
        <f t="shared" ref="DI22:DI33" si="132">DG22/DH22</f>
        <v>0</v>
      </c>
      <c r="DJ22" s="102"/>
      <c r="DK22" s="1">
        <v>5</v>
      </c>
      <c r="DL22" s="104">
        <f t="shared" ref="DL22:DL33" si="133">DJ22/DK22</f>
        <v>0</v>
      </c>
      <c r="DM22" s="102"/>
      <c r="DN22" s="1">
        <v>5</v>
      </c>
      <c r="DO22" s="104">
        <f t="shared" ref="DO22:DO33" si="134">DM22/DN22</f>
        <v>0</v>
      </c>
      <c r="DP22" s="102"/>
      <c r="DQ22" s="1">
        <v>5</v>
      </c>
      <c r="DR22" s="104">
        <f t="shared" ref="DR22:DR33" si="135">DP22/DQ22</f>
        <v>0</v>
      </c>
      <c r="DS22" s="102"/>
      <c r="DT22" s="1">
        <v>5</v>
      </c>
      <c r="DU22" s="104">
        <f t="shared" ref="DU22:DU33" si="136">DS22/DT22</f>
        <v>0</v>
      </c>
      <c r="DV22" s="102"/>
      <c r="DW22" s="1">
        <v>5</v>
      </c>
      <c r="DX22" s="104">
        <f t="shared" ref="DX22:DX33" si="137">DV22/DW22</f>
        <v>0</v>
      </c>
      <c r="DY22" s="102"/>
      <c r="DZ22" s="1">
        <v>5</v>
      </c>
      <c r="EA22" s="104">
        <f t="shared" ref="EA22:EA33" si="138">DY22/DZ22</f>
        <v>0</v>
      </c>
      <c r="EB22" s="102"/>
      <c r="EC22" s="1">
        <v>5</v>
      </c>
      <c r="ED22" s="104">
        <f t="shared" ref="ED22:ED33" si="139">EB22/EC22</f>
        <v>0</v>
      </c>
      <c r="EE22" s="102"/>
      <c r="EF22" s="1">
        <v>5</v>
      </c>
      <c r="EG22" s="104">
        <f t="shared" ref="EG22:EG33" si="140">EE22/EF22</f>
        <v>0</v>
      </c>
      <c r="EH22" s="102"/>
      <c r="EI22" s="1">
        <v>5</v>
      </c>
      <c r="EJ22" s="104">
        <f t="shared" ref="EJ22:EJ33" si="141">EH22/EI22</f>
        <v>0</v>
      </c>
      <c r="EK22" s="102"/>
      <c r="EL22" s="1">
        <v>5</v>
      </c>
      <c r="EM22" s="104">
        <f t="shared" ref="EM22:EM33" si="142">EK22/EL22</f>
        <v>0</v>
      </c>
      <c r="EN22" s="102"/>
      <c r="EO22" s="1">
        <v>5</v>
      </c>
      <c r="EP22" s="104">
        <f t="shared" ref="EP22:EP33" si="143">EN22/EO22</f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26" customHeight="1" spans="1:148" x14ac:dyDescent="0.25">
      <c r="A23" s="100" t="s">
        <v>225</v>
      </c>
      <c r="B23" s="101"/>
      <c r="C23" s="102"/>
      <c r="D23" s="103">
        <v>5</v>
      </c>
      <c r="E23" s="104">
        <f t="shared" si="96"/>
        <v>0</v>
      </c>
      <c r="F23" s="102"/>
      <c r="G23" s="103">
        <v>5</v>
      </c>
      <c r="H23" s="104">
        <f t="shared" si="97"/>
        <v>0</v>
      </c>
      <c r="I23" s="105"/>
      <c r="J23" s="103">
        <v>5</v>
      </c>
      <c r="K23" s="104">
        <f t="shared" si="98"/>
        <v>0</v>
      </c>
      <c r="L23" s="105"/>
      <c r="M23" s="103">
        <v>5</v>
      </c>
      <c r="N23" s="104">
        <f t="shared" si="99"/>
        <v>0</v>
      </c>
      <c r="O23" s="106"/>
      <c r="P23" s="107">
        <v>5</v>
      </c>
      <c r="Q23" s="104">
        <f t="shared" si="100"/>
        <v>0</v>
      </c>
      <c r="R23" s="102"/>
      <c r="S23" s="107">
        <v>5</v>
      </c>
      <c r="T23" s="104">
        <f t="shared" si="101"/>
        <v>0</v>
      </c>
      <c r="U23" s="102"/>
      <c r="V23" s="107">
        <v>5</v>
      </c>
      <c r="W23" s="104">
        <f t="shared" si="102"/>
        <v>0</v>
      </c>
      <c r="X23" s="102"/>
      <c r="Y23" s="107">
        <v>5</v>
      </c>
      <c r="Z23" s="104">
        <f t="shared" si="103"/>
        <v>0</v>
      </c>
      <c r="AA23" s="106"/>
      <c r="AB23" s="107">
        <v>5</v>
      </c>
      <c r="AC23" s="104">
        <f t="shared" si="104"/>
        <v>0</v>
      </c>
      <c r="AD23" s="106"/>
      <c r="AE23" s="107">
        <v>5</v>
      </c>
      <c r="AF23" s="104">
        <f t="shared" si="105"/>
        <v>0</v>
      </c>
      <c r="AG23" s="106"/>
      <c r="AH23" s="107">
        <v>5</v>
      </c>
      <c r="AI23" s="104">
        <f t="shared" si="106"/>
        <v>0</v>
      </c>
      <c r="AJ23" s="106"/>
      <c r="AK23" s="107">
        <v>5</v>
      </c>
      <c r="AL23" s="104">
        <f t="shared" si="107"/>
        <v>0</v>
      </c>
      <c r="AM23" s="102"/>
      <c r="AN23" s="1">
        <v>5</v>
      </c>
      <c r="AO23" s="104">
        <f t="shared" si="108"/>
        <v>0</v>
      </c>
      <c r="AP23" s="102"/>
      <c r="AQ23" s="1">
        <v>5</v>
      </c>
      <c r="AR23" s="104">
        <f t="shared" si="109"/>
        <v>0</v>
      </c>
      <c r="AS23" s="102"/>
      <c r="AT23" s="1">
        <v>5</v>
      </c>
      <c r="AU23" s="104">
        <f t="shared" si="110"/>
        <v>0</v>
      </c>
      <c r="AV23" s="102"/>
      <c r="AW23" s="1">
        <v>5</v>
      </c>
      <c r="AX23" s="104">
        <f t="shared" si="111"/>
        <v>0</v>
      </c>
      <c r="AY23" s="102"/>
      <c r="AZ23" s="1">
        <v>5</v>
      </c>
      <c r="BA23" s="104">
        <f t="shared" si="112"/>
        <v>0</v>
      </c>
      <c r="BB23" s="102"/>
      <c r="BC23" s="1">
        <v>5</v>
      </c>
      <c r="BD23" s="104">
        <f t="shared" si="113"/>
        <v>0</v>
      </c>
      <c r="BE23" s="102"/>
      <c r="BF23" s="1">
        <v>5</v>
      </c>
      <c r="BG23" s="104">
        <f t="shared" si="114"/>
        <v>0</v>
      </c>
      <c r="BH23" s="102"/>
      <c r="BI23" s="1">
        <v>5</v>
      </c>
      <c r="BJ23" s="104">
        <f t="shared" si="115"/>
        <v>0</v>
      </c>
      <c r="BK23" s="102"/>
      <c r="BL23" s="1">
        <v>5</v>
      </c>
      <c r="BM23" s="104">
        <f t="shared" si="116"/>
        <v>0</v>
      </c>
      <c r="BN23" s="102"/>
      <c r="BO23" s="1">
        <v>5</v>
      </c>
      <c r="BP23" s="104">
        <f t="shared" si="117"/>
        <v>0</v>
      </c>
      <c r="BQ23" s="102"/>
      <c r="BR23" s="1">
        <v>5</v>
      </c>
      <c r="BS23" s="104">
        <f t="shared" si="118"/>
        <v>0</v>
      </c>
      <c r="BT23" s="102"/>
      <c r="BU23" s="1">
        <v>5</v>
      </c>
      <c r="BV23" s="104">
        <f t="shared" si="119"/>
        <v>0</v>
      </c>
      <c r="BW23" s="102"/>
      <c r="BX23" s="1">
        <v>5</v>
      </c>
      <c r="BY23" s="104">
        <f t="shared" si="120"/>
        <v>0</v>
      </c>
      <c r="BZ23" s="102"/>
      <c r="CA23" s="1">
        <v>5</v>
      </c>
      <c r="CB23" s="104">
        <f t="shared" si="121"/>
        <v>0</v>
      </c>
      <c r="CC23" s="102"/>
      <c r="CD23" s="1">
        <v>5</v>
      </c>
      <c r="CE23" s="104">
        <f t="shared" si="122"/>
        <v>0</v>
      </c>
      <c r="CF23" s="102"/>
      <c r="CG23" s="1">
        <v>5</v>
      </c>
      <c r="CH23" s="104">
        <f t="shared" si="123"/>
        <v>0</v>
      </c>
      <c r="CI23" s="102"/>
      <c r="CJ23" s="1">
        <v>5</v>
      </c>
      <c r="CK23" s="104">
        <f t="shared" si="124"/>
        <v>0</v>
      </c>
      <c r="CL23" s="102"/>
      <c r="CM23" s="1">
        <v>5</v>
      </c>
      <c r="CN23" s="104">
        <f t="shared" si="125"/>
        <v>0</v>
      </c>
      <c r="CO23" s="102"/>
      <c r="CP23" s="1">
        <v>5</v>
      </c>
      <c r="CQ23" s="104">
        <f t="shared" si="126"/>
        <v>0</v>
      </c>
      <c r="CR23" s="102"/>
      <c r="CS23" s="1">
        <v>5</v>
      </c>
      <c r="CT23" s="104">
        <f t="shared" si="127"/>
        <v>0</v>
      </c>
      <c r="CU23" s="102"/>
      <c r="CV23" s="1">
        <v>5</v>
      </c>
      <c r="CW23" s="104">
        <f t="shared" si="128"/>
        <v>0</v>
      </c>
      <c r="CX23" s="102"/>
      <c r="CY23" s="1">
        <v>5</v>
      </c>
      <c r="CZ23" s="104">
        <f t="shared" si="129"/>
        <v>0</v>
      </c>
      <c r="DA23" s="102"/>
      <c r="DB23" s="1">
        <v>5</v>
      </c>
      <c r="DC23" s="104">
        <f t="shared" si="130"/>
        <v>0</v>
      </c>
      <c r="DD23" s="102"/>
      <c r="DE23" s="1">
        <v>5</v>
      </c>
      <c r="DF23" s="104">
        <f t="shared" si="131"/>
        <v>0</v>
      </c>
      <c r="DG23" s="102"/>
      <c r="DH23" s="1">
        <v>5</v>
      </c>
      <c r="DI23" s="104">
        <f t="shared" si="132"/>
        <v>0</v>
      </c>
      <c r="DJ23" s="102"/>
      <c r="DK23" s="1">
        <v>5</v>
      </c>
      <c r="DL23" s="104">
        <f t="shared" si="133"/>
        <v>0</v>
      </c>
      <c r="DM23" s="102"/>
      <c r="DN23" s="1">
        <v>5</v>
      </c>
      <c r="DO23" s="104">
        <f t="shared" si="134"/>
        <v>0</v>
      </c>
      <c r="DP23" s="102"/>
      <c r="DQ23" s="1">
        <v>5</v>
      </c>
      <c r="DR23" s="104">
        <f t="shared" si="135"/>
        <v>0</v>
      </c>
      <c r="DS23" s="102"/>
      <c r="DT23" s="1">
        <v>5</v>
      </c>
      <c r="DU23" s="104">
        <f t="shared" si="136"/>
        <v>0</v>
      </c>
      <c r="DV23" s="102"/>
      <c r="DW23" s="1">
        <v>5</v>
      </c>
      <c r="DX23" s="104">
        <f t="shared" si="137"/>
        <v>0</v>
      </c>
      <c r="DY23" s="102"/>
      <c r="DZ23" s="1">
        <v>5</v>
      </c>
      <c r="EA23" s="104">
        <f t="shared" si="138"/>
        <v>0</v>
      </c>
      <c r="EB23" s="102"/>
      <c r="EC23" s="1">
        <v>5</v>
      </c>
      <c r="ED23" s="104">
        <f t="shared" si="139"/>
        <v>0</v>
      </c>
      <c r="EE23" s="102"/>
      <c r="EF23" s="1">
        <v>5</v>
      </c>
      <c r="EG23" s="104">
        <f t="shared" si="140"/>
        <v>0</v>
      </c>
      <c r="EH23" s="102"/>
      <c r="EI23" s="1">
        <v>5</v>
      </c>
      <c r="EJ23" s="104">
        <f t="shared" si="141"/>
        <v>0</v>
      </c>
      <c r="EK23" s="102"/>
      <c r="EL23" s="1">
        <v>5</v>
      </c>
      <c r="EM23" s="104">
        <f t="shared" si="142"/>
        <v>0</v>
      </c>
      <c r="EN23" s="102"/>
      <c r="EO23" s="1">
        <v>5</v>
      </c>
      <c r="EP23" s="104">
        <f t="shared" si="143"/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00" t="s">
        <v>143</v>
      </c>
      <c r="B24" s="101"/>
      <c r="C24" s="102"/>
      <c r="D24" s="103">
        <v>5</v>
      </c>
      <c r="E24" s="104">
        <f t="shared" si="96"/>
        <v>0</v>
      </c>
      <c r="F24" s="102"/>
      <c r="G24" s="103">
        <v>5</v>
      </c>
      <c r="H24" s="104">
        <f t="shared" si="97"/>
        <v>0</v>
      </c>
      <c r="I24" s="105"/>
      <c r="J24" s="103">
        <v>5</v>
      </c>
      <c r="K24" s="104">
        <f t="shared" si="98"/>
        <v>0</v>
      </c>
      <c r="L24" s="105"/>
      <c r="M24" s="103">
        <v>5</v>
      </c>
      <c r="N24" s="104">
        <f t="shared" si="99"/>
        <v>0</v>
      </c>
      <c r="O24" s="106"/>
      <c r="P24" s="107">
        <v>5</v>
      </c>
      <c r="Q24" s="104">
        <f t="shared" si="100"/>
        <v>0</v>
      </c>
      <c r="R24" s="102"/>
      <c r="S24" s="107">
        <v>5</v>
      </c>
      <c r="T24" s="104">
        <f t="shared" si="101"/>
        <v>0</v>
      </c>
      <c r="U24" s="102"/>
      <c r="V24" s="107">
        <v>5</v>
      </c>
      <c r="W24" s="104">
        <f t="shared" si="102"/>
        <v>0</v>
      </c>
      <c r="X24" s="102"/>
      <c r="Y24" s="107">
        <v>5</v>
      </c>
      <c r="Z24" s="104">
        <f t="shared" si="103"/>
        <v>0</v>
      </c>
      <c r="AA24" s="106"/>
      <c r="AB24" s="107">
        <v>5</v>
      </c>
      <c r="AC24" s="104">
        <f t="shared" si="104"/>
        <v>0</v>
      </c>
      <c r="AD24" s="106"/>
      <c r="AE24" s="107">
        <v>5</v>
      </c>
      <c r="AF24" s="104">
        <f t="shared" si="105"/>
        <v>0</v>
      </c>
      <c r="AG24" s="106"/>
      <c r="AH24" s="107">
        <v>5</v>
      </c>
      <c r="AI24" s="104">
        <f t="shared" si="106"/>
        <v>0</v>
      </c>
      <c r="AJ24" s="106"/>
      <c r="AK24" s="107">
        <v>5</v>
      </c>
      <c r="AL24" s="104">
        <f t="shared" si="107"/>
        <v>0</v>
      </c>
      <c r="AM24" s="102"/>
      <c r="AN24" s="1">
        <v>5</v>
      </c>
      <c r="AO24" s="104">
        <f t="shared" si="108"/>
        <v>0</v>
      </c>
      <c r="AP24" s="102"/>
      <c r="AQ24" s="1">
        <v>5</v>
      </c>
      <c r="AR24" s="104">
        <f t="shared" si="109"/>
        <v>0</v>
      </c>
      <c r="AS24" s="102"/>
      <c r="AT24" s="1">
        <v>5</v>
      </c>
      <c r="AU24" s="104">
        <f t="shared" si="110"/>
        <v>0</v>
      </c>
      <c r="AV24" s="102"/>
      <c r="AW24" s="1">
        <v>5</v>
      </c>
      <c r="AX24" s="104">
        <f t="shared" si="111"/>
        <v>0</v>
      </c>
      <c r="AY24" s="102"/>
      <c r="AZ24" s="1">
        <v>5</v>
      </c>
      <c r="BA24" s="104">
        <f t="shared" si="112"/>
        <v>0</v>
      </c>
      <c r="BB24" s="102"/>
      <c r="BC24" s="1">
        <v>5</v>
      </c>
      <c r="BD24" s="104">
        <f t="shared" si="113"/>
        <v>0</v>
      </c>
      <c r="BE24" s="102"/>
      <c r="BF24" s="1">
        <v>5</v>
      </c>
      <c r="BG24" s="104">
        <f t="shared" si="114"/>
        <v>0</v>
      </c>
      <c r="BH24" s="102"/>
      <c r="BI24" s="1">
        <v>5</v>
      </c>
      <c r="BJ24" s="104">
        <f t="shared" si="115"/>
        <v>0</v>
      </c>
      <c r="BK24" s="102"/>
      <c r="BL24" s="1">
        <v>5</v>
      </c>
      <c r="BM24" s="104">
        <f t="shared" si="116"/>
        <v>0</v>
      </c>
      <c r="BN24" s="102"/>
      <c r="BO24" s="1">
        <v>5</v>
      </c>
      <c r="BP24" s="104">
        <f t="shared" si="117"/>
        <v>0</v>
      </c>
      <c r="BQ24" s="102"/>
      <c r="BR24" s="1">
        <v>5</v>
      </c>
      <c r="BS24" s="104">
        <f t="shared" si="118"/>
        <v>0</v>
      </c>
      <c r="BT24" s="102"/>
      <c r="BU24" s="1">
        <v>5</v>
      </c>
      <c r="BV24" s="104">
        <f t="shared" si="119"/>
        <v>0</v>
      </c>
      <c r="BW24" s="102"/>
      <c r="BX24" s="1">
        <v>5</v>
      </c>
      <c r="BY24" s="104">
        <f t="shared" si="120"/>
        <v>0</v>
      </c>
      <c r="BZ24" s="102"/>
      <c r="CA24" s="1">
        <v>5</v>
      </c>
      <c r="CB24" s="104">
        <f t="shared" si="121"/>
        <v>0</v>
      </c>
      <c r="CC24" s="102"/>
      <c r="CD24" s="1">
        <v>5</v>
      </c>
      <c r="CE24" s="104">
        <f t="shared" si="122"/>
        <v>0</v>
      </c>
      <c r="CF24" s="102"/>
      <c r="CG24" s="1">
        <v>5</v>
      </c>
      <c r="CH24" s="104">
        <f t="shared" si="123"/>
        <v>0</v>
      </c>
      <c r="CI24" s="102"/>
      <c r="CJ24" s="1">
        <v>5</v>
      </c>
      <c r="CK24" s="104">
        <f t="shared" si="124"/>
        <v>0</v>
      </c>
      <c r="CL24" s="102"/>
      <c r="CM24" s="1">
        <v>5</v>
      </c>
      <c r="CN24" s="104">
        <f t="shared" si="125"/>
        <v>0</v>
      </c>
      <c r="CO24" s="102"/>
      <c r="CP24" s="1">
        <v>5</v>
      </c>
      <c r="CQ24" s="104">
        <f t="shared" si="126"/>
        <v>0</v>
      </c>
      <c r="CR24" s="102"/>
      <c r="CS24" s="1">
        <v>5</v>
      </c>
      <c r="CT24" s="104">
        <f t="shared" si="127"/>
        <v>0</v>
      </c>
      <c r="CU24" s="102"/>
      <c r="CV24" s="1">
        <v>5</v>
      </c>
      <c r="CW24" s="104">
        <f t="shared" si="128"/>
        <v>0</v>
      </c>
      <c r="CX24" s="102"/>
      <c r="CY24" s="1">
        <v>5</v>
      </c>
      <c r="CZ24" s="104">
        <f t="shared" si="129"/>
        <v>0</v>
      </c>
      <c r="DA24" s="102"/>
      <c r="DB24" s="1">
        <v>5</v>
      </c>
      <c r="DC24" s="104">
        <f t="shared" si="130"/>
        <v>0</v>
      </c>
      <c r="DD24" s="102"/>
      <c r="DE24" s="1">
        <v>5</v>
      </c>
      <c r="DF24" s="104">
        <f t="shared" si="131"/>
        <v>0</v>
      </c>
      <c r="DG24" s="102"/>
      <c r="DH24" s="1">
        <v>5</v>
      </c>
      <c r="DI24" s="104">
        <f t="shared" si="132"/>
        <v>0</v>
      </c>
      <c r="DJ24" s="102"/>
      <c r="DK24" s="1">
        <v>5</v>
      </c>
      <c r="DL24" s="104">
        <f t="shared" si="133"/>
        <v>0</v>
      </c>
      <c r="DM24" s="102"/>
      <c r="DN24" s="1">
        <v>5</v>
      </c>
      <c r="DO24" s="104">
        <f t="shared" si="134"/>
        <v>0</v>
      </c>
      <c r="DP24" s="102"/>
      <c r="DQ24" s="1">
        <v>5</v>
      </c>
      <c r="DR24" s="104">
        <f t="shared" si="135"/>
        <v>0</v>
      </c>
      <c r="DS24" s="102"/>
      <c r="DT24" s="1">
        <v>5</v>
      </c>
      <c r="DU24" s="104">
        <f t="shared" si="136"/>
        <v>0</v>
      </c>
      <c r="DV24" s="102"/>
      <c r="DW24" s="1">
        <v>5</v>
      </c>
      <c r="DX24" s="104">
        <f t="shared" si="137"/>
        <v>0</v>
      </c>
      <c r="DY24" s="102"/>
      <c r="DZ24" s="1">
        <v>5</v>
      </c>
      <c r="EA24" s="104">
        <f t="shared" si="138"/>
        <v>0</v>
      </c>
      <c r="EB24" s="102"/>
      <c r="EC24" s="1">
        <v>5</v>
      </c>
      <c r="ED24" s="104">
        <f t="shared" si="139"/>
        <v>0</v>
      </c>
      <c r="EE24" s="102"/>
      <c r="EF24" s="1">
        <v>5</v>
      </c>
      <c r="EG24" s="104">
        <f t="shared" si="140"/>
        <v>0</v>
      </c>
      <c r="EH24" s="102"/>
      <c r="EI24" s="1">
        <v>5</v>
      </c>
      <c r="EJ24" s="104">
        <f t="shared" si="141"/>
        <v>0</v>
      </c>
      <c r="EK24" s="102"/>
      <c r="EL24" s="1">
        <v>5</v>
      </c>
      <c r="EM24" s="104">
        <f t="shared" si="142"/>
        <v>0</v>
      </c>
      <c r="EN24" s="102"/>
      <c r="EO24" s="1">
        <v>5</v>
      </c>
      <c r="EP24" s="104">
        <f t="shared" si="143"/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16" customHeight="1" spans="1:148" x14ac:dyDescent="0.25">
      <c r="A25" s="100" t="s">
        <v>96</v>
      </c>
      <c r="B25" s="101"/>
      <c r="C25" s="102"/>
      <c r="D25" s="103">
        <v>5</v>
      </c>
      <c r="E25" s="104">
        <f t="shared" si="96"/>
        <v>0</v>
      </c>
      <c r="F25" s="102"/>
      <c r="G25" s="103">
        <v>5</v>
      </c>
      <c r="H25" s="104">
        <f t="shared" si="97"/>
        <v>0</v>
      </c>
      <c r="I25" s="105"/>
      <c r="J25" s="103">
        <v>5</v>
      </c>
      <c r="K25" s="104">
        <f t="shared" si="98"/>
        <v>0</v>
      </c>
      <c r="L25" s="105"/>
      <c r="M25" s="103">
        <v>5</v>
      </c>
      <c r="N25" s="104">
        <f t="shared" si="99"/>
        <v>0</v>
      </c>
      <c r="O25" s="106"/>
      <c r="P25" s="107">
        <v>5</v>
      </c>
      <c r="Q25" s="104">
        <f t="shared" si="100"/>
        <v>0</v>
      </c>
      <c r="R25" s="102"/>
      <c r="S25" s="107">
        <v>5</v>
      </c>
      <c r="T25" s="104">
        <f t="shared" si="101"/>
        <v>0</v>
      </c>
      <c r="U25" s="102"/>
      <c r="V25" s="107">
        <v>5</v>
      </c>
      <c r="W25" s="104">
        <f t="shared" si="102"/>
        <v>0</v>
      </c>
      <c r="X25" s="102"/>
      <c r="Y25" s="107">
        <v>5</v>
      </c>
      <c r="Z25" s="104">
        <f t="shared" si="103"/>
        <v>0</v>
      </c>
      <c r="AA25" s="106"/>
      <c r="AB25" s="107">
        <v>5</v>
      </c>
      <c r="AC25" s="104">
        <f t="shared" si="104"/>
        <v>0</v>
      </c>
      <c r="AD25" s="106"/>
      <c r="AE25" s="107">
        <v>5</v>
      </c>
      <c r="AF25" s="104">
        <f t="shared" si="105"/>
        <v>0</v>
      </c>
      <c r="AG25" s="106"/>
      <c r="AH25" s="107">
        <v>5</v>
      </c>
      <c r="AI25" s="104">
        <f t="shared" si="106"/>
        <v>0</v>
      </c>
      <c r="AJ25" s="106"/>
      <c r="AK25" s="107">
        <v>5</v>
      </c>
      <c r="AL25" s="104">
        <f t="shared" si="107"/>
        <v>0</v>
      </c>
      <c r="AM25" s="102"/>
      <c r="AN25" s="1">
        <v>5</v>
      </c>
      <c r="AO25" s="104">
        <f t="shared" si="108"/>
        <v>0</v>
      </c>
      <c r="AP25" s="102"/>
      <c r="AQ25" s="1">
        <v>5</v>
      </c>
      <c r="AR25" s="104">
        <f t="shared" si="109"/>
        <v>0</v>
      </c>
      <c r="AS25" s="102"/>
      <c r="AT25" s="1">
        <v>5</v>
      </c>
      <c r="AU25" s="104">
        <f t="shared" si="110"/>
        <v>0</v>
      </c>
      <c r="AV25" s="102"/>
      <c r="AW25" s="1">
        <v>5</v>
      </c>
      <c r="AX25" s="104">
        <f t="shared" si="111"/>
        <v>0</v>
      </c>
      <c r="AY25" s="102"/>
      <c r="AZ25" s="1">
        <v>5</v>
      </c>
      <c r="BA25" s="104">
        <f t="shared" si="112"/>
        <v>0</v>
      </c>
      <c r="BB25" s="102"/>
      <c r="BC25" s="1">
        <v>5</v>
      </c>
      <c r="BD25" s="104">
        <f t="shared" si="113"/>
        <v>0</v>
      </c>
      <c r="BE25" s="102"/>
      <c r="BF25" s="1">
        <v>5</v>
      </c>
      <c r="BG25" s="104">
        <f t="shared" si="114"/>
        <v>0</v>
      </c>
      <c r="BH25" s="102"/>
      <c r="BI25" s="1">
        <v>5</v>
      </c>
      <c r="BJ25" s="104">
        <f t="shared" si="115"/>
        <v>0</v>
      </c>
      <c r="BK25" s="102"/>
      <c r="BL25" s="1">
        <v>5</v>
      </c>
      <c r="BM25" s="104">
        <f t="shared" si="116"/>
        <v>0</v>
      </c>
      <c r="BN25" s="102"/>
      <c r="BO25" s="1">
        <v>5</v>
      </c>
      <c r="BP25" s="104">
        <f t="shared" si="117"/>
        <v>0</v>
      </c>
      <c r="BQ25" s="102"/>
      <c r="BR25" s="1">
        <v>5</v>
      </c>
      <c r="BS25" s="104">
        <f t="shared" si="118"/>
        <v>0</v>
      </c>
      <c r="BT25" s="102"/>
      <c r="BU25" s="1">
        <v>5</v>
      </c>
      <c r="BV25" s="104">
        <f t="shared" si="119"/>
        <v>0</v>
      </c>
      <c r="BW25" s="102"/>
      <c r="BX25" s="1">
        <v>5</v>
      </c>
      <c r="BY25" s="104">
        <f t="shared" si="120"/>
        <v>0</v>
      </c>
      <c r="BZ25" s="102"/>
      <c r="CA25" s="1">
        <v>5</v>
      </c>
      <c r="CB25" s="104">
        <f t="shared" si="121"/>
        <v>0</v>
      </c>
      <c r="CC25" s="102"/>
      <c r="CD25" s="1">
        <v>5</v>
      </c>
      <c r="CE25" s="104">
        <f t="shared" si="122"/>
        <v>0</v>
      </c>
      <c r="CF25" s="102"/>
      <c r="CG25" s="1">
        <v>5</v>
      </c>
      <c r="CH25" s="104">
        <f t="shared" si="123"/>
        <v>0</v>
      </c>
      <c r="CI25" s="102"/>
      <c r="CJ25" s="1">
        <v>5</v>
      </c>
      <c r="CK25" s="104">
        <f t="shared" si="124"/>
        <v>0</v>
      </c>
      <c r="CL25" s="102"/>
      <c r="CM25" s="1">
        <v>5</v>
      </c>
      <c r="CN25" s="104">
        <f t="shared" si="125"/>
        <v>0</v>
      </c>
      <c r="CO25" s="102"/>
      <c r="CP25" s="1">
        <v>5</v>
      </c>
      <c r="CQ25" s="104">
        <f t="shared" si="126"/>
        <v>0</v>
      </c>
      <c r="CR25" s="102"/>
      <c r="CS25" s="1">
        <v>5</v>
      </c>
      <c r="CT25" s="104">
        <f t="shared" si="127"/>
        <v>0</v>
      </c>
      <c r="CU25" s="102"/>
      <c r="CV25" s="1">
        <v>5</v>
      </c>
      <c r="CW25" s="104">
        <f t="shared" si="128"/>
        <v>0</v>
      </c>
      <c r="CX25" s="102"/>
      <c r="CY25" s="1">
        <v>5</v>
      </c>
      <c r="CZ25" s="104">
        <f t="shared" si="129"/>
        <v>0</v>
      </c>
      <c r="DA25" s="102"/>
      <c r="DB25" s="1">
        <v>5</v>
      </c>
      <c r="DC25" s="104">
        <f t="shared" si="130"/>
        <v>0</v>
      </c>
      <c r="DD25" s="102"/>
      <c r="DE25" s="1">
        <v>5</v>
      </c>
      <c r="DF25" s="104">
        <f t="shared" si="131"/>
        <v>0</v>
      </c>
      <c r="DG25" s="102"/>
      <c r="DH25" s="1">
        <v>5</v>
      </c>
      <c r="DI25" s="104">
        <f t="shared" si="132"/>
        <v>0</v>
      </c>
      <c r="DJ25" s="102"/>
      <c r="DK25" s="1">
        <v>5</v>
      </c>
      <c r="DL25" s="104">
        <f t="shared" si="133"/>
        <v>0</v>
      </c>
      <c r="DM25" s="102"/>
      <c r="DN25" s="1">
        <v>5</v>
      </c>
      <c r="DO25" s="104">
        <f t="shared" si="134"/>
        <v>0</v>
      </c>
      <c r="DP25" s="102"/>
      <c r="DQ25" s="1">
        <v>5</v>
      </c>
      <c r="DR25" s="104">
        <f t="shared" si="135"/>
        <v>0</v>
      </c>
      <c r="DS25" s="102"/>
      <c r="DT25" s="1">
        <v>5</v>
      </c>
      <c r="DU25" s="104">
        <f t="shared" si="136"/>
        <v>0</v>
      </c>
      <c r="DV25" s="102"/>
      <c r="DW25" s="1">
        <v>5</v>
      </c>
      <c r="DX25" s="104">
        <f t="shared" si="137"/>
        <v>0</v>
      </c>
      <c r="DY25" s="102"/>
      <c r="DZ25" s="1">
        <v>5</v>
      </c>
      <c r="EA25" s="104">
        <f t="shared" si="138"/>
        <v>0</v>
      </c>
      <c r="EB25" s="102"/>
      <c r="EC25" s="1">
        <v>5</v>
      </c>
      <c r="ED25" s="104">
        <f t="shared" si="139"/>
        <v>0</v>
      </c>
      <c r="EE25" s="102"/>
      <c r="EF25" s="1">
        <v>5</v>
      </c>
      <c r="EG25" s="104">
        <f t="shared" si="140"/>
        <v>0</v>
      </c>
      <c r="EH25" s="102"/>
      <c r="EI25" s="1">
        <v>5</v>
      </c>
      <c r="EJ25" s="104">
        <f t="shared" si="141"/>
        <v>0</v>
      </c>
      <c r="EK25" s="102"/>
      <c r="EL25" s="1">
        <v>5</v>
      </c>
      <c r="EM25" s="104">
        <f t="shared" si="142"/>
        <v>0</v>
      </c>
      <c r="EN25" s="102"/>
      <c r="EO25" s="1">
        <v>5</v>
      </c>
      <c r="EP25" s="104">
        <f t="shared" si="143"/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3.5" customHeight="1" spans="1:148" x14ac:dyDescent="0.25">
      <c r="A26" s="100" t="s">
        <v>97</v>
      </c>
      <c r="B26" s="101"/>
      <c r="C26" s="102"/>
      <c r="D26" s="103">
        <v>5</v>
      </c>
      <c r="E26" s="104">
        <f t="shared" si="96"/>
        <v>0</v>
      </c>
      <c r="F26" s="102"/>
      <c r="G26" s="103">
        <v>5</v>
      </c>
      <c r="H26" s="104">
        <f t="shared" si="97"/>
        <v>0</v>
      </c>
      <c r="I26" s="105"/>
      <c r="J26" s="103">
        <v>5</v>
      </c>
      <c r="K26" s="104">
        <f t="shared" si="98"/>
        <v>0</v>
      </c>
      <c r="L26" s="105"/>
      <c r="M26" s="103">
        <v>5</v>
      </c>
      <c r="N26" s="104">
        <f t="shared" si="99"/>
        <v>0</v>
      </c>
      <c r="O26" s="106"/>
      <c r="P26" s="107">
        <v>5</v>
      </c>
      <c r="Q26" s="104">
        <f t="shared" si="100"/>
        <v>0</v>
      </c>
      <c r="R26" s="102"/>
      <c r="S26" s="107">
        <v>5</v>
      </c>
      <c r="T26" s="104">
        <f t="shared" si="101"/>
        <v>0</v>
      </c>
      <c r="U26" s="102"/>
      <c r="V26" s="107">
        <v>5</v>
      </c>
      <c r="W26" s="104">
        <f t="shared" si="102"/>
        <v>0</v>
      </c>
      <c r="X26" s="102"/>
      <c r="Y26" s="107">
        <v>5</v>
      </c>
      <c r="Z26" s="104">
        <f t="shared" si="103"/>
        <v>0</v>
      </c>
      <c r="AA26" s="106"/>
      <c r="AB26" s="107">
        <v>5</v>
      </c>
      <c r="AC26" s="104">
        <f t="shared" si="104"/>
        <v>0</v>
      </c>
      <c r="AD26" s="106"/>
      <c r="AE26" s="107">
        <v>5</v>
      </c>
      <c r="AF26" s="104">
        <f t="shared" si="105"/>
        <v>0</v>
      </c>
      <c r="AG26" s="106"/>
      <c r="AH26" s="107">
        <v>5</v>
      </c>
      <c r="AI26" s="104">
        <f t="shared" si="106"/>
        <v>0</v>
      </c>
      <c r="AJ26" s="106"/>
      <c r="AK26" s="107">
        <v>5</v>
      </c>
      <c r="AL26" s="104">
        <f t="shared" si="107"/>
        <v>0</v>
      </c>
      <c r="AM26" s="102"/>
      <c r="AN26" s="1">
        <v>5</v>
      </c>
      <c r="AO26" s="104">
        <f t="shared" si="108"/>
        <v>0</v>
      </c>
      <c r="AP26" s="102"/>
      <c r="AQ26" s="1">
        <v>5</v>
      </c>
      <c r="AR26" s="104">
        <f t="shared" si="109"/>
        <v>0</v>
      </c>
      <c r="AS26" s="102"/>
      <c r="AT26" s="1">
        <v>5</v>
      </c>
      <c r="AU26" s="104">
        <f t="shared" si="110"/>
        <v>0</v>
      </c>
      <c r="AV26" s="102"/>
      <c r="AW26" s="1">
        <v>5</v>
      </c>
      <c r="AX26" s="104">
        <f t="shared" si="111"/>
        <v>0</v>
      </c>
      <c r="AY26" s="102"/>
      <c r="AZ26" s="1">
        <v>5</v>
      </c>
      <c r="BA26" s="104">
        <f t="shared" si="112"/>
        <v>0</v>
      </c>
      <c r="BB26" s="102"/>
      <c r="BC26" s="1">
        <v>5</v>
      </c>
      <c r="BD26" s="104">
        <f t="shared" si="113"/>
        <v>0</v>
      </c>
      <c r="BE26" s="102"/>
      <c r="BF26" s="1">
        <v>5</v>
      </c>
      <c r="BG26" s="104">
        <f t="shared" si="114"/>
        <v>0</v>
      </c>
      <c r="BH26" s="102"/>
      <c r="BI26" s="1">
        <v>5</v>
      </c>
      <c r="BJ26" s="104">
        <f t="shared" si="115"/>
        <v>0</v>
      </c>
      <c r="BK26" s="102"/>
      <c r="BL26" s="1">
        <v>5</v>
      </c>
      <c r="BM26" s="104">
        <f t="shared" si="116"/>
        <v>0</v>
      </c>
      <c r="BN26" s="102"/>
      <c r="BO26" s="1">
        <v>5</v>
      </c>
      <c r="BP26" s="104">
        <f t="shared" si="117"/>
        <v>0</v>
      </c>
      <c r="BQ26" s="102"/>
      <c r="BR26" s="1">
        <v>5</v>
      </c>
      <c r="BS26" s="104">
        <f t="shared" si="118"/>
        <v>0</v>
      </c>
      <c r="BT26" s="102"/>
      <c r="BU26" s="1">
        <v>5</v>
      </c>
      <c r="BV26" s="104">
        <f t="shared" si="119"/>
        <v>0</v>
      </c>
      <c r="BW26" s="102"/>
      <c r="BX26" s="1">
        <v>5</v>
      </c>
      <c r="BY26" s="104">
        <f t="shared" si="120"/>
        <v>0</v>
      </c>
      <c r="BZ26" s="102"/>
      <c r="CA26" s="1">
        <v>5</v>
      </c>
      <c r="CB26" s="104">
        <f t="shared" si="121"/>
        <v>0</v>
      </c>
      <c r="CC26" s="102"/>
      <c r="CD26" s="1">
        <v>5</v>
      </c>
      <c r="CE26" s="104">
        <f t="shared" si="122"/>
        <v>0</v>
      </c>
      <c r="CF26" s="102"/>
      <c r="CG26" s="1">
        <v>5</v>
      </c>
      <c r="CH26" s="104">
        <f t="shared" si="123"/>
        <v>0</v>
      </c>
      <c r="CI26" s="102"/>
      <c r="CJ26" s="1">
        <v>5</v>
      </c>
      <c r="CK26" s="104">
        <f t="shared" si="124"/>
        <v>0</v>
      </c>
      <c r="CL26" s="102"/>
      <c r="CM26" s="1">
        <v>5</v>
      </c>
      <c r="CN26" s="104">
        <f t="shared" si="125"/>
        <v>0</v>
      </c>
      <c r="CO26" s="102"/>
      <c r="CP26" s="1">
        <v>5</v>
      </c>
      <c r="CQ26" s="104">
        <f t="shared" si="126"/>
        <v>0</v>
      </c>
      <c r="CR26" s="102"/>
      <c r="CS26" s="1">
        <v>5</v>
      </c>
      <c r="CT26" s="104">
        <f t="shared" si="127"/>
        <v>0</v>
      </c>
      <c r="CU26" s="102"/>
      <c r="CV26" s="1">
        <v>5</v>
      </c>
      <c r="CW26" s="104">
        <f t="shared" si="128"/>
        <v>0</v>
      </c>
      <c r="CX26" s="102"/>
      <c r="CY26" s="1">
        <v>5</v>
      </c>
      <c r="CZ26" s="104">
        <f t="shared" si="129"/>
        <v>0</v>
      </c>
      <c r="DA26" s="102"/>
      <c r="DB26" s="1">
        <v>5</v>
      </c>
      <c r="DC26" s="104">
        <f t="shared" si="130"/>
        <v>0</v>
      </c>
      <c r="DD26" s="102"/>
      <c r="DE26" s="1">
        <v>5</v>
      </c>
      <c r="DF26" s="104">
        <f t="shared" si="131"/>
        <v>0</v>
      </c>
      <c r="DG26" s="102"/>
      <c r="DH26" s="1">
        <v>5</v>
      </c>
      <c r="DI26" s="104">
        <f t="shared" si="132"/>
        <v>0</v>
      </c>
      <c r="DJ26" s="102"/>
      <c r="DK26" s="1">
        <v>5</v>
      </c>
      <c r="DL26" s="104">
        <f t="shared" si="133"/>
        <v>0</v>
      </c>
      <c r="DM26" s="102"/>
      <c r="DN26" s="1">
        <v>5</v>
      </c>
      <c r="DO26" s="104">
        <f t="shared" si="134"/>
        <v>0</v>
      </c>
      <c r="DP26" s="102"/>
      <c r="DQ26" s="1">
        <v>5</v>
      </c>
      <c r="DR26" s="104">
        <f t="shared" si="135"/>
        <v>0</v>
      </c>
      <c r="DS26" s="102"/>
      <c r="DT26" s="1">
        <v>5</v>
      </c>
      <c r="DU26" s="104">
        <f t="shared" si="136"/>
        <v>0</v>
      </c>
      <c r="DV26" s="102"/>
      <c r="DW26" s="1">
        <v>5</v>
      </c>
      <c r="DX26" s="104">
        <f t="shared" si="137"/>
        <v>0</v>
      </c>
      <c r="DY26" s="102"/>
      <c r="DZ26" s="1">
        <v>5</v>
      </c>
      <c r="EA26" s="104">
        <f t="shared" si="138"/>
        <v>0</v>
      </c>
      <c r="EB26" s="102"/>
      <c r="EC26" s="1">
        <v>5</v>
      </c>
      <c r="ED26" s="104">
        <f t="shared" si="139"/>
        <v>0</v>
      </c>
      <c r="EE26" s="102"/>
      <c r="EF26" s="1">
        <v>5</v>
      </c>
      <c r="EG26" s="104">
        <f t="shared" si="140"/>
        <v>0</v>
      </c>
      <c r="EH26" s="102"/>
      <c r="EI26" s="1">
        <v>5</v>
      </c>
      <c r="EJ26" s="104">
        <f t="shared" si="141"/>
        <v>0</v>
      </c>
      <c r="EK26" s="102"/>
      <c r="EL26" s="1">
        <v>5</v>
      </c>
      <c r="EM26" s="104">
        <f t="shared" si="142"/>
        <v>0</v>
      </c>
      <c r="EN26" s="102"/>
      <c r="EO26" s="1">
        <v>5</v>
      </c>
      <c r="EP26" s="104">
        <f t="shared" si="143"/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25" customHeight="1" spans="1:148" x14ac:dyDescent="0.25">
      <c r="A27" s="100" t="s">
        <v>226</v>
      </c>
      <c r="B27" s="101"/>
      <c r="C27" s="102"/>
      <c r="D27" s="103">
        <v>5</v>
      </c>
      <c r="E27" s="104">
        <f t="shared" si="96"/>
        <v>0</v>
      </c>
      <c r="F27" s="102"/>
      <c r="G27" s="103">
        <v>5</v>
      </c>
      <c r="H27" s="104">
        <f t="shared" si="97"/>
        <v>0</v>
      </c>
      <c r="I27" s="105"/>
      <c r="J27" s="103">
        <v>5</v>
      </c>
      <c r="K27" s="104">
        <f t="shared" si="98"/>
        <v>0</v>
      </c>
      <c r="L27" s="105"/>
      <c r="M27" s="103">
        <v>5</v>
      </c>
      <c r="N27" s="104">
        <f t="shared" si="99"/>
        <v>0</v>
      </c>
      <c r="O27" s="106"/>
      <c r="P27" s="107">
        <v>5</v>
      </c>
      <c r="Q27" s="104">
        <f t="shared" si="100"/>
        <v>0</v>
      </c>
      <c r="R27" s="102"/>
      <c r="S27" s="107">
        <v>5</v>
      </c>
      <c r="T27" s="104">
        <f t="shared" si="101"/>
        <v>0</v>
      </c>
      <c r="U27" s="102"/>
      <c r="V27" s="107">
        <v>5</v>
      </c>
      <c r="W27" s="104">
        <f t="shared" si="102"/>
        <v>0</v>
      </c>
      <c r="X27" s="102"/>
      <c r="Y27" s="107">
        <v>5</v>
      </c>
      <c r="Z27" s="104">
        <f t="shared" si="103"/>
        <v>0</v>
      </c>
      <c r="AA27" s="106"/>
      <c r="AB27" s="107">
        <v>5</v>
      </c>
      <c r="AC27" s="104">
        <f t="shared" si="104"/>
        <v>0</v>
      </c>
      <c r="AD27" s="106"/>
      <c r="AE27" s="107">
        <v>5</v>
      </c>
      <c r="AF27" s="104">
        <f t="shared" si="105"/>
        <v>0</v>
      </c>
      <c r="AG27" s="106"/>
      <c r="AH27" s="107">
        <v>5</v>
      </c>
      <c r="AI27" s="104">
        <f t="shared" si="106"/>
        <v>0</v>
      </c>
      <c r="AJ27" s="106"/>
      <c r="AK27" s="107">
        <v>5</v>
      </c>
      <c r="AL27" s="104">
        <f t="shared" si="107"/>
        <v>0</v>
      </c>
      <c r="AM27" s="102"/>
      <c r="AN27" s="1">
        <v>5</v>
      </c>
      <c r="AO27" s="104">
        <f t="shared" si="108"/>
        <v>0</v>
      </c>
      <c r="AP27" s="102"/>
      <c r="AQ27" s="1">
        <v>5</v>
      </c>
      <c r="AR27" s="104">
        <f t="shared" si="109"/>
        <v>0</v>
      </c>
      <c r="AS27" s="102"/>
      <c r="AT27" s="1">
        <v>5</v>
      </c>
      <c r="AU27" s="104">
        <f t="shared" si="110"/>
        <v>0</v>
      </c>
      <c r="AV27" s="102"/>
      <c r="AW27" s="1">
        <v>5</v>
      </c>
      <c r="AX27" s="104">
        <f t="shared" si="111"/>
        <v>0</v>
      </c>
      <c r="AY27" s="102"/>
      <c r="AZ27" s="1">
        <v>5</v>
      </c>
      <c r="BA27" s="104">
        <f t="shared" si="112"/>
        <v>0</v>
      </c>
      <c r="BB27" s="102"/>
      <c r="BC27" s="1">
        <v>5</v>
      </c>
      <c r="BD27" s="104">
        <f t="shared" si="113"/>
        <v>0</v>
      </c>
      <c r="BE27" s="102"/>
      <c r="BF27" s="1">
        <v>5</v>
      </c>
      <c r="BG27" s="104">
        <f t="shared" si="114"/>
        <v>0</v>
      </c>
      <c r="BH27" s="102"/>
      <c r="BI27" s="1">
        <v>5</v>
      </c>
      <c r="BJ27" s="104">
        <f t="shared" si="115"/>
        <v>0</v>
      </c>
      <c r="BK27" s="102"/>
      <c r="BL27" s="1">
        <v>5</v>
      </c>
      <c r="BM27" s="104">
        <f t="shared" si="116"/>
        <v>0</v>
      </c>
      <c r="BN27" s="102"/>
      <c r="BO27" s="1">
        <v>5</v>
      </c>
      <c r="BP27" s="104">
        <f t="shared" si="117"/>
        <v>0</v>
      </c>
      <c r="BQ27" s="102"/>
      <c r="BR27" s="1">
        <v>5</v>
      </c>
      <c r="BS27" s="104">
        <f t="shared" si="118"/>
        <v>0</v>
      </c>
      <c r="BT27" s="102"/>
      <c r="BU27" s="1">
        <v>5</v>
      </c>
      <c r="BV27" s="104">
        <f t="shared" si="119"/>
        <v>0</v>
      </c>
      <c r="BW27" s="102"/>
      <c r="BX27" s="1">
        <v>5</v>
      </c>
      <c r="BY27" s="104">
        <f t="shared" si="120"/>
        <v>0</v>
      </c>
      <c r="BZ27" s="102"/>
      <c r="CA27" s="1">
        <v>5</v>
      </c>
      <c r="CB27" s="104">
        <f t="shared" si="121"/>
        <v>0</v>
      </c>
      <c r="CC27" s="102"/>
      <c r="CD27" s="1">
        <v>5</v>
      </c>
      <c r="CE27" s="104">
        <f t="shared" si="122"/>
        <v>0</v>
      </c>
      <c r="CF27" s="102"/>
      <c r="CG27" s="1">
        <v>5</v>
      </c>
      <c r="CH27" s="104">
        <f t="shared" si="123"/>
        <v>0</v>
      </c>
      <c r="CI27" s="102"/>
      <c r="CJ27" s="1">
        <v>5</v>
      </c>
      <c r="CK27" s="104">
        <f t="shared" si="124"/>
        <v>0</v>
      </c>
      <c r="CL27" s="102"/>
      <c r="CM27" s="1">
        <v>5</v>
      </c>
      <c r="CN27" s="104">
        <f t="shared" si="125"/>
        <v>0</v>
      </c>
      <c r="CO27" s="102"/>
      <c r="CP27" s="1">
        <v>5</v>
      </c>
      <c r="CQ27" s="104">
        <f t="shared" si="126"/>
        <v>0</v>
      </c>
      <c r="CR27" s="102"/>
      <c r="CS27" s="1">
        <v>5</v>
      </c>
      <c r="CT27" s="104">
        <f t="shared" si="127"/>
        <v>0</v>
      </c>
      <c r="CU27" s="102"/>
      <c r="CV27" s="1">
        <v>5</v>
      </c>
      <c r="CW27" s="104">
        <f t="shared" si="128"/>
        <v>0</v>
      </c>
      <c r="CX27" s="102"/>
      <c r="CY27" s="1">
        <v>5</v>
      </c>
      <c r="CZ27" s="104">
        <f t="shared" si="129"/>
        <v>0</v>
      </c>
      <c r="DA27" s="102"/>
      <c r="DB27" s="1">
        <v>5</v>
      </c>
      <c r="DC27" s="104">
        <f t="shared" si="130"/>
        <v>0</v>
      </c>
      <c r="DD27" s="102"/>
      <c r="DE27" s="1">
        <v>5</v>
      </c>
      <c r="DF27" s="104">
        <f t="shared" si="131"/>
        <v>0</v>
      </c>
      <c r="DG27" s="102"/>
      <c r="DH27" s="1">
        <v>5</v>
      </c>
      <c r="DI27" s="104">
        <f t="shared" si="132"/>
        <v>0</v>
      </c>
      <c r="DJ27" s="102"/>
      <c r="DK27" s="1">
        <v>5</v>
      </c>
      <c r="DL27" s="104">
        <f t="shared" si="133"/>
        <v>0</v>
      </c>
      <c r="DM27" s="102"/>
      <c r="DN27" s="1">
        <v>5</v>
      </c>
      <c r="DO27" s="104">
        <f t="shared" si="134"/>
        <v>0</v>
      </c>
      <c r="DP27" s="102"/>
      <c r="DQ27" s="1">
        <v>5</v>
      </c>
      <c r="DR27" s="104">
        <f t="shared" si="135"/>
        <v>0</v>
      </c>
      <c r="DS27" s="102"/>
      <c r="DT27" s="1">
        <v>5</v>
      </c>
      <c r="DU27" s="104">
        <f t="shared" si="136"/>
        <v>0</v>
      </c>
      <c r="DV27" s="102"/>
      <c r="DW27" s="1">
        <v>5</v>
      </c>
      <c r="DX27" s="104">
        <f t="shared" si="137"/>
        <v>0</v>
      </c>
      <c r="DY27" s="102"/>
      <c r="DZ27" s="1">
        <v>5</v>
      </c>
      <c r="EA27" s="104">
        <f t="shared" si="138"/>
        <v>0</v>
      </c>
      <c r="EB27" s="102"/>
      <c r="EC27" s="1">
        <v>5</v>
      </c>
      <c r="ED27" s="104">
        <f t="shared" si="139"/>
        <v>0</v>
      </c>
      <c r="EE27" s="102"/>
      <c r="EF27" s="1">
        <v>5</v>
      </c>
      <c r="EG27" s="104">
        <f t="shared" si="140"/>
        <v>0</v>
      </c>
      <c r="EH27" s="102"/>
      <c r="EI27" s="1">
        <v>5</v>
      </c>
      <c r="EJ27" s="104">
        <f t="shared" si="141"/>
        <v>0</v>
      </c>
      <c r="EK27" s="102"/>
      <c r="EL27" s="1">
        <v>5</v>
      </c>
      <c r="EM27" s="104">
        <f t="shared" si="142"/>
        <v>0</v>
      </c>
      <c r="EN27" s="102"/>
      <c r="EO27" s="1">
        <v>5</v>
      </c>
      <c r="EP27" s="104">
        <f t="shared" si="143"/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16" customHeight="1" spans="1:148" x14ac:dyDescent="0.25">
      <c r="A28" s="100" t="s">
        <v>99</v>
      </c>
      <c r="B28" s="101"/>
      <c r="C28" s="102"/>
      <c r="D28" s="103">
        <v>5</v>
      </c>
      <c r="E28" s="104">
        <f t="shared" si="96"/>
        <v>0</v>
      </c>
      <c r="F28" s="102"/>
      <c r="G28" s="103">
        <v>5</v>
      </c>
      <c r="H28" s="104">
        <f t="shared" si="97"/>
        <v>0</v>
      </c>
      <c r="I28" s="105"/>
      <c r="J28" s="103">
        <v>5</v>
      </c>
      <c r="K28" s="104">
        <f t="shared" si="98"/>
        <v>0</v>
      </c>
      <c r="L28" s="105"/>
      <c r="M28" s="103">
        <v>5</v>
      </c>
      <c r="N28" s="104">
        <f t="shared" si="99"/>
        <v>0</v>
      </c>
      <c r="O28" s="106"/>
      <c r="P28" s="107">
        <v>5</v>
      </c>
      <c r="Q28" s="104">
        <f t="shared" si="100"/>
        <v>0</v>
      </c>
      <c r="R28" s="102"/>
      <c r="S28" s="107">
        <v>5</v>
      </c>
      <c r="T28" s="104">
        <f t="shared" si="101"/>
        <v>0</v>
      </c>
      <c r="U28" s="102"/>
      <c r="V28" s="107">
        <v>5</v>
      </c>
      <c r="W28" s="104">
        <f t="shared" si="102"/>
        <v>0</v>
      </c>
      <c r="X28" s="102"/>
      <c r="Y28" s="107">
        <v>5</v>
      </c>
      <c r="Z28" s="104">
        <f t="shared" si="103"/>
        <v>0</v>
      </c>
      <c r="AA28" s="106"/>
      <c r="AB28" s="107">
        <v>5</v>
      </c>
      <c r="AC28" s="104">
        <f t="shared" si="104"/>
        <v>0</v>
      </c>
      <c r="AD28" s="106"/>
      <c r="AE28" s="107">
        <v>5</v>
      </c>
      <c r="AF28" s="104">
        <f t="shared" si="105"/>
        <v>0</v>
      </c>
      <c r="AG28" s="106"/>
      <c r="AH28" s="107">
        <v>5</v>
      </c>
      <c r="AI28" s="104">
        <f t="shared" si="106"/>
        <v>0</v>
      </c>
      <c r="AJ28" s="106"/>
      <c r="AK28" s="107">
        <v>5</v>
      </c>
      <c r="AL28" s="104">
        <f t="shared" si="107"/>
        <v>0</v>
      </c>
      <c r="AM28" s="102"/>
      <c r="AN28" s="1">
        <v>5</v>
      </c>
      <c r="AO28" s="104">
        <f t="shared" si="108"/>
        <v>0</v>
      </c>
      <c r="AP28" s="102"/>
      <c r="AQ28" s="1">
        <v>5</v>
      </c>
      <c r="AR28" s="104">
        <f t="shared" si="109"/>
        <v>0</v>
      </c>
      <c r="AS28" s="102"/>
      <c r="AT28" s="1">
        <v>5</v>
      </c>
      <c r="AU28" s="104">
        <f t="shared" si="110"/>
        <v>0</v>
      </c>
      <c r="AV28" s="102"/>
      <c r="AW28" s="1">
        <v>5</v>
      </c>
      <c r="AX28" s="104">
        <f t="shared" si="111"/>
        <v>0</v>
      </c>
      <c r="AY28" s="102"/>
      <c r="AZ28" s="1">
        <v>5</v>
      </c>
      <c r="BA28" s="104">
        <f t="shared" si="112"/>
        <v>0</v>
      </c>
      <c r="BB28" s="102"/>
      <c r="BC28" s="1">
        <v>5</v>
      </c>
      <c r="BD28" s="104">
        <f t="shared" si="113"/>
        <v>0</v>
      </c>
      <c r="BE28" s="102"/>
      <c r="BF28" s="1">
        <v>5</v>
      </c>
      <c r="BG28" s="104">
        <f t="shared" si="114"/>
        <v>0</v>
      </c>
      <c r="BH28" s="102"/>
      <c r="BI28" s="1">
        <v>5</v>
      </c>
      <c r="BJ28" s="104">
        <f t="shared" si="115"/>
        <v>0</v>
      </c>
      <c r="BK28" s="102"/>
      <c r="BL28" s="1">
        <v>5</v>
      </c>
      <c r="BM28" s="104">
        <f t="shared" si="116"/>
        <v>0</v>
      </c>
      <c r="BN28" s="102"/>
      <c r="BO28" s="1">
        <v>5</v>
      </c>
      <c r="BP28" s="104">
        <f t="shared" si="117"/>
        <v>0</v>
      </c>
      <c r="BQ28" s="102"/>
      <c r="BR28" s="1">
        <v>5</v>
      </c>
      <c r="BS28" s="104">
        <f t="shared" si="118"/>
        <v>0</v>
      </c>
      <c r="BT28" s="102"/>
      <c r="BU28" s="1">
        <v>5</v>
      </c>
      <c r="BV28" s="104">
        <f t="shared" si="119"/>
        <v>0</v>
      </c>
      <c r="BW28" s="102"/>
      <c r="BX28" s="1">
        <v>5</v>
      </c>
      <c r="BY28" s="104">
        <f t="shared" si="120"/>
        <v>0</v>
      </c>
      <c r="BZ28" s="102"/>
      <c r="CA28" s="1">
        <v>5</v>
      </c>
      <c r="CB28" s="104">
        <f t="shared" si="121"/>
        <v>0</v>
      </c>
      <c r="CC28" s="102"/>
      <c r="CD28" s="1">
        <v>5</v>
      </c>
      <c r="CE28" s="104">
        <f t="shared" si="122"/>
        <v>0</v>
      </c>
      <c r="CF28" s="102"/>
      <c r="CG28" s="1">
        <v>5</v>
      </c>
      <c r="CH28" s="104">
        <f t="shared" si="123"/>
        <v>0</v>
      </c>
      <c r="CI28" s="102"/>
      <c r="CJ28" s="1">
        <v>5</v>
      </c>
      <c r="CK28" s="104">
        <f t="shared" si="124"/>
        <v>0</v>
      </c>
      <c r="CL28" s="102"/>
      <c r="CM28" s="1">
        <v>5</v>
      </c>
      <c r="CN28" s="104">
        <f t="shared" si="125"/>
        <v>0</v>
      </c>
      <c r="CO28" s="102"/>
      <c r="CP28" s="1">
        <v>5</v>
      </c>
      <c r="CQ28" s="104">
        <f t="shared" si="126"/>
        <v>0</v>
      </c>
      <c r="CR28" s="102"/>
      <c r="CS28" s="1">
        <v>5</v>
      </c>
      <c r="CT28" s="104">
        <f t="shared" si="127"/>
        <v>0</v>
      </c>
      <c r="CU28" s="102"/>
      <c r="CV28" s="1">
        <v>5</v>
      </c>
      <c r="CW28" s="104">
        <f t="shared" si="128"/>
        <v>0</v>
      </c>
      <c r="CX28" s="102"/>
      <c r="CY28" s="1">
        <v>5</v>
      </c>
      <c r="CZ28" s="104">
        <f t="shared" si="129"/>
        <v>0</v>
      </c>
      <c r="DA28" s="102"/>
      <c r="DB28" s="1">
        <v>5</v>
      </c>
      <c r="DC28" s="104">
        <f t="shared" si="130"/>
        <v>0</v>
      </c>
      <c r="DD28" s="102"/>
      <c r="DE28" s="1">
        <v>5</v>
      </c>
      <c r="DF28" s="104">
        <f t="shared" si="131"/>
        <v>0</v>
      </c>
      <c r="DG28" s="102"/>
      <c r="DH28" s="1">
        <v>5</v>
      </c>
      <c r="DI28" s="104">
        <f t="shared" si="132"/>
        <v>0</v>
      </c>
      <c r="DJ28" s="102"/>
      <c r="DK28" s="1">
        <v>5</v>
      </c>
      <c r="DL28" s="104">
        <f t="shared" si="133"/>
        <v>0</v>
      </c>
      <c r="DM28" s="102"/>
      <c r="DN28" s="1">
        <v>5</v>
      </c>
      <c r="DO28" s="104">
        <f t="shared" si="134"/>
        <v>0</v>
      </c>
      <c r="DP28" s="102"/>
      <c r="DQ28" s="1">
        <v>5</v>
      </c>
      <c r="DR28" s="104">
        <f t="shared" si="135"/>
        <v>0</v>
      </c>
      <c r="DS28" s="102"/>
      <c r="DT28" s="1">
        <v>5</v>
      </c>
      <c r="DU28" s="104">
        <f t="shared" si="136"/>
        <v>0</v>
      </c>
      <c r="DV28" s="102"/>
      <c r="DW28" s="1">
        <v>5</v>
      </c>
      <c r="DX28" s="104">
        <f t="shared" si="137"/>
        <v>0</v>
      </c>
      <c r="DY28" s="102"/>
      <c r="DZ28" s="1">
        <v>5</v>
      </c>
      <c r="EA28" s="104">
        <f t="shared" si="138"/>
        <v>0</v>
      </c>
      <c r="EB28" s="102"/>
      <c r="EC28" s="1">
        <v>5</v>
      </c>
      <c r="ED28" s="104">
        <f t="shared" si="139"/>
        <v>0</v>
      </c>
      <c r="EE28" s="102"/>
      <c r="EF28" s="1">
        <v>5</v>
      </c>
      <c r="EG28" s="104">
        <f t="shared" si="140"/>
        <v>0</v>
      </c>
      <c r="EH28" s="102"/>
      <c r="EI28" s="1">
        <v>5</v>
      </c>
      <c r="EJ28" s="104">
        <f t="shared" si="141"/>
        <v>0</v>
      </c>
      <c r="EK28" s="102"/>
      <c r="EL28" s="1">
        <v>5</v>
      </c>
      <c r="EM28" s="104">
        <f t="shared" si="142"/>
        <v>0</v>
      </c>
      <c r="EN28" s="102"/>
      <c r="EO28" s="1">
        <v>5</v>
      </c>
      <c r="EP28" s="104">
        <f t="shared" si="143"/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24" customHeight="1" spans="1:148" x14ac:dyDescent="0.25">
      <c r="A29" s="100" t="s">
        <v>100</v>
      </c>
      <c r="B29" s="101"/>
      <c r="C29" s="102"/>
      <c r="D29" s="103">
        <v>5</v>
      </c>
      <c r="E29" s="104">
        <f t="shared" si="96"/>
        <v>0</v>
      </c>
      <c r="F29" s="102"/>
      <c r="G29" s="103">
        <v>5</v>
      </c>
      <c r="H29" s="104">
        <f t="shared" si="97"/>
        <v>0</v>
      </c>
      <c r="I29" s="105"/>
      <c r="J29" s="103">
        <v>5</v>
      </c>
      <c r="K29" s="104">
        <f t="shared" si="98"/>
        <v>0</v>
      </c>
      <c r="L29" s="105"/>
      <c r="M29" s="103">
        <v>5</v>
      </c>
      <c r="N29" s="104">
        <f t="shared" si="99"/>
        <v>0</v>
      </c>
      <c r="O29" s="106"/>
      <c r="P29" s="107">
        <v>5</v>
      </c>
      <c r="Q29" s="104">
        <f t="shared" si="100"/>
        <v>0</v>
      </c>
      <c r="R29" s="102"/>
      <c r="S29" s="107">
        <v>5</v>
      </c>
      <c r="T29" s="104">
        <f t="shared" si="101"/>
        <v>0</v>
      </c>
      <c r="U29" s="102"/>
      <c r="V29" s="107">
        <v>5</v>
      </c>
      <c r="W29" s="104">
        <f t="shared" si="102"/>
        <v>0</v>
      </c>
      <c r="X29" s="102"/>
      <c r="Y29" s="107">
        <v>5</v>
      </c>
      <c r="Z29" s="104">
        <f t="shared" si="103"/>
        <v>0</v>
      </c>
      <c r="AA29" s="106"/>
      <c r="AB29" s="107">
        <v>5</v>
      </c>
      <c r="AC29" s="104">
        <f t="shared" si="104"/>
        <v>0</v>
      </c>
      <c r="AD29" s="106"/>
      <c r="AE29" s="107">
        <v>5</v>
      </c>
      <c r="AF29" s="104">
        <f t="shared" si="105"/>
        <v>0</v>
      </c>
      <c r="AG29" s="106"/>
      <c r="AH29" s="107">
        <v>5</v>
      </c>
      <c r="AI29" s="104">
        <f t="shared" si="106"/>
        <v>0</v>
      </c>
      <c r="AJ29" s="106"/>
      <c r="AK29" s="107">
        <v>5</v>
      </c>
      <c r="AL29" s="104">
        <f t="shared" si="107"/>
        <v>0</v>
      </c>
      <c r="AM29" s="102"/>
      <c r="AN29" s="1">
        <v>5</v>
      </c>
      <c r="AO29" s="104">
        <f t="shared" si="108"/>
        <v>0</v>
      </c>
      <c r="AP29" s="102"/>
      <c r="AQ29" s="1">
        <v>5</v>
      </c>
      <c r="AR29" s="104">
        <f t="shared" si="109"/>
        <v>0</v>
      </c>
      <c r="AS29" s="102"/>
      <c r="AT29" s="1">
        <v>5</v>
      </c>
      <c r="AU29" s="104">
        <f t="shared" si="110"/>
        <v>0</v>
      </c>
      <c r="AV29" s="102"/>
      <c r="AW29" s="1">
        <v>5</v>
      </c>
      <c r="AX29" s="104">
        <f t="shared" si="111"/>
        <v>0</v>
      </c>
      <c r="AY29" s="102"/>
      <c r="AZ29" s="1">
        <v>5</v>
      </c>
      <c r="BA29" s="104">
        <f t="shared" si="112"/>
        <v>0</v>
      </c>
      <c r="BB29" s="102"/>
      <c r="BC29" s="1">
        <v>5</v>
      </c>
      <c r="BD29" s="104">
        <f t="shared" si="113"/>
        <v>0</v>
      </c>
      <c r="BE29" s="102"/>
      <c r="BF29" s="1">
        <v>5</v>
      </c>
      <c r="BG29" s="104">
        <f t="shared" si="114"/>
        <v>0</v>
      </c>
      <c r="BH29" s="102"/>
      <c r="BI29" s="1">
        <v>5</v>
      </c>
      <c r="BJ29" s="104">
        <f t="shared" si="115"/>
        <v>0</v>
      </c>
      <c r="BK29" s="102"/>
      <c r="BL29" s="1">
        <v>5</v>
      </c>
      <c r="BM29" s="104">
        <f t="shared" si="116"/>
        <v>0</v>
      </c>
      <c r="BN29" s="102"/>
      <c r="BO29" s="1">
        <v>5</v>
      </c>
      <c r="BP29" s="104">
        <f t="shared" si="117"/>
        <v>0</v>
      </c>
      <c r="BQ29" s="102"/>
      <c r="BR29" s="1">
        <v>5</v>
      </c>
      <c r="BS29" s="104">
        <f t="shared" si="118"/>
        <v>0</v>
      </c>
      <c r="BT29" s="102"/>
      <c r="BU29" s="1">
        <v>5</v>
      </c>
      <c r="BV29" s="104">
        <f t="shared" si="119"/>
        <v>0</v>
      </c>
      <c r="BW29" s="102"/>
      <c r="BX29" s="1">
        <v>5</v>
      </c>
      <c r="BY29" s="104">
        <f t="shared" si="120"/>
        <v>0</v>
      </c>
      <c r="BZ29" s="102"/>
      <c r="CA29" s="1">
        <v>5</v>
      </c>
      <c r="CB29" s="104">
        <f t="shared" si="121"/>
        <v>0</v>
      </c>
      <c r="CC29" s="102"/>
      <c r="CD29" s="1">
        <v>5</v>
      </c>
      <c r="CE29" s="104">
        <f t="shared" si="122"/>
        <v>0</v>
      </c>
      <c r="CF29" s="102"/>
      <c r="CG29" s="1">
        <v>5</v>
      </c>
      <c r="CH29" s="104">
        <f t="shared" si="123"/>
        <v>0</v>
      </c>
      <c r="CI29" s="102"/>
      <c r="CJ29" s="1">
        <v>5</v>
      </c>
      <c r="CK29" s="104">
        <f t="shared" si="124"/>
        <v>0</v>
      </c>
      <c r="CL29" s="102"/>
      <c r="CM29" s="1">
        <v>5</v>
      </c>
      <c r="CN29" s="104">
        <f t="shared" si="125"/>
        <v>0</v>
      </c>
      <c r="CO29" s="102"/>
      <c r="CP29" s="1">
        <v>5</v>
      </c>
      <c r="CQ29" s="104">
        <f t="shared" si="126"/>
        <v>0</v>
      </c>
      <c r="CR29" s="102"/>
      <c r="CS29" s="1">
        <v>5</v>
      </c>
      <c r="CT29" s="104">
        <f t="shared" si="127"/>
        <v>0</v>
      </c>
      <c r="CU29" s="102"/>
      <c r="CV29" s="1">
        <v>5</v>
      </c>
      <c r="CW29" s="104">
        <f t="shared" si="128"/>
        <v>0</v>
      </c>
      <c r="CX29" s="102"/>
      <c r="CY29" s="1">
        <v>5</v>
      </c>
      <c r="CZ29" s="104">
        <f t="shared" si="129"/>
        <v>0</v>
      </c>
      <c r="DA29" s="102"/>
      <c r="DB29" s="1">
        <v>5</v>
      </c>
      <c r="DC29" s="104">
        <f t="shared" si="130"/>
        <v>0</v>
      </c>
      <c r="DD29" s="102"/>
      <c r="DE29" s="1">
        <v>5</v>
      </c>
      <c r="DF29" s="104">
        <f t="shared" si="131"/>
        <v>0</v>
      </c>
      <c r="DG29" s="102"/>
      <c r="DH29" s="1">
        <v>5</v>
      </c>
      <c r="DI29" s="104">
        <f t="shared" si="132"/>
        <v>0</v>
      </c>
      <c r="DJ29" s="102"/>
      <c r="DK29" s="1">
        <v>5</v>
      </c>
      <c r="DL29" s="104">
        <f t="shared" si="133"/>
        <v>0</v>
      </c>
      <c r="DM29" s="102"/>
      <c r="DN29" s="1">
        <v>5</v>
      </c>
      <c r="DO29" s="104">
        <f t="shared" si="134"/>
        <v>0</v>
      </c>
      <c r="DP29" s="102"/>
      <c r="DQ29" s="1">
        <v>5</v>
      </c>
      <c r="DR29" s="104">
        <f t="shared" si="135"/>
        <v>0</v>
      </c>
      <c r="DS29" s="102"/>
      <c r="DT29" s="1">
        <v>5</v>
      </c>
      <c r="DU29" s="104">
        <f t="shared" si="136"/>
        <v>0</v>
      </c>
      <c r="DV29" s="102"/>
      <c r="DW29" s="1">
        <v>5</v>
      </c>
      <c r="DX29" s="104">
        <f t="shared" si="137"/>
        <v>0</v>
      </c>
      <c r="DY29" s="102"/>
      <c r="DZ29" s="1">
        <v>5</v>
      </c>
      <c r="EA29" s="104">
        <f t="shared" si="138"/>
        <v>0</v>
      </c>
      <c r="EB29" s="102"/>
      <c r="EC29" s="1">
        <v>5</v>
      </c>
      <c r="ED29" s="104">
        <f t="shared" si="139"/>
        <v>0</v>
      </c>
      <c r="EE29" s="102"/>
      <c r="EF29" s="1">
        <v>5</v>
      </c>
      <c r="EG29" s="104">
        <f t="shared" si="140"/>
        <v>0</v>
      </c>
      <c r="EH29" s="102"/>
      <c r="EI29" s="1">
        <v>5</v>
      </c>
      <c r="EJ29" s="104">
        <f t="shared" si="141"/>
        <v>0</v>
      </c>
      <c r="EK29" s="102"/>
      <c r="EL29" s="1">
        <v>5</v>
      </c>
      <c r="EM29" s="104">
        <f t="shared" si="142"/>
        <v>0</v>
      </c>
      <c r="EN29" s="102"/>
      <c r="EO29" s="1">
        <v>5</v>
      </c>
      <c r="EP29" s="104">
        <f t="shared" si="143"/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16" customHeight="1" spans="1:148" x14ac:dyDescent="0.25">
      <c r="A30" s="100" t="s">
        <v>101</v>
      </c>
      <c r="B30" s="101"/>
      <c r="C30" s="102"/>
      <c r="D30" s="103">
        <v>5</v>
      </c>
      <c r="E30" s="104">
        <f t="shared" si="96"/>
        <v>0</v>
      </c>
      <c r="F30" s="102"/>
      <c r="G30" s="103">
        <v>5</v>
      </c>
      <c r="H30" s="104">
        <f t="shared" si="97"/>
        <v>0</v>
      </c>
      <c r="I30" s="105"/>
      <c r="J30" s="103">
        <v>5</v>
      </c>
      <c r="K30" s="104">
        <f t="shared" si="98"/>
        <v>0</v>
      </c>
      <c r="L30" s="105"/>
      <c r="M30" s="103">
        <v>5</v>
      </c>
      <c r="N30" s="104">
        <f t="shared" si="99"/>
        <v>0</v>
      </c>
      <c r="O30" s="106"/>
      <c r="P30" s="107">
        <v>5</v>
      </c>
      <c r="Q30" s="104">
        <f t="shared" si="100"/>
        <v>0</v>
      </c>
      <c r="R30" s="102"/>
      <c r="S30" s="107">
        <v>5</v>
      </c>
      <c r="T30" s="104">
        <f t="shared" si="101"/>
        <v>0</v>
      </c>
      <c r="U30" s="102"/>
      <c r="V30" s="107">
        <v>5</v>
      </c>
      <c r="W30" s="104">
        <f t="shared" si="102"/>
        <v>0</v>
      </c>
      <c r="X30" s="102"/>
      <c r="Y30" s="107">
        <v>5</v>
      </c>
      <c r="Z30" s="104">
        <f t="shared" si="103"/>
        <v>0</v>
      </c>
      <c r="AA30" s="106"/>
      <c r="AB30" s="107">
        <v>5</v>
      </c>
      <c r="AC30" s="104">
        <f t="shared" si="104"/>
        <v>0</v>
      </c>
      <c r="AD30" s="106"/>
      <c r="AE30" s="107">
        <v>5</v>
      </c>
      <c r="AF30" s="104">
        <f t="shared" si="105"/>
        <v>0</v>
      </c>
      <c r="AG30" s="106"/>
      <c r="AH30" s="107">
        <v>5</v>
      </c>
      <c r="AI30" s="104">
        <f t="shared" si="106"/>
        <v>0</v>
      </c>
      <c r="AJ30" s="106"/>
      <c r="AK30" s="107">
        <v>5</v>
      </c>
      <c r="AL30" s="104">
        <f t="shared" si="107"/>
        <v>0</v>
      </c>
      <c r="AM30" s="102"/>
      <c r="AN30" s="1">
        <v>5</v>
      </c>
      <c r="AO30" s="104">
        <f t="shared" si="108"/>
        <v>0</v>
      </c>
      <c r="AP30" s="102"/>
      <c r="AQ30" s="1">
        <v>5</v>
      </c>
      <c r="AR30" s="104">
        <f t="shared" si="109"/>
        <v>0</v>
      </c>
      <c r="AS30" s="102"/>
      <c r="AT30" s="1">
        <v>5</v>
      </c>
      <c r="AU30" s="104">
        <f t="shared" si="110"/>
        <v>0</v>
      </c>
      <c r="AV30" s="102"/>
      <c r="AW30" s="1">
        <v>5</v>
      </c>
      <c r="AX30" s="104">
        <f t="shared" si="111"/>
        <v>0</v>
      </c>
      <c r="AY30" s="102"/>
      <c r="AZ30" s="1">
        <v>5</v>
      </c>
      <c r="BA30" s="104">
        <f t="shared" si="112"/>
        <v>0</v>
      </c>
      <c r="BB30" s="102"/>
      <c r="BC30" s="1">
        <v>5</v>
      </c>
      <c r="BD30" s="104">
        <f t="shared" si="113"/>
        <v>0</v>
      </c>
      <c r="BE30" s="102"/>
      <c r="BF30" s="1">
        <v>5</v>
      </c>
      <c r="BG30" s="104">
        <f t="shared" si="114"/>
        <v>0</v>
      </c>
      <c r="BH30" s="102"/>
      <c r="BI30" s="1">
        <v>5</v>
      </c>
      <c r="BJ30" s="104">
        <f t="shared" si="115"/>
        <v>0</v>
      </c>
      <c r="BK30" s="102"/>
      <c r="BL30" s="1">
        <v>5</v>
      </c>
      <c r="BM30" s="104">
        <f t="shared" si="116"/>
        <v>0</v>
      </c>
      <c r="BN30" s="102"/>
      <c r="BO30" s="1">
        <v>5</v>
      </c>
      <c r="BP30" s="104">
        <f t="shared" si="117"/>
        <v>0</v>
      </c>
      <c r="BQ30" s="102"/>
      <c r="BR30" s="1">
        <v>5</v>
      </c>
      <c r="BS30" s="104">
        <f t="shared" si="118"/>
        <v>0</v>
      </c>
      <c r="BT30" s="102"/>
      <c r="BU30" s="1">
        <v>5</v>
      </c>
      <c r="BV30" s="104">
        <f t="shared" si="119"/>
        <v>0</v>
      </c>
      <c r="BW30" s="102"/>
      <c r="BX30" s="1">
        <v>5</v>
      </c>
      <c r="BY30" s="104">
        <f t="shared" si="120"/>
        <v>0</v>
      </c>
      <c r="BZ30" s="102"/>
      <c r="CA30" s="1">
        <v>5</v>
      </c>
      <c r="CB30" s="104">
        <f t="shared" si="121"/>
        <v>0</v>
      </c>
      <c r="CC30" s="102"/>
      <c r="CD30" s="1">
        <v>5</v>
      </c>
      <c r="CE30" s="104">
        <f t="shared" si="122"/>
        <v>0</v>
      </c>
      <c r="CF30" s="102"/>
      <c r="CG30" s="1">
        <v>5</v>
      </c>
      <c r="CH30" s="104">
        <f t="shared" si="123"/>
        <v>0</v>
      </c>
      <c r="CI30" s="102"/>
      <c r="CJ30" s="1">
        <v>5</v>
      </c>
      <c r="CK30" s="104">
        <f t="shared" si="124"/>
        <v>0</v>
      </c>
      <c r="CL30" s="102"/>
      <c r="CM30" s="1">
        <v>5</v>
      </c>
      <c r="CN30" s="104">
        <f t="shared" si="125"/>
        <v>0</v>
      </c>
      <c r="CO30" s="102"/>
      <c r="CP30" s="1">
        <v>5</v>
      </c>
      <c r="CQ30" s="104">
        <f t="shared" si="126"/>
        <v>0</v>
      </c>
      <c r="CR30" s="102"/>
      <c r="CS30" s="1">
        <v>5</v>
      </c>
      <c r="CT30" s="104">
        <f t="shared" si="127"/>
        <v>0</v>
      </c>
      <c r="CU30" s="102"/>
      <c r="CV30" s="1">
        <v>5</v>
      </c>
      <c r="CW30" s="104">
        <f t="shared" si="128"/>
        <v>0</v>
      </c>
      <c r="CX30" s="102"/>
      <c r="CY30" s="1">
        <v>5</v>
      </c>
      <c r="CZ30" s="104">
        <f t="shared" si="129"/>
        <v>0</v>
      </c>
      <c r="DA30" s="102"/>
      <c r="DB30" s="1">
        <v>5</v>
      </c>
      <c r="DC30" s="104">
        <f t="shared" si="130"/>
        <v>0</v>
      </c>
      <c r="DD30" s="102"/>
      <c r="DE30" s="1">
        <v>5</v>
      </c>
      <c r="DF30" s="104">
        <f t="shared" si="131"/>
        <v>0</v>
      </c>
      <c r="DG30" s="102"/>
      <c r="DH30" s="1">
        <v>5</v>
      </c>
      <c r="DI30" s="104">
        <f t="shared" si="132"/>
        <v>0</v>
      </c>
      <c r="DJ30" s="102"/>
      <c r="DK30" s="1">
        <v>5</v>
      </c>
      <c r="DL30" s="104">
        <f t="shared" si="133"/>
        <v>0</v>
      </c>
      <c r="DM30" s="102"/>
      <c r="DN30" s="1">
        <v>5</v>
      </c>
      <c r="DO30" s="104">
        <f t="shared" si="134"/>
        <v>0</v>
      </c>
      <c r="DP30" s="102"/>
      <c r="DQ30" s="1">
        <v>5</v>
      </c>
      <c r="DR30" s="104">
        <f t="shared" si="135"/>
        <v>0</v>
      </c>
      <c r="DS30" s="102"/>
      <c r="DT30" s="1">
        <v>5</v>
      </c>
      <c r="DU30" s="104">
        <f t="shared" si="136"/>
        <v>0</v>
      </c>
      <c r="DV30" s="102"/>
      <c r="DW30" s="1">
        <v>5</v>
      </c>
      <c r="DX30" s="104">
        <f t="shared" si="137"/>
        <v>0</v>
      </c>
      <c r="DY30" s="102"/>
      <c r="DZ30" s="1">
        <v>5</v>
      </c>
      <c r="EA30" s="104">
        <f t="shared" si="138"/>
        <v>0</v>
      </c>
      <c r="EB30" s="102"/>
      <c r="EC30" s="1">
        <v>5</v>
      </c>
      <c r="ED30" s="104">
        <f t="shared" si="139"/>
        <v>0</v>
      </c>
      <c r="EE30" s="102"/>
      <c r="EF30" s="1">
        <v>5</v>
      </c>
      <c r="EG30" s="104">
        <f t="shared" si="140"/>
        <v>0</v>
      </c>
      <c r="EH30" s="102"/>
      <c r="EI30" s="1">
        <v>5</v>
      </c>
      <c r="EJ30" s="104">
        <f t="shared" si="141"/>
        <v>0</v>
      </c>
      <c r="EK30" s="102"/>
      <c r="EL30" s="1">
        <v>5</v>
      </c>
      <c r="EM30" s="104">
        <f t="shared" si="142"/>
        <v>0</v>
      </c>
      <c r="EN30" s="102"/>
      <c r="EO30" s="1">
        <v>5</v>
      </c>
      <c r="EP30" s="104">
        <f t="shared" si="143"/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6.5" customHeight="1" spans="1:148" x14ac:dyDescent="0.25">
      <c r="A31" s="100" t="s">
        <v>102</v>
      </c>
      <c r="B31" s="101"/>
      <c r="C31" s="102"/>
      <c r="D31" s="103">
        <v>5</v>
      </c>
      <c r="E31" s="104">
        <f t="shared" si="96"/>
        <v>0</v>
      </c>
      <c r="F31" s="102"/>
      <c r="G31" s="103">
        <v>5</v>
      </c>
      <c r="H31" s="104">
        <f t="shared" si="97"/>
        <v>0</v>
      </c>
      <c r="I31" s="105"/>
      <c r="J31" s="103">
        <v>5</v>
      </c>
      <c r="K31" s="104">
        <f t="shared" si="98"/>
        <v>0</v>
      </c>
      <c r="L31" s="105"/>
      <c r="M31" s="103">
        <v>5</v>
      </c>
      <c r="N31" s="104">
        <f t="shared" si="99"/>
        <v>0</v>
      </c>
      <c r="O31" s="106"/>
      <c r="P31" s="107">
        <v>5</v>
      </c>
      <c r="Q31" s="104">
        <f t="shared" si="100"/>
        <v>0</v>
      </c>
      <c r="R31" s="102"/>
      <c r="S31" s="107">
        <v>5</v>
      </c>
      <c r="T31" s="104">
        <f t="shared" si="101"/>
        <v>0</v>
      </c>
      <c r="U31" s="102"/>
      <c r="V31" s="107">
        <v>5</v>
      </c>
      <c r="W31" s="104">
        <f t="shared" si="102"/>
        <v>0</v>
      </c>
      <c r="X31" s="102"/>
      <c r="Y31" s="107">
        <v>5</v>
      </c>
      <c r="Z31" s="104">
        <f t="shared" si="103"/>
        <v>0</v>
      </c>
      <c r="AA31" s="106"/>
      <c r="AB31" s="107">
        <v>5</v>
      </c>
      <c r="AC31" s="104">
        <f t="shared" si="104"/>
        <v>0</v>
      </c>
      <c r="AD31" s="106"/>
      <c r="AE31" s="107">
        <v>5</v>
      </c>
      <c r="AF31" s="104">
        <f t="shared" si="105"/>
        <v>0</v>
      </c>
      <c r="AG31" s="106"/>
      <c r="AH31" s="107">
        <v>5</v>
      </c>
      <c r="AI31" s="104">
        <f t="shared" si="106"/>
        <v>0</v>
      </c>
      <c r="AJ31" s="106"/>
      <c r="AK31" s="107">
        <v>5</v>
      </c>
      <c r="AL31" s="104">
        <f t="shared" si="107"/>
        <v>0</v>
      </c>
      <c r="AM31" s="102"/>
      <c r="AN31" s="1">
        <v>5</v>
      </c>
      <c r="AO31" s="104">
        <f t="shared" si="108"/>
        <v>0</v>
      </c>
      <c r="AP31" s="102"/>
      <c r="AQ31" s="1">
        <v>5</v>
      </c>
      <c r="AR31" s="104">
        <f t="shared" si="109"/>
        <v>0</v>
      </c>
      <c r="AS31" s="102"/>
      <c r="AT31" s="1">
        <v>5</v>
      </c>
      <c r="AU31" s="104">
        <f t="shared" si="110"/>
        <v>0</v>
      </c>
      <c r="AV31" s="102"/>
      <c r="AW31" s="1">
        <v>5</v>
      </c>
      <c r="AX31" s="104">
        <f t="shared" si="111"/>
        <v>0</v>
      </c>
      <c r="AY31" s="102"/>
      <c r="AZ31" s="1">
        <v>5</v>
      </c>
      <c r="BA31" s="104">
        <f t="shared" si="112"/>
        <v>0</v>
      </c>
      <c r="BB31" s="102"/>
      <c r="BC31" s="1">
        <v>5</v>
      </c>
      <c r="BD31" s="104">
        <f t="shared" si="113"/>
        <v>0</v>
      </c>
      <c r="BE31" s="102"/>
      <c r="BF31" s="1">
        <v>5</v>
      </c>
      <c r="BG31" s="104">
        <f t="shared" si="114"/>
        <v>0</v>
      </c>
      <c r="BH31" s="102"/>
      <c r="BI31" s="1">
        <v>5</v>
      </c>
      <c r="BJ31" s="104">
        <f t="shared" si="115"/>
        <v>0</v>
      </c>
      <c r="BK31" s="102"/>
      <c r="BL31" s="1">
        <v>5</v>
      </c>
      <c r="BM31" s="104">
        <f t="shared" si="116"/>
        <v>0</v>
      </c>
      <c r="BN31" s="102"/>
      <c r="BO31" s="1">
        <v>5</v>
      </c>
      <c r="BP31" s="104">
        <f t="shared" si="117"/>
        <v>0</v>
      </c>
      <c r="BQ31" s="102"/>
      <c r="BR31" s="1">
        <v>5</v>
      </c>
      <c r="BS31" s="104">
        <f t="shared" si="118"/>
        <v>0</v>
      </c>
      <c r="BT31" s="102"/>
      <c r="BU31" s="1">
        <v>5</v>
      </c>
      <c r="BV31" s="104">
        <f t="shared" si="119"/>
        <v>0</v>
      </c>
      <c r="BW31" s="102"/>
      <c r="BX31" s="1">
        <v>5</v>
      </c>
      <c r="BY31" s="104">
        <f t="shared" si="120"/>
        <v>0</v>
      </c>
      <c r="BZ31" s="102"/>
      <c r="CA31" s="1">
        <v>5</v>
      </c>
      <c r="CB31" s="104">
        <f t="shared" si="121"/>
        <v>0</v>
      </c>
      <c r="CC31" s="102"/>
      <c r="CD31" s="1">
        <v>5</v>
      </c>
      <c r="CE31" s="104">
        <f t="shared" si="122"/>
        <v>0</v>
      </c>
      <c r="CF31" s="102"/>
      <c r="CG31" s="1">
        <v>5</v>
      </c>
      <c r="CH31" s="104">
        <f t="shared" si="123"/>
        <v>0</v>
      </c>
      <c r="CI31" s="102"/>
      <c r="CJ31" s="1">
        <v>5</v>
      </c>
      <c r="CK31" s="104">
        <f t="shared" si="124"/>
        <v>0</v>
      </c>
      <c r="CL31" s="102"/>
      <c r="CM31" s="1">
        <v>5</v>
      </c>
      <c r="CN31" s="104">
        <f t="shared" si="125"/>
        <v>0</v>
      </c>
      <c r="CO31" s="102"/>
      <c r="CP31" s="1">
        <v>5</v>
      </c>
      <c r="CQ31" s="104">
        <f t="shared" si="126"/>
        <v>0</v>
      </c>
      <c r="CR31" s="102"/>
      <c r="CS31" s="1">
        <v>5</v>
      </c>
      <c r="CT31" s="104">
        <f t="shared" si="127"/>
        <v>0</v>
      </c>
      <c r="CU31" s="102"/>
      <c r="CV31" s="1">
        <v>5</v>
      </c>
      <c r="CW31" s="104">
        <f t="shared" si="128"/>
        <v>0</v>
      </c>
      <c r="CX31" s="102"/>
      <c r="CY31" s="1">
        <v>5</v>
      </c>
      <c r="CZ31" s="104">
        <f t="shared" si="129"/>
        <v>0</v>
      </c>
      <c r="DA31" s="102"/>
      <c r="DB31" s="1">
        <v>5</v>
      </c>
      <c r="DC31" s="104">
        <f t="shared" si="130"/>
        <v>0</v>
      </c>
      <c r="DD31" s="102"/>
      <c r="DE31" s="1">
        <v>5</v>
      </c>
      <c r="DF31" s="104">
        <f t="shared" si="131"/>
        <v>0</v>
      </c>
      <c r="DG31" s="102"/>
      <c r="DH31" s="1">
        <v>5</v>
      </c>
      <c r="DI31" s="104">
        <f t="shared" si="132"/>
        <v>0</v>
      </c>
      <c r="DJ31" s="102"/>
      <c r="DK31" s="1">
        <v>5</v>
      </c>
      <c r="DL31" s="104">
        <f t="shared" si="133"/>
        <v>0</v>
      </c>
      <c r="DM31" s="102"/>
      <c r="DN31" s="1">
        <v>5</v>
      </c>
      <c r="DO31" s="104">
        <f t="shared" si="134"/>
        <v>0</v>
      </c>
      <c r="DP31" s="102"/>
      <c r="DQ31" s="1">
        <v>5</v>
      </c>
      <c r="DR31" s="104">
        <f t="shared" si="135"/>
        <v>0</v>
      </c>
      <c r="DS31" s="102"/>
      <c r="DT31" s="1">
        <v>5</v>
      </c>
      <c r="DU31" s="104">
        <f t="shared" si="136"/>
        <v>0</v>
      </c>
      <c r="DV31" s="102"/>
      <c r="DW31" s="1">
        <v>5</v>
      </c>
      <c r="DX31" s="104">
        <f t="shared" si="137"/>
        <v>0</v>
      </c>
      <c r="DY31" s="102"/>
      <c r="DZ31" s="1">
        <v>5</v>
      </c>
      <c r="EA31" s="104">
        <f t="shared" si="138"/>
        <v>0</v>
      </c>
      <c r="EB31" s="102"/>
      <c r="EC31" s="1">
        <v>5</v>
      </c>
      <c r="ED31" s="104">
        <f t="shared" si="139"/>
        <v>0</v>
      </c>
      <c r="EE31" s="102"/>
      <c r="EF31" s="1">
        <v>5</v>
      </c>
      <c r="EG31" s="104">
        <f t="shared" si="140"/>
        <v>0</v>
      </c>
      <c r="EH31" s="102"/>
      <c r="EI31" s="1">
        <v>5</v>
      </c>
      <c r="EJ31" s="104">
        <f t="shared" si="141"/>
        <v>0</v>
      </c>
      <c r="EK31" s="102"/>
      <c r="EL31" s="1">
        <v>5</v>
      </c>
      <c r="EM31" s="104">
        <f t="shared" si="142"/>
        <v>0</v>
      </c>
      <c r="EN31" s="102"/>
      <c r="EO31" s="1">
        <v>5</v>
      </c>
      <c r="EP31" s="104">
        <f t="shared" si="143"/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25.5" customHeight="1" spans="1:148" x14ac:dyDescent="0.25">
      <c r="A32" s="100" t="s">
        <v>103</v>
      </c>
      <c r="B32" s="101"/>
      <c r="C32" s="102"/>
      <c r="D32" s="103">
        <v>5</v>
      </c>
      <c r="E32" s="104">
        <f t="shared" si="96"/>
        <v>0</v>
      </c>
      <c r="F32" s="102"/>
      <c r="G32" s="103">
        <v>5</v>
      </c>
      <c r="H32" s="104">
        <f t="shared" si="97"/>
        <v>0</v>
      </c>
      <c r="I32" s="105"/>
      <c r="J32" s="103">
        <v>5</v>
      </c>
      <c r="K32" s="104">
        <f t="shared" si="98"/>
        <v>0</v>
      </c>
      <c r="L32" s="105"/>
      <c r="M32" s="103">
        <v>5</v>
      </c>
      <c r="N32" s="104">
        <f t="shared" si="99"/>
        <v>0</v>
      </c>
      <c r="O32" s="106"/>
      <c r="P32" s="107">
        <v>5</v>
      </c>
      <c r="Q32" s="104">
        <f t="shared" si="100"/>
        <v>0</v>
      </c>
      <c r="R32" s="102"/>
      <c r="S32" s="107">
        <v>5</v>
      </c>
      <c r="T32" s="104">
        <f t="shared" si="101"/>
        <v>0</v>
      </c>
      <c r="U32" s="102"/>
      <c r="V32" s="107">
        <v>5</v>
      </c>
      <c r="W32" s="104">
        <f t="shared" si="102"/>
        <v>0</v>
      </c>
      <c r="X32" s="102"/>
      <c r="Y32" s="107">
        <v>5</v>
      </c>
      <c r="Z32" s="104">
        <f t="shared" si="103"/>
        <v>0</v>
      </c>
      <c r="AA32" s="106"/>
      <c r="AB32" s="107">
        <v>5</v>
      </c>
      <c r="AC32" s="104">
        <f t="shared" si="104"/>
        <v>0</v>
      </c>
      <c r="AD32" s="106"/>
      <c r="AE32" s="107">
        <v>5</v>
      </c>
      <c r="AF32" s="104">
        <f t="shared" si="105"/>
        <v>0</v>
      </c>
      <c r="AG32" s="106"/>
      <c r="AH32" s="107">
        <v>5</v>
      </c>
      <c r="AI32" s="104">
        <f t="shared" si="106"/>
        <v>0</v>
      </c>
      <c r="AJ32" s="106"/>
      <c r="AK32" s="107">
        <v>5</v>
      </c>
      <c r="AL32" s="104">
        <f t="shared" si="107"/>
        <v>0</v>
      </c>
      <c r="AM32" s="102"/>
      <c r="AN32" s="1">
        <v>5</v>
      </c>
      <c r="AO32" s="104">
        <f t="shared" si="108"/>
        <v>0</v>
      </c>
      <c r="AP32" s="102"/>
      <c r="AQ32" s="1">
        <v>5</v>
      </c>
      <c r="AR32" s="104">
        <f t="shared" si="109"/>
        <v>0</v>
      </c>
      <c r="AS32" s="102"/>
      <c r="AT32" s="1">
        <v>5</v>
      </c>
      <c r="AU32" s="104">
        <f t="shared" si="110"/>
        <v>0</v>
      </c>
      <c r="AV32" s="102"/>
      <c r="AW32" s="1">
        <v>5</v>
      </c>
      <c r="AX32" s="104">
        <f t="shared" si="111"/>
        <v>0</v>
      </c>
      <c r="AY32" s="102"/>
      <c r="AZ32" s="1">
        <v>5</v>
      </c>
      <c r="BA32" s="104">
        <f t="shared" si="112"/>
        <v>0</v>
      </c>
      <c r="BB32" s="102"/>
      <c r="BC32" s="1">
        <v>5</v>
      </c>
      <c r="BD32" s="104">
        <f t="shared" si="113"/>
        <v>0</v>
      </c>
      <c r="BE32" s="102"/>
      <c r="BF32" s="1">
        <v>5</v>
      </c>
      <c r="BG32" s="104">
        <f t="shared" si="114"/>
        <v>0</v>
      </c>
      <c r="BH32" s="102"/>
      <c r="BI32" s="1">
        <v>5</v>
      </c>
      <c r="BJ32" s="104">
        <f t="shared" si="115"/>
        <v>0</v>
      </c>
      <c r="BK32" s="102"/>
      <c r="BL32" s="1">
        <v>5</v>
      </c>
      <c r="BM32" s="104">
        <f t="shared" si="116"/>
        <v>0</v>
      </c>
      <c r="BN32" s="102"/>
      <c r="BO32" s="1">
        <v>5</v>
      </c>
      <c r="BP32" s="104">
        <f t="shared" si="117"/>
        <v>0</v>
      </c>
      <c r="BQ32" s="102"/>
      <c r="BR32" s="1">
        <v>5</v>
      </c>
      <c r="BS32" s="104">
        <f t="shared" si="118"/>
        <v>0</v>
      </c>
      <c r="BT32" s="102"/>
      <c r="BU32" s="1">
        <v>5</v>
      </c>
      <c r="BV32" s="104">
        <f t="shared" si="119"/>
        <v>0</v>
      </c>
      <c r="BW32" s="102"/>
      <c r="BX32" s="1">
        <v>5</v>
      </c>
      <c r="BY32" s="104">
        <f t="shared" si="120"/>
        <v>0</v>
      </c>
      <c r="BZ32" s="102"/>
      <c r="CA32" s="1">
        <v>5</v>
      </c>
      <c r="CB32" s="104">
        <f t="shared" si="121"/>
        <v>0</v>
      </c>
      <c r="CC32" s="102"/>
      <c r="CD32" s="1">
        <v>5</v>
      </c>
      <c r="CE32" s="104">
        <f t="shared" si="122"/>
        <v>0</v>
      </c>
      <c r="CF32" s="102"/>
      <c r="CG32" s="1">
        <v>5</v>
      </c>
      <c r="CH32" s="104">
        <f t="shared" si="123"/>
        <v>0</v>
      </c>
      <c r="CI32" s="102"/>
      <c r="CJ32" s="1">
        <v>5</v>
      </c>
      <c r="CK32" s="104">
        <f t="shared" si="124"/>
        <v>0</v>
      </c>
      <c r="CL32" s="102"/>
      <c r="CM32" s="1">
        <v>5</v>
      </c>
      <c r="CN32" s="104">
        <f t="shared" si="125"/>
        <v>0</v>
      </c>
      <c r="CO32" s="102"/>
      <c r="CP32" s="1">
        <v>5</v>
      </c>
      <c r="CQ32" s="104">
        <f t="shared" si="126"/>
        <v>0</v>
      </c>
      <c r="CR32" s="102"/>
      <c r="CS32" s="1">
        <v>5</v>
      </c>
      <c r="CT32" s="104">
        <f t="shared" si="127"/>
        <v>0</v>
      </c>
      <c r="CU32" s="102"/>
      <c r="CV32" s="1">
        <v>5</v>
      </c>
      <c r="CW32" s="104">
        <f t="shared" si="128"/>
        <v>0</v>
      </c>
      <c r="CX32" s="102"/>
      <c r="CY32" s="1">
        <v>5</v>
      </c>
      <c r="CZ32" s="104">
        <f t="shared" si="129"/>
        <v>0</v>
      </c>
      <c r="DA32" s="102"/>
      <c r="DB32" s="1">
        <v>5</v>
      </c>
      <c r="DC32" s="104">
        <f t="shared" si="130"/>
        <v>0</v>
      </c>
      <c r="DD32" s="102"/>
      <c r="DE32" s="1">
        <v>5</v>
      </c>
      <c r="DF32" s="104">
        <f t="shared" si="131"/>
        <v>0</v>
      </c>
      <c r="DG32" s="102"/>
      <c r="DH32" s="1">
        <v>5</v>
      </c>
      <c r="DI32" s="104">
        <f t="shared" si="132"/>
        <v>0</v>
      </c>
      <c r="DJ32" s="102"/>
      <c r="DK32" s="1">
        <v>5</v>
      </c>
      <c r="DL32" s="104">
        <f t="shared" si="133"/>
        <v>0</v>
      </c>
      <c r="DM32" s="102"/>
      <c r="DN32" s="1">
        <v>5</v>
      </c>
      <c r="DO32" s="104">
        <f t="shared" si="134"/>
        <v>0</v>
      </c>
      <c r="DP32" s="102"/>
      <c r="DQ32" s="1">
        <v>5</v>
      </c>
      <c r="DR32" s="104">
        <f t="shared" si="135"/>
        <v>0</v>
      </c>
      <c r="DS32" s="102"/>
      <c r="DT32" s="1">
        <v>5</v>
      </c>
      <c r="DU32" s="104">
        <f t="shared" si="136"/>
        <v>0</v>
      </c>
      <c r="DV32" s="102"/>
      <c r="DW32" s="1">
        <v>5</v>
      </c>
      <c r="DX32" s="104">
        <f t="shared" si="137"/>
        <v>0</v>
      </c>
      <c r="DY32" s="102"/>
      <c r="DZ32" s="1">
        <v>5</v>
      </c>
      <c r="EA32" s="104">
        <f t="shared" si="138"/>
        <v>0</v>
      </c>
      <c r="EB32" s="102"/>
      <c r="EC32" s="1">
        <v>5</v>
      </c>
      <c r="ED32" s="104">
        <f t="shared" si="139"/>
        <v>0</v>
      </c>
      <c r="EE32" s="102"/>
      <c r="EF32" s="1">
        <v>5</v>
      </c>
      <c r="EG32" s="104">
        <f t="shared" si="140"/>
        <v>0</v>
      </c>
      <c r="EH32" s="102"/>
      <c r="EI32" s="1">
        <v>5</v>
      </c>
      <c r="EJ32" s="104">
        <f t="shared" si="141"/>
        <v>0</v>
      </c>
      <c r="EK32" s="102"/>
      <c r="EL32" s="1">
        <v>5</v>
      </c>
      <c r="EM32" s="104">
        <f t="shared" si="142"/>
        <v>0</v>
      </c>
      <c r="EN32" s="102"/>
      <c r="EO32" s="1">
        <v>5</v>
      </c>
      <c r="EP32" s="104">
        <f t="shared" si="143"/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28.5" customHeight="1" spans="1:148" x14ac:dyDescent="0.25">
      <c r="A33" s="115" t="s">
        <v>104</v>
      </c>
      <c r="B33" s="101"/>
      <c r="C33" s="102"/>
      <c r="D33" s="103">
        <v>5</v>
      </c>
      <c r="E33" s="104">
        <f t="shared" si="96"/>
        <v>0</v>
      </c>
      <c r="F33" s="102"/>
      <c r="G33" s="103">
        <v>5</v>
      </c>
      <c r="H33" s="104">
        <f t="shared" si="97"/>
        <v>0</v>
      </c>
      <c r="I33" s="105"/>
      <c r="J33" s="103">
        <v>5</v>
      </c>
      <c r="K33" s="104">
        <f t="shared" si="98"/>
        <v>0</v>
      </c>
      <c r="L33" s="105"/>
      <c r="M33" s="103">
        <v>5</v>
      </c>
      <c r="N33" s="104">
        <f t="shared" si="99"/>
        <v>0</v>
      </c>
      <c r="O33" s="106"/>
      <c r="P33" s="107">
        <v>5</v>
      </c>
      <c r="Q33" s="104">
        <f t="shared" si="100"/>
        <v>0</v>
      </c>
      <c r="R33" s="102"/>
      <c r="S33" s="107">
        <v>5</v>
      </c>
      <c r="T33" s="104">
        <f t="shared" si="101"/>
        <v>0</v>
      </c>
      <c r="U33" s="102"/>
      <c r="V33" s="107">
        <v>5</v>
      </c>
      <c r="W33" s="104">
        <f t="shared" si="102"/>
        <v>0</v>
      </c>
      <c r="X33" s="102"/>
      <c r="Y33" s="107">
        <v>5</v>
      </c>
      <c r="Z33" s="104">
        <f t="shared" si="103"/>
        <v>0</v>
      </c>
      <c r="AA33" s="106"/>
      <c r="AB33" s="107">
        <v>5</v>
      </c>
      <c r="AC33" s="104">
        <f t="shared" si="104"/>
        <v>0</v>
      </c>
      <c r="AD33" s="106"/>
      <c r="AE33" s="107">
        <v>5</v>
      </c>
      <c r="AF33" s="104">
        <f t="shared" si="105"/>
        <v>0</v>
      </c>
      <c r="AG33" s="106"/>
      <c r="AH33" s="107">
        <v>5</v>
      </c>
      <c r="AI33" s="104">
        <f t="shared" si="106"/>
        <v>0</v>
      </c>
      <c r="AJ33" s="106"/>
      <c r="AK33" s="107">
        <v>5</v>
      </c>
      <c r="AL33" s="104">
        <f t="shared" si="107"/>
        <v>0</v>
      </c>
      <c r="AM33" s="102"/>
      <c r="AN33" s="1">
        <v>5</v>
      </c>
      <c r="AO33" s="104">
        <f t="shared" si="108"/>
        <v>0</v>
      </c>
      <c r="AP33" s="102"/>
      <c r="AQ33" s="1">
        <v>5</v>
      </c>
      <c r="AR33" s="104">
        <f t="shared" si="109"/>
        <v>0</v>
      </c>
      <c r="AS33" s="102"/>
      <c r="AT33" s="1">
        <v>5</v>
      </c>
      <c r="AU33" s="104">
        <f t="shared" si="110"/>
        <v>0</v>
      </c>
      <c r="AV33" s="102"/>
      <c r="AW33" s="1">
        <v>5</v>
      </c>
      <c r="AX33" s="104">
        <f t="shared" si="111"/>
        <v>0</v>
      </c>
      <c r="AY33" s="102"/>
      <c r="AZ33" s="1">
        <v>5</v>
      </c>
      <c r="BA33" s="104">
        <f t="shared" si="112"/>
        <v>0</v>
      </c>
      <c r="BB33" s="102"/>
      <c r="BC33" s="1">
        <v>5</v>
      </c>
      <c r="BD33" s="104">
        <f t="shared" si="113"/>
        <v>0</v>
      </c>
      <c r="BE33" s="102"/>
      <c r="BF33" s="1">
        <v>5</v>
      </c>
      <c r="BG33" s="104">
        <f t="shared" si="114"/>
        <v>0</v>
      </c>
      <c r="BH33" s="102"/>
      <c r="BI33" s="1">
        <v>5</v>
      </c>
      <c r="BJ33" s="104">
        <f t="shared" si="115"/>
        <v>0</v>
      </c>
      <c r="BK33" s="102"/>
      <c r="BL33" s="1">
        <v>5</v>
      </c>
      <c r="BM33" s="104">
        <f t="shared" si="116"/>
        <v>0</v>
      </c>
      <c r="BN33" s="102"/>
      <c r="BO33" s="1">
        <v>5</v>
      </c>
      <c r="BP33" s="104">
        <f t="shared" si="117"/>
        <v>0</v>
      </c>
      <c r="BQ33" s="102"/>
      <c r="BR33" s="1">
        <v>5</v>
      </c>
      <c r="BS33" s="104">
        <f t="shared" si="118"/>
        <v>0</v>
      </c>
      <c r="BT33" s="102"/>
      <c r="BU33" s="1">
        <v>5</v>
      </c>
      <c r="BV33" s="104">
        <f t="shared" si="119"/>
        <v>0</v>
      </c>
      <c r="BW33" s="102"/>
      <c r="BX33" s="1">
        <v>5</v>
      </c>
      <c r="BY33" s="104">
        <f t="shared" si="120"/>
        <v>0</v>
      </c>
      <c r="BZ33" s="102"/>
      <c r="CA33" s="1">
        <v>5</v>
      </c>
      <c r="CB33" s="104">
        <f t="shared" si="121"/>
        <v>0</v>
      </c>
      <c r="CC33" s="102"/>
      <c r="CD33" s="1">
        <v>5</v>
      </c>
      <c r="CE33" s="104">
        <f t="shared" si="122"/>
        <v>0</v>
      </c>
      <c r="CF33" s="102"/>
      <c r="CG33" s="1">
        <v>5</v>
      </c>
      <c r="CH33" s="104">
        <f t="shared" si="123"/>
        <v>0</v>
      </c>
      <c r="CI33" s="102"/>
      <c r="CJ33" s="1">
        <v>5</v>
      </c>
      <c r="CK33" s="104">
        <f t="shared" si="124"/>
        <v>0</v>
      </c>
      <c r="CL33" s="102"/>
      <c r="CM33" s="1">
        <v>5</v>
      </c>
      <c r="CN33" s="104">
        <f t="shared" si="125"/>
        <v>0</v>
      </c>
      <c r="CO33" s="102"/>
      <c r="CP33" s="1">
        <v>5</v>
      </c>
      <c r="CQ33" s="104">
        <f t="shared" si="126"/>
        <v>0</v>
      </c>
      <c r="CR33" s="102"/>
      <c r="CS33" s="1">
        <v>5</v>
      </c>
      <c r="CT33" s="104">
        <f t="shared" si="127"/>
        <v>0</v>
      </c>
      <c r="CU33" s="102"/>
      <c r="CV33" s="1">
        <v>5</v>
      </c>
      <c r="CW33" s="104">
        <f t="shared" si="128"/>
        <v>0</v>
      </c>
      <c r="CX33" s="102"/>
      <c r="CY33" s="1">
        <v>5</v>
      </c>
      <c r="CZ33" s="104">
        <f t="shared" si="129"/>
        <v>0</v>
      </c>
      <c r="DA33" s="102"/>
      <c r="DB33" s="1">
        <v>5</v>
      </c>
      <c r="DC33" s="104">
        <f t="shared" si="130"/>
        <v>0</v>
      </c>
      <c r="DD33" s="102"/>
      <c r="DE33" s="1">
        <v>5</v>
      </c>
      <c r="DF33" s="104">
        <f t="shared" si="131"/>
        <v>0</v>
      </c>
      <c r="DG33" s="102"/>
      <c r="DH33" s="1">
        <v>5</v>
      </c>
      <c r="DI33" s="104">
        <f t="shared" si="132"/>
        <v>0</v>
      </c>
      <c r="DJ33" s="102"/>
      <c r="DK33" s="1">
        <v>5</v>
      </c>
      <c r="DL33" s="104">
        <f t="shared" si="133"/>
        <v>0</v>
      </c>
      <c r="DM33" s="102"/>
      <c r="DN33" s="1">
        <v>5</v>
      </c>
      <c r="DO33" s="104">
        <f t="shared" si="134"/>
        <v>0</v>
      </c>
      <c r="DP33" s="102"/>
      <c r="DQ33" s="1">
        <v>5</v>
      </c>
      <c r="DR33" s="104">
        <f t="shared" si="135"/>
        <v>0</v>
      </c>
      <c r="DS33" s="102"/>
      <c r="DT33" s="1">
        <v>5</v>
      </c>
      <c r="DU33" s="104">
        <f t="shared" si="136"/>
        <v>0</v>
      </c>
      <c r="DV33" s="102"/>
      <c r="DW33" s="1">
        <v>5</v>
      </c>
      <c r="DX33" s="104">
        <f t="shared" si="137"/>
        <v>0</v>
      </c>
      <c r="DY33" s="102"/>
      <c r="DZ33" s="1">
        <v>5</v>
      </c>
      <c r="EA33" s="104">
        <f t="shared" si="138"/>
        <v>0</v>
      </c>
      <c r="EB33" s="102"/>
      <c r="EC33" s="1">
        <v>5</v>
      </c>
      <c r="ED33" s="104">
        <f t="shared" si="139"/>
        <v>0</v>
      </c>
      <c r="EE33" s="102"/>
      <c r="EF33" s="1">
        <v>5</v>
      </c>
      <c r="EG33" s="104">
        <f t="shared" si="140"/>
        <v>0</v>
      </c>
      <c r="EH33" s="102"/>
      <c r="EI33" s="1">
        <v>5</v>
      </c>
      <c r="EJ33" s="104">
        <f t="shared" si="141"/>
        <v>0</v>
      </c>
      <c r="EK33" s="102"/>
      <c r="EL33" s="1">
        <v>5</v>
      </c>
      <c r="EM33" s="104">
        <f t="shared" si="142"/>
        <v>0</v>
      </c>
      <c r="EN33" s="102"/>
      <c r="EO33" s="1">
        <v>5</v>
      </c>
      <c r="EP33" s="104">
        <f t="shared" si="143"/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24" t="s">
        <v>105</v>
      </c>
      <c r="B34" s="125"/>
      <c r="C34" s="126"/>
      <c r="D34" s="127"/>
      <c r="E34" s="82">
        <f>AVERAGE(E35:E39)</f>
        <v>0</v>
      </c>
      <c r="F34" s="126"/>
      <c r="G34" s="127"/>
      <c r="H34" s="82">
        <f>AVERAGE(H35:H39)</f>
        <v>0</v>
      </c>
      <c r="I34" s="126"/>
      <c r="J34" s="127"/>
      <c r="K34" s="82">
        <f>AVERAGE(K35:K39)</f>
        <v>0</v>
      </c>
      <c r="L34" s="126"/>
      <c r="M34" s="127"/>
      <c r="N34" s="82">
        <f>AVERAGE(N35:N39)</f>
        <v>0</v>
      </c>
      <c r="O34" s="126"/>
      <c r="P34" s="127"/>
      <c r="Q34" s="82">
        <f>AVERAGE(Q35:Q39)</f>
        <v>0</v>
      </c>
      <c r="R34" s="126"/>
      <c r="S34" s="127"/>
      <c r="T34" s="82">
        <f>AVERAGE(T35:T39)</f>
        <v>0</v>
      </c>
      <c r="U34" s="126"/>
      <c r="V34" s="127"/>
      <c r="W34" s="82">
        <f>AVERAGE(W35:W39)</f>
        <v>0</v>
      </c>
      <c r="X34" s="126"/>
      <c r="Y34" s="127"/>
      <c r="Z34" s="82">
        <f>AVERAGE(Z35:Z39)</f>
        <v>0</v>
      </c>
      <c r="AA34" s="126"/>
      <c r="AB34" s="127"/>
      <c r="AC34" s="82">
        <f>AVERAGE(AC35:AC39)</f>
        <v>0</v>
      </c>
      <c r="AD34" s="126"/>
      <c r="AE34" s="127"/>
      <c r="AF34" s="82">
        <f>AVERAGE(AF35:AF39)</f>
        <v>0</v>
      </c>
      <c r="AG34" s="126"/>
      <c r="AH34" s="127"/>
      <c r="AI34" s="82">
        <f>AVERAGE(AI35:AI39)</f>
        <v>0</v>
      </c>
      <c r="AJ34" s="126"/>
      <c r="AK34" s="127"/>
      <c r="AL34" s="82">
        <f>AVERAGE(AL35:AL39)</f>
        <v>0</v>
      </c>
      <c r="AM34" s="126"/>
      <c r="AN34" s="136"/>
      <c r="AO34" s="82">
        <f>AVERAGE(AO35:AO39)</f>
        <v>0</v>
      </c>
      <c r="AP34" s="128"/>
      <c r="AQ34" s="129"/>
      <c r="AR34" s="82">
        <f>AVERAGE(AR35:AR39)</f>
        <v>0</v>
      </c>
      <c r="AS34" s="130"/>
      <c r="AT34" s="129"/>
      <c r="AU34" s="82">
        <f>AVERAGE(AU35:AU39)</f>
        <v>0</v>
      </c>
      <c r="AV34" s="126"/>
      <c r="AW34" s="136"/>
      <c r="AX34" s="82">
        <f>AVERAGE(AX35:AX39)</f>
        <v>0</v>
      </c>
      <c r="AY34" s="137"/>
      <c r="AZ34" s="138"/>
      <c r="BA34" s="82">
        <f>AVERAGE(BA35:BA39)</f>
        <v>0</v>
      </c>
      <c r="BB34" s="128"/>
      <c r="BC34" s="132"/>
      <c r="BD34" s="82">
        <f>AVERAGE(BD35:BD39)</f>
        <v>0</v>
      </c>
      <c r="BE34" s="128"/>
      <c r="BF34" s="132"/>
      <c r="BG34" s="82">
        <f>AVERAGE(BG35:BG39)</f>
        <v>0</v>
      </c>
      <c r="BH34" s="128"/>
      <c r="BI34" s="132"/>
      <c r="BJ34" s="82">
        <f>AVERAGE(BJ35:BJ39)</f>
        <v>0</v>
      </c>
      <c r="BK34" s="128"/>
      <c r="BL34" s="132"/>
      <c r="BM34" s="82">
        <f>AVERAGE(BM35:BM39)</f>
        <v>0</v>
      </c>
      <c r="BN34" s="128"/>
      <c r="BO34" s="132"/>
      <c r="BP34" s="82">
        <f>AVERAGE(BP35:BP39)</f>
        <v>0</v>
      </c>
      <c r="BQ34" s="128"/>
      <c r="BR34" s="132"/>
      <c r="BS34" s="82">
        <f>AVERAGE(BS35:BS39)</f>
        <v>0</v>
      </c>
      <c r="BT34" s="128"/>
      <c r="BU34" s="132"/>
      <c r="BV34" s="82">
        <f>AVERAGE(BV35:BV39)</f>
        <v>0</v>
      </c>
      <c r="BW34" s="128"/>
      <c r="BX34" s="132"/>
      <c r="BY34" s="82">
        <f>AVERAGE(BY35:BY39)</f>
        <v>0</v>
      </c>
      <c r="BZ34" s="126"/>
      <c r="CA34" s="127"/>
      <c r="CB34" s="82">
        <f>AVERAGE(CB35:CB39)</f>
        <v>0</v>
      </c>
      <c r="CC34" s="126"/>
      <c r="CD34" s="127"/>
      <c r="CE34" s="82">
        <f>AVERAGE(CE35:CE39)</f>
        <v>0</v>
      </c>
      <c r="CF34" s="126"/>
      <c r="CG34" s="127"/>
      <c r="CH34" s="82">
        <f>AVERAGE(CH35:CH39)</f>
        <v>0</v>
      </c>
      <c r="CI34" s="126"/>
      <c r="CJ34" s="127"/>
      <c r="CK34" s="82">
        <f>AVERAGE(CK35:CK39)</f>
        <v>0</v>
      </c>
      <c r="CL34" s="126"/>
      <c r="CM34" s="127"/>
      <c r="CN34" s="82">
        <f>AVERAGE(CN35:CN39)</f>
        <v>0</v>
      </c>
      <c r="CO34" s="126"/>
      <c r="CP34" s="127"/>
      <c r="CQ34" s="82">
        <f>AVERAGE(CQ35:CQ39)</f>
        <v>0</v>
      </c>
      <c r="CR34" s="126"/>
      <c r="CS34" s="127"/>
      <c r="CT34" s="82">
        <f>AVERAGE(CT35:CT39)</f>
        <v>0</v>
      </c>
      <c r="CU34" s="126"/>
      <c r="CV34" s="127"/>
      <c r="CW34" s="82">
        <f>AVERAGE(CW35:CW39)</f>
        <v>0</v>
      </c>
      <c r="CX34" s="126"/>
      <c r="CY34" s="127"/>
      <c r="CZ34" s="82">
        <f>AVERAGE(CZ35:CZ39)</f>
        <v>0</v>
      </c>
      <c r="DA34" s="126"/>
      <c r="DB34" s="127"/>
      <c r="DC34" s="82">
        <f>AVERAGE(DC35:DC39)</f>
        <v>0</v>
      </c>
      <c r="DD34" s="126"/>
      <c r="DE34" s="127"/>
      <c r="DF34" s="82">
        <f>AVERAGE(DF35:DF39)</f>
        <v>0</v>
      </c>
      <c r="DG34" s="126"/>
      <c r="DH34" s="127"/>
      <c r="DI34" s="82">
        <f>AVERAGE(DI35:DI39)</f>
        <v>0</v>
      </c>
      <c r="DJ34" s="126"/>
      <c r="DK34" s="127"/>
      <c r="DL34" s="82">
        <f>AVERAGE(DL35:DL39)</f>
        <v>0</v>
      </c>
      <c r="DM34" s="126"/>
      <c r="DN34" s="127"/>
      <c r="DO34" s="82">
        <f>AVERAGE(DO35:DO39)</f>
        <v>0</v>
      </c>
      <c r="DP34" s="126"/>
      <c r="DQ34" s="127"/>
      <c r="DR34" s="82">
        <f>AVERAGE(DR35:DR39)</f>
        <v>0</v>
      </c>
      <c r="DS34" s="126"/>
      <c r="DT34" s="127"/>
      <c r="DU34" s="82">
        <f>AVERAGE(DU35:DU39)</f>
        <v>0</v>
      </c>
      <c r="DV34" s="126"/>
      <c r="DW34" s="127"/>
      <c r="DX34" s="82">
        <f>AVERAGE(DX35:DX39)</f>
        <v>0</v>
      </c>
      <c r="DY34" s="126"/>
      <c r="DZ34" s="127"/>
      <c r="EA34" s="82">
        <f>AVERAGE(EA35:EA39)</f>
        <v>0</v>
      </c>
      <c r="EB34" s="126"/>
      <c r="EC34" s="127"/>
      <c r="ED34" s="82">
        <f>AVERAGE(ED35:ED39)</f>
        <v>0</v>
      </c>
      <c r="EE34" s="126"/>
      <c r="EF34" s="127"/>
      <c r="EG34" s="82">
        <f>AVERAGE(EG35:EG39)</f>
        <v>0</v>
      </c>
      <c r="EH34" s="126"/>
      <c r="EI34" s="127"/>
      <c r="EJ34" s="82">
        <f>AVERAGE(EJ35:EJ39)</f>
        <v>0</v>
      </c>
      <c r="EK34" s="126"/>
      <c r="EL34" s="127"/>
      <c r="EM34" s="82">
        <f>AVERAGE(EM35:EM39)</f>
        <v>0</v>
      </c>
      <c r="EN34" s="126"/>
      <c r="EO34" s="127"/>
      <c r="EP34" s="82">
        <f>AVERAGE(EP35:EP39)</f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16" customHeight="1" spans="1:148" x14ac:dyDescent="0.25">
      <c r="A35" s="168" t="s">
        <v>106</v>
      </c>
      <c r="B35" s="101"/>
      <c r="C35" s="102"/>
      <c r="D35" s="103">
        <v>5</v>
      </c>
      <c r="E35" s="104">
        <f t="shared" ref="E35:E39" si="144">C35/D35</f>
        <v>0</v>
      </c>
      <c r="F35" s="102"/>
      <c r="G35" s="103">
        <v>5</v>
      </c>
      <c r="H35" s="104">
        <f t="shared" ref="H35:H39" si="145">F35/G35</f>
        <v>0</v>
      </c>
      <c r="I35" s="105"/>
      <c r="J35" s="103">
        <v>5</v>
      </c>
      <c r="K35" s="104">
        <f t="shared" ref="K35:K39" si="146">I35/J35</f>
        <v>0</v>
      </c>
      <c r="L35" s="105"/>
      <c r="M35" s="103">
        <v>5</v>
      </c>
      <c r="N35" s="104">
        <f t="shared" ref="N35:N39" si="147">L35/M35</f>
        <v>0</v>
      </c>
      <c r="O35" s="106"/>
      <c r="P35" s="107">
        <v>5</v>
      </c>
      <c r="Q35" s="104">
        <f t="shared" ref="Q35:Q39" si="148">O35/P35</f>
        <v>0</v>
      </c>
      <c r="R35" s="102"/>
      <c r="S35" s="107">
        <v>5</v>
      </c>
      <c r="T35" s="104">
        <f t="shared" ref="T35:T39" si="149">R35/S35</f>
        <v>0</v>
      </c>
      <c r="U35" s="102"/>
      <c r="V35" s="107">
        <v>5</v>
      </c>
      <c r="W35" s="104">
        <f t="shared" ref="W35:W39" si="150">U35/V35</f>
        <v>0</v>
      </c>
      <c r="X35" s="102"/>
      <c r="Y35" s="107">
        <v>5</v>
      </c>
      <c r="Z35" s="104">
        <f t="shared" ref="Z35:Z39" si="151">X35/Y35</f>
        <v>0</v>
      </c>
      <c r="AA35" s="106"/>
      <c r="AB35" s="107">
        <v>5</v>
      </c>
      <c r="AC35" s="104">
        <f t="shared" ref="AC35:AC39" si="152">AA35/AB35</f>
        <v>0</v>
      </c>
      <c r="AD35" s="106"/>
      <c r="AE35" s="107">
        <v>5</v>
      </c>
      <c r="AF35" s="104">
        <f t="shared" ref="AF35:AF39" si="153">AD35/AE35</f>
        <v>0</v>
      </c>
      <c r="AG35" s="106"/>
      <c r="AH35" s="107">
        <v>5</v>
      </c>
      <c r="AI35" s="104">
        <f t="shared" ref="AI35:AI39" si="154">AG35/AH35</f>
        <v>0</v>
      </c>
      <c r="AJ35" s="106"/>
      <c r="AK35" s="107">
        <v>5</v>
      </c>
      <c r="AL35" s="104">
        <f t="shared" ref="AL35:AL39" si="155">AJ35/AK35</f>
        <v>0</v>
      </c>
      <c r="AM35" s="102"/>
      <c r="AN35" s="1">
        <v>5</v>
      </c>
      <c r="AO35" s="104">
        <f t="shared" ref="AO35:AO39" si="156">AM35/AN35</f>
        <v>0</v>
      </c>
      <c r="AP35" s="102"/>
      <c r="AQ35" s="1">
        <v>5</v>
      </c>
      <c r="AR35" s="104">
        <f t="shared" ref="AR35:AR39" si="157">AP35/AQ35</f>
        <v>0</v>
      </c>
      <c r="AS35" s="102"/>
      <c r="AT35" s="1">
        <v>5</v>
      </c>
      <c r="AU35" s="104">
        <f t="shared" ref="AU35:AU39" si="158">AS35/AT35</f>
        <v>0</v>
      </c>
      <c r="AV35" s="102"/>
      <c r="AW35" s="1">
        <v>5</v>
      </c>
      <c r="AX35" s="104">
        <f t="shared" ref="AX35:AX39" si="159">AV35/AW35</f>
        <v>0</v>
      </c>
      <c r="AY35" s="102"/>
      <c r="AZ35" s="1">
        <v>5</v>
      </c>
      <c r="BA35" s="104">
        <f t="shared" ref="BA35:BA39" si="160">AY35/AZ35</f>
        <v>0</v>
      </c>
      <c r="BB35" s="102"/>
      <c r="BC35" s="1">
        <v>5</v>
      </c>
      <c r="BD35" s="104">
        <f t="shared" ref="BD35:BD39" si="161">BB35/BC35</f>
        <v>0</v>
      </c>
      <c r="BE35" s="102"/>
      <c r="BF35" s="1">
        <v>5</v>
      </c>
      <c r="BG35" s="104">
        <f t="shared" ref="BG35:BG39" si="162">BE35/BF35</f>
        <v>0</v>
      </c>
      <c r="BH35" s="102"/>
      <c r="BI35" s="1">
        <v>5</v>
      </c>
      <c r="BJ35" s="104">
        <f t="shared" ref="BJ35:BJ39" si="163">BH35/BI35</f>
        <v>0</v>
      </c>
      <c r="BK35" s="102"/>
      <c r="BL35" s="1">
        <v>5</v>
      </c>
      <c r="BM35" s="104">
        <f t="shared" ref="BM35:BM39" si="164">BK35/BL35</f>
        <v>0</v>
      </c>
      <c r="BN35" s="102"/>
      <c r="BO35" s="1">
        <v>5</v>
      </c>
      <c r="BP35" s="104">
        <f t="shared" ref="BP35:BP39" si="165">BN35/BO35</f>
        <v>0</v>
      </c>
      <c r="BQ35" s="102"/>
      <c r="BR35" s="1">
        <v>5</v>
      </c>
      <c r="BS35" s="104">
        <f t="shared" ref="BS35:BS39" si="166">BQ35/BR35</f>
        <v>0</v>
      </c>
      <c r="BT35" s="102"/>
      <c r="BU35" s="1">
        <v>5</v>
      </c>
      <c r="BV35" s="104">
        <f t="shared" ref="BV35:BV39" si="167">BT35/BU35</f>
        <v>0</v>
      </c>
      <c r="BW35" s="102"/>
      <c r="BX35" s="1">
        <v>5</v>
      </c>
      <c r="BY35" s="104">
        <f t="shared" ref="BY35:BY39" si="168">BW35/BX35</f>
        <v>0</v>
      </c>
      <c r="BZ35" s="102"/>
      <c r="CA35" s="1">
        <v>5</v>
      </c>
      <c r="CB35" s="104">
        <f t="shared" ref="CB35:CB39" si="169">BZ35/CA35</f>
        <v>0</v>
      </c>
      <c r="CC35" s="102"/>
      <c r="CD35" s="1">
        <v>5</v>
      </c>
      <c r="CE35" s="104">
        <f t="shared" ref="CE35:CE39" si="170">CC35/CD35</f>
        <v>0</v>
      </c>
      <c r="CF35" s="102"/>
      <c r="CG35" s="1">
        <v>5</v>
      </c>
      <c r="CH35" s="104">
        <f t="shared" ref="CH35:CH39" si="171">CF35/CG35</f>
        <v>0</v>
      </c>
      <c r="CI35" s="102"/>
      <c r="CJ35" s="1">
        <v>5</v>
      </c>
      <c r="CK35" s="104">
        <f t="shared" ref="CK35:CK39" si="172">CI35/CJ35</f>
        <v>0</v>
      </c>
      <c r="CL35" s="102"/>
      <c r="CM35" s="1">
        <v>5</v>
      </c>
      <c r="CN35" s="104">
        <f t="shared" ref="CN35:CN39" si="173">CL35/CM35</f>
        <v>0</v>
      </c>
      <c r="CO35" s="102"/>
      <c r="CP35" s="1">
        <v>5</v>
      </c>
      <c r="CQ35" s="104">
        <f t="shared" ref="CQ35:CQ39" si="174">CO35/CP35</f>
        <v>0</v>
      </c>
      <c r="CR35" s="102"/>
      <c r="CS35" s="1">
        <v>5</v>
      </c>
      <c r="CT35" s="104">
        <f t="shared" ref="CT35:CT39" si="175">CR35/CS35</f>
        <v>0</v>
      </c>
      <c r="CU35" s="102"/>
      <c r="CV35" s="1">
        <v>5</v>
      </c>
      <c r="CW35" s="104">
        <f t="shared" ref="CW35:CW39" si="176">CU35/CV35</f>
        <v>0</v>
      </c>
      <c r="CX35" s="102"/>
      <c r="CY35" s="1">
        <v>5</v>
      </c>
      <c r="CZ35" s="104">
        <f t="shared" ref="CZ35:CZ39" si="177">CX35/CY35</f>
        <v>0</v>
      </c>
      <c r="DA35" s="102"/>
      <c r="DB35" s="1">
        <v>5</v>
      </c>
      <c r="DC35" s="104">
        <f t="shared" ref="DC35:DC39" si="178">DA35/DB35</f>
        <v>0</v>
      </c>
      <c r="DD35" s="102"/>
      <c r="DE35" s="1">
        <v>5</v>
      </c>
      <c r="DF35" s="104">
        <f t="shared" ref="DF35:DF39" si="179">DD35/DE35</f>
        <v>0</v>
      </c>
      <c r="DG35" s="102"/>
      <c r="DH35" s="1">
        <v>5</v>
      </c>
      <c r="DI35" s="104">
        <f t="shared" ref="DI35:DI39" si="180">DG35/DH35</f>
        <v>0</v>
      </c>
      <c r="DJ35" s="102"/>
      <c r="DK35" s="1">
        <v>5</v>
      </c>
      <c r="DL35" s="104">
        <f t="shared" ref="DL35:DL39" si="181">DJ35/DK35</f>
        <v>0</v>
      </c>
      <c r="DM35" s="102"/>
      <c r="DN35" s="1">
        <v>5</v>
      </c>
      <c r="DO35" s="104">
        <f t="shared" ref="DO35:DO39" si="182">DM35/DN35</f>
        <v>0</v>
      </c>
      <c r="DP35" s="102"/>
      <c r="DQ35" s="1">
        <v>5</v>
      </c>
      <c r="DR35" s="104">
        <f t="shared" ref="DR35:DR39" si="183">DP35/DQ35</f>
        <v>0</v>
      </c>
      <c r="DS35" s="102"/>
      <c r="DT35" s="1">
        <v>5</v>
      </c>
      <c r="DU35" s="104">
        <f t="shared" ref="DU35:DU39" si="184">DS35/DT35</f>
        <v>0</v>
      </c>
      <c r="DV35" s="102"/>
      <c r="DW35" s="1">
        <v>5</v>
      </c>
      <c r="DX35" s="104">
        <f t="shared" ref="DX35:DX39" si="185">DV35/DW35</f>
        <v>0</v>
      </c>
      <c r="DY35" s="102"/>
      <c r="DZ35" s="1">
        <v>5</v>
      </c>
      <c r="EA35" s="104">
        <f t="shared" ref="EA35:EA39" si="186">DY35/DZ35</f>
        <v>0</v>
      </c>
      <c r="EB35" s="102"/>
      <c r="EC35" s="1">
        <v>5</v>
      </c>
      <c r="ED35" s="104">
        <f t="shared" ref="ED35:ED39" si="187">EB35/EC35</f>
        <v>0</v>
      </c>
      <c r="EE35" s="102"/>
      <c r="EF35" s="1">
        <v>5</v>
      </c>
      <c r="EG35" s="104">
        <f t="shared" ref="EG35:EG39" si="188">EE35/EF35</f>
        <v>0</v>
      </c>
      <c r="EH35" s="102"/>
      <c r="EI35" s="1">
        <v>5</v>
      </c>
      <c r="EJ35" s="104">
        <f t="shared" ref="EJ35:EJ39" si="189">EH35/EI35</f>
        <v>0</v>
      </c>
      <c r="EK35" s="102"/>
      <c r="EL35" s="1">
        <v>5</v>
      </c>
      <c r="EM35" s="104">
        <f t="shared" ref="EM35:EM39" si="190">EK35/EL35</f>
        <v>0</v>
      </c>
      <c r="EN35" s="102"/>
      <c r="EO35" s="1">
        <v>5</v>
      </c>
      <c r="EP35" s="104">
        <f t="shared" ref="EP35:EP39" si="191">EN35/EO35</f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20.5" customHeight="1" spans="1:148" x14ac:dyDescent="0.25">
      <c r="A36" s="169" t="s">
        <v>145</v>
      </c>
      <c r="B36" s="101"/>
      <c r="C36" s="102"/>
      <c r="D36" s="103">
        <v>5</v>
      </c>
      <c r="E36" s="104">
        <f t="shared" si="144"/>
        <v>0</v>
      </c>
      <c r="F36" s="102"/>
      <c r="G36" s="103">
        <v>5</v>
      </c>
      <c r="H36" s="104">
        <f t="shared" si="145"/>
        <v>0</v>
      </c>
      <c r="I36" s="105"/>
      <c r="J36" s="103">
        <v>5</v>
      </c>
      <c r="K36" s="104">
        <f t="shared" si="146"/>
        <v>0</v>
      </c>
      <c r="L36" s="105"/>
      <c r="M36" s="103">
        <v>5</v>
      </c>
      <c r="N36" s="104">
        <f t="shared" si="147"/>
        <v>0</v>
      </c>
      <c r="O36" s="106"/>
      <c r="P36" s="107">
        <v>5</v>
      </c>
      <c r="Q36" s="104">
        <f t="shared" si="148"/>
        <v>0</v>
      </c>
      <c r="R36" s="102"/>
      <c r="S36" s="107">
        <v>5</v>
      </c>
      <c r="T36" s="104">
        <f t="shared" si="149"/>
        <v>0</v>
      </c>
      <c r="U36" s="102"/>
      <c r="V36" s="107">
        <v>5</v>
      </c>
      <c r="W36" s="104">
        <f t="shared" si="150"/>
        <v>0</v>
      </c>
      <c r="X36" s="102"/>
      <c r="Y36" s="107">
        <v>5</v>
      </c>
      <c r="Z36" s="104">
        <f t="shared" si="151"/>
        <v>0</v>
      </c>
      <c r="AA36" s="106"/>
      <c r="AB36" s="107">
        <v>5</v>
      </c>
      <c r="AC36" s="104">
        <f t="shared" si="152"/>
        <v>0</v>
      </c>
      <c r="AD36" s="106"/>
      <c r="AE36" s="107">
        <v>5</v>
      </c>
      <c r="AF36" s="104">
        <f t="shared" si="153"/>
        <v>0</v>
      </c>
      <c r="AG36" s="106"/>
      <c r="AH36" s="107">
        <v>5</v>
      </c>
      <c r="AI36" s="104">
        <f t="shared" si="154"/>
        <v>0</v>
      </c>
      <c r="AJ36" s="106"/>
      <c r="AK36" s="107">
        <v>5</v>
      </c>
      <c r="AL36" s="104">
        <f t="shared" si="155"/>
        <v>0</v>
      </c>
      <c r="AM36" s="102"/>
      <c r="AN36" s="1">
        <v>5</v>
      </c>
      <c r="AO36" s="104">
        <f t="shared" si="156"/>
        <v>0</v>
      </c>
      <c r="AP36" s="102"/>
      <c r="AQ36" s="1">
        <v>5</v>
      </c>
      <c r="AR36" s="104">
        <f t="shared" si="157"/>
        <v>0</v>
      </c>
      <c r="AS36" s="102"/>
      <c r="AT36" s="1">
        <v>5</v>
      </c>
      <c r="AU36" s="104">
        <f t="shared" si="158"/>
        <v>0</v>
      </c>
      <c r="AV36" s="102"/>
      <c r="AW36" s="1">
        <v>5</v>
      </c>
      <c r="AX36" s="104">
        <f t="shared" si="159"/>
        <v>0</v>
      </c>
      <c r="AY36" s="102"/>
      <c r="AZ36" s="1">
        <v>5</v>
      </c>
      <c r="BA36" s="104">
        <f t="shared" si="160"/>
        <v>0</v>
      </c>
      <c r="BB36" s="102"/>
      <c r="BC36" s="1">
        <v>5</v>
      </c>
      <c r="BD36" s="104">
        <f t="shared" si="161"/>
        <v>0</v>
      </c>
      <c r="BE36" s="102"/>
      <c r="BF36" s="1">
        <v>5</v>
      </c>
      <c r="BG36" s="104">
        <f t="shared" si="162"/>
        <v>0</v>
      </c>
      <c r="BH36" s="102"/>
      <c r="BI36" s="1">
        <v>5</v>
      </c>
      <c r="BJ36" s="104">
        <f t="shared" si="163"/>
        <v>0</v>
      </c>
      <c r="BK36" s="102"/>
      <c r="BL36" s="1">
        <v>5</v>
      </c>
      <c r="BM36" s="104">
        <f t="shared" si="164"/>
        <v>0</v>
      </c>
      <c r="BN36" s="102"/>
      <c r="BO36" s="1">
        <v>5</v>
      </c>
      <c r="BP36" s="104">
        <f t="shared" si="165"/>
        <v>0</v>
      </c>
      <c r="BQ36" s="102"/>
      <c r="BR36" s="1">
        <v>5</v>
      </c>
      <c r="BS36" s="104">
        <f t="shared" si="166"/>
        <v>0</v>
      </c>
      <c r="BT36" s="102"/>
      <c r="BU36" s="1">
        <v>5</v>
      </c>
      <c r="BV36" s="104">
        <f t="shared" si="167"/>
        <v>0</v>
      </c>
      <c r="BW36" s="102"/>
      <c r="BX36" s="1">
        <v>5</v>
      </c>
      <c r="BY36" s="104">
        <f t="shared" si="168"/>
        <v>0</v>
      </c>
      <c r="BZ36" s="102"/>
      <c r="CA36" s="1">
        <v>5</v>
      </c>
      <c r="CB36" s="104">
        <f t="shared" si="169"/>
        <v>0</v>
      </c>
      <c r="CC36" s="102"/>
      <c r="CD36" s="1">
        <v>5</v>
      </c>
      <c r="CE36" s="104">
        <f t="shared" si="170"/>
        <v>0</v>
      </c>
      <c r="CF36" s="102"/>
      <c r="CG36" s="1">
        <v>5</v>
      </c>
      <c r="CH36" s="104">
        <f t="shared" si="171"/>
        <v>0</v>
      </c>
      <c r="CI36" s="102"/>
      <c r="CJ36" s="1">
        <v>5</v>
      </c>
      <c r="CK36" s="104">
        <f t="shared" si="172"/>
        <v>0</v>
      </c>
      <c r="CL36" s="102"/>
      <c r="CM36" s="1">
        <v>5</v>
      </c>
      <c r="CN36" s="104">
        <f t="shared" si="173"/>
        <v>0</v>
      </c>
      <c r="CO36" s="102"/>
      <c r="CP36" s="1">
        <v>5</v>
      </c>
      <c r="CQ36" s="104">
        <f t="shared" si="174"/>
        <v>0</v>
      </c>
      <c r="CR36" s="102"/>
      <c r="CS36" s="1">
        <v>5</v>
      </c>
      <c r="CT36" s="104">
        <f t="shared" si="175"/>
        <v>0</v>
      </c>
      <c r="CU36" s="102"/>
      <c r="CV36" s="1">
        <v>5</v>
      </c>
      <c r="CW36" s="104">
        <f t="shared" si="176"/>
        <v>0</v>
      </c>
      <c r="CX36" s="102"/>
      <c r="CY36" s="1">
        <v>5</v>
      </c>
      <c r="CZ36" s="104">
        <f t="shared" si="177"/>
        <v>0</v>
      </c>
      <c r="DA36" s="102"/>
      <c r="DB36" s="1">
        <v>5</v>
      </c>
      <c r="DC36" s="104">
        <f t="shared" si="178"/>
        <v>0</v>
      </c>
      <c r="DD36" s="102"/>
      <c r="DE36" s="1">
        <v>5</v>
      </c>
      <c r="DF36" s="104">
        <f t="shared" si="179"/>
        <v>0</v>
      </c>
      <c r="DG36" s="102"/>
      <c r="DH36" s="1">
        <v>5</v>
      </c>
      <c r="DI36" s="104">
        <f t="shared" si="180"/>
        <v>0</v>
      </c>
      <c r="DJ36" s="102"/>
      <c r="DK36" s="1">
        <v>5</v>
      </c>
      <c r="DL36" s="104">
        <f t="shared" si="181"/>
        <v>0</v>
      </c>
      <c r="DM36" s="102"/>
      <c r="DN36" s="1">
        <v>5</v>
      </c>
      <c r="DO36" s="104">
        <f t="shared" si="182"/>
        <v>0</v>
      </c>
      <c r="DP36" s="102"/>
      <c r="DQ36" s="1">
        <v>5</v>
      </c>
      <c r="DR36" s="104">
        <f t="shared" si="183"/>
        <v>0</v>
      </c>
      <c r="DS36" s="102"/>
      <c r="DT36" s="1">
        <v>5</v>
      </c>
      <c r="DU36" s="104">
        <f t="shared" si="184"/>
        <v>0</v>
      </c>
      <c r="DV36" s="102"/>
      <c r="DW36" s="1">
        <v>5</v>
      </c>
      <c r="DX36" s="104">
        <f t="shared" si="185"/>
        <v>0</v>
      </c>
      <c r="DY36" s="102"/>
      <c r="DZ36" s="1">
        <v>5</v>
      </c>
      <c r="EA36" s="104">
        <f t="shared" si="186"/>
        <v>0</v>
      </c>
      <c r="EB36" s="102"/>
      <c r="EC36" s="1">
        <v>5</v>
      </c>
      <c r="ED36" s="104">
        <f t="shared" si="187"/>
        <v>0</v>
      </c>
      <c r="EE36" s="102"/>
      <c r="EF36" s="1">
        <v>5</v>
      </c>
      <c r="EG36" s="104">
        <f t="shared" si="188"/>
        <v>0</v>
      </c>
      <c r="EH36" s="102"/>
      <c r="EI36" s="1">
        <v>5</v>
      </c>
      <c r="EJ36" s="104">
        <f t="shared" si="189"/>
        <v>0</v>
      </c>
      <c r="EK36" s="102"/>
      <c r="EL36" s="1">
        <v>5</v>
      </c>
      <c r="EM36" s="104">
        <f t="shared" si="190"/>
        <v>0</v>
      </c>
      <c r="EN36" s="102"/>
      <c r="EO36" s="1">
        <v>5</v>
      </c>
      <c r="EP36" s="104">
        <f t="shared" si="191"/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16" customHeight="1" spans="1:148" x14ac:dyDescent="0.25">
      <c r="A37" s="169" t="s">
        <v>107</v>
      </c>
      <c r="B37" s="101"/>
      <c r="C37" s="102"/>
      <c r="D37" s="103">
        <v>5</v>
      </c>
      <c r="E37" s="104">
        <f t="shared" si="144"/>
        <v>0</v>
      </c>
      <c r="F37" s="102"/>
      <c r="G37" s="103">
        <v>5</v>
      </c>
      <c r="H37" s="104">
        <f t="shared" si="145"/>
        <v>0</v>
      </c>
      <c r="I37" s="105"/>
      <c r="J37" s="103">
        <v>5</v>
      </c>
      <c r="K37" s="104">
        <f t="shared" si="146"/>
        <v>0</v>
      </c>
      <c r="L37" s="105"/>
      <c r="M37" s="103">
        <v>5</v>
      </c>
      <c r="N37" s="104">
        <f t="shared" si="147"/>
        <v>0</v>
      </c>
      <c r="O37" s="106"/>
      <c r="P37" s="107">
        <v>5</v>
      </c>
      <c r="Q37" s="104">
        <f t="shared" si="148"/>
        <v>0</v>
      </c>
      <c r="R37" s="102"/>
      <c r="S37" s="107">
        <v>5</v>
      </c>
      <c r="T37" s="104">
        <f t="shared" si="149"/>
        <v>0</v>
      </c>
      <c r="U37" s="102"/>
      <c r="V37" s="107">
        <v>5</v>
      </c>
      <c r="W37" s="104">
        <f t="shared" si="150"/>
        <v>0</v>
      </c>
      <c r="X37" s="102"/>
      <c r="Y37" s="107">
        <v>5</v>
      </c>
      <c r="Z37" s="104">
        <f t="shared" si="151"/>
        <v>0</v>
      </c>
      <c r="AA37" s="106"/>
      <c r="AB37" s="107">
        <v>5</v>
      </c>
      <c r="AC37" s="104">
        <f t="shared" si="152"/>
        <v>0</v>
      </c>
      <c r="AD37" s="106"/>
      <c r="AE37" s="107">
        <v>5</v>
      </c>
      <c r="AF37" s="104">
        <f t="shared" si="153"/>
        <v>0</v>
      </c>
      <c r="AG37" s="106"/>
      <c r="AH37" s="107">
        <v>5</v>
      </c>
      <c r="AI37" s="104">
        <f t="shared" si="154"/>
        <v>0</v>
      </c>
      <c r="AJ37" s="106"/>
      <c r="AK37" s="107">
        <v>5</v>
      </c>
      <c r="AL37" s="104">
        <f t="shared" si="155"/>
        <v>0</v>
      </c>
      <c r="AM37" s="102"/>
      <c r="AN37" s="1">
        <v>5</v>
      </c>
      <c r="AO37" s="104">
        <f t="shared" si="156"/>
        <v>0</v>
      </c>
      <c r="AP37" s="102"/>
      <c r="AQ37" s="1">
        <v>5</v>
      </c>
      <c r="AR37" s="104">
        <f t="shared" si="157"/>
        <v>0</v>
      </c>
      <c r="AS37" s="102"/>
      <c r="AT37" s="1">
        <v>5</v>
      </c>
      <c r="AU37" s="104">
        <f t="shared" si="158"/>
        <v>0</v>
      </c>
      <c r="AV37" s="102"/>
      <c r="AW37" s="1">
        <v>5</v>
      </c>
      <c r="AX37" s="104">
        <f t="shared" si="159"/>
        <v>0</v>
      </c>
      <c r="AY37" s="102"/>
      <c r="AZ37" s="1">
        <v>5</v>
      </c>
      <c r="BA37" s="104">
        <f t="shared" si="160"/>
        <v>0</v>
      </c>
      <c r="BB37" s="102"/>
      <c r="BC37" s="1">
        <v>5</v>
      </c>
      <c r="BD37" s="104">
        <f t="shared" si="161"/>
        <v>0</v>
      </c>
      <c r="BE37" s="102"/>
      <c r="BF37" s="1">
        <v>5</v>
      </c>
      <c r="BG37" s="104">
        <f t="shared" si="162"/>
        <v>0</v>
      </c>
      <c r="BH37" s="102"/>
      <c r="BI37" s="1">
        <v>5</v>
      </c>
      <c r="BJ37" s="104">
        <f t="shared" si="163"/>
        <v>0</v>
      </c>
      <c r="BK37" s="102"/>
      <c r="BL37" s="1">
        <v>5</v>
      </c>
      <c r="BM37" s="104">
        <f t="shared" si="164"/>
        <v>0</v>
      </c>
      <c r="BN37" s="102"/>
      <c r="BO37" s="1">
        <v>5</v>
      </c>
      <c r="BP37" s="104">
        <f t="shared" si="165"/>
        <v>0</v>
      </c>
      <c r="BQ37" s="102"/>
      <c r="BR37" s="1">
        <v>5</v>
      </c>
      <c r="BS37" s="104">
        <f t="shared" si="166"/>
        <v>0</v>
      </c>
      <c r="BT37" s="102"/>
      <c r="BU37" s="1">
        <v>5</v>
      </c>
      <c r="BV37" s="104">
        <f t="shared" si="167"/>
        <v>0</v>
      </c>
      <c r="BW37" s="102"/>
      <c r="BX37" s="1">
        <v>5</v>
      </c>
      <c r="BY37" s="104">
        <f t="shared" si="168"/>
        <v>0</v>
      </c>
      <c r="BZ37" s="102"/>
      <c r="CA37" s="1">
        <v>5</v>
      </c>
      <c r="CB37" s="104">
        <f t="shared" si="169"/>
        <v>0</v>
      </c>
      <c r="CC37" s="102"/>
      <c r="CD37" s="1">
        <v>5</v>
      </c>
      <c r="CE37" s="104">
        <f t="shared" si="170"/>
        <v>0</v>
      </c>
      <c r="CF37" s="102"/>
      <c r="CG37" s="1">
        <v>5</v>
      </c>
      <c r="CH37" s="104">
        <f t="shared" si="171"/>
        <v>0</v>
      </c>
      <c r="CI37" s="102"/>
      <c r="CJ37" s="1">
        <v>5</v>
      </c>
      <c r="CK37" s="104">
        <f t="shared" si="172"/>
        <v>0</v>
      </c>
      <c r="CL37" s="102"/>
      <c r="CM37" s="1">
        <v>5</v>
      </c>
      <c r="CN37" s="104">
        <f t="shared" si="173"/>
        <v>0</v>
      </c>
      <c r="CO37" s="102"/>
      <c r="CP37" s="1">
        <v>5</v>
      </c>
      <c r="CQ37" s="104">
        <f t="shared" si="174"/>
        <v>0</v>
      </c>
      <c r="CR37" s="102"/>
      <c r="CS37" s="1">
        <v>5</v>
      </c>
      <c r="CT37" s="104">
        <f t="shared" si="175"/>
        <v>0</v>
      </c>
      <c r="CU37" s="102"/>
      <c r="CV37" s="1">
        <v>5</v>
      </c>
      <c r="CW37" s="104">
        <f t="shared" si="176"/>
        <v>0</v>
      </c>
      <c r="CX37" s="102"/>
      <c r="CY37" s="1">
        <v>5</v>
      </c>
      <c r="CZ37" s="104">
        <f t="shared" si="177"/>
        <v>0</v>
      </c>
      <c r="DA37" s="102"/>
      <c r="DB37" s="1">
        <v>5</v>
      </c>
      <c r="DC37" s="104">
        <f t="shared" si="178"/>
        <v>0</v>
      </c>
      <c r="DD37" s="102"/>
      <c r="DE37" s="1">
        <v>5</v>
      </c>
      <c r="DF37" s="104">
        <f t="shared" si="179"/>
        <v>0</v>
      </c>
      <c r="DG37" s="102"/>
      <c r="DH37" s="1">
        <v>5</v>
      </c>
      <c r="DI37" s="104">
        <f t="shared" si="180"/>
        <v>0</v>
      </c>
      <c r="DJ37" s="102"/>
      <c r="DK37" s="1">
        <v>5</v>
      </c>
      <c r="DL37" s="104">
        <f t="shared" si="181"/>
        <v>0</v>
      </c>
      <c r="DM37" s="102"/>
      <c r="DN37" s="1">
        <v>5</v>
      </c>
      <c r="DO37" s="104">
        <f t="shared" si="182"/>
        <v>0</v>
      </c>
      <c r="DP37" s="102"/>
      <c r="DQ37" s="1">
        <v>5</v>
      </c>
      <c r="DR37" s="104">
        <f t="shared" si="183"/>
        <v>0</v>
      </c>
      <c r="DS37" s="102"/>
      <c r="DT37" s="1">
        <v>5</v>
      </c>
      <c r="DU37" s="104">
        <f t="shared" si="184"/>
        <v>0</v>
      </c>
      <c r="DV37" s="102"/>
      <c r="DW37" s="1">
        <v>5</v>
      </c>
      <c r="DX37" s="104">
        <f t="shared" si="185"/>
        <v>0</v>
      </c>
      <c r="DY37" s="102"/>
      <c r="DZ37" s="1">
        <v>5</v>
      </c>
      <c r="EA37" s="104">
        <f t="shared" si="186"/>
        <v>0</v>
      </c>
      <c r="EB37" s="102"/>
      <c r="EC37" s="1">
        <v>5</v>
      </c>
      <c r="ED37" s="104">
        <f t="shared" si="187"/>
        <v>0</v>
      </c>
      <c r="EE37" s="102"/>
      <c r="EF37" s="1">
        <v>5</v>
      </c>
      <c r="EG37" s="104">
        <f t="shared" si="188"/>
        <v>0</v>
      </c>
      <c r="EH37" s="102"/>
      <c r="EI37" s="1">
        <v>5</v>
      </c>
      <c r="EJ37" s="104">
        <f t="shared" si="189"/>
        <v>0</v>
      </c>
      <c r="EK37" s="102"/>
      <c r="EL37" s="1">
        <v>5</v>
      </c>
      <c r="EM37" s="104">
        <f t="shared" si="190"/>
        <v>0</v>
      </c>
      <c r="EN37" s="102"/>
      <c r="EO37" s="1">
        <v>5</v>
      </c>
      <c r="EP37" s="104">
        <f t="shared" si="191"/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16" customHeight="1" spans="1:148" x14ac:dyDescent="0.25">
      <c r="A38" s="169" t="s">
        <v>108</v>
      </c>
      <c r="B38" s="101"/>
      <c r="C38" s="102"/>
      <c r="D38" s="103">
        <v>5</v>
      </c>
      <c r="E38" s="104">
        <f t="shared" si="144"/>
        <v>0</v>
      </c>
      <c r="F38" s="102"/>
      <c r="G38" s="103">
        <v>5</v>
      </c>
      <c r="H38" s="104">
        <f t="shared" si="145"/>
        <v>0</v>
      </c>
      <c r="I38" s="105"/>
      <c r="J38" s="103">
        <v>5</v>
      </c>
      <c r="K38" s="104">
        <f t="shared" si="146"/>
        <v>0</v>
      </c>
      <c r="L38" s="105"/>
      <c r="M38" s="103">
        <v>5</v>
      </c>
      <c r="N38" s="104">
        <f t="shared" si="147"/>
        <v>0</v>
      </c>
      <c r="O38" s="106"/>
      <c r="P38" s="107">
        <v>5</v>
      </c>
      <c r="Q38" s="104">
        <f t="shared" si="148"/>
        <v>0</v>
      </c>
      <c r="R38" s="102"/>
      <c r="S38" s="107">
        <v>5</v>
      </c>
      <c r="T38" s="104">
        <f t="shared" si="149"/>
        <v>0</v>
      </c>
      <c r="U38" s="102"/>
      <c r="V38" s="107">
        <v>5</v>
      </c>
      <c r="W38" s="104">
        <f t="shared" si="150"/>
        <v>0</v>
      </c>
      <c r="X38" s="102"/>
      <c r="Y38" s="107">
        <v>5</v>
      </c>
      <c r="Z38" s="104">
        <f t="shared" si="151"/>
        <v>0</v>
      </c>
      <c r="AA38" s="106"/>
      <c r="AB38" s="107">
        <v>5</v>
      </c>
      <c r="AC38" s="104">
        <f t="shared" si="152"/>
        <v>0</v>
      </c>
      <c r="AD38" s="106"/>
      <c r="AE38" s="107">
        <v>5</v>
      </c>
      <c r="AF38" s="104">
        <f t="shared" si="153"/>
        <v>0</v>
      </c>
      <c r="AG38" s="106"/>
      <c r="AH38" s="107">
        <v>5</v>
      </c>
      <c r="AI38" s="104">
        <f t="shared" si="154"/>
        <v>0</v>
      </c>
      <c r="AJ38" s="106"/>
      <c r="AK38" s="107">
        <v>5</v>
      </c>
      <c r="AL38" s="104">
        <f t="shared" si="155"/>
        <v>0</v>
      </c>
      <c r="AM38" s="102"/>
      <c r="AN38" s="1">
        <v>5</v>
      </c>
      <c r="AO38" s="104">
        <f t="shared" si="156"/>
        <v>0</v>
      </c>
      <c r="AP38" s="102"/>
      <c r="AQ38" s="1">
        <v>5</v>
      </c>
      <c r="AR38" s="104">
        <f t="shared" si="157"/>
        <v>0</v>
      </c>
      <c r="AS38" s="102"/>
      <c r="AT38" s="1">
        <v>5</v>
      </c>
      <c r="AU38" s="104">
        <f t="shared" si="158"/>
        <v>0</v>
      </c>
      <c r="AV38" s="102"/>
      <c r="AW38" s="1">
        <v>5</v>
      </c>
      <c r="AX38" s="104">
        <f t="shared" si="159"/>
        <v>0</v>
      </c>
      <c r="AY38" s="102"/>
      <c r="AZ38" s="1">
        <v>5</v>
      </c>
      <c r="BA38" s="104">
        <f t="shared" si="160"/>
        <v>0</v>
      </c>
      <c r="BB38" s="102"/>
      <c r="BC38" s="1">
        <v>5</v>
      </c>
      <c r="BD38" s="104">
        <f t="shared" si="161"/>
        <v>0</v>
      </c>
      <c r="BE38" s="102"/>
      <c r="BF38" s="1">
        <v>5</v>
      </c>
      <c r="BG38" s="104">
        <f t="shared" si="162"/>
        <v>0</v>
      </c>
      <c r="BH38" s="102"/>
      <c r="BI38" s="1">
        <v>5</v>
      </c>
      <c r="BJ38" s="104">
        <f t="shared" si="163"/>
        <v>0</v>
      </c>
      <c r="BK38" s="102"/>
      <c r="BL38" s="1">
        <v>5</v>
      </c>
      <c r="BM38" s="104">
        <f t="shared" si="164"/>
        <v>0</v>
      </c>
      <c r="BN38" s="102"/>
      <c r="BO38" s="1">
        <v>5</v>
      </c>
      <c r="BP38" s="104">
        <f t="shared" si="165"/>
        <v>0</v>
      </c>
      <c r="BQ38" s="102"/>
      <c r="BR38" s="1">
        <v>5</v>
      </c>
      <c r="BS38" s="104">
        <f t="shared" si="166"/>
        <v>0</v>
      </c>
      <c r="BT38" s="102"/>
      <c r="BU38" s="1">
        <v>5</v>
      </c>
      <c r="BV38" s="104">
        <f t="shared" si="167"/>
        <v>0</v>
      </c>
      <c r="BW38" s="102"/>
      <c r="BX38" s="1">
        <v>5</v>
      </c>
      <c r="BY38" s="104">
        <f t="shared" si="168"/>
        <v>0</v>
      </c>
      <c r="BZ38" s="102"/>
      <c r="CA38" s="1">
        <v>5</v>
      </c>
      <c r="CB38" s="104">
        <f t="shared" si="169"/>
        <v>0</v>
      </c>
      <c r="CC38" s="102"/>
      <c r="CD38" s="1">
        <v>5</v>
      </c>
      <c r="CE38" s="104">
        <f t="shared" si="170"/>
        <v>0</v>
      </c>
      <c r="CF38" s="102"/>
      <c r="CG38" s="1">
        <v>5</v>
      </c>
      <c r="CH38" s="104">
        <f t="shared" si="171"/>
        <v>0</v>
      </c>
      <c r="CI38" s="102"/>
      <c r="CJ38" s="1">
        <v>5</v>
      </c>
      <c r="CK38" s="104">
        <f t="shared" si="172"/>
        <v>0</v>
      </c>
      <c r="CL38" s="102"/>
      <c r="CM38" s="1">
        <v>5</v>
      </c>
      <c r="CN38" s="104">
        <f t="shared" si="173"/>
        <v>0</v>
      </c>
      <c r="CO38" s="102"/>
      <c r="CP38" s="1">
        <v>5</v>
      </c>
      <c r="CQ38" s="104">
        <f t="shared" si="174"/>
        <v>0</v>
      </c>
      <c r="CR38" s="102"/>
      <c r="CS38" s="1">
        <v>5</v>
      </c>
      <c r="CT38" s="104">
        <f t="shared" si="175"/>
        <v>0</v>
      </c>
      <c r="CU38" s="102"/>
      <c r="CV38" s="1">
        <v>5</v>
      </c>
      <c r="CW38" s="104">
        <f t="shared" si="176"/>
        <v>0</v>
      </c>
      <c r="CX38" s="102"/>
      <c r="CY38" s="1">
        <v>5</v>
      </c>
      <c r="CZ38" s="104">
        <f t="shared" si="177"/>
        <v>0</v>
      </c>
      <c r="DA38" s="102"/>
      <c r="DB38" s="1">
        <v>5</v>
      </c>
      <c r="DC38" s="104">
        <f t="shared" si="178"/>
        <v>0</v>
      </c>
      <c r="DD38" s="102"/>
      <c r="DE38" s="1">
        <v>5</v>
      </c>
      <c r="DF38" s="104">
        <f t="shared" si="179"/>
        <v>0</v>
      </c>
      <c r="DG38" s="102"/>
      <c r="DH38" s="1">
        <v>5</v>
      </c>
      <c r="DI38" s="104">
        <f t="shared" si="180"/>
        <v>0</v>
      </c>
      <c r="DJ38" s="102"/>
      <c r="DK38" s="1">
        <v>5</v>
      </c>
      <c r="DL38" s="104">
        <f t="shared" si="181"/>
        <v>0</v>
      </c>
      <c r="DM38" s="102"/>
      <c r="DN38" s="1">
        <v>5</v>
      </c>
      <c r="DO38" s="104">
        <f t="shared" si="182"/>
        <v>0</v>
      </c>
      <c r="DP38" s="102"/>
      <c r="DQ38" s="1">
        <v>5</v>
      </c>
      <c r="DR38" s="104">
        <f t="shared" si="183"/>
        <v>0</v>
      </c>
      <c r="DS38" s="102"/>
      <c r="DT38" s="1">
        <v>5</v>
      </c>
      <c r="DU38" s="104">
        <f t="shared" si="184"/>
        <v>0</v>
      </c>
      <c r="DV38" s="102"/>
      <c r="DW38" s="1">
        <v>5</v>
      </c>
      <c r="DX38" s="104">
        <f t="shared" si="185"/>
        <v>0</v>
      </c>
      <c r="DY38" s="102"/>
      <c r="DZ38" s="1">
        <v>5</v>
      </c>
      <c r="EA38" s="104">
        <f t="shared" si="186"/>
        <v>0</v>
      </c>
      <c r="EB38" s="102"/>
      <c r="EC38" s="1">
        <v>5</v>
      </c>
      <c r="ED38" s="104">
        <f t="shared" si="187"/>
        <v>0</v>
      </c>
      <c r="EE38" s="102"/>
      <c r="EF38" s="1">
        <v>5</v>
      </c>
      <c r="EG38" s="104">
        <f t="shared" si="188"/>
        <v>0</v>
      </c>
      <c r="EH38" s="102"/>
      <c r="EI38" s="1">
        <v>5</v>
      </c>
      <c r="EJ38" s="104">
        <f t="shared" si="189"/>
        <v>0</v>
      </c>
      <c r="EK38" s="102"/>
      <c r="EL38" s="1">
        <v>5</v>
      </c>
      <c r="EM38" s="104">
        <f t="shared" si="190"/>
        <v>0</v>
      </c>
      <c r="EN38" s="102"/>
      <c r="EO38" s="1">
        <v>5</v>
      </c>
      <c r="EP38" s="104">
        <f t="shared" si="191"/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20.5" customHeight="1" spans="1:148" x14ac:dyDescent="0.25">
      <c r="A39" s="169" t="s">
        <v>227</v>
      </c>
      <c r="B39" s="101"/>
      <c r="C39" s="102"/>
      <c r="D39" s="103">
        <v>5</v>
      </c>
      <c r="E39" s="104">
        <f t="shared" si="144"/>
        <v>0</v>
      </c>
      <c r="F39" s="102"/>
      <c r="G39" s="103">
        <v>5</v>
      </c>
      <c r="H39" s="104">
        <f t="shared" si="145"/>
        <v>0</v>
      </c>
      <c r="I39" s="105"/>
      <c r="J39" s="103">
        <v>5</v>
      </c>
      <c r="K39" s="104">
        <f t="shared" si="146"/>
        <v>0</v>
      </c>
      <c r="L39" s="105"/>
      <c r="M39" s="103">
        <v>5</v>
      </c>
      <c r="N39" s="104">
        <f t="shared" si="147"/>
        <v>0</v>
      </c>
      <c r="O39" s="106"/>
      <c r="P39" s="107">
        <v>5</v>
      </c>
      <c r="Q39" s="104">
        <f t="shared" si="148"/>
        <v>0</v>
      </c>
      <c r="R39" s="102"/>
      <c r="S39" s="107">
        <v>5</v>
      </c>
      <c r="T39" s="104">
        <f t="shared" si="149"/>
        <v>0</v>
      </c>
      <c r="U39" s="102"/>
      <c r="V39" s="107">
        <v>5</v>
      </c>
      <c r="W39" s="104">
        <f t="shared" si="150"/>
        <v>0</v>
      </c>
      <c r="X39" s="102"/>
      <c r="Y39" s="107">
        <v>5</v>
      </c>
      <c r="Z39" s="104">
        <f t="shared" si="151"/>
        <v>0</v>
      </c>
      <c r="AA39" s="106"/>
      <c r="AB39" s="107">
        <v>5</v>
      </c>
      <c r="AC39" s="104">
        <f t="shared" si="152"/>
        <v>0</v>
      </c>
      <c r="AD39" s="106"/>
      <c r="AE39" s="107">
        <v>5</v>
      </c>
      <c r="AF39" s="104">
        <f t="shared" si="153"/>
        <v>0</v>
      </c>
      <c r="AG39" s="106"/>
      <c r="AH39" s="107">
        <v>5</v>
      </c>
      <c r="AI39" s="104">
        <f t="shared" si="154"/>
        <v>0</v>
      </c>
      <c r="AJ39" s="106"/>
      <c r="AK39" s="107">
        <v>5</v>
      </c>
      <c r="AL39" s="104">
        <f t="shared" si="155"/>
        <v>0</v>
      </c>
      <c r="AM39" s="102"/>
      <c r="AN39" s="1">
        <v>5</v>
      </c>
      <c r="AO39" s="104">
        <f t="shared" si="156"/>
        <v>0</v>
      </c>
      <c r="AP39" s="102"/>
      <c r="AQ39" s="1">
        <v>5</v>
      </c>
      <c r="AR39" s="104">
        <f t="shared" si="157"/>
        <v>0</v>
      </c>
      <c r="AS39" s="102"/>
      <c r="AT39" s="1">
        <v>5</v>
      </c>
      <c r="AU39" s="104">
        <f t="shared" si="158"/>
        <v>0</v>
      </c>
      <c r="AV39" s="102"/>
      <c r="AW39" s="1">
        <v>5</v>
      </c>
      <c r="AX39" s="104">
        <f t="shared" si="159"/>
        <v>0</v>
      </c>
      <c r="AY39" s="102"/>
      <c r="AZ39" s="1">
        <v>5</v>
      </c>
      <c r="BA39" s="104">
        <f t="shared" si="160"/>
        <v>0</v>
      </c>
      <c r="BB39" s="102"/>
      <c r="BC39" s="1">
        <v>5</v>
      </c>
      <c r="BD39" s="104">
        <f t="shared" si="161"/>
        <v>0</v>
      </c>
      <c r="BE39" s="102"/>
      <c r="BF39" s="1">
        <v>5</v>
      </c>
      <c r="BG39" s="104">
        <f t="shared" si="162"/>
        <v>0</v>
      </c>
      <c r="BH39" s="102"/>
      <c r="BI39" s="1">
        <v>5</v>
      </c>
      <c r="BJ39" s="104">
        <f t="shared" si="163"/>
        <v>0</v>
      </c>
      <c r="BK39" s="102"/>
      <c r="BL39" s="1">
        <v>5</v>
      </c>
      <c r="BM39" s="104">
        <f t="shared" si="164"/>
        <v>0</v>
      </c>
      <c r="BN39" s="102"/>
      <c r="BO39" s="1">
        <v>5</v>
      </c>
      <c r="BP39" s="104">
        <f t="shared" si="165"/>
        <v>0</v>
      </c>
      <c r="BQ39" s="102"/>
      <c r="BR39" s="1">
        <v>5</v>
      </c>
      <c r="BS39" s="104">
        <f t="shared" si="166"/>
        <v>0</v>
      </c>
      <c r="BT39" s="102"/>
      <c r="BU39" s="1">
        <v>5</v>
      </c>
      <c r="BV39" s="104">
        <f t="shared" si="167"/>
        <v>0</v>
      </c>
      <c r="BW39" s="102"/>
      <c r="BX39" s="1">
        <v>5</v>
      </c>
      <c r="BY39" s="104">
        <f t="shared" si="168"/>
        <v>0</v>
      </c>
      <c r="BZ39" s="102"/>
      <c r="CA39" s="1">
        <v>5</v>
      </c>
      <c r="CB39" s="104">
        <f t="shared" si="169"/>
        <v>0</v>
      </c>
      <c r="CC39" s="102"/>
      <c r="CD39" s="1">
        <v>5</v>
      </c>
      <c r="CE39" s="104">
        <f t="shared" si="170"/>
        <v>0</v>
      </c>
      <c r="CF39" s="102"/>
      <c r="CG39" s="1">
        <v>5</v>
      </c>
      <c r="CH39" s="104">
        <f t="shared" si="171"/>
        <v>0</v>
      </c>
      <c r="CI39" s="102"/>
      <c r="CJ39" s="1">
        <v>5</v>
      </c>
      <c r="CK39" s="104">
        <f t="shared" si="172"/>
        <v>0</v>
      </c>
      <c r="CL39" s="102"/>
      <c r="CM39" s="1">
        <v>5</v>
      </c>
      <c r="CN39" s="104">
        <f t="shared" si="173"/>
        <v>0</v>
      </c>
      <c r="CO39" s="102"/>
      <c r="CP39" s="1">
        <v>5</v>
      </c>
      <c r="CQ39" s="104">
        <f t="shared" si="174"/>
        <v>0</v>
      </c>
      <c r="CR39" s="102"/>
      <c r="CS39" s="1">
        <v>5</v>
      </c>
      <c r="CT39" s="104">
        <f t="shared" si="175"/>
        <v>0</v>
      </c>
      <c r="CU39" s="102"/>
      <c r="CV39" s="1">
        <v>5</v>
      </c>
      <c r="CW39" s="104">
        <f t="shared" si="176"/>
        <v>0</v>
      </c>
      <c r="CX39" s="102"/>
      <c r="CY39" s="1">
        <v>5</v>
      </c>
      <c r="CZ39" s="104">
        <f t="shared" si="177"/>
        <v>0</v>
      </c>
      <c r="DA39" s="102"/>
      <c r="DB39" s="1">
        <v>5</v>
      </c>
      <c r="DC39" s="104">
        <f t="shared" si="178"/>
        <v>0</v>
      </c>
      <c r="DD39" s="102"/>
      <c r="DE39" s="1">
        <v>5</v>
      </c>
      <c r="DF39" s="104">
        <f t="shared" si="179"/>
        <v>0</v>
      </c>
      <c r="DG39" s="102"/>
      <c r="DH39" s="1">
        <v>5</v>
      </c>
      <c r="DI39" s="104">
        <f t="shared" si="180"/>
        <v>0</v>
      </c>
      <c r="DJ39" s="102"/>
      <c r="DK39" s="1">
        <v>5</v>
      </c>
      <c r="DL39" s="104">
        <f t="shared" si="181"/>
        <v>0</v>
      </c>
      <c r="DM39" s="102"/>
      <c r="DN39" s="1">
        <v>5</v>
      </c>
      <c r="DO39" s="104">
        <f t="shared" si="182"/>
        <v>0</v>
      </c>
      <c r="DP39" s="102"/>
      <c r="DQ39" s="1">
        <v>5</v>
      </c>
      <c r="DR39" s="104">
        <f t="shared" si="183"/>
        <v>0</v>
      </c>
      <c r="DS39" s="102"/>
      <c r="DT39" s="1">
        <v>5</v>
      </c>
      <c r="DU39" s="104">
        <f t="shared" si="184"/>
        <v>0</v>
      </c>
      <c r="DV39" s="102"/>
      <c r="DW39" s="1">
        <v>5</v>
      </c>
      <c r="DX39" s="104">
        <f t="shared" si="185"/>
        <v>0</v>
      </c>
      <c r="DY39" s="102"/>
      <c r="DZ39" s="1">
        <v>5</v>
      </c>
      <c r="EA39" s="104">
        <f t="shared" si="186"/>
        <v>0</v>
      </c>
      <c r="EB39" s="102"/>
      <c r="EC39" s="1">
        <v>5</v>
      </c>
      <c r="ED39" s="104">
        <f t="shared" si="187"/>
        <v>0</v>
      </c>
      <c r="EE39" s="102"/>
      <c r="EF39" s="1">
        <v>5</v>
      </c>
      <c r="EG39" s="104">
        <f t="shared" si="188"/>
        <v>0</v>
      </c>
      <c r="EH39" s="102"/>
      <c r="EI39" s="1">
        <v>5</v>
      </c>
      <c r="EJ39" s="104">
        <f t="shared" si="189"/>
        <v>0</v>
      </c>
      <c r="EK39" s="102"/>
      <c r="EL39" s="1">
        <v>5</v>
      </c>
      <c r="EM39" s="104">
        <f t="shared" si="190"/>
        <v>0</v>
      </c>
      <c r="EN39" s="102"/>
      <c r="EO39" s="1">
        <v>5</v>
      </c>
      <c r="EP39" s="104">
        <f t="shared" si="191"/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16" customHeight="1" spans="1:148" x14ac:dyDescent="0.25">
      <c r="A40" s="124" t="s">
        <v>111</v>
      </c>
      <c r="B40" s="125"/>
      <c r="C40" s="126"/>
      <c r="D40" s="127"/>
      <c r="E40" s="82">
        <f>AVERAGE(E41:E52)</f>
        <v>0</v>
      </c>
      <c r="F40" s="126" t="s">
        <v>76</v>
      </c>
      <c r="G40" s="127"/>
      <c r="H40" s="82">
        <f>AVERAGE(H41:H52)</f>
        <v>0</v>
      </c>
      <c r="I40" s="126"/>
      <c r="J40" s="127"/>
      <c r="K40" s="82">
        <f>AVERAGE(K41:K52)</f>
        <v>0</v>
      </c>
      <c r="L40" s="126"/>
      <c r="M40" s="127"/>
      <c r="N40" s="82">
        <f>AVERAGE(N41:N52)</f>
        <v>0</v>
      </c>
      <c r="O40" s="126"/>
      <c r="P40" s="127"/>
      <c r="Q40" s="82">
        <f>AVERAGE(Q41:Q52)</f>
        <v>0</v>
      </c>
      <c r="R40" s="126"/>
      <c r="S40" s="127"/>
      <c r="T40" s="82">
        <f>AVERAGE(T41:T52)</f>
        <v>0</v>
      </c>
      <c r="U40" s="126"/>
      <c r="V40" s="127"/>
      <c r="W40" s="82">
        <f>AVERAGE(W41:W52)</f>
        <v>0</v>
      </c>
      <c r="X40" s="126"/>
      <c r="Y40" s="127"/>
      <c r="Z40" s="82">
        <f>AVERAGE(Z41:Z52)</f>
        <v>0</v>
      </c>
      <c r="AA40" s="126"/>
      <c r="AB40" s="127"/>
      <c r="AC40" s="82">
        <f>AVERAGE(AC41:AC52)</f>
        <v>0</v>
      </c>
      <c r="AD40" s="126"/>
      <c r="AE40" s="127"/>
      <c r="AF40" s="82">
        <f>AVERAGE(AF41:AF52)</f>
        <v>0</v>
      </c>
      <c r="AG40" s="126"/>
      <c r="AH40" s="127"/>
      <c r="AI40" s="82">
        <f>AVERAGE(AI41:AI52)</f>
        <v>0</v>
      </c>
      <c r="AJ40" s="126"/>
      <c r="AK40" s="127"/>
      <c r="AL40" s="82">
        <f>AVERAGE(AL41:AL52)</f>
        <v>0</v>
      </c>
      <c r="AM40" s="128"/>
      <c r="AN40" s="127"/>
      <c r="AO40" s="82">
        <f>AVERAGE(AO41:AO52)</f>
        <v>0</v>
      </c>
      <c r="AP40" s="128"/>
      <c r="AQ40" s="129"/>
      <c r="AR40" s="82">
        <f>AVERAGE(AR41:AR52)</f>
        <v>0</v>
      </c>
      <c r="AS40" s="130"/>
      <c r="AT40" s="129"/>
      <c r="AU40" s="82">
        <f>AVERAGE(AU41:AU52)</f>
        <v>0</v>
      </c>
      <c r="AV40" s="128"/>
      <c r="AW40" s="127"/>
      <c r="AX40" s="82">
        <f>AVERAGE(AX41:AX52)</f>
        <v>0</v>
      </c>
      <c r="AY40" s="131"/>
      <c r="AZ40" s="132"/>
      <c r="BA40" s="82">
        <f>AVERAGE(BA41:BA52)</f>
        <v>0</v>
      </c>
      <c r="BB40" s="128"/>
      <c r="BC40" s="132"/>
      <c r="BD40" s="82">
        <f>AVERAGE(BD41:BD52)</f>
        <v>0</v>
      </c>
      <c r="BE40" s="128"/>
      <c r="BF40" s="132"/>
      <c r="BG40" s="82">
        <f>AVERAGE(BG41:BG52)</f>
        <v>0</v>
      </c>
      <c r="BH40" s="128"/>
      <c r="BI40" s="132"/>
      <c r="BJ40" s="82">
        <f>AVERAGE(BJ41:BJ52)</f>
        <v>0</v>
      </c>
      <c r="BK40" s="128"/>
      <c r="BL40" s="132"/>
      <c r="BM40" s="82">
        <f>AVERAGE(BM41:BM52)</f>
        <v>0</v>
      </c>
      <c r="BN40" s="128"/>
      <c r="BO40" s="132"/>
      <c r="BP40" s="82">
        <f>AVERAGE(BP41:BP52)</f>
        <v>0</v>
      </c>
      <c r="BQ40" s="128"/>
      <c r="BR40" s="132"/>
      <c r="BS40" s="82">
        <f>AVERAGE(BS41:BS52)</f>
        <v>0</v>
      </c>
      <c r="BT40" s="128"/>
      <c r="BU40" s="132"/>
      <c r="BV40" s="82">
        <f>AVERAGE(BV41:BV52)</f>
        <v>0</v>
      </c>
      <c r="BW40" s="128"/>
      <c r="BX40" s="132"/>
      <c r="BY40" s="82">
        <f>AVERAGE(BY41:BY52)</f>
        <v>0</v>
      </c>
      <c r="BZ40" s="126" t="s">
        <v>76</v>
      </c>
      <c r="CA40" s="127"/>
      <c r="CB40" s="82">
        <f>AVERAGE(CB41:CB52)</f>
        <v>0</v>
      </c>
      <c r="CC40" s="126"/>
      <c r="CD40" s="127"/>
      <c r="CE40" s="82">
        <f>AVERAGE(CE41:CE52)</f>
        <v>0</v>
      </c>
      <c r="CF40" s="126"/>
      <c r="CG40" s="127"/>
      <c r="CH40" s="82">
        <f>AVERAGE(CH41:CH52)</f>
        <v>0</v>
      </c>
      <c r="CI40" s="126"/>
      <c r="CJ40" s="127"/>
      <c r="CK40" s="82">
        <f>AVERAGE(CK41:CK52)</f>
        <v>0</v>
      </c>
      <c r="CL40" s="126"/>
      <c r="CM40" s="127"/>
      <c r="CN40" s="82">
        <f>AVERAGE(CN41:CN52)</f>
        <v>0</v>
      </c>
      <c r="CO40" s="126"/>
      <c r="CP40" s="127"/>
      <c r="CQ40" s="82">
        <f>AVERAGE(CQ41:CQ52)</f>
        <v>0</v>
      </c>
      <c r="CR40" s="126"/>
      <c r="CS40" s="127"/>
      <c r="CT40" s="82">
        <f>AVERAGE(CT41:CT52)</f>
        <v>0</v>
      </c>
      <c r="CU40" s="126" t="s">
        <v>76</v>
      </c>
      <c r="CV40" s="127"/>
      <c r="CW40" s="82">
        <f>AVERAGE(CW41:CW52)</f>
        <v>0</v>
      </c>
      <c r="CX40" s="126"/>
      <c r="CY40" s="127"/>
      <c r="CZ40" s="82">
        <f>AVERAGE(CZ41:CZ52)</f>
        <v>0</v>
      </c>
      <c r="DA40" s="126"/>
      <c r="DB40" s="127"/>
      <c r="DC40" s="82">
        <f>AVERAGE(DC41:DC52)</f>
        <v>0</v>
      </c>
      <c r="DD40" s="126"/>
      <c r="DE40" s="127"/>
      <c r="DF40" s="82">
        <f>AVERAGE(DF41:DF52)</f>
        <v>0</v>
      </c>
      <c r="DG40" s="126"/>
      <c r="DH40" s="127"/>
      <c r="DI40" s="82">
        <f>AVERAGE(DI41:DI52)</f>
        <v>0</v>
      </c>
      <c r="DJ40" s="126"/>
      <c r="DK40" s="127"/>
      <c r="DL40" s="82">
        <f>AVERAGE(DL41:DL52)</f>
        <v>0</v>
      </c>
      <c r="DM40" s="126"/>
      <c r="DN40" s="127"/>
      <c r="DO40" s="82">
        <f>AVERAGE(DO41:DO52)</f>
        <v>0</v>
      </c>
      <c r="DP40" s="126"/>
      <c r="DQ40" s="127"/>
      <c r="DR40" s="82">
        <f>AVERAGE(DR41:DR52)</f>
        <v>0</v>
      </c>
      <c r="DS40" s="126"/>
      <c r="DT40" s="127"/>
      <c r="DU40" s="82">
        <f>AVERAGE(DU41:DU52)</f>
        <v>0</v>
      </c>
      <c r="DV40" s="126"/>
      <c r="DW40" s="127"/>
      <c r="DX40" s="82">
        <f>AVERAGE(DX41:DX52)</f>
        <v>0</v>
      </c>
      <c r="DY40" s="126"/>
      <c r="DZ40" s="127"/>
      <c r="EA40" s="82">
        <f>AVERAGE(EA41:EA52)</f>
        <v>0</v>
      </c>
      <c r="EB40" s="126"/>
      <c r="EC40" s="127"/>
      <c r="ED40" s="82">
        <f>AVERAGE(ED41:ED52)</f>
        <v>0</v>
      </c>
      <c r="EE40" s="126"/>
      <c r="EF40" s="127"/>
      <c r="EG40" s="82">
        <f>AVERAGE(EG41:EG52)</f>
        <v>0</v>
      </c>
      <c r="EH40" s="126"/>
      <c r="EI40" s="127"/>
      <c r="EJ40" s="82">
        <f>AVERAGE(EJ41:EJ52)</f>
        <v>0</v>
      </c>
      <c r="EK40" s="126"/>
      <c r="EL40" s="127"/>
      <c r="EM40" s="82">
        <f>AVERAGE(EM41:EM52)</f>
        <v>0</v>
      </c>
      <c r="EN40" s="126"/>
      <c r="EO40" s="127"/>
      <c r="EP40" s="82">
        <f>AVERAGE(EP41:EP52)</f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22" customHeight="1" spans="1:148" x14ac:dyDescent="0.25">
      <c r="A41" s="88" t="s">
        <v>112</v>
      </c>
      <c r="B41" s="101"/>
      <c r="C41" s="102"/>
      <c r="D41" s="103">
        <v>5</v>
      </c>
      <c r="E41" s="104">
        <f t="shared" ref="E41:E52" si="192">C41/D41</f>
        <v>0</v>
      </c>
      <c r="F41" s="102"/>
      <c r="G41" s="103">
        <v>5</v>
      </c>
      <c r="H41" s="104">
        <f t="shared" ref="H41:H52" si="193">F41/G41</f>
        <v>0</v>
      </c>
      <c r="I41" s="105"/>
      <c r="J41" s="103">
        <v>5</v>
      </c>
      <c r="K41" s="104">
        <f t="shared" ref="K41:K52" si="194">I41/J41</f>
        <v>0</v>
      </c>
      <c r="L41" s="105"/>
      <c r="M41" s="103">
        <v>5</v>
      </c>
      <c r="N41" s="104">
        <f t="shared" ref="N41:N52" si="195">L41/M41</f>
        <v>0</v>
      </c>
      <c r="O41" s="106"/>
      <c r="P41" s="107">
        <v>5</v>
      </c>
      <c r="Q41" s="104">
        <f t="shared" ref="Q41:Q52" si="196">O41/P41</f>
        <v>0</v>
      </c>
      <c r="R41" s="102"/>
      <c r="S41" s="107">
        <v>5</v>
      </c>
      <c r="T41" s="104">
        <f t="shared" ref="T41:T52" si="197">R41/S41</f>
        <v>0</v>
      </c>
      <c r="U41" s="102"/>
      <c r="V41" s="107">
        <v>5</v>
      </c>
      <c r="W41" s="104">
        <f t="shared" ref="W41:W52" si="198">U41/V41</f>
        <v>0</v>
      </c>
      <c r="X41" s="102"/>
      <c r="Y41" s="107">
        <v>5</v>
      </c>
      <c r="Z41" s="104">
        <f t="shared" ref="Z41:Z52" si="199">X41/Y41</f>
        <v>0</v>
      </c>
      <c r="AA41" s="106"/>
      <c r="AB41" s="107">
        <v>5</v>
      </c>
      <c r="AC41" s="104">
        <f t="shared" ref="AC41:AC52" si="200">AA41/AB41</f>
        <v>0</v>
      </c>
      <c r="AD41" s="106"/>
      <c r="AE41" s="107">
        <v>5</v>
      </c>
      <c r="AF41" s="104">
        <f t="shared" ref="AF41:AF52" si="201">AD41/AE41</f>
        <v>0</v>
      </c>
      <c r="AG41" s="106"/>
      <c r="AH41" s="107">
        <v>5</v>
      </c>
      <c r="AI41" s="104">
        <f t="shared" ref="AI41:AI52" si="202">AG41/AH41</f>
        <v>0</v>
      </c>
      <c r="AJ41" s="106"/>
      <c r="AK41" s="107">
        <v>5</v>
      </c>
      <c r="AL41" s="104">
        <f t="shared" ref="AL41:AL52" si="203">AJ41/AK41</f>
        <v>0</v>
      </c>
      <c r="AM41" s="102"/>
      <c r="AN41" s="1">
        <v>5</v>
      </c>
      <c r="AO41" s="104">
        <f t="shared" ref="AO41:AO52" si="204">AM41/AN41</f>
        <v>0</v>
      </c>
      <c r="AP41" s="102"/>
      <c r="AQ41" s="1">
        <v>5</v>
      </c>
      <c r="AR41" s="104">
        <f t="shared" ref="AR41:AR52" si="205">AP41/AQ41</f>
        <v>0</v>
      </c>
      <c r="AS41" s="102"/>
      <c r="AT41" s="1">
        <v>5</v>
      </c>
      <c r="AU41" s="104">
        <f t="shared" ref="AU41:AU52" si="206">AS41/AT41</f>
        <v>0</v>
      </c>
      <c r="AV41" s="102"/>
      <c r="AW41" s="1">
        <v>5</v>
      </c>
      <c r="AX41" s="104">
        <f t="shared" ref="AX41:AX52" si="207">AV41/AW41</f>
        <v>0</v>
      </c>
      <c r="AY41" s="102"/>
      <c r="AZ41" s="1">
        <v>5</v>
      </c>
      <c r="BA41" s="104">
        <f t="shared" ref="BA41:BA52" si="208">AY41/AZ41</f>
        <v>0</v>
      </c>
      <c r="BB41" s="102"/>
      <c r="BC41" s="1">
        <v>5</v>
      </c>
      <c r="BD41" s="104">
        <f t="shared" ref="BD41:BD52" si="209">BB41/BC41</f>
        <v>0</v>
      </c>
      <c r="BE41" s="102"/>
      <c r="BF41" s="1">
        <v>5</v>
      </c>
      <c r="BG41" s="104">
        <f t="shared" ref="BG41:BG52" si="210">BE41/BF41</f>
        <v>0</v>
      </c>
      <c r="BH41" s="102"/>
      <c r="BI41" s="1">
        <v>5</v>
      </c>
      <c r="BJ41" s="104">
        <f t="shared" ref="BJ41:BJ52" si="211">BH41/BI41</f>
        <v>0</v>
      </c>
      <c r="BK41" s="102"/>
      <c r="BL41" s="1">
        <v>5</v>
      </c>
      <c r="BM41" s="104">
        <f t="shared" ref="BM41:BM52" si="212">BK41/BL41</f>
        <v>0</v>
      </c>
      <c r="BN41" s="102"/>
      <c r="BO41" s="1">
        <v>5</v>
      </c>
      <c r="BP41" s="104">
        <f t="shared" ref="BP41:BP52" si="213">BN41/BO41</f>
        <v>0</v>
      </c>
      <c r="BQ41" s="102"/>
      <c r="BR41" s="1">
        <v>5</v>
      </c>
      <c r="BS41" s="104">
        <f t="shared" ref="BS41:BS52" si="214">BQ41/BR41</f>
        <v>0</v>
      </c>
      <c r="BT41" s="102"/>
      <c r="BU41" s="1">
        <v>5</v>
      </c>
      <c r="BV41" s="104">
        <f t="shared" ref="BV41:BV52" si="215">BT41/BU41</f>
        <v>0</v>
      </c>
      <c r="BW41" s="102"/>
      <c r="BX41" s="1">
        <v>5</v>
      </c>
      <c r="BY41" s="104">
        <f t="shared" ref="BY41:BY52" si="216">BW41/BX41</f>
        <v>0</v>
      </c>
      <c r="BZ41" s="102"/>
      <c r="CA41" s="1">
        <v>5</v>
      </c>
      <c r="CB41" s="104">
        <f t="shared" ref="CB41:CB52" si="217">BZ41/CA41</f>
        <v>0</v>
      </c>
      <c r="CC41" s="102"/>
      <c r="CD41" s="1">
        <v>5</v>
      </c>
      <c r="CE41" s="104">
        <f t="shared" ref="CE41:CE52" si="218">CC41/CD41</f>
        <v>0</v>
      </c>
      <c r="CF41" s="102"/>
      <c r="CG41" s="1">
        <v>5</v>
      </c>
      <c r="CH41" s="104">
        <f t="shared" ref="CH41:CH52" si="219">CF41/CG41</f>
        <v>0</v>
      </c>
      <c r="CI41" s="102"/>
      <c r="CJ41" s="1">
        <v>5</v>
      </c>
      <c r="CK41" s="104">
        <f t="shared" ref="CK41:CK52" si="220">CI41/CJ41</f>
        <v>0</v>
      </c>
      <c r="CL41" s="102"/>
      <c r="CM41" s="1">
        <v>5</v>
      </c>
      <c r="CN41" s="104">
        <f t="shared" ref="CN41:CN52" si="221">CL41/CM41</f>
        <v>0</v>
      </c>
      <c r="CO41" s="102"/>
      <c r="CP41" s="1">
        <v>5</v>
      </c>
      <c r="CQ41" s="104">
        <f t="shared" ref="CQ41:CQ52" si="222">CO41/CP41</f>
        <v>0</v>
      </c>
      <c r="CR41" s="102"/>
      <c r="CS41" s="1">
        <v>5</v>
      </c>
      <c r="CT41" s="104">
        <f t="shared" ref="CT41:CT52" si="223">CR41/CS41</f>
        <v>0</v>
      </c>
      <c r="CU41" s="102"/>
      <c r="CV41" s="1">
        <v>5</v>
      </c>
      <c r="CW41" s="104">
        <f t="shared" ref="CW41:CW52" si="224">CU41/CV41</f>
        <v>0</v>
      </c>
      <c r="CX41" s="102"/>
      <c r="CY41" s="1">
        <v>5</v>
      </c>
      <c r="CZ41" s="104">
        <f t="shared" ref="CZ41:CZ52" si="225">CX41/CY41</f>
        <v>0</v>
      </c>
      <c r="DA41" s="102"/>
      <c r="DB41" s="1">
        <v>5</v>
      </c>
      <c r="DC41" s="104">
        <f t="shared" ref="DC41:DC52" si="226">DA41/DB41</f>
        <v>0</v>
      </c>
      <c r="DD41" s="102"/>
      <c r="DE41" s="1">
        <v>5</v>
      </c>
      <c r="DF41" s="104">
        <f t="shared" ref="DF41:DF52" si="227">DD41/DE41</f>
        <v>0</v>
      </c>
      <c r="DG41" s="102"/>
      <c r="DH41" s="1">
        <v>5</v>
      </c>
      <c r="DI41" s="104">
        <f t="shared" ref="DI41:DI52" si="228">DG41/DH41</f>
        <v>0</v>
      </c>
      <c r="DJ41" s="102"/>
      <c r="DK41" s="1">
        <v>5</v>
      </c>
      <c r="DL41" s="104">
        <f t="shared" ref="DL41:DL52" si="229">DJ41/DK41</f>
        <v>0</v>
      </c>
      <c r="DM41" s="102"/>
      <c r="DN41" s="1">
        <v>5</v>
      </c>
      <c r="DO41" s="104">
        <f t="shared" ref="DO41:DO52" si="230">DM41/DN41</f>
        <v>0</v>
      </c>
      <c r="DP41" s="102"/>
      <c r="DQ41" s="1">
        <v>5</v>
      </c>
      <c r="DR41" s="104">
        <f t="shared" ref="DR41:DR52" si="231">DP41/DQ41</f>
        <v>0</v>
      </c>
      <c r="DS41" s="102"/>
      <c r="DT41" s="1">
        <v>5</v>
      </c>
      <c r="DU41" s="104">
        <f t="shared" ref="DU41:DU52" si="232">DS41/DT41</f>
        <v>0</v>
      </c>
      <c r="DV41" s="102"/>
      <c r="DW41" s="1">
        <v>5</v>
      </c>
      <c r="DX41" s="104">
        <f t="shared" ref="DX41:DX52" si="233">DV41/DW41</f>
        <v>0</v>
      </c>
      <c r="DY41" s="102"/>
      <c r="DZ41" s="1">
        <v>5</v>
      </c>
      <c r="EA41" s="104">
        <f t="shared" ref="EA41:EA52" si="234">DY41/DZ41</f>
        <v>0</v>
      </c>
      <c r="EB41" s="102"/>
      <c r="EC41" s="1">
        <v>5</v>
      </c>
      <c r="ED41" s="104">
        <f t="shared" ref="ED41:ED52" si="235">EB41/EC41</f>
        <v>0</v>
      </c>
      <c r="EE41" s="102"/>
      <c r="EF41" s="1">
        <v>5</v>
      </c>
      <c r="EG41" s="104">
        <f t="shared" ref="EG41:EG52" si="236">EE41/EF41</f>
        <v>0</v>
      </c>
      <c r="EH41" s="102"/>
      <c r="EI41" s="1">
        <v>5</v>
      </c>
      <c r="EJ41" s="104">
        <f t="shared" ref="EJ41:EJ52" si="237">EH41/EI41</f>
        <v>0</v>
      </c>
      <c r="EK41" s="102"/>
      <c r="EL41" s="1">
        <v>5</v>
      </c>
      <c r="EM41" s="104">
        <f t="shared" ref="EM41:EM52" si="238">EK41/EL41</f>
        <v>0</v>
      </c>
      <c r="EN41" s="102"/>
      <c r="EO41" s="1">
        <v>5</v>
      </c>
      <c r="EP41" s="104">
        <f t="shared" ref="EP41:EP52" si="239">EN41/EO41</f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22" customHeight="1" spans="1:148" x14ac:dyDescent="0.25">
      <c r="A42" s="100" t="s">
        <v>133</v>
      </c>
      <c r="B42" s="101"/>
      <c r="C42" s="102"/>
      <c r="D42" s="103">
        <v>5</v>
      </c>
      <c r="E42" s="104">
        <f t="shared" si="192"/>
        <v>0</v>
      </c>
      <c r="F42" s="102"/>
      <c r="G42" s="103">
        <v>5</v>
      </c>
      <c r="H42" s="104">
        <f t="shared" si="193"/>
        <v>0</v>
      </c>
      <c r="I42" s="105"/>
      <c r="J42" s="103">
        <v>5</v>
      </c>
      <c r="K42" s="104">
        <f t="shared" si="194"/>
        <v>0</v>
      </c>
      <c r="L42" s="105"/>
      <c r="M42" s="103">
        <v>5</v>
      </c>
      <c r="N42" s="104">
        <f t="shared" si="195"/>
        <v>0</v>
      </c>
      <c r="O42" s="106"/>
      <c r="P42" s="107">
        <v>5</v>
      </c>
      <c r="Q42" s="104">
        <f t="shared" si="196"/>
        <v>0</v>
      </c>
      <c r="R42" s="102"/>
      <c r="S42" s="107">
        <v>5</v>
      </c>
      <c r="T42" s="104">
        <f t="shared" si="197"/>
        <v>0</v>
      </c>
      <c r="U42" s="102"/>
      <c r="V42" s="107">
        <v>5</v>
      </c>
      <c r="W42" s="104">
        <f t="shared" si="198"/>
        <v>0</v>
      </c>
      <c r="X42" s="102"/>
      <c r="Y42" s="107">
        <v>5</v>
      </c>
      <c r="Z42" s="104">
        <f t="shared" si="199"/>
        <v>0</v>
      </c>
      <c r="AA42" s="106"/>
      <c r="AB42" s="107">
        <v>5</v>
      </c>
      <c r="AC42" s="104">
        <f t="shared" si="200"/>
        <v>0</v>
      </c>
      <c r="AD42" s="106"/>
      <c r="AE42" s="107">
        <v>5</v>
      </c>
      <c r="AF42" s="104">
        <f t="shared" si="201"/>
        <v>0</v>
      </c>
      <c r="AG42" s="106"/>
      <c r="AH42" s="107">
        <v>5</v>
      </c>
      <c r="AI42" s="104">
        <f t="shared" si="202"/>
        <v>0</v>
      </c>
      <c r="AJ42" s="106"/>
      <c r="AK42" s="107">
        <v>5</v>
      </c>
      <c r="AL42" s="104">
        <f t="shared" si="203"/>
        <v>0</v>
      </c>
      <c r="AM42" s="102"/>
      <c r="AN42" s="1">
        <v>5</v>
      </c>
      <c r="AO42" s="104">
        <f t="shared" si="204"/>
        <v>0</v>
      </c>
      <c r="AP42" s="102"/>
      <c r="AQ42" s="1">
        <v>5</v>
      </c>
      <c r="AR42" s="104">
        <f t="shared" si="205"/>
        <v>0</v>
      </c>
      <c r="AS42" s="102"/>
      <c r="AT42" s="1">
        <v>5</v>
      </c>
      <c r="AU42" s="104">
        <f t="shared" si="206"/>
        <v>0</v>
      </c>
      <c r="AV42" s="102"/>
      <c r="AW42" s="1">
        <v>5</v>
      </c>
      <c r="AX42" s="104">
        <f t="shared" si="207"/>
        <v>0</v>
      </c>
      <c r="AY42" s="102"/>
      <c r="AZ42" s="1">
        <v>5</v>
      </c>
      <c r="BA42" s="104">
        <f t="shared" si="208"/>
        <v>0</v>
      </c>
      <c r="BB42" s="102"/>
      <c r="BC42" s="1">
        <v>5</v>
      </c>
      <c r="BD42" s="104">
        <f t="shared" si="209"/>
        <v>0</v>
      </c>
      <c r="BE42" s="102"/>
      <c r="BF42" s="1">
        <v>5</v>
      </c>
      <c r="BG42" s="104">
        <f t="shared" si="210"/>
        <v>0</v>
      </c>
      <c r="BH42" s="102"/>
      <c r="BI42" s="1">
        <v>5</v>
      </c>
      <c r="BJ42" s="104">
        <f t="shared" si="211"/>
        <v>0</v>
      </c>
      <c r="BK42" s="102"/>
      <c r="BL42" s="1">
        <v>5</v>
      </c>
      <c r="BM42" s="104">
        <f t="shared" si="212"/>
        <v>0</v>
      </c>
      <c r="BN42" s="102"/>
      <c r="BO42" s="1">
        <v>5</v>
      </c>
      <c r="BP42" s="104">
        <f t="shared" si="213"/>
        <v>0</v>
      </c>
      <c r="BQ42" s="102"/>
      <c r="BR42" s="1">
        <v>5</v>
      </c>
      <c r="BS42" s="104">
        <f t="shared" si="214"/>
        <v>0</v>
      </c>
      <c r="BT42" s="102"/>
      <c r="BU42" s="1">
        <v>5</v>
      </c>
      <c r="BV42" s="104">
        <f t="shared" si="215"/>
        <v>0</v>
      </c>
      <c r="BW42" s="102"/>
      <c r="BX42" s="1">
        <v>5</v>
      </c>
      <c r="BY42" s="104">
        <f t="shared" si="216"/>
        <v>0</v>
      </c>
      <c r="BZ42" s="102"/>
      <c r="CA42" s="1">
        <v>5</v>
      </c>
      <c r="CB42" s="104">
        <f t="shared" si="217"/>
        <v>0</v>
      </c>
      <c r="CC42" s="102"/>
      <c r="CD42" s="1">
        <v>5</v>
      </c>
      <c r="CE42" s="104">
        <f t="shared" si="218"/>
        <v>0</v>
      </c>
      <c r="CF42" s="102"/>
      <c r="CG42" s="1">
        <v>5</v>
      </c>
      <c r="CH42" s="104">
        <f t="shared" si="219"/>
        <v>0</v>
      </c>
      <c r="CI42" s="102"/>
      <c r="CJ42" s="1">
        <v>5</v>
      </c>
      <c r="CK42" s="104">
        <f t="shared" si="220"/>
        <v>0</v>
      </c>
      <c r="CL42" s="102"/>
      <c r="CM42" s="1">
        <v>5</v>
      </c>
      <c r="CN42" s="104">
        <f t="shared" si="221"/>
        <v>0</v>
      </c>
      <c r="CO42" s="102"/>
      <c r="CP42" s="1">
        <v>5</v>
      </c>
      <c r="CQ42" s="104">
        <f t="shared" si="222"/>
        <v>0</v>
      </c>
      <c r="CR42" s="102"/>
      <c r="CS42" s="1">
        <v>5</v>
      </c>
      <c r="CT42" s="104">
        <f t="shared" si="223"/>
        <v>0</v>
      </c>
      <c r="CU42" s="102"/>
      <c r="CV42" s="1">
        <v>5</v>
      </c>
      <c r="CW42" s="104">
        <f t="shared" si="224"/>
        <v>0</v>
      </c>
      <c r="CX42" s="102"/>
      <c r="CY42" s="1">
        <v>5</v>
      </c>
      <c r="CZ42" s="104">
        <f t="shared" si="225"/>
        <v>0</v>
      </c>
      <c r="DA42" s="102"/>
      <c r="DB42" s="1">
        <v>5</v>
      </c>
      <c r="DC42" s="104">
        <f t="shared" si="226"/>
        <v>0</v>
      </c>
      <c r="DD42" s="102"/>
      <c r="DE42" s="1">
        <v>5</v>
      </c>
      <c r="DF42" s="104">
        <f t="shared" si="227"/>
        <v>0</v>
      </c>
      <c r="DG42" s="102"/>
      <c r="DH42" s="1">
        <v>5</v>
      </c>
      <c r="DI42" s="104">
        <f t="shared" si="228"/>
        <v>0</v>
      </c>
      <c r="DJ42" s="102"/>
      <c r="DK42" s="1">
        <v>5</v>
      </c>
      <c r="DL42" s="104">
        <f t="shared" si="229"/>
        <v>0</v>
      </c>
      <c r="DM42" s="102"/>
      <c r="DN42" s="1">
        <v>5</v>
      </c>
      <c r="DO42" s="104">
        <f t="shared" si="230"/>
        <v>0</v>
      </c>
      <c r="DP42" s="102"/>
      <c r="DQ42" s="1">
        <v>5</v>
      </c>
      <c r="DR42" s="104">
        <f t="shared" si="231"/>
        <v>0</v>
      </c>
      <c r="DS42" s="102"/>
      <c r="DT42" s="1">
        <v>5</v>
      </c>
      <c r="DU42" s="104">
        <f t="shared" si="232"/>
        <v>0</v>
      </c>
      <c r="DV42" s="102"/>
      <c r="DW42" s="1">
        <v>5</v>
      </c>
      <c r="DX42" s="104">
        <f t="shared" si="233"/>
        <v>0</v>
      </c>
      <c r="DY42" s="102"/>
      <c r="DZ42" s="1">
        <v>5</v>
      </c>
      <c r="EA42" s="104">
        <f t="shared" si="234"/>
        <v>0</v>
      </c>
      <c r="EB42" s="102"/>
      <c r="EC42" s="1">
        <v>5</v>
      </c>
      <c r="ED42" s="104">
        <f t="shared" si="235"/>
        <v>0</v>
      </c>
      <c r="EE42" s="102"/>
      <c r="EF42" s="1">
        <v>5</v>
      </c>
      <c r="EG42" s="104">
        <f t="shared" si="236"/>
        <v>0</v>
      </c>
      <c r="EH42" s="102"/>
      <c r="EI42" s="1">
        <v>5</v>
      </c>
      <c r="EJ42" s="104">
        <f t="shared" si="237"/>
        <v>0</v>
      </c>
      <c r="EK42" s="102"/>
      <c r="EL42" s="1">
        <v>5</v>
      </c>
      <c r="EM42" s="104">
        <f t="shared" si="238"/>
        <v>0</v>
      </c>
      <c r="EN42" s="102"/>
      <c r="EO42" s="1">
        <v>5</v>
      </c>
      <c r="EP42" s="104">
        <f t="shared" si="239"/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23.25" customHeight="1" spans="1:148" x14ac:dyDescent="0.25">
      <c r="A43" s="100" t="s">
        <v>113</v>
      </c>
      <c r="B43" s="101"/>
      <c r="C43" s="102"/>
      <c r="D43" s="103">
        <v>5</v>
      </c>
      <c r="E43" s="104">
        <f t="shared" si="192"/>
        <v>0</v>
      </c>
      <c r="F43" s="102"/>
      <c r="G43" s="103">
        <v>5</v>
      </c>
      <c r="H43" s="104">
        <f t="shared" si="193"/>
        <v>0</v>
      </c>
      <c r="I43" s="105"/>
      <c r="J43" s="103">
        <v>5</v>
      </c>
      <c r="K43" s="104">
        <f t="shared" si="194"/>
        <v>0</v>
      </c>
      <c r="L43" s="105"/>
      <c r="M43" s="103">
        <v>5</v>
      </c>
      <c r="N43" s="104">
        <f t="shared" si="195"/>
        <v>0</v>
      </c>
      <c r="O43" s="106"/>
      <c r="P43" s="107">
        <v>5</v>
      </c>
      <c r="Q43" s="104">
        <f t="shared" si="196"/>
        <v>0</v>
      </c>
      <c r="R43" s="102"/>
      <c r="S43" s="107">
        <v>5</v>
      </c>
      <c r="T43" s="104">
        <f t="shared" si="197"/>
        <v>0</v>
      </c>
      <c r="U43" s="102"/>
      <c r="V43" s="107">
        <v>5</v>
      </c>
      <c r="W43" s="104">
        <f t="shared" si="198"/>
        <v>0</v>
      </c>
      <c r="X43" s="102"/>
      <c r="Y43" s="107">
        <v>5</v>
      </c>
      <c r="Z43" s="104">
        <f t="shared" si="199"/>
        <v>0</v>
      </c>
      <c r="AA43" s="106"/>
      <c r="AB43" s="107">
        <v>5</v>
      </c>
      <c r="AC43" s="104">
        <f t="shared" si="200"/>
        <v>0</v>
      </c>
      <c r="AD43" s="106"/>
      <c r="AE43" s="107">
        <v>5</v>
      </c>
      <c r="AF43" s="104">
        <f t="shared" si="201"/>
        <v>0</v>
      </c>
      <c r="AG43" s="106"/>
      <c r="AH43" s="107">
        <v>5</v>
      </c>
      <c r="AI43" s="104">
        <f t="shared" si="202"/>
        <v>0</v>
      </c>
      <c r="AJ43" s="106"/>
      <c r="AK43" s="107">
        <v>5</v>
      </c>
      <c r="AL43" s="104">
        <f t="shared" si="203"/>
        <v>0</v>
      </c>
      <c r="AM43" s="102"/>
      <c r="AN43" s="1">
        <v>5</v>
      </c>
      <c r="AO43" s="104">
        <f t="shared" si="204"/>
        <v>0</v>
      </c>
      <c r="AP43" s="102"/>
      <c r="AQ43" s="1">
        <v>5</v>
      </c>
      <c r="AR43" s="104">
        <f t="shared" si="205"/>
        <v>0</v>
      </c>
      <c r="AS43" s="102"/>
      <c r="AT43" s="1">
        <v>5</v>
      </c>
      <c r="AU43" s="104">
        <f t="shared" si="206"/>
        <v>0</v>
      </c>
      <c r="AV43" s="102"/>
      <c r="AW43" s="1">
        <v>5</v>
      </c>
      <c r="AX43" s="104">
        <f t="shared" si="207"/>
        <v>0</v>
      </c>
      <c r="AY43" s="102"/>
      <c r="AZ43" s="1">
        <v>5</v>
      </c>
      <c r="BA43" s="104">
        <f t="shared" si="208"/>
        <v>0</v>
      </c>
      <c r="BB43" s="102"/>
      <c r="BC43" s="1">
        <v>5</v>
      </c>
      <c r="BD43" s="104">
        <f t="shared" si="209"/>
        <v>0</v>
      </c>
      <c r="BE43" s="102"/>
      <c r="BF43" s="1">
        <v>5</v>
      </c>
      <c r="BG43" s="104">
        <f t="shared" si="210"/>
        <v>0</v>
      </c>
      <c r="BH43" s="102"/>
      <c r="BI43" s="1">
        <v>5</v>
      </c>
      <c r="BJ43" s="104">
        <f t="shared" si="211"/>
        <v>0</v>
      </c>
      <c r="BK43" s="102"/>
      <c r="BL43" s="1">
        <v>5</v>
      </c>
      <c r="BM43" s="104">
        <f t="shared" si="212"/>
        <v>0</v>
      </c>
      <c r="BN43" s="102"/>
      <c r="BO43" s="1">
        <v>5</v>
      </c>
      <c r="BP43" s="104">
        <f t="shared" si="213"/>
        <v>0</v>
      </c>
      <c r="BQ43" s="102"/>
      <c r="BR43" s="1">
        <v>5</v>
      </c>
      <c r="BS43" s="104">
        <f t="shared" si="214"/>
        <v>0</v>
      </c>
      <c r="BT43" s="102"/>
      <c r="BU43" s="1">
        <v>5</v>
      </c>
      <c r="BV43" s="104">
        <f t="shared" si="215"/>
        <v>0</v>
      </c>
      <c r="BW43" s="102"/>
      <c r="BX43" s="1">
        <v>5</v>
      </c>
      <c r="BY43" s="104">
        <f t="shared" si="216"/>
        <v>0</v>
      </c>
      <c r="BZ43" s="102"/>
      <c r="CA43" s="1">
        <v>5</v>
      </c>
      <c r="CB43" s="104">
        <f t="shared" si="217"/>
        <v>0</v>
      </c>
      <c r="CC43" s="102"/>
      <c r="CD43" s="1">
        <v>5</v>
      </c>
      <c r="CE43" s="104">
        <f t="shared" si="218"/>
        <v>0</v>
      </c>
      <c r="CF43" s="102"/>
      <c r="CG43" s="1">
        <v>5</v>
      </c>
      <c r="CH43" s="104">
        <f t="shared" si="219"/>
        <v>0</v>
      </c>
      <c r="CI43" s="102"/>
      <c r="CJ43" s="1">
        <v>5</v>
      </c>
      <c r="CK43" s="104">
        <f t="shared" si="220"/>
        <v>0</v>
      </c>
      <c r="CL43" s="102"/>
      <c r="CM43" s="1">
        <v>5</v>
      </c>
      <c r="CN43" s="104">
        <f t="shared" si="221"/>
        <v>0</v>
      </c>
      <c r="CO43" s="102"/>
      <c r="CP43" s="1">
        <v>5</v>
      </c>
      <c r="CQ43" s="104">
        <f t="shared" si="222"/>
        <v>0</v>
      </c>
      <c r="CR43" s="102"/>
      <c r="CS43" s="1">
        <v>5</v>
      </c>
      <c r="CT43" s="104">
        <f t="shared" si="223"/>
        <v>0</v>
      </c>
      <c r="CU43" s="102"/>
      <c r="CV43" s="1">
        <v>5</v>
      </c>
      <c r="CW43" s="104">
        <f t="shared" si="224"/>
        <v>0</v>
      </c>
      <c r="CX43" s="102"/>
      <c r="CY43" s="1">
        <v>5</v>
      </c>
      <c r="CZ43" s="104">
        <f t="shared" si="225"/>
        <v>0</v>
      </c>
      <c r="DA43" s="102"/>
      <c r="DB43" s="1">
        <v>5</v>
      </c>
      <c r="DC43" s="104">
        <f t="shared" si="226"/>
        <v>0</v>
      </c>
      <c r="DD43" s="102"/>
      <c r="DE43" s="1">
        <v>5</v>
      </c>
      <c r="DF43" s="104">
        <f t="shared" si="227"/>
        <v>0</v>
      </c>
      <c r="DG43" s="102"/>
      <c r="DH43" s="1">
        <v>5</v>
      </c>
      <c r="DI43" s="104">
        <f t="shared" si="228"/>
        <v>0</v>
      </c>
      <c r="DJ43" s="102"/>
      <c r="DK43" s="1">
        <v>5</v>
      </c>
      <c r="DL43" s="104">
        <f t="shared" si="229"/>
        <v>0</v>
      </c>
      <c r="DM43" s="102"/>
      <c r="DN43" s="1">
        <v>5</v>
      </c>
      <c r="DO43" s="104">
        <f t="shared" si="230"/>
        <v>0</v>
      </c>
      <c r="DP43" s="102"/>
      <c r="DQ43" s="1">
        <v>5</v>
      </c>
      <c r="DR43" s="104">
        <f t="shared" si="231"/>
        <v>0</v>
      </c>
      <c r="DS43" s="102"/>
      <c r="DT43" s="1">
        <v>5</v>
      </c>
      <c r="DU43" s="104">
        <f t="shared" si="232"/>
        <v>0</v>
      </c>
      <c r="DV43" s="102"/>
      <c r="DW43" s="1">
        <v>5</v>
      </c>
      <c r="DX43" s="104">
        <f t="shared" si="233"/>
        <v>0</v>
      </c>
      <c r="DY43" s="102"/>
      <c r="DZ43" s="1">
        <v>5</v>
      </c>
      <c r="EA43" s="104">
        <f t="shared" si="234"/>
        <v>0</v>
      </c>
      <c r="EB43" s="102"/>
      <c r="EC43" s="1">
        <v>5</v>
      </c>
      <c r="ED43" s="104">
        <f t="shared" si="235"/>
        <v>0</v>
      </c>
      <c r="EE43" s="102"/>
      <c r="EF43" s="1">
        <v>5</v>
      </c>
      <c r="EG43" s="104">
        <f t="shared" si="236"/>
        <v>0</v>
      </c>
      <c r="EH43" s="102"/>
      <c r="EI43" s="1">
        <v>5</v>
      </c>
      <c r="EJ43" s="104">
        <f t="shared" si="237"/>
        <v>0</v>
      </c>
      <c r="EK43" s="102"/>
      <c r="EL43" s="1">
        <v>5</v>
      </c>
      <c r="EM43" s="104">
        <f t="shared" si="238"/>
        <v>0</v>
      </c>
      <c r="EN43" s="102"/>
      <c r="EO43" s="1">
        <v>5</v>
      </c>
      <c r="EP43" s="104">
        <f t="shared" si="239"/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22" customHeight="1" spans="1:148" x14ac:dyDescent="0.25">
      <c r="A44" s="100" t="s">
        <v>114</v>
      </c>
      <c r="B44" s="101"/>
      <c r="C44" s="102"/>
      <c r="D44" s="103">
        <v>5</v>
      </c>
      <c r="E44" s="104">
        <f t="shared" si="192"/>
        <v>0</v>
      </c>
      <c r="F44" s="102"/>
      <c r="G44" s="103">
        <v>5</v>
      </c>
      <c r="H44" s="104">
        <f t="shared" si="193"/>
        <v>0</v>
      </c>
      <c r="I44" s="105"/>
      <c r="J44" s="103">
        <v>5</v>
      </c>
      <c r="K44" s="104">
        <f t="shared" si="194"/>
        <v>0</v>
      </c>
      <c r="L44" s="105"/>
      <c r="M44" s="103">
        <v>5</v>
      </c>
      <c r="N44" s="104">
        <f t="shared" si="195"/>
        <v>0</v>
      </c>
      <c r="O44" s="106"/>
      <c r="P44" s="107">
        <v>5</v>
      </c>
      <c r="Q44" s="104">
        <f t="shared" si="196"/>
        <v>0</v>
      </c>
      <c r="R44" s="102"/>
      <c r="S44" s="107">
        <v>5</v>
      </c>
      <c r="T44" s="104">
        <f t="shared" si="197"/>
        <v>0</v>
      </c>
      <c r="U44" s="102"/>
      <c r="V44" s="107">
        <v>5</v>
      </c>
      <c r="W44" s="104">
        <f t="shared" si="198"/>
        <v>0</v>
      </c>
      <c r="X44" s="102"/>
      <c r="Y44" s="107">
        <v>5</v>
      </c>
      <c r="Z44" s="104">
        <f t="shared" si="199"/>
        <v>0</v>
      </c>
      <c r="AA44" s="106"/>
      <c r="AB44" s="107">
        <v>5</v>
      </c>
      <c r="AC44" s="104">
        <f t="shared" si="200"/>
        <v>0</v>
      </c>
      <c r="AD44" s="106"/>
      <c r="AE44" s="107">
        <v>5</v>
      </c>
      <c r="AF44" s="104">
        <f t="shared" si="201"/>
        <v>0</v>
      </c>
      <c r="AG44" s="106"/>
      <c r="AH44" s="107">
        <v>5</v>
      </c>
      <c r="AI44" s="104">
        <f t="shared" si="202"/>
        <v>0</v>
      </c>
      <c r="AJ44" s="106"/>
      <c r="AK44" s="107">
        <v>5</v>
      </c>
      <c r="AL44" s="104">
        <f t="shared" si="203"/>
        <v>0</v>
      </c>
      <c r="AM44" s="102"/>
      <c r="AN44" s="1">
        <v>5</v>
      </c>
      <c r="AO44" s="104">
        <f t="shared" si="204"/>
        <v>0</v>
      </c>
      <c r="AP44" s="102"/>
      <c r="AQ44" s="1">
        <v>5</v>
      </c>
      <c r="AR44" s="104">
        <f t="shared" si="205"/>
        <v>0</v>
      </c>
      <c r="AS44" s="102"/>
      <c r="AT44" s="1">
        <v>5</v>
      </c>
      <c r="AU44" s="104">
        <f t="shared" si="206"/>
        <v>0</v>
      </c>
      <c r="AV44" s="102"/>
      <c r="AW44" s="1">
        <v>5</v>
      </c>
      <c r="AX44" s="104">
        <f t="shared" si="207"/>
        <v>0</v>
      </c>
      <c r="AY44" s="102"/>
      <c r="AZ44" s="1">
        <v>5</v>
      </c>
      <c r="BA44" s="104">
        <f t="shared" si="208"/>
        <v>0</v>
      </c>
      <c r="BB44" s="102"/>
      <c r="BC44" s="1">
        <v>5</v>
      </c>
      <c r="BD44" s="104">
        <f t="shared" si="209"/>
        <v>0</v>
      </c>
      <c r="BE44" s="102"/>
      <c r="BF44" s="1">
        <v>5</v>
      </c>
      <c r="BG44" s="104">
        <f t="shared" si="210"/>
        <v>0</v>
      </c>
      <c r="BH44" s="102"/>
      <c r="BI44" s="1">
        <v>5</v>
      </c>
      <c r="BJ44" s="104">
        <f t="shared" si="211"/>
        <v>0</v>
      </c>
      <c r="BK44" s="102"/>
      <c r="BL44" s="1">
        <v>5</v>
      </c>
      <c r="BM44" s="104">
        <f t="shared" si="212"/>
        <v>0</v>
      </c>
      <c r="BN44" s="102"/>
      <c r="BO44" s="1">
        <v>5</v>
      </c>
      <c r="BP44" s="104">
        <f t="shared" si="213"/>
        <v>0</v>
      </c>
      <c r="BQ44" s="102"/>
      <c r="BR44" s="1">
        <v>5</v>
      </c>
      <c r="BS44" s="104">
        <f t="shared" si="214"/>
        <v>0</v>
      </c>
      <c r="BT44" s="102"/>
      <c r="BU44" s="1">
        <v>5</v>
      </c>
      <c r="BV44" s="104">
        <f t="shared" si="215"/>
        <v>0</v>
      </c>
      <c r="BW44" s="102"/>
      <c r="BX44" s="1">
        <v>5</v>
      </c>
      <c r="BY44" s="104">
        <f t="shared" si="216"/>
        <v>0</v>
      </c>
      <c r="BZ44" s="102"/>
      <c r="CA44" s="1">
        <v>5</v>
      </c>
      <c r="CB44" s="104">
        <f t="shared" si="217"/>
        <v>0</v>
      </c>
      <c r="CC44" s="102"/>
      <c r="CD44" s="1">
        <v>5</v>
      </c>
      <c r="CE44" s="104">
        <f t="shared" si="218"/>
        <v>0</v>
      </c>
      <c r="CF44" s="102"/>
      <c r="CG44" s="1">
        <v>5</v>
      </c>
      <c r="CH44" s="104">
        <f t="shared" si="219"/>
        <v>0</v>
      </c>
      <c r="CI44" s="102"/>
      <c r="CJ44" s="1">
        <v>5</v>
      </c>
      <c r="CK44" s="104">
        <f t="shared" si="220"/>
        <v>0</v>
      </c>
      <c r="CL44" s="102"/>
      <c r="CM44" s="1">
        <v>5</v>
      </c>
      <c r="CN44" s="104">
        <f t="shared" si="221"/>
        <v>0</v>
      </c>
      <c r="CO44" s="102"/>
      <c r="CP44" s="1">
        <v>5</v>
      </c>
      <c r="CQ44" s="104">
        <f t="shared" si="222"/>
        <v>0</v>
      </c>
      <c r="CR44" s="102"/>
      <c r="CS44" s="1">
        <v>5</v>
      </c>
      <c r="CT44" s="104">
        <f t="shared" si="223"/>
        <v>0</v>
      </c>
      <c r="CU44" s="102"/>
      <c r="CV44" s="1">
        <v>5</v>
      </c>
      <c r="CW44" s="104">
        <f t="shared" si="224"/>
        <v>0</v>
      </c>
      <c r="CX44" s="102"/>
      <c r="CY44" s="1">
        <v>5</v>
      </c>
      <c r="CZ44" s="104">
        <f t="shared" si="225"/>
        <v>0</v>
      </c>
      <c r="DA44" s="102"/>
      <c r="DB44" s="1">
        <v>5</v>
      </c>
      <c r="DC44" s="104">
        <f t="shared" si="226"/>
        <v>0</v>
      </c>
      <c r="DD44" s="102"/>
      <c r="DE44" s="1">
        <v>5</v>
      </c>
      <c r="DF44" s="104">
        <f t="shared" si="227"/>
        <v>0</v>
      </c>
      <c r="DG44" s="102"/>
      <c r="DH44" s="1">
        <v>5</v>
      </c>
      <c r="DI44" s="104">
        <f t="shared" si="228"/>
        <v>0</v>
      </c>
      <c r="DJ44" s="102"/>
      <c r="DK44" s="1">
        <v>5</v>
      </c>
      <c r="DL44" s="104">
        <f t="shared" si="229"/>
        <v>0</v>
      </c>
      <c r="DM44" s="102"/>
      <c r="DN44" s="1">
        <v>5</v>
      </c>
      <c r="DO44" s="104">
        <f t="shared" si="230"/>
        <v>0</v>
      </c>
      <c r="DP44" s="102"/>
      <c r="DQ44" s="1">
        <v>5</v>
      </c>
      <c r="DR44" s="104">
        <f t="shared" si="231"/>
        <v>0</v>
      </c>
      <c r="DS44" s="102"/>
      <c r="DT44" s="1">
        <v>5</v>
      </c>
      <c r="DU44" s="104">
        <f t="shared" si="232"/>
        <v>0</v>
      </c>
      <c r="DV44" s="102"/>
      <c r="DW44" s="1">
        <v>5</v>
      </c>
      <c r="DX44" s="104">
        <f t="shared" si="233"/>
        <v>0</v>
      </c>
      <c r="DY44" s="102"/>
      <c r="DZ44" s="1">
        <v>5</v>
      </c>
      <c r="EA44" s="104">
        <f t="shared" si="234"/>
        <v>0</v>
      </c>
      <c r="EB44" s="102"/>
      <c r="EC44" s="1">
        <v>5</v>
      </c>
      <c r="ED44" s="104">
        <f t="shared" si="235"/>
        <v>0</v>
      </c>
      <c r="EE44" s="102"/>
      <c r="EF44" s="1">
        <v>5</v>
      </c>
      <c r="EG44" s="104">
        <f t="shared" si="236"/>
        <v>0</v>
      </c>
      <c r="EH44" s="102"/>
      <c r="EI44" s="1">
        <v>5</v>
      </c>
      <c r="EJ44" s="104">
        <f t="shared" si="237"/>
        <v>0</v>
      </c>
      <c r="EK44" s="102"/>
      <c r="EL44" s="1">
        <v>5</v>
      </c>
      <c r="EM44" s="104">
        <f t="shared" si="238"/>
        <v>0</v>
      </c>
      <c r="EN44" s="102"/>
      <c r="EO44" s="1">
        <v>5</v>
      </c>
      <c r="EP44" s="104">
        <f t="shared" si="239"/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32" customHeight="1" spans="1:148" x14ac:dyDescent="0.25">
      <c r="A45" s="279" t="s">
        <v>228</v>
      </c>
      <c r="B45" s="101"/>
      <c r="C45" s="102"/>
      <c r="D45" s="103">
        <v>5</v>
      </c>
      <c r="E45" s="104">
        <f t="shared" si="192"/>
        <v>0</v>
      </c>
      <c r="F45" s="102"/>
      <c r="G45" s="103">
        <v>5</v>
      </c>
      <c r="H45" s="104">
        <f t="shared" si="193"/>
        <v>0</v>
      </c>
      <c r="I45" s="105"/>
      <c r="J45" s="103">
        <v>5</v>
      </c>
      <c r="K45" s="104">
        <f t="shared" si="194"/>
        <v>0</v>
      </c>
      <c r="L45" s="105"/>
      <c r="M45" s="103">
        <v>5</v>
      </c>
      <c r="N45" s="104">
        <f t="shared" si="195"/>
        <v>0</v>
      </c>
      <c r="O45" s="106"/>
      <c r="P45" s="107">
        <v>5</v>
      </c>
      <c r="Q45" s="104">
        <f t="shared" si="196"/>
        <v>0</v>
      </c>
      <c r="R45" s="102"/>
      <c r="S45" s="107">
        <v>5</v>
      </c>
      <c r="T45" s="104">
        <f t="shared" si="197"/>
        <v>0</v>
      </c>
      <c r="U45" s="102"/>
      <c r="V45" s="107">
        <v>5</v>
      </c>
      <c r="W45" s="104">
        <f t="shared" si="198"/>
        <v>0</v>
      </c>
      <c r="X45" s="102"/>
      <c r="Y45" s="107">
        <v>5</v>
      </c>
      <c r="Z45" s="104">
        <f t="shared" si="199"/>
        <v>0</v>
      </c>
      <c r="AA45" s="106"/>
      <c r="AB45" s="107">
        <v>5</v>
      </c>
      <c r="AC45" s="104">
        <f t="shared" si="200"/>
        <v>0</v>
      </c>
      <c r="AD45" s="106"/>
      <c r="AE45" s="107">
        <v>5</v>
      </c>
      <c r="AF45" s="104">
        <f t="shared" si="201"/>
        <v>0</v>
      </c>
      <c r="AG45" s="106"/>
      <c r="AH45" s="107">
        <v>5</v>
      </c>
      <c r="AI45" s="104">
        <f t="shared" si="202"/>
        <v>0</v>
      </c>
      <c r="AJ45" s="106"/>
      <c r="AK45" s="107">
        <v>5</v>
      </c>
      <c r="AL45" s="104">
        <f t="shared" si="203"/>
        <v>0</v>
      </c>
      <c r="AM45" s="102"/>
      <c r="AN45" s="1">
        <v>5</v>
      </c>
      <c r="AO45" s="104">
        <f t="shared" si="204"/>
        <v>0</v>
      </c>
      <c r="AP45" s="102"/>
      <c r="AQ45" s="1">
        <v>5</v>
      </c>
      <c r="AR45" s="104">
        <f t="shared" si="205"/>
        <v>0</v>
      </c>
      <c r="AS45" s="102"/>
      <c r="AT45" s="1">
        <v>5</v>
      </c>
      <c r="AU45" s="104">
        <f t="shared" si="206"/>
        <v>0</v>
      </c>
      <c r="AV45" s="102"/>
      <c r="AW45" s="1">
        <v>5</v>
      </c>
      <c r="AX45" s="104">
        <f t="shared" si="207"/>
        <v>0</v>
      </c>
      <c r="AY45" s="102"/>
      <c r="AZ45" s="1">
        <v>5</v>
      </c>
      <c r="BA45" s="104">
        <f t="shared" si="208"/>
        <v>0</v>
      </c>
      <c r="BB45" s="102"/>
      <c r="BC45" s="1">
        <v>5</v>
      </c>
      <c r="BD45" s="104">
        <f t="shared" si="209"/>
        <v>0</v>
      </c>
      <c r="BE45" s="102"/>
      <c r="BF45" s="1">
        <v>5</v>
      </c>
      <c r="BG45" s="104">
        <f t="shared" si="210"/>
        <v>0</v>
      </c>
      <c r="BH45" s="102"/>
      <c r="BI45" s="1">
        <v>5</v>
      </c>
      <c r="BJ45" s="104">
        <f t="shared" si="211"/>
        <v>0</v>
      </c>
      <c r="BK45" s="102"/>
      <c r="BL45" s="1">
        <v>5</v>
      </c>
      <c r="BM45" s="104">
        <f t="shared" si="212"/>
        <v>0</v>
      </c>
      <c r="BN45" s="102"/>
      <c r="BO45" s="1">
        <v>5</v>
      </c>
      <c r="BP45" s="104">
        <f t="shared" si="213"/>
        <v>0</v>
      </c>
      <c r="BQ45" s="102"/>
      <c r="BR45" s="1">
        <v>5</v>
      </c>
      <c r="BS45" s="104">
        <f t="shared" si="214"/>
        <v>0</v>
      </c>
      <c r="BT45" s="102"/>
      <c r="BU45" s="1">
        <v>5</v>
      </c>
      <c r="BV45" s="104">
        <f t="shared" si="215"/>
        <v>0</v>
      </c>
      <c r="BW45" s="102"/>
      <c r="BX45" s="1">
        <v>5</v>
      </c>
      <c r="BY45" s="104">
        <f t="shared" si="216"/>
        <v>0</v>
      </c>
      <c r="BZ45" s="102"/>
      <c r="CA45" s="1">
        <v>5</v>
      </c>
      <c r="CB45" s="104">
        <f t="shared" si="217"/>
        <v>0</v>
      </c>
      <c r="CC45" s="102"/>
      <c r="CD45" s="1">
        <v>5</v>
      </c>
      <c r="CE45" s="104">
        <f t="shared" si="218"/>
        <v>0</v>
      </c>
      <c r="CF45" s="102"/>
      <c r="CG45" s="1">
        <v>5</v>
      </c>
      <c r="CH45" s="104">
        <f t="shared" si="219"/>
        <v>0</v>
      </c>
      <c r="CI45" s="102"/>
      <c r="CJ45" s="1">
        <v>5</v>
      </c>
      <c r="CK45" s="104">
        <f t="shared" si="220"/>
        <v>0</v>
      </c>
      <c r="CL45" s="102"/>
      <c r="CM45" s="1">
        <v>5</v>
      </c>
      <c r="CN45" s="104">
        <f t="shared" si="221"/>
        <v>0</v>
      </c>
      <c r="CO45" s="102"/>
      <c r="CP45" s="1">
        <v>5</v>
      </c>
      <c r="CQ45" s="104">
        <f t="shared" si="222"/>
        <v>0</v>
      </c>
      <c r="CR45" s="102"/>
      <c r="CS45" s="1">
        <v>5</v>
      </c>
      <c r="CT45" s="104">
        <f t="shared" si="223"/>
        <v>0</v>
      </c>
      <c r="CU45" s="102"/>
      <c r="CV45" s="1">
        <v>5</v>
      </c>
      <c r="CW45" s="104">
        <f t="shared" si="224"/>
        <v>0</v>
      </c>
      <c r="CX45" s="102"/>
      <c r="CY45" s="1">
        <v>5</v>
      </c>
      <c r="CZ45" s="104">
        <f t="shared" si="225"/>
        <v>0</v>
      </c>
      <c r="DA45" s="102"/>
      <c r="DB45" s="1">
        <v>5</v>
      </c>
      <c r="DC45" s="104">
        <f t="shared" si="226"/>
        <v>0</v>
      </c>
      <c r="DD45" s="102"/>
      <c r="DE45" s="1">
        <v>5</v>
      </c>
      <c r="DF45" s="104">
        <f t="shared" si="227"/>
        <v>0</v>
      </c>
      <c r="DG45" s="102"/>
      <c r="DH45" s="1">
        <v>5</v>
      </c>
      <c r="DI45" s="104">
        <f t="shared" si="228"/>
        <v>0</v>
      </c>
      <c r="DJ45" s="102"/>
      <c r="DK45" s="1">
        <v>5</v>
      </c>
      <c r="DL45" s="104">
        <f t="shared" si="229"/>
        <v>0</v>
      </c>
      <c r="DM45" s="102"/>
      <c r="DN45" s="1">
        <v>5</v>
      </c>
      <c r="DO45" s="104">
        <f t="shared" si="230"/>
        <v>0</v>
      </c>
      <c r="DP45" s="102"/>
      <c r="DQ45" s="1">
        <v>5</v>
      </c>
      <c r="DR45" s="104">
        <f t="shared" si="231"/>
        <v>0</v>
      </c>
      <c r="DS45" s="102"/>
      <c r="DT45" s="1">
        <v>5</v>
      </c>
      <c r="DU45" s="104">
        <f t="shared" si="232"/>
        <v>0</v>
      </c>
      <c r="DV45" s="102"/>
      <c r="DW45" s="1">
        <v>5</v>
      </c>
      <c r="DX45" s="104">
        <f t="shared" si="233"/>
        <v>0</v>
      </c>
      <c r="DY45" s="102"/>
      <c r="DZ45" s="1">
        <v>5</v>
      </c>
      <c r="EA45" s="104">
        <f t="shared" si="234"/>
        <v>0</v>
      </c>
      <c r="EB45" s="102"/>
      <c r="EC45" s="1">
        <v>5</v>
      </c>
      <c r="ED45" s="104">
        <f t="shared" si="235"/>
        <v>0</v>
      </c>
      <c r="EE45" s="102"/>
      <c r="EF45" s="1">
        <v>5</v>
      </c>
      <c r="EG45" s="104">
        <f t="shared" si="236"/>
        <v>0</v>
      </c>
      <c r="EH45" s="102"/>
      <c r="EI45" s="1">
        <v>5</v>
      </c>
      <c r="EJ45" s="104">
        <f t="shared" si="237"/>
        <v>0</v>
      </c>
      <c r="EK45" s="102"/>
      <c r="EL45" s="1">
        <v>5</v>
      </c>
      <c r="EM45" s="104">
        <f t="shared" si="238"/>
        <v>0</v>
      </c>
      <c r="EN45" s="102"/>
      <c r="EO45" s="1">
        <v>5</v>
      </c>
      <c r="EP45" s="104">
        <f t="shared" si="239"/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26.5" customHeight="1" spans="1:148" x14ac:dyDescent="0.25">
      <c r="A46" s="280" t="s">
        <v>116</v>
      </c>
      <c r="B46" s="101"/>
      <c r="C46" s="102"/>
      <c r="D46" s="103">
        <v>5</v>
      </c>
      <c r="E46" s="104">
        <f t="shared" si="192"/>
        <v>0</v>
      </c>
      <c r="F46" s="102"/>
      <c r="G46" s="103">
        <v>5</v>
      </c>
      <c r="H46" s="104">
        <f t="shared" si="193"/>
        <v>0</v>
      </c>
      <c r="I46" s="105"/>
      <c r="J46" s="103">
        <v>5</v>
      </c>
      <c r="K46" s="104">
        <f t="shared" si="194"/>
        <v>0</v>
      </c>
      <c r="L46" s="105"/>
      <c r="M46" s="103">
        <v>5</v>
      </c>
      <c r="N46" s="104">
        <f t="shared" si="195"/>
        <v>0</v>
      </c>
      <c r="O46" s="106"/>
      <c r="P46" s="107">
        <v>5</v>
      </c>
      <c r="Q46" s="104">
        <f t="shared" si="196"/>
        <v>0</v>
      </c>
      <c r="R46" s="102"/>
      <c r="S46" s="107">
        <v>5</v>
      </c>
      <c r="T46" s="104">
        <f t="shared" si="197"/>
        <v>0</v>
      </c>
      <c r="U46" s="102"/>
      <c r="V46" s="107">
        <v>5</v>
      </c>
      <c r="W46" s="104">
        <f t="shared" si="198"/>
        <v>0</v>
      </c>
      <c r="X46" s="102"/>
      <c r="Y46" s="107">
        <v>5</v>
      </c>
      <c r="Z46" s="104">
        <f t="shared" si="199"/>
        <v>0</v>
      </c>
      <c r="AA46" s="106"/>
      <c r="AB46" s="107">
        <v>5</v>
      </c>
      <c r="AC46" s="104">
        <f t="shared" si="200"/>
        <v>0</v>
      </c>
      <c r="AD46" s="106"/>
      <c r="AE46" s="107">
        <v>5</v>
      </c>
      <c r="AF46" s="104">
        <f t="shared" si="201"/>
        <v>0</v>
      </c>
      <c r="AG46" s="106"/>
      <c r="AH46" s="107">
        <v>5</v>
      </c>
      <c r="AI46" s="104">
        <f t="shared" si="202"/>
        <v>0</v>
      </c>
      <c r="AJ46" s="106"/>
      <c r="AK46" s="107">
        <v>5</v>
      </c>
      <c r="AL46" s="104">
        <f t="shared" si="203"/>
        <v>0</v>
      </c>
      <c r="AM46" s="102"/>
      <c r="AN46" s="1">
        <v>5</v>
      </c>
      <c r="AO46" s="104">
        <f t="shared" si="204"/>
        <v>0</v>
      </c>
      <c r="AP46" s="102"/>
      <c r="AQ46" s="1">
        <v>5</v>
      </c>
      <c r="AR46" s="104">
        <f t="shared" si="205"/>
        <v>0</v>
      </c>
      <c r="AS46" s="102"/>
      <c r="AT46" s="1">
        <v>5</v>
      </c>
      <c r="AU46" s="104">
        <f t="shared" si="206"/>
        <v>0</v>
      </c>
      <c r="AV46" s="102"/>
      <c r="AW46" s="1">
        <v>5</v>
      </c>
      <c r="AX46" s="104">
        <f t="shared" si="207"/>
        <v>0</v>
      </c>
      <c r="AY46" s="102"/>
      <c r="AZ46" s="1">
        <v>5</v>
      </c>
      <c r="BA46" s="104">
        <f t="shared" si="208"/>
        <v>0</v>
      </c>
      <c r="BB46" s="102"/>
      <c r="BC46" s="1">
        <v>5</v>
      </c>
      <c r="BD46" s="104">
        <f t="shared" si="209"/>
        <v>0</v>
      </c>
      <c r="BE46" s="102"/>
      <c r="BF46" s="1">
        <v>5</v>
      </c>
      <c r="BG46" s="104">
        <f t="shared" si="210"/>
        <v>0</v>
      </c>
      <c r="BH46" s="102"/>
      <c r="BI46" s="1">
        <v>5</v>
      </c>
      <c r="BJ46" s="104">
        <f t="shared" si="211"/>
        <v>0</v>
      </c>
      <c r="BK46" s="102"/>
      <c r="BL46" s="1">
        <v>5</v>
      </c>
      <c r="BM46" s="104">
        <f t="shared" si="212"/>
        <v>0</v>
      </c>
      <c r="BN46" s="102"/>
      <c r="BO46" s="1">
        <v>5</v>
      </c>
      <c r="BP46" s="104">
        <f t="shared" si="213"/>
        <v>0</v>
      </c>
      <c r="BQ46" s="102"/>
      <c r="BR46" s="1">
        <v>5</v>
      </c>
      <c r="BS46" s="104">
        <f t="shared" si="214"/>
        <v>0</v>
      </c>
      <c r="BT46" s="102"/>
      <c r="BU46" s="1">
        <v>5</v>
      </c>
      <c r="BV46" s="104">
        <f t="shared" si="215"/>
        <v>0</v>
      </c>
      <c r="BW46" s="102"/>
      <c r="BX46" s="1">
        <v>5</v>
      </c>
      <c r="BY46" s="104">
        <f t="shared" si="216"/>
        <v>0</v>
      </c>
      <c r="BZ46" s="102"/>
      <c r="CA46" s="1">
        <v>5</v>
      </c>
      <c r="CB46" s="104">
        <f t="shared" si="217"/>
        <v>0</v>
      </c>
      <c r="CC46" s="102"/>
      <c r="CD46" s="1">
        <v>5</v>
      </c>
      <c r="CE46" s="104">
        <f t="shared" si="218"/>
        <v>0</v>
      </c>
      <c r="CF46" s="102"/>
      <c r="CG46" s="1">
        <v>5</v>
      </c>
      <c r="CH46" s="104">
        <f t="shared" si="219"/>
        <v>0</v>
      </c>
      <c r="CI46" s="102"/>
      <c r="CJ46" s="1">
        <v>5</v>
      </c>
      <c r="CK46" s="104">
        <f t="shared" si="220"/>
        <v>0</v>
      </c>
      <c r="CL46" s="102"/>
      <c r="CM46" s="1">
        <v>5</v>
      </c>
      <c r="CN46" s="104">
        <f t="shared" si="221"/>
        <v>0</v>
      </c>
      <c r="CO46" s="102"/>
      <c r="CP46" s="1">
        <v>5</v>
      </c>
      <c r="CQ46" s="104">
        <f t="shared" si="222"/>
        <v>0</v>
      </c>
      <c r="CR46" s="102"/>
      <c r="CS46" s="1">
        <v>5</v>
      </c>
      <c r="CT46" s="104">
        <f t="shared" si="223"/>
        <v>0</v>
      </c>
      <c r="CU46" s="102"/>
      <c r="CV46" s="1">
        <v>5</v>
      </c>
      <c r="CW46" s="104">
        <f t="shared" si="224"/>
        <v>0</v>
      </c>
      <c r="CX46" s="102"/>
      <c r="CY46" s="1">
        <v>5</v>
      </c>
      <c r="CZ46" s="104">
        <f t="shared" si="225"/>
        <v>0</v>
      </c>
      <c r="DA46" s="102"/>
      <c r="DB46" s="1">
        <v>5</v>
      </c>
      <c r="DC46" s="104">
        <f t="shared" si="226"/>
        <v>0</v>
      </c>
      <c r="DD46" s="102"/>
      <c r="DE46" s="1">
        <v>5</v>
      </c>
      <c r="DF46" s="104">
        <f t="shared" si="227"/>
        <v>0</v>
      </c>
      <c r="DG46" s="102"/>
      <c r="DH46" s="1">
        <v>5</v>
      </c>
      <c r="DI46" s="104">
        <f t="shared" si="228"/>
        <v>0</v>
      </c>
      <c r="DJ46" s="102"/>
      <c r="DK46" s="1">
        <v>5</v>
      </c>
      <c r="DL46" s="104">
        <f t="shared" si="229"/>
        <v>0</v>
      </c>
      <c r="DM46" s="102"/>
      <c r="DN46" s="1">
        <v>5</v>
      </c>
      <c r="DO46" s="104">
        <f t="shared" si="230"/>
        <v>0</v>
      </c>
      <c r="DP46" s="102"/>
      <c r="DQ46" s="1">
        <v>5</v>
      </c>
      <c r="DR46" s="104">
        <f t="shared" si="231"/>
        <v>0</v>
      </c>
      <c r="DS46" s="102"/>
      <c r="DT46" s="1">
        <v>5</v>
      </c>
      <c r="DU46" s="104">
        <f t="shared" si="232"/>
        <v>0</v>
      </c>
      <c r="DV46" s="102"/>
      <c r="DW46" s="1">
        <v>5</v>
      </c>
      <c r="DX46" s="104">
        <f t="shared" si="233"/>
        <v>0</v>
      </c>
      <c r="DY46" s="102"/>
      <c r="DZ46" s="1">
        <v>5</v>
      </c>
      <c r="EA46" s="104">
        <f t="shared" si="234"/>
        <v>0</v>
      </c>
      <c r="EB46" s="102"/>
      <c r="EC46" s="1">
        <v>5</v>
      </c>
      <c r="ED46" s="104">
        <f t="shared" si="235"/>
        <v>0</v>
      </c>
      <c r="EE46" s="102"/>
      <c r="EF46" s="1">
        <v>5</v>
      </c>
      <c r="EG46" s="104">
        <f t="shared" si="236"/>
        <v>0</v>
      </c>
      <c r="EH46" s="102"/>
      <c r="EI46" s="1">
        <v>5</v>
      </c>
      <c r="EJ46" s="104">
        <f t="shared" si="237"/>
        <v>0</v>
      </c>
      <c r="EK46" s="102"/>
      <c r="EL46" s="1">
        <v>5</v>
      </c>
      <c r="EM46" s="104">
        <f t="shared" si="238"/>
        <v>0</v>
      </c>
      <c r="EN46" s="102"/>
      <c r="EO46" s="1">
        <v>5</v>
      </c>
      <c r="EP46" s="104">
        <f t="shared" si="239"/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15" customHeight="1" spans="1:148" x14ac:dyDescent="0.25">
      <c r="A47" s="100" t="s">
        <v>229</v>
      </c>
      <c r="B47" s="101"/>
      <c r="C47" s="102"/>
      <c r="D47" s="103">
        <v>5</v>
      </c>
      <c r="E47" s="104">
        <f t="shared" si="192"/>
        <v>0</v>
      </c>
      <c r="F47" s="102"/>
      <c r="G47" s="103">
        <v>5</v>
      </c>
      <c r="H47" s="104">
        <f t="shared" si="193"/>
        <v>0</v>
      </c>
      <c r="I47" s="105"/>
      <c r="J47" s="103">
        <v>5</v>
      </c>
      <c r="K47" s="104">
        <f t="shared" si="194"/>
        <v>0</v>
      </c>
      <c r="L47" s="105"/>
      <c r="M47" s="103">
        <v>5</v>
      </c>
      <c r="N47" s="104">
        <f t="shared" si="195"/>
        <v>0</v>
      </c>
      <c r="O47" s="106"/>
      <c r="P47" s="107">
        <v>5</v>
      </c>
      <c r="Q47" s="104">
        <f t="shared" si="196"/>
        <v>0</v>
      </c>
      <c r="R47" s="102"/>
      <c r="S47" s="107">
        <v>5</v>
      </c>
      <c r="T47" s="104">
        <f t="shared" si="197"/>
        <v>0</v>
      </c>
      <c r="U47" s="102"/>
      <c r="V47" s="107">
        <v>5</v>
      </c>
      <c r="W47" s="104">
        <f t="shared" si="198"/>
        <v>0</v>
      </c>
      <c r="X47" s="102"/>
      <c r="Y47" s="107">
        <v>5</v>
      </c>
      <c r="Z47" s="104">
        <f t="shared" si="199"/>
        <v>0</v>
      </c>
      <c r="AA47" s="106"/>
      <c r="AB47" s="107">
        <v>5</v>
      </c>
      <c r="AC47" s="104">
        <f t="shared" si="200"/>
        <v>0</v>
      </c>
      <c r="AD47" s="106"/>
      <c r="AE47" s="107">
        <v>5</v>
      </c>
      <c r="AF47" s="104">
        <f t="shared" si="201"/>
        <v>0</v>
      </c>
      <c r="AG47" s="106"/>
      <c r="AH47" s="107">
        <v>5</v>
      </c>
      <c r="AI47" s="104">
        <f t="shared" si="202"/>
        <v>0</v>
      </c>
      <c r="AJ47" s="106"/>
      <c r="AK47" s="107">
        <v>5</v>
      </c>
      <c r="AL47" s="104">
        <f t="shared" si="203"/>
        <v>0</v>
      </c>
      <c r="AM47" s="102"/>
      <c r="AN47" s="1">
        <v>5</v>
      </c>
      <c r="AO47" s="104">
        <f t="shared" si="204"/>
        <v>0</v>
      </c>
      <c r="AP47" s="102"/>
      <c r="AQ47" s="1">
        <v>5</v>
      </c>
      <c r="AR47" s="104">
        <f t="shared" si="205"/>
        <v>0</v>
      </c>
      <c r="AS47" s="102"/>
      <c r="AT47" s="1">
        <v>5</v>
      </c>
      <c r="AU47" s="104">
        <f t="shared" si="206"/>
        <v>0</v>
      </c>
      <c r="AV47" s="102"/>
      <c r="AW47" s="1">
        <v>5</v>
      </c>
      <c r="AX47" s="104">
        <f t="shared" si="207"/>
        <v>0</v>
      </c>
      <c r="AY47" s="102"/>
      <c r="AZ47" s="1">
        <v>5</v>
      </c>
      <c r="BA47" s="104">
        <f t="shared" si="208"/>
        <v>0</v>
      </c>
      <c r="BB47" s="102"/>
      <c r="BC47" s="1">
        <v>5</v>
      </c>
      <c r="BD47" s="104">
        <f t="shared" si="209"/>
        <v>0</v>
      </c>
      <c r="BE47" s="102"/>
      <c r="BF47" s="1">
        <v>5</v>
      </c>
      <c r="BG47" s="104">
        <f t="shared" si="210"/>
        <v>0</v>
      </c>
      <c r="BH47" s="102"/>
      <c r="BI47" s="1">
        <v>5</v>
      </c>
      <c r="BJ47" s="104">
        <f t="shared" si="211"/>
        <v>0</v>
      </c>
      <c r="BK47" s="102"/>
      <c r="BL47" s="1">
        <v>5</v>
      </c>
      <c r="BM47" s="104">
        <f t="shared" si="212"/>
        <v>0</v>
      </c>
      <c r="BN47" s="102"/>
      <c r="BO47" s="1">
        <v>5</v>
      </c>
      <c r="BP47" s="104">
        <f t="shared" si="213"/>
        <v>0</v>
      </c>
      <c r="BQ47" s="102"/>
      <c r="BR47" s="1">
        <v>5</v>
      </c>
      <c r="BS47" s="104">
        <f t="shared" si="214"/>
        <v>0</v>
      </c>
      <c r="BT47" s="102"/>
      <c r="BU47" s="1">
        <v>5</v>
      </c>
      <c r="BV47" s="104">
        <f t="shared" si="215"/>
        <v>0</v>
      </c>
      <c r="BW47" s="102"/>
      <c r="BX47" s="1">
        <v>5</v>
      </c>
      <c r="BY47" s="104">
        <f t="shared" si="216"/>
        <v>0</v>
      </c>
      <c r="BZ47" s="102"/>
      <c r="CA47" s="1">
        <v>5</v>
      </c>
      <c r="CB47" s="104">
        <f t="shared" si="217"/>
        <v>0</v>
      </c>
      <c r="CC47" s="102"/>
      <c r="CD47" s="1">
        <v>5</v>
      </c>
      <c r="CE47" s="104">
        <f t="shared" si="218"/>
        <v>0</v>
      </c>
      <c r="CF47" s="102"/>
      <c r="CG47" s="1">
        <v>5</v>
      </c>
      <c r="CH47" s="104">
        <f t="shared" si="219"/>
        <v>0</v>
      </c>
      <c r="CI47" s="102"/>
      <c r="CJ47" s="1">
        <v>5</v>
      </c>
      <c r="CK47" s="104">
        <f t="shared" si="220"/>
        <v>0</v>
      </c>
      <c r="CL47" s="102"/>
      <c r="CM47" s="1">
        <v>5</v>
      </c>
      <c r="CN47" s="104">
        <f t="shared" si="221"/>
        <v>0</v>
      </c>
      <c r="CO47" s="102"/>
      <c r="CP47" s="1">
        <v>5</v>
      </c>
      <c r="CQ47" s="104">
        <f t="shared" si="222"/>
        <v>0</v>
      </c>
      <c r="CR47" s="102"/>
      <c r="CS47" s="1">
        <v>5</v>
      </c>
      <c r="CT47" s="104">
        <f t="shared" si="223"/>
        <v>0</v>
      </c>
      <c r="CU47" s="102"/>
      <c r="CV47" s="1">
        <v>5</v>
      </c>
      <c r="CW47" s="104">
        <f t="shared" si="224"/>
        <v>0</v>
      </c>
      <c r="CX47" s="102"/>
      <c r="CY47" s="1">
        <v>5</v>
      </c>
      <c r="CZ47" s="104">
        <f t="shared" si="225"/>
        <v>0</v>
      </c>
      <c r="DA47" s="102"/>
      <c r="DB47" s="1">
        <v>5</v>
      </c>
      <c r="DC47" s="104">
        <f t="shared" si="226"/>
        <v>0</v>
      </c>
      <c r="DD47" s="102"/>
      <c r="DE47" s="1">
        <v>5</v>
      </c>
      <c r="DF47" s="104">
        <f t="shared" si="227"/>
        <v>0</v>
      </c>
      <c r="DG47" s="102"/>
      <c r="DH47" s="1">
        <v>5</v>
      </c>
      <c r="DI47" s="104">
        <f t="shared" si="228"/>
        <v>0</v>
      </c>
      <c r="DJ47" s="102"/>
      <c r="DK47" s="1">
        <v>5</v>
      </c>
      <c r="DL47" s="104">
        <f t="shared" si="229"/>
        <v>0</v>
      </c>
      <c r="DM47" s="102"/>
      <c r="DN47" s="1">
        <v>5</v>
      </c>
      <c r="DO47" s="104">
        <f t="shared" si="230"/>
        <v>0</v>
      </c>
      <c r="DP47" s="102"/>
      <c r="DQ47" s="1">
        <v>5</v>
      </c>
      <c r="DR47" s="104">
        <f t="shared" si="231"/>
        <v>0</v>
      </c>
      <c r="DS47" s="102"/>
      <c r="DT47" s="1">
        <v>5</v>
      </c>
      <c r="DU47" s="104">
        <f t="shared" si="232"/>
        <v>0</v>
      </c>
      <c r="DV47" s="102"/>
      <c r="DW47" s="1">
        <v>5</v>
      </c>
      <c r="DX47" s="104">
        <f t="shared" si="233"/>
        <v>0</v>
      </c>
      <c r="DY47" s="102"/>
      <c r="DZ47" s="1">
        <v>5</v>
      </c>
      <c r="EA47" s="104">
        <f t="shared" si="234"/>
        <v>0</v>
      </c>
      <c r="EB47" s="102"/>
      <c r="EC47" s="1">
        <v>5</v>
      </c>
      <c r="ED47" s="104">
        <f t="shared" si="235"/>
        <v>0</v>
      </c>
      <c r="EE47" s="102"/>
      <c r="EF47" s="1">
        <v>5</v>
      </c>
      <c r="EG47" s="104">
        <f t="shared" si="236"/>
        <v>0</v>
      </c>
      <c r="EH47" s="102"/>
      <c r="EI47" s="1">
        <v>5</v>
      </c>
      <c r="EJ47" s="104">
        <f t="shared" si="237"/>
        <v>0</v>
      </c>
      <c r="EK47" s="102"/>
      <c r="EL47" s="1">
        <v>5</v>
      </c>
      <c r="EM47" s="104">
        <f t="shared" si="238"/>
        <v>0</v>
      </c>
      <c r="EN47" s="102"/>
      <c r="EO47" s="1">
        <v>5</v>
      </c>
      <c r="EP47" s="104">
        <f t="shared" si="239"/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15" customHeight="1" spans="1:148" x14ac:dyDescent="0.25">
      <c r="A48" s="100" t="s">
        <v>152</v>
      </c>
      <c r="B48" s="101"/>
      <c r="C48" s="102"/>
      <c r="D48" s="103">
        <v>5</v>
      </c>
      <c r="E48" s="104">
        <f t="shared" si="192"/>
        <v>0</v>
      </c>
      <c r="F48" s="102"/>
      <c r="G48" s="103">
        <v>5</v>
      </c>
      <c r="H48" s="104">
        <f t="shared" si="193"/>
        <v>0</v>
      </c>
      <c r="I48" s="105"/>
      <c r="J48" s="103">
        <v>5</v>
      </c>
      <c r="K48" s="104">
        <f t="shared" si="194"/>
        <v>0</v>
      </c>
      <c r="L48" s="105"/>
      <c r="M48" s="103">
        <v>5</v>
      </c>
      <c r="N48" s="104">
        <f t="shared" si="195"/>
        <v>0</v>
      </c>
      <c r="O48" s="106"/>
      <c r="P48" s="107">
        <v>5</v>
      </c>
      <c r="Q48" s="104">
        <f t="shared" si="196"/>
        <v>0</v>
      </c>
      <c r="R48" s="102"/>
      <c r="S48" s="107">
        <v>5</v>
      </c>
      <c r="T48" s="104">
        <f t="shared" si="197"/>
        <v>0</v>
      </c>
      <c r="U48" s="102"/>
      <c r="V48" s="107">
        <v>5</v>
      </c>
      <c r="W48" s="104">
        <f t="shared" si="198"/>
        <v>0</v>
      </c>
      <c r="X48" s="102"/>
      <c r="Y48" s="107">
        <v>5</v>
      </c>
      <c r="Z48" s="104">
        <f t="shared" si="199"/>
        <v>0</v>
      </c>
      <c r="AA48" s="106"/>
      <c r="AB48" s="107">
        <v>5</v>
      </c>
      <c r="AC48" s="104">
        <f t="shared" si="200"/>
        <v>0</v>
      </c>
      <c r="AD48" s="106"/>
      <c r="AE48" s="107">
        <v>5</v>
      </c>
      <c r="AF48" s="104">
        <f t="shared" si="201"/>
        <v>0</v>
      </c>
      <c r="AG48" s="106"/>
      <c r="AH48" s="107">
        <v>5</v>
      </c>
      <c r="AI48" s="104">
        <f t="shared" si="202"/>
        <v>0</v>
      </c>
      <c r="AJ48" s="106"/>
      <c r="AK48" s="107">
        <v>5</v>
      </c>
      <c r="AL48" s="104">
        <f t="shared" si="203"/>
        <v>0</v>
      </c>
      <c r="AM48" s="102"/>
      <c r="AN48" s="1">
        <v>5</v>
      </c>
      <c r="AO48" s="104">
        <f t="shared" si="204"/>
        <v>0</v>
      </c>
      <c r="AP48" s="102"/>
      <c r="AQ48" s="1">
        <v>5</v>
      </c>
      <c r="AR48" s="104">
        <f t="shared" si="205"/>
        <v>0</v>
      </c>
      <c r="AS48" s="102"/>
      <c r="AT48" s="1">
        <v>5</v>
      </c>
      <c r="AU48" s="104">
        <f t="shared" si="206"/>
        <v>0</v>
      </c>
      <c r="AV48" s="102"/>
      <c r="AW48" s="1">
        <v>5</v>
      </c>
      <c r="AX48" s="104">
        <f t="shared" si="207"/>
        <v>0</v>
      </c>
      <c r="AY48" s="102"/>
      <c r="AZ48" s="1">
        <v>5</v>
      </c>
      <c r="BA48" s="104">
        <f t="shared" si="208"/>
        <v>0</v>
      </c>
      <c r="BB48" s="102"/>
      <c r="BC48" s="1">
        <v>5</v>
      </c>
      <c r="BD48" s="104">
        <f t="shared" si="209"/>
        <v>0</v>
      </c>
      <c r="BE48" s="102"/>
      <c r="BF48" s="1">
        <v>5</v>
      </c>
      <c r="BG48" s="104">
        <f t="shared" si="210"/>
        <v>0</v>
      </c>
      <c r="BH48" s="102"/>
      <c r="BI48" s="1">
        <v>5</v>
      </c>
      <c r="BJ48" s="104">
        <f t="shared" si="211"/>
        <v>0</v>
      </c>
      <c r="BK48" s="102"/>
      <c r="BL48" s="1">
        <v>5</v>
      </c>
      <c r="BM48" s="104">
        <f t="shared" si="212"/>
        <v>0</v>
      </c>
      <c r="BN48" s="102"/>
      <c r="BO48" s="1">
        <v>5</v>
      </c>
      <c r="BP48" s="104">
        <f t="shared" si="213"/>
        <v>0</v>
      </c>
      <c r="BQ48" s="102"/>
      <c r="BR48" s="1">
        <v>5</v>
      </c>
      <c r="BS48" s="104">
        <f t="shared" si="214"/>
        <v>0</v>
      </c>
      <c r="BT48" s="102"/>
      <c r="BU48" s="1">
        <v>5</v>
      </c>
      <c r="BV48" s="104">
        <f t="shared" si="215"/>
        <v>0</v>
      </c>
      <c r="BW48" s="102"/>
      <c r="BX48" s="1">
        <v>5</v>
      </c>
      <c r="BY48" s="104">
        <f t="shared" si="216"/>
        <v>0</v>
      </c>
      <c r="BZ48" s="102"/>
      <c r="CA48" s="1">
        <v>5</v>
      </c>
      <c r="CB48" s="104">
        <f t="shared" si="217"/>
        <v>0</v>
      </c>
      <c r="CC48" s="102"/>
      <c r="CD48" s="1">
        <v>5</v>
      </c>
      <c r="CE48" s="104">
        <f t="shared" si="218"/>
        <v>0</v>
      </c>
      <c r="CF48" s="102"/>
      <c r="CG48" s="1">
        <v>5</v>
      </c>
      <c r="CH48" s="104">
        <f t="shared" si="219"/>
        <v>0</v>
      </c>
      <c r="CI48" s="102"/>
      <c r="CJ48" s="1">
        <v>5</v>
      </c>
      <c r="CK48" s="104">
        <f t="shared" si="220"/>
        <v>0</v>
      </c>
      <c r="CL48" s="102"/>
      <c r="CM48" s="1">
        <v>5</v>
      </c>
      <c r="CN48" s="104">
        <f t="shared" si="221"/>
        <v>0</v>
      </c>
      <c r="CO48" s="102"/>
      <c r="CP48" s="1">
        <v>5</v>
      </c>
      <c r="CQ48" s="104">
        <f t="shared" si="222"/>
        <v>0</v>
      </c>
      <c r="CR48" s="102"/>
      <c r="CS48" s="1">
        <v>5</v>
      </c>
      <c r="CT48" s="104">
        <f t="shared" si="223"/>
        <v>0</v>
      </c>
      <c r="CU48" s="102"/>
      <c r="CV48" s="1">
        <v>5</v>
      </c>
      <c r="CW48" s="104">
        <f t="shared" si="224"/>
        <v>0</v>
      </c>
      <c r="CX48" s="102"/>
      <c r="CY48" s="1">
        <v>5</v>
      </c>
      <c r="CZ48" s="104">
        <f t="shared" si="225"/>
        <v>0</v>
      </c>
      <c r="DA48" s="102"/>
      <c r="DB48" s="1">
        <v>5</v>
      </c>
      <c r="DC48" s="104">
        <f t="shared" si="226"/>
        <v>0</v>
      </c>
      <c r="DD48" s="102"/>
      <c r="DE48" s="1">
        <v>5</v>
      </c>
      <c r="DF48" s="104">
        <f t="shared" si="227"/>
        <v>0</v>
      </c>
      <c r="DG48" s="102"/>
      <c r="DH48" s="1">
        <v>5</v>
      </c>
      <c r="DI48" s="104">
        <f t="shared" si="228"/>
        <v>0</v>
      </c>
      <c r="DJ48" s="102"/>
      <c r="DK48" s="1">
        <v>5</v>
      </c>
      <c r="DL48" s="104">
        <f t="shared" si="229"/>
        <v>0</v>
      </c>
      <c r="DM48" s="102"/>
      <c r="DN48" s="1">
        <v>5</v>
      </c>
      <c r="DO48" s="104">
        <f t="shared" si="230"/>
        <v>0</v>
      </c>
      <c r="DP48" s="102"/>
      <c r="DQ48" s="1">
        <v>5</v>
      </c>
      <c r="DR48" s="104">
        <f t="shared" si="231"/>
        <v>0</v>
      </c>
      <c r="DS48" s="102"/>
      <c r="DT48" s="1">
        <v>5</v>
      </c>
      <c r="DU48" s="104">
        <f t="shared" si="232"/>
        <v>0</v>
      </c>
      <c r="DV48" s="102"/>
      <c r="DW48" s="1">
        <v>5</v>
      </c>
      <c r="DX48" s="104">
        <f t="shared" si="233"/>
        <v>0</v>
      </c>
      <c r="DY48" s="102"/>
      <c r="DZ48" s="1">
        <v>5</v>
      </c>
      <c r="EA48" s="104">
        <f t="shared" si="234"/>
        <v>0</v>
      </c>
      <c r="EB48" s="102"/>
      <c r="EC48" s="1">
        <v>5</v>
      </c>
      <c r="ED48" s="104">
        <f t="shared" si="235"/>
        <v>0</v>
      </c>
      <c r="EE48" s="102"/>
      <c r="EF48" s="1">
        <v>5</v>
      </c>
      <c r="EG48" s="104">
        <f t="shared" si="236"/>
        <v>0</v>
      </c>
      <c r="EH48" s="102"/>
      <c r="EI48" s="1">
        <v>5</v>
      </c>
      <c r="EJ48" s="104">
        <f t="shared" si="237"/>
        <v>0</v>
      </c>
      <c r="EK48" s="102"/>
      <c r="EL48" s="1">
        <v>5</v>
      </c>
      <c r="EM48" s="104">
        <f t="shared" si="238"/>
        <v>0</v>
      </c>
      <c r="EN48" s="102"/>
      <c r="EO48" s="1">
        <v>5</v>
      </c>
      <c r="EP48" s="104">
        <f t="shared" si="239"/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15" customHeight="1" spans="1:148" x14ac:dyDescent="0.25">
      <c r="A49" s="100" t="s">
        <v>118</v>
      </c>
      <c r="B49" s="101"/>
      <c r="C49" s="102"/>
      <c r="D49" s="103">
        <v>5</v>
      </c>
      <c r="E49" s="104">
        <f t="shared" si="192"/>
        <v>0</v>
      </c>
      <c r="F49" s="102"/>
      <c r="G49" s="103">
        <v>5</v>
      </c>
      <c r="H49" s="104">
        <f t="shared" si="193"/>
        <v>0</v>
      </c>
      <c r="I49" s="105"/>
      <c r="J49" s="103">
        <v>5</v>
      </c>
      <c r="K49" s="104">
        <f t="shared" si="194"/>
        <v>0</v>
      </c>
      <c r="L49" s="105"/>
      <c r="M49" s="103">
        <v>5</v>
      </c>
      <c r="N49" s="104">
        <f t="shared" si="195"/>
        <v>0</v>
      </c>
      <c r="O49" s="106"/>
      <c r="P49" s="107">
        <v>5</v>
      </c>
      <c r="Q49" s="104">
        <f t="shared" si="196"/>
        <v>0</v>
      </c>
      <c r="R49" s="102"/>
      <c r="S49" s="107">
        <v>5</v>
      </c>
      <c r="T49" s="104">
        <f t="shared" si="197"/>
        <v>0</v>
      </c>
      <c r="U49" s="102"/>
      <c r="V49" s="107">
        <v>5</v>
      </c>
      <c r="W49" s="104">
        <f t="shared" si="198"/>
        <v>0</v>
      </c>
      <c r="X49" s="102"/>
      <c r="Y49" s="107">
        <v>5</v>
      </c>
      <c r="Z49" s="104">
        <f t="shared" si="199"/>
        <v>0</v>
      </c>
      <c r="AA49" s="106"/>
      <c r="AB49" s="107">
        <v>5</v>
      </c>
      <c r="AC49" s="104">
        <f t="shared" si="200"/>
        <v>0</v>
      </c>
      <c r="AD49" s="106"/>
      <c r="AE49" s="107">
        <v>5</v>
      </c>
      <c r="AF49" s="104">
        <f t="shared" si="201"/>
        <v>0</v>
      </c>
      <c r="AG49" s="106"/>
      <c r="AH49" s="107">
        <v>5</v>
      </c>
      <c r="AI49" s="104">
        <f t="shared" si="202"/>
        <v>0</v>
      </c>
      <c r="AJ49" s="106"/>
      <c r="AK49" s="107">
        <v>5</v>
      </c>
      <c r="AL49" s="104">
        <f t="shared" si="203"/>
        <v>0</v>
      </c>
      <c r="AM49" s="102"/>
      <c r="AN49" s="1">
        <v>5</v>
      </c>
      <c r="AO49" s="104">
        <f t="shared" si="204"/>
        <v>0</v>
      </c>
      <c r="AP49" s="102"/>
      <c r="AQ49" s="1">
        <v>5</v>
      </c>
      <c r="AR49" s="104">
        <f t="shared" si="205"/>
        <v>0</v>
      </c>
      <c r="AS49" s="102"/>
      <c r="AT49" s="1">
        <v>5</v>
      </c>
      <c r="AU49" s="104">
        <f t="shared" si="206"/>
        <v>0</v>
      </c>
      <c r="AV49" s="102"/>
      <c r="AW49" s="1">
        <v>5</v>
      </c>
      <c r="AX49" s="104">
        <f t="shared" si="207"/>
        <v>0</v>
      </c>
      <c r="AY49" s="102"/>
      <c r="AZ49" s="1">
        <v>5</v>
      </c>
      <c r="BA49" s="104">
        <f t="shared" si="208"/>
        <v>0</v>
      </c>
      <c r="BB49" s="102"/>
      <c r="BC49" s="1">
        <v>5</v>
      </c>
      <c r="BD49" s="104">
        <f t="shared" si="209"/>
        <v>0</v>
      </c>
      <c r="BE49" s="102"/>
      <c r="BF49" s="1">
        <v>5</v>
      </c>
      <c r="BG49" s="104">
        <f t="shared" si="210"/>
        <v>0</v>
      </c>
      <c r="BH49" s="102"/>
      <c r="BI49" s="1">
        <v>5</v>
      </c>
      <c r="BJ49" s="104">
        <f t="shared" si="211"/>
        <v>0</v>
      </c>
      <c r="BK49" s="102"/>
      <c r="BL49" s="1">
        <v>5</v>
      </c>
      <c r="BM49" s="104">
        <f t="shared" si="212"/>
        <v>0</v>
      </c>
      <c r="BN49" s="102"/>
      <c r="BO49" s="1">
        <v>5</v>
      </c>
      <c r="BP49" s="104">
        <f t="shared" si="213"/>
        <v>0</v>
      </c>
      <c r="BQ49" s="102"/>
      <c r="BR49" s="1">
        <v>5</v>
      </c>
      <c r="BS49" s="104">
        <f t="shared" si="214"/>
        <v>0</v>
      </c>
      <c r="BT49" s="102"/>
      <c r="BU49" s="1">
        <v>5</v>
      </c>
      <c r="BV49" s="104">
        <f t="shared" si="215"/>
        <v>0</v>
      </c>
      <c r="BW49" s="102"/>
      <c r="BX49" s="1">
        <v>5</v>
      </c>
      <c r="BY49" s="104">
        <f t="shared" si="216"/>
        <v>0</v>
      </c>
      <c r="BZ49" s="102"/>
      <c r="CA49" s="1">
        <v>5</v>
      </c>
      <c r="CB49" s="104">
        <f t="shared" si="217"/>
        <v>0</v>
      </c>
      <c r="CC49" s="102"/>
      <c r="CD49" s="1">
        <v>5</v>
      </c>
      <c r="CE49" s="104">
        <f t="shared" si="218"/>
        <v>0</v>
      </c>
      <c r="CF49" s="102"/>
      <c r="CG49" s="1">
        <v>5</v>
      </c>
      <c r="CH49" s="104">
        <f t="shared" si="219"/>
        <v>0</v>
      </c>
      <c r="CI49" s="102"/>
      <c r="CJ49" s="1">
        <v>5</v>
      </c>
      <c r="CK49" s="104">
        <f t="shared" si="220"/>
        <v>0</v>
      </c>
      <c r="CL49" s="102"/>
      <c r="CM49" s="1">
        <v>5</v>
      </c>
      <c r="CN49" s="104">
        <f t="shared" si="221"/>
        <v>0</v>
      </c>
      <c r="CO49" s="102"/>
      <c r="CP49" s="1">
        <v>5</v>
      </c>
      <c r="CQ49" s="104">
        <f t="shared" si="222"/>
        <v>0</v>
      </c>
      <c r="CR49" s="102"/>
      <c r="CS49" s="1">
        <v>5</v>
      </c>
      <c r="CT49" s="104">
        <f t="shared" si="223"/>
        <v>0</v>
      </c>
      <c r="CU49" s="102"/>
      <c r="CV49" s="1">
        <v>5</v>
      </c>
      <c r="CW49" s="104">
        <f t="shared" si="224"/>
        <v>0</v>
      </c>
      <c r="CX49" s="102"/>
      <c r="CY49" s="1">
        <v>5</v>
      </c>
      <c r="CZ49" s="104">
        <f t="shared" si="225"/>
        <v>0</v>
      </c>
      <c r="DA49" s="102"/>
      <c r="DB49" s="1">
        <v>5</v>
      </c>
      <c r="DC49" s="104">
        <f t="shared" si="226"/>
        <v>0</v>
      </c>
      <c r="DD49" s="102"/>
      <c r="DE49" s="1">
        <v>5</v>
      </c>
      <c r="DF49" s="104">
        <f t="shared" si="227"/>
        <v>0</v>
      </c>
      <c r="DG49" s="102"/>
      <c r="DH49" s="1">
        <v>5</v>
      </c>
      <c r="DI49" s="104">
        <f t="shared" si="228"/>
        <v>0</v>
      </c>
      <c r="DJ49" s="102"/>
      <c r="DK49" s="1">
        <v>5</v>
      </c>
      <c r="DL49" s="104">
        <f t="shared" si="229"/>
        <v>0</v>
      </c>
      <c r="DM49" s="102"/>
      <c r="DN49" s="1">
        <v>5</v>
      </c>
      <c r="DO49" s="104">
        <f t="shared" si="230"/>
        <v>0</v>
      </c>
      <c r="DP49" s="102"/>
      <c r="DQ49" s="1">
        <v>5</v>
      </c>
      <c r="DR49" s="104">
        <f t="shared" si="231"/>
        <v>0</v>
      </c>
      <c r="DS49" s="102"/>
      <c r="DT49" s="1">
        <v>5</v>
      </c>
      <c r="DU49" s="104">
        <f t="shared" si="232"/>
        <v>0</v>
      </c>
      <c r="DV49" s="102"/>
      <c r="DW49" s="1">
        <v>5</v>
      </c>
      <c r="DX49" s="104">
        <f t="shared" si="233"/>
        <v>0</v>
      </c>
      <c r="DY49" s="102"/>
      <c r="DZ49" s="1">
        <v>5</v>
      </c>
      <c r="EA49" s="104">
        <f t="shared" si="234"/>
        <v>0</v>
      </c>
      <c r="EB49" s="102"/>
      <c r="EC49" s="1">
        <v>5</v>
      </c>
      <c r="ED49" s="104">
        <f t="shared" si="235"/>
        <v>0</v>
      </c>
      <c r="EE49" s="102"/>
      <c r="EF49" s="1">
        <v>5</v>
      </c>
      <c r="EG49" s="104">
        <f t="shared" si="236"/>
        <v>0</v>
      </c>
      <c r="EH49" s="102"/>
      <c r="EI49" s="1">
        <v>5</v>
      </c>
      <c r="EJ49" s="104">
        <f t="shared" si="237"/>
        <v>0</v>
      </c>
      <c r="EK49" s="102"/>
      <c r="EL49" s="1">
        <v>5</v>
      </c>
      <c r="EM49" s="104">
        <f t="shared" si="238"/>
        <v>0</v>
      </c>
      <c r="EN49" s="102"/>
      <c r="EO49" s="1">
        <v>5</v>
      </c>
      <c r="EP49" s="104">
        <f t="shared" si="239"/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16" customHeight="1" spans="1:148" x14ac:dyDescent="0.25">
      <c r="A50" s="100" t="s">
        <v>120</v>
      </c>
      <c r="B50" s="101"/>
      <c r="C50" s="102"/>
      <c r="D50" s="103">
        <v>5</v>
      </c>
      <c r="E50" s="104">
        <f t="shared" si="192"/>
        <v>0</v>
      </c>
      <c r="F50" s="102"/>
      <c r="G50" s="103">
        <v>5</v>
      </c>
      <c r="H50" s="104">
        <f t="shared" si="193"/>
        <v>0</v>
      </c>
      <c r="I50" s="105"/>
      <c r="J50" s="103">
        <v>5</v>
      </c>
      <c r="K50" s="104">
        <f t="shared" si="194"/>
        <v>0</v>
      </c>
      <c r="L50" s="105"/>
      <c r="M50" s="103">
        <v>5</v>
      </c>
      <c r="N50" s="104">
        <f t="shared" si="195"/>
        <v>0</v>
      </c>
      <c r="O50" s="106"/>
      <c r="P50" s="107">
        <v>5</v>
      </c>
      <c r="Q50" s="104">
        <f t="shared" si="196"/>
        <v>0</v>
      </c>
      <c r="R50" s="102"/>
      <c r="S50" s="107">
        <v>5</v>
      </c>
      <c r="T50" s="104">
        <f t="shared" si="197"/>
        <v>0</v>
      </c>
      <c r="U50" s="102"/>
      <c r="V50" s="107">
        <v>5</v>
      </c>
      <c r="W50" s="104">
        <f t="shared" si="198"/>
        <v>0</v>
      </c>
      <c r="X50" s="102"/>
      <c r="Y50" s="107">
        <v>5</v>
      </c>
      <c r="Z50" s="104">
        <f t="shared" si="199"/>
        <v>0</v>
      </c>
      <c r="AA50" s="106"/>
      <c r="AB50" s="107">
        <v>5</v>
      </c>
      <c r="AC50" s="104">
        <f t="shared" si="200"/>
        <v>0</v>
      </c>
      <c r="AD50" s="106"/>
      <c r="AE50" s="107">
        <v>5</v>
      </c>
      <c r="AF50" s="104">
        <f t="shared" si="201"/>
        <v>0</v>
      </c>
      <c r="AG50" s="106"/>
      <c r="AH50" s="107">
        <v>5</v>
      </c>
      <c r="AI50" s="104">
        <f t="shared" si="202"/>
        <v>0</v>
      </c>
      <c r="AJ50" s="106"/>
      <c r="AK50" s="107">
        <v>5</v>
      </c>
      <c r="AL50" s="104">
        <f t="shared" si="203"/>
        <v>0</v>
      </c>
      <c r="AM50" s="102"/>
      <c r="AN50" s="1">
        <v>5</v>
      </c>
      <c r="AO50" s="104">
        <f t="shared" si="204"/>
        <v>0</v>
      </c>
      <c r="AP50" s="102"/>
      <c r="AQ50" s="1">
        <v>5</v>
      </c>
      <c r="AR50" s="104">
        <f t="shared" si="205"/>
        <v>0</v>
      </c>
      <c r="AS50" s="102"/>
      <c r="AT50" s="1">
        <v>5</v>
      </c>
      <c r="AU50" s="104">
        <f t="shared" si="206"/>
        <v>0</v>
      </c>
      <c r="AV50" s="102"/>
      <c r="AW50" s="1">
        <v>5</v>
      </c>
      <c r="AX50" s="104">
        <f t="shared" si="207"/>
        <v>0</v>
      </c>
      <c r="AY50" s="102"/>
      <c r="AZ50" s="1">
        <v>5</v>
      </c>
      <c r="BA50" s="104">
        <f t="shared" si="208"/>
        <v>0</v>
      </c>
      <c r="BB50" s="102"/>
      <c r="BC50" s="1">
        <v>5</v>
      </c>
      <c r="BD50" s="104">
        <f t="shared" si="209"/>
        <v>0</v>
      </c>
      <c r="BE50" s="102"/>
      <c r="BF50" s="1">
        <v>5</v>
      </c>
      <c r="BG50" s="104">
        <f t="shared" si="210"/>
        <v>0</v>
      </c>
      <c r="BH50" s="102"/>
      <c r="BI50" s="1">
        <v>5</v>
      </c>
      <c r="BJ50" s="104">
        <f t="shared" si="211"/>
        <v>0</v>
      </c>
      <c r="BK50" s="102"/>
      <c r="BL50" s="1">
        <v>5</v>
      </c>
      <c r="BM50" s="104">
        <f t="shared" si="212"/>
        <v>0</v>
      </c>
      <c r="BN50" s="102"/>
      <c r="BO50" s="1">
        <v>5</v>
      </c>
      <c r="BP50" s="104">
        <f t="shared" si="213"/>
        <v>0</v>
      </c>
      <c r="BQ50" s="102"/>
      <c r="BR50" s="1">
        <v>5</v>
      </c>
      <c r="BS50" s="104">
        <f t="shared" si="214"/>
        <v>0</v>
      </c>
      <c r="BT50" s="102"/>
      <c r="BU50" s="1">
        <v>5</v>
      </c>
      <c r="BV50" s="104">
        <f t="shared" si="215"/>
        <v>0</v>
      </c>
      <c r="BW50" s="102"/>
      <c r="BX50" s="1">
        <v>5</v>
      </c>
      <c r="BY50" s="104">
        <f t="shared" si="216"/>
        <v>0</v>
      </c>
      <c r="BZ50" s="102"/>
      <c r="CA50" s="1">
        <v>5</v>
      </c>
      <c r="CB50" s="104">
        <f t="shared" si="217"/>
        <v>0</v>
      </c>
      <c r="CC50" s="102"/>
      <c r="CD50" s="1">
        <v>5</v>
      </c>
      <c r="CE50" s="104">
        <f t="shared" si="218"/>
        <v>0</v>
      </c>
      <c r="CF50" s="102"/>
      <c r="CG50" s="1">
        <v>5</v>
      </c>
      <c r="CH50" s="104">
        <f t="shared" si="219"/>
        <v>0</v>
      </c>
      <c r="CI50" s="102"/>
      <c r="CJ50" s="1">
        <v>5</v>
      </c>
      <c r="CK50" s="104">
        <f t="shared" si="220"/>
        <v>0</v>
      </c>
      <c r="CL50" s="102"/>
      <c r="CM50" s="1">
        <v>5</v>
      </c>
      <c r="CN50" s="104">
        <f t="shared" si="221"/>
        <v>0</v>
      </c>
      <c r="CO50" s="102"/>
      <c r="CP50" s="1">
        <v>5</v>
      </c>
      <c r="CQ50" s="104">
        <f t="shared" si="222"/>
        <v>0</v>
      </c>
      <c r="CR50" s="102"/>
      <c r="CS50" s="1">
        <v>5</v>
      </c>
      <c r="CT50" s="104">
        <f t="shared" si="223"/>
        <v>0</v>
      </c>
      <c r="CU50" s="102"/>
      <c r="CV50" s="1">
        <v>5</v>
      </c>
      <c r="CW50" s="104">
        <f t="shared" si="224"/>
        <v>0</v>
      </c>
      <c r="CX50" s="102"/>
      <c r="CY50" s="1">
        <v>5</v>
      </c>
      <c r="CZ50" s="104">
        <f t="shared" si="225"/>
        <v>0</v>
      </c>
      <c r="DA50" s="102"/>
      <c r="DB50" s="1">
        <v>5</v>
      </c>
      <c r="DC50" s="104">
        <f t="shared" si="226"/>
        <v>0</v>
      </c>
      <c r="DD50" s="102"/>
      <c r="DE50" s="1">
        <v>5</v>
      </c>
      <c r="DF50" s="104">
        <f t="shared" si="227"/>
        <v>0</v>
      </c>
      <c r="DG50" s="102"/>
      <c r="DH50" s="1">
        <v>5</v>
      </c>
      <c r="DI50" s="104">
        <f t="shared" si="228"/>
        <v>0</v>
      </c>
      <c r="DJ50" s="102"/>
      <c r="DK50" s="1">
        <v>5</v>
      </c>
      <c r="DL50" s="104">
        <f t="shared" si="229"/>
        <v>0</v>
      </c>
      <c r="DM50" s="102"/>
      <c r="DN50" s="1">
        <v>5</v>
      </c>
      <c r="DO50" s="104">
        <f t="shared" si="230"/>
        <v>0</v>
      </c>
      <c r="DP50" s="102"/>
      <c r="DQ50" s="1">
        <v>5</v>
      </c>
      <c r="DR50" s="104">
        <f t="shared" si="231"/>
        <v>0</v>
      </c>
      <c r="DS50" s="102"/>
      <c r="DT50" s="1">
        <v>5</v>
      </c>
      <c r="DU50" s="104">
        <f t="shared" si="232"/>
        <v>0</v>
      </c>
      <c r="DV50" s="102"/>
      <c r="DW50" s="1">
        <v>5</v>
      </c>
      <c r="DX50" s="104">
        <f t="shared" si="233"/>
        <v>0</v>
      </c>
      <c r="DY50" s="102"/>
      <c r="DZ50" s="1">
        <v>5</v>
      </c>
      <c r="EA50" s="104">
        <f t="shared" si="234"/>
        <v>0</v>
      </c>
      <c r="EB50" s="102"/>
      <c r="EC50" s="1">
        <v>5</v>
      </c>
      <c r="ED50" s="104">
        <f t="shared" si="235"/>
        <v>0</v>
      </c>
      <c r="EE50" s="102"/>
      <c r="EF50" s="1">
        <v>5</v>
      </c>
      <c r="EG50" s="104">
        <f t="shared" si="236"/>
        <v>0</v>
      </c>
      <c r="EH50" s="102"/>
      <c r="EI50" s="1">
        <v>5</v>
      </c>
      <c r="EJ50" s="104">
        <f t="shared" si="237"/>
        <v>0</v>
      </c>
      <c r="EK50" s="102"/>
      <c r="EL50" s="1">
        <v>5</v>
      </c>
      <c r="EM50" s="104">
        <f t="shared" si="238"/>
        <v>0</v>
      </c>
      <c r="EN50" s="102"/>
      <c r="EO50" s="1">
        <v>5</v>
      </c>
      <c r="EP50" s="104">
        <f t="shared" si="239"/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6" customHeight="1" spans="1:148" x14ac:dyDescent="0.25">
      <c r="A51" s="100" t="s">
        <v>121</v>
      </c>
      <c r="B51" s="101"/>
      <c r="C51" s="102"/>
      <c r="D51" s="103">
        <v>5</v>
      </c>
      <c r="E51" s="104">
        <f t="shared" si="192"/>
        <v>0</v>
      </c>
      <c r="F51" s="102"/>
      <c r="G51" s="103">
        <v>5</v>
      </c>
      <c r="H51" s="104">
        <f t="shared" si="193"/>
        <v>0</v>
      </c>
      <c r="I51" s="105"/>
      <c r="J51" s="103">
        <v>5</v>
      </c>
      <c r="K51" s="104">
        <f t="shared" si="194"/>
        <v>0</v>
      </c>
      <c r="L51" s="105"/>
      <c r="M51" s="103">
        <v>5</v>
      </c>
      <c r="N51" s="104">
        <f t="shared" si="195"/>
        <v>0</v>
      </c>
      <c r="O51" s="106"/>
      <c r="P51" s="107">
        <v>5</v>
      </c>
      <c r="Q51" s="104">
        <f t="shared" si="196"/>
        <v>0</v>
      </c>
      <c r="R51" s="102"/>
      <c r="S51" s="107">
        <v>5</v>
      </c>
      <c r="T51" s="104">
        <f t="shared" si="197"/>
        <v>0</v>
      </c>
      <c r="U51" s="102"/>
      <c r="V51" s="107">
        <v>5</v>
      </c>
      <c r="W51" s="104">
        <f t="shared" si="198"/>
        <v>0</v>
      </c>
      <c r="X51" s="102"/>
      <c r="Y51" s="107">
        <v>5</v>
      </c>
      <c r="Z51" s="104">
        <f t="shared" si="199"/>
        <v>0</v>
      </c>
      <c r="AA51" s="106"/>
      <c r="AB51" s="107">
        <v>5</v>
      </c>
      <c r="AC51" s="104">
        <f t="shared" si="200"/>
        <v>0</v>
      </c>
      <c r="AD51" s="106"/>
      <c r="AE51" s="107">
        <v>5</v>
      </c>
      <c r="AF51" s="104">
        <f t="shared" si="201"/>
        <v>0</v>
      </c>
      <c r="AG51" s="106"/>
      <c r="AH51" s="107">
        <v>5</v>
      </c>
      <c r="AI51" s="104">
        <f t="shared" si="202"/>
        <v>0</v>
      </c>
      <c r="AJ51" s="106"/>
      <c r="AK51" s="107">
        <v>5</v>
      </c>
      <c r="AL51" s="104">
        <f t="shared" si="203"/>
        <v>0</v>
      </c>
      <c r="AM51" s="102"/>
      <c r="AN51" s="1">
        <v>5</v>
      </c>
      <c r="AO51" s="104">
        <f t="shared" si="204"/>
        <v>0</v>
      </c>
      <c r="AP51" s="102"/>
      <c r="AQ51" s="1">
        <v>5</v>
      </c>
      <c r="AR51" s="104">
        <f t="shared" si="205"/>
        <v>0</v>
      </c>
      <c r="AS51" s="102"/>
      <c r="AT51" s="1">
        <v>5</v>
      </c>
      <c r="AU51" s="104">
        <f t="shared" si="206"/>
        <v>0</v>
      </c>
      <c r="AV51" s="102"/>
      <c r="AW51" s="1">
        <v>5</v>
      </c>
      <c r="AX51" s="104">
        <f t="shared" si="207"/>
        <v>0</v>
      </c>
      <c r="AY51" s="102"/>
      <c r="AZ51" s="1">
        <v>5</v>
      </c>
      <c r="BA51" s="104">
        <f t="shared" si="208"/>
        <v>0</v>
      </c>
      <c r="BB51" s="102"/>
      <c r="BC51" s="1">
        <v>5</v>
      </c>
      <c r="BD51" s="104">
        <f t="shared" si="209"/>
        <v>0</v>
      </c>
      <c r="BE51" s="102"/>
      <c r="BF51" s="1">
        <v>5</v>
      </c>
      <c r="BG51" s="104">
        <f t="shared" si="210"/>
        <v>0</v>
      </c>
      <c r="BH51" s="102"/>
      <c r="BI51" s="1">
        <v>5</v>
      </c>
      <c r="BJ51" s="104">
        <f t="shared" si="211"/>
        <v>0</v>
      </c>
      <c r="BK51" s="102"/>
      <c r="BL51" s="1">
        <v>5</v>
      </c>
      <c r="BM51" s="104">
        <f t="shared" si="212"/>
        <v>0</v>
      </c>
      <c r="BN51" s="102"/>
      <c r="BO51" s="1">
        <v>5</v>
      </c>
      <c r="BP51" s="104">
        <f t="shared" si="213"/>
        <v>0</v>
      </c>
      <c r="BQ51" s="102"/>
      <c r="BR51" s="1">
        <v>5</v>
      </c>
      <c r="BS51" s="104">
        <f t="shared" si="214"/>
        <v>0</v>
      </c>
      <c r="BT51" s="102"/>
      <c r="BU51" s="1">
        <v>5</v>
      </c>
      <c r="BV51" s="104">
        <f t="shared" si="215"/>
        <v>0</v>
      </c>
      <c r="BW51" s="102"/>
      <c r="BX51" s="1">
        <v>5</v>
      </c>
      <c r="BY51" s="104">
        <f t="shared" si="216"/>
        <v>0</v>
      </c>
      <c r="BZ51" s="102"/>
      <c r="CA51" s="1">
        <v>5</v>
      </c>
      <c r="CB51" s="104">
        <f t="shared" si="217"/>
        <v>0</v>
      </c>
      <c r="CC51" s="102"/>
      <c r="CD51" s="1">
        <v>5</v>
      </c>
      <c r="CE51" s="104">
        <f t="shared" si="218"/>
        <v>0</v>
      </c>
      <c r="CF51" s="102"/>
      <c r="CG51" s="1">
        <v>5</v>
      </c>
      <c r="CH51" s="104">
        <f t="shared" si="219"/>
        <v>0</v>
      </c>
      <c r="CI51" s="102"/>
      <c r="CJ51" s="1">
        <v>5</v>
      </c>
      <c r="CK51" s="104">
        <f t="shared" si="220"/>
        <v>0</v>
      </c>
      <c r="CL51" s="102"/>
      <c r="CM51" s="1">
        <v>5</v>
      </c>
      <c r="CN51" s="104">
        <f t="shared" si="221"/>
        <v>0</v>
      </c>
      <c r="CO51" s="102"/>
      <c r="CP51" s="1">
        <v>5</v>
      </c>
      <c r="CQ51" s="104">
        <f t="shared" si="222"/>
        <v>0</v>
      </c>
      <c r="CR51" s="102"/>
      <c r="CS51" s="1">
        <v>5</v>
      </c>
      <c r="CT51" s="104">
        <f t="shared" si="223"/>
        <v>0</v>
      </c>
      <c r="CU51" s="102"/>
      <c r="CV51" s="1">
        <v>5</v>
      </c>
      <c r="CW51" s="104">
        <f t="shared" si="224"/>
        <v>0</v>
      </c>
      <c r="CX51" s="102"/>
      <c r="CY51" s="1">
        <v>5</v>
      </c>
      <c r="CZ51" s="104">
        <f t="shared" si="225"/>
        <v>0</v>
      </c>
      <c r="DA51" s="102"/>
      <c r="DB51" s="1">
        <v>5</v>
      </c>
      <c r="DC51" s="104">
        <f t="shared" si="226"/>
        <v>0</v>
      </c>
      <c r="DD51" s="102"/>
      <c r="DE51" s="1">
        <v>5</v>
      </c>
      <c r="DF51" s="104">
        <f t="shared" si="227"/>
        <v>0</v>
      </c>
      <c r="DG51" s="102"/>
      <c r="DH51" s="1">
        <v>5</v>
      </c>
      <c r="DI51" s="104">
        <f t="shared" si="228"/>
        <v>0</v>
      </c>
      <c r="DJ51" s="102"/>
      <c r="DK51" s="1">
        <v>5</v>
      </c>
      <c r="DL51" s="104">
        <f t="shared" si="229"/>
        <v>0</v>
      </c>
      <c r="DM51" s="102"/>
      <c r="DN51" s="1">
        <v>5</v>
      </c>
      <c r="DO51" s="104">
        <f t="shared" si="230"/>
        <v>0</v>
      </c>
      <c r="DP51" s="102"/>
      <c r="DQ51" s="1">
        <v>5</v>
      </c>
      <c r="DR51" s="104">
        <f t="shared" si="231"/>
        <v>0</v>
      </c>
      <c r="DS51" s="102"/>
      <c r="DT51" s="1">
        <v>5</v>
      </c>
      <c r="DU51" s="104">
        <f t="shared" si="232"/>
        <v>0</v>
      </c>
      <c r="DV51" s="102"/>
      <c r="DW51" s="1">
        <v>5</v>
      </c>
      <c r="DX51" s="104">
        <f t="shared" si="233"/>
        <v>0</v>
      </c>
      <c r="DY51" s="102"/>
      <c r="DZ51" s="1">
        <v>5</v>
      </c>
      <c r="EA51" s="104">
        <f t="shared" si="234"/>
        <v>0</v>
      </c>
      <c r="EB51" s="102"/>
      <c r="EC51" s="1">
        <v>5</v>
      </c>
      <c r="ED51" s="104">
        <f t="shared" si="235"/>
        <v>0</v>
      </c>
      <c r="EE51" s="102"/>
      <c r="EF51" s="1">
        <v>5</v>
      </c>
      <c r="EG51" s="104">
        <f t="shared" si="236"/>
        <v>0</v>
      </c>
      <c r="EH51" s="102"/>
      <c r="EI51" s="1">
        <v>5</v>
      </c>
      <c r="EJ51" s="104">
        <f t="shared" si="237"/>
        <v>0</v>
      </c>
      <c r="EK51" s="102"/>
      <c r="EL51" s="1">
        <v>5</v>
      </c>
      <c r="EM51" s="104">
        <f t="shared" si="238"/>
        <v>0</v>
      </c>
      <c r="EN51" s="102"/>
      <c r="EO51" s="1">
        <v>5</v>
      </c>
      <c r="EP51" s="104">
        <f t="shared" si="239"/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16" customHeight="1" spans="1:148" x14ac:dyDescent="0.25">
      <c r="A52" s="115" t="s">
        <v>153</v>
      </c>
      <c r="B52" s="101"/>
      <c r="C52" s="102"/>
      <c r="D52" s="103">
        <v>5</v>
      </c>
      <c r="E52" s="104">
        <f t="shared" si="192"/>
        <v>0</v>
      </c>
      <c r="F52" s="102"/>
      <c r="G52" s="103">
        <v>5</v>
      </c>
      <c r="H52" s="104">
        <f t="shared" si="193"/>
        <v>0</v>
      </c>
      <c r="I52" s="105"/>
      <c r="J52" s="103">
        <v>5</v>
      </c>
      <c r="K52" s="104">
        <f t="shared" si="194"/>
        <v>0</v>
      </c>
      <c r="L52" s="105"/>
      <c r="M52" s="103">
        <v>5</v>
      </c>
      <c r="N52" s="104">
        <f t="shared" si="195"/>
        <v>0</v>
      </c>
      <c r="O52" s="106"/>
      <c r="P52" s="107">
        <v>5</v>
      </c>
      <c r="Q52" s="104">
        <f t="shared" si="196"/>
        <v>0</v>
      </c>
      <c r="R52" s="102"/>
      <c r="S52" s="107">
        <v>5</v>
      </c>
      <c r="T52" s="104">
        <f t="shared" si="197"/>
        <v>0</v>
      </c>
      <c r="U52" s="102"/>
      <c r="V52" s="107">
        <v>5</v>
      </c>
      <c r="W52" s="104">
        <f t="shared" si="198"/>
        <v>0</v>
      </c>
      <c r="X52" s="102"/>
      <c r="Y52" s="107">
        <v>5</v>
      </c>
      <c r="Z52" s="104">
        <f t="shared" si="199"/>
        <v>0</v>
      </c>
      <c r="AA52" s="106"/>
      <c r="AB52" s="107">
        <v>5</v>
      </c>
      <c r="AC52" s="104">
        <f t="shared" si="200"/>
        <v>0</v>
      </c>
      <c r="AD52" s="106"/>
      <c r="AE52" s="107">
        <v>5</v>
      </c>
      <c r="AF52" s="104">
        <f t="shared" si="201"/>
        <v>0</v>
      </c>
      <c r="AG52" s="106"/>
      <c r="AH52" s="107">
        <v>5</v>
      </c>
      <c r="AI52" s="104">
        <f t="shared" si="202"/>
        <v>0</v>
      </c>
      <c r="AJ52" s="106"/>
      <c r="AK52" s="107">
        <v>5</v>
      </c>
      <c r="AL52" s="104">
        <f t="shared" si="203"/>
        <v>0</v>
      </c>
      <c r="AM52" s="102"/>
      <c r="AN52" s="1">
        <v>5</v>
      </c>
      <c r="AO52" s="104">
        <f t="shared" si="204"/>
        <v>0</v>
      </c>
      <c r="AP52" s="102"/>
      <c r="AQ52" s="1">
        <v>5</v>
      </c>
      <c r="AR52" s="104">
        <f t="shared" si="205"/>
        <v>0</v>
      </c>
      <c r="AS52" s="102"/>
      <c r="AT52" s="1">
        <v>5</v>
      </c>
      <c r="AU52" s="104">
        <f t="shared" si="206"/>
        <v>0</v>
      </c>
      <c r="AV52" s="102"/>
      <c r="AW52" s="1">
        <v>5</v>
      </c>
      <c r="AX52" s="104">
        <f t="shared" si="207"/>
        <v>0</v>
      </c>
      <c r="AY52" s="102"/>
      <c r="AZ52" s="1">
        <v>5</v>
      </c>
      <c r="BA52" s="104">
        <f t="shared" si="208"/>
        <v>0</v>
      </c>
      <c r="BB52" s="102"/>
      <c r="BC52" s="1">
        <v>5</v>
      </c>
      <c r="BD52" s="104">
        <f t="shared" si="209"/>
        <v>0</v>
      </c>
      <c r="BE52" s="102"/>
      <c r="BF52" s="1">
        <v>5</v>
      </c>
      <c r="BG52" s="104">
        <f t="shared" si="210"/>
        <v>0</v>
      </c>
      <c r="BH52" s="102"/>
      <c r="BI52" s="1">
        <v>5</v>
      </c>
      <c r="BJ52" s="104">
        <f t="shared" si="211"/>
        <v>0</v>
      </c>
      <c r="BK52" s="102"/>
      <c r="BL52" s="1">
        <v>5</v>
      </c>
      <c r="BM52" s="104">
        <f t="shared" si="212"/>
        <v>0</v>
      </c>
      <c r="BN52" s="102"/>
      <c r="BO52" s="1">
        <v>5</v>
      </c>
      <c r="BP52" s="104">
        <f t="shared" si="213"/>
        <v>0</v>
      </c>
      <c r="BQ52" s="102"/>
      <c r="BR52" s="1">
        <v>5</v>
      </c>
      <c r="BS52" s="104">
        <f t="shared" si="214"/>
        <v>0</v>
      </c>
      <c r="BT52" s="102"/>
      <c r="BU52" s="1">
        <v>5</v>
      </c>
      <c r="BV52" s="104">
        <f t="shared" si="215"/>
        <v>0</v>
      </c>
      <c r="BW52" s="102"/>
      <c r="BX52" s="1">
        <v>5</v>
      </c>
      <c r="BY52" s="104">
        <f t="shared" si="216"/>
        <v>0</v>
      </c>
      <c r="BZ52" s="102"/>
      <c r="CA52" s="1">
        <v>5</v>
      </c>
      <c r="CB52" s="104">
        <f t="shared" si="217"/>
        <v>0</v>
      </c>
      <c r="CC52" s="102"/>
      <c r="CD52" s="1">
        <v>5</v>
      </c>
      <c r="CE52" s="104">
        <f t="shared" si="218"/>
        <v>0</v>
      </c>
      <c r="CF52" s="102"/>
      <c r="CG52" s="1">
        <v>5</v>
      </c>
      <c r="CH52" s="104">
        <f t="shared" si="219"/>
        <v>0</v>
      </c>
      <c r="CI52" s="102"/>
      <c r="CJ52" s="1">
        <v>5</v>
      </c>
      <c r="CK52" s="104">
        <f t="shared" si="220"/>
        <v>0</v>
      </c>
      <c r="CL52" s="102"/>
      <c r="CM52" s="1">
        <v>5</v>
      </c>
      <c r="CN52" s="104">
        <f t="shared" si="221"/>
        <v>0</v>
      </c>
      <c r="CO52" s="102"/>
      <c r="CP52" s="1">
        <v>5</v>
      </c>
      <c r="CQ52" s="104">
        <f t="shared" si="222"/>
        <v>0</v>
      </c>
      <c r="CR52" s="102"/>
      <c r="CS52" s="1">
        <v>5</v>
      </c>
      <c r="CT52" s="104">
        <f t="shared" si="223"/>
        <v>0</v>
      </c>
      <c r="CU52" s="102"/>
      <c r="CV52" s="1">
        <v>5</v>
      </c>
      <c r="CW52" s="104">
        <f t="shared" si="224"/>
        <v>0</v>
      </c>
      <c r="CX52" s="102"/>
      <c r="CY52" s="1">
        <v>5</v>
      </c>
      <c r="CZ52" s="104">
        <f t="shared" si="225"/>
        <v>0</v>
      </c>
      <c r="DA52" s="102"/>
      <c r="DB52" s="1">
        <v>5</v>
      </c>
      <c r="DC52" s="104">
        <f t="shared" si="226"/>
        <v>0</v>
      </c>
      <c r="DD52" s="102"/>
      <c r="DE52" s="1">
        <v>5</v>
      </c>
      <c r="DF52" s="104">
        <f t="shared" si="227"/>
        <v>0</v>
      </c>
      <c r="DG52" s="102"/>
      <c r="DH52" s="1">
        <v>5</v>
      </c>
      <c r="DI52" s="104">
        <f t="shared" si="228"/>
        <v>0</v>
      </c>
      <c r="DJ52" s="102"/>
      <c r="DK52" s="1">
        <v>5</v>
      </c>
      <c r="DL52" s="104">
        <f t="shared" si="229"/>
        <v>0</v>
      </c>
      <c r="DM52" s="102"/>
      <c r="DN52" s="1">
        <v>5</v>
      </c>
      <c r="DO52" s="104">
        <f t="shared" si="230"/>
        <v>0</v>
      </c>
      <c r="DP52" s="102"/>
      <c r="DQ52" s="1">
        <v>5</v>
      </c>
      <c r="DR52" s="104">
        <f t="shared" si="231"/>
        <v>0</v>
      </c>
      <c r="DS52" s="102"/>
      <c r="DT52" s="1">
        <v>5</v>
      </c>
      <c r="DU52" s="104">
        <f t="shared" si="232"/>
        <v>0</v>
      </c>
      <c r="DV52" s="102"/>
      <c r="DW52" s="1">
        <v>5</v>
      </c>
      <c r="DX52" s="104">
        <f t="shared" si="233"/>
        <v>0</v>
      </c>
      <c r="DY52" s="102"/>
      <c r="DZ52" s="1">
        <v>5</v>
      </c>
      <c r="EA52" s="104">
        <f t="shared" si="234"/>
        <v>0</v>
      </c>
      <c r="EB52" s="102"/>
      <c r="EC52" s="1">
        <v>5</v>
      </c>
      <c r="ED52" s="104">
        <f t="shared" si="235"/>
        <v>0</v>
      </c>
      <c r="EE52" s="102"/>
      <c r="EF52" s="1">
        <v>5</v>
      </c>
      <c r="EG52" s="104">
        <f t="shared" si="236"/>
        <v>0</v>
      </c>
      <c r="EH52" s="102"/>
      <c r="EI52" s="1">
        <v>5</v>
      </c>
      <c r="EJ52" s="104">
        <f t="shared" si="237"/>
        <v>0</v>
      </c>
      <c r="EK52" s="102"/>
      <c r="EL52" s="1">
        <v>5</v>
      </c>
      <c r="EM52" s="104">
        <f t="shared" si="238"/>
        <v>0</v>
      </c>
      <c r="EN52" s="102"/>
      <c r="EO52" s="1">
        <v>5</v>
      </c>
      <c r="EP52" s="104">
        <f t="shared" si="239"/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24" t="s">
        <v>154</v>
      </c>
      <c r="B53" s="125"/>
      <c r="C53" s="126"/>
      <c r="D53" s="127"/>
      <c r="E53" s="82">
        <f>AVERAGE(E54:E59)</f>
        <v>0</v>
      </c>
      <c r="F53" s="126"/>
      <c r="G53" s="127"/>
      <c r="H53" s="82">
        <f>AVERAGE(H54:H59)</f>
        <v>0</v>
      </c>
      <c r="I53" s="126"/>
      <c r="J53" s="127"/>
      <c r="K53" s="82">
        <f>AVERAGE(K54:K59)</f>
        <v>0</v>
      </c>
      <c r="L53" s="126"/>
      <c r="M53" s="127"/>
      <c r="N53" s="82">
        <f>AVERAGE(N54:N59)</f>
        <v>0</v>
      </c>
      <c r="O53" s="126"/>
      <c r="P53" s="127"/>
      <c r="Q53" s="82">
        <f>AVERAGE(Q54:Q59)</f>
        <v>0</v>
      </c>
      <c r="R53" s="126"/>
      <c r="S53" s="127"/>
      <c r="T53" s="82">
        <f>AVERAGE(T54:T59)</f>
        <v>0</v>
      </c>
      <c r="U53" s="126"/>
      <c r="V53" s="127"/>
      <c r="W53" s="82">
        <f>AVERAGE(W54:W59)</f>
        <v>0</v>
      </c>
      <c r="X53" s="126"/>
      <c r="Y53" s="127"/>
      <c r="Z53" s="82">
        <f>AVERAGE(Z54:Z59)</f>
        <v>0</v>
      </c>
      <c r="AA53" s="126"/>
      <c r="AB53" s="127"/>
      <c r="AC53" s="82">
        <f>AVERAGE(AC54:AC59)</f>
        <v>0</v>
      </c>
      <c r="AD53" s="126"/>
      <c r="AE53" s="127"/>
      <c r="AF53" s="82">
        <f>AVERAGE(AF54:AF59)</f>
        <v>0</v>
      </c>
      <c r="AG53" s="126"/>
      <c r="AH53" s="127"/>
      <c r="AI53" s="82">
        <f>AVERAGE(AI54:AI59)</f>
        <v>0</v>
      </c>
      <c r="AJ53" s="126"/>
      <c r="AK53" s="127"/>
      <c r="AL53" s="82">
        <f>AVERAGE(AL54:AL59)</f>
        <v>0</v>
      </c>
      <c r="AM53" s="128"/>
      <c r="AN53" s="127"/>
      <c r="AO53" s="82">
        <f>AVERAGE(AO54:AO59)</f>
        <v>0</v>
      </c>
      <c r="AP53" s="128"/>
      <c r="AQ53" s="129"/>
      <c r="AR53" s="82">
        <f>AVERAGE(AR54:AR59)</f>
        <v>0</v>
      </c>
      <c r="AS53" s="130"/>
      <c r="AT53" s="129"/>
      <c r="AU53" s="82">
        <f>AVERAGE(AU54:AU59)</f>
        <v>0</v>
      </c>
      <c r="AV53" s="128"/>
      <c r="AW53" s="127"/>
      <c r="AX53" s="82">
        <f>AVERAGE(AX54:AX59)</f>
        <v>0</v>
      </c>
      <c r="AY53" s="131"/>
      <c r="AZ53" s="132"/>
      <c r="BA53" s="82">
        <f>AVERAGE(BA54:BA59)</f>
        <v>0</v>
      </c>
      <c r="BB53" s="128"/>
      <c r="BC53" s="132"/>
      <c r="BD53" s="82">
        <f>AVERAGE(BD54:BD59)</f>
        <v>0</v>
      </c>
      <c r="BE53" s="128"/>
      <c r="BF53" s="132"/>
      <c r="BG53" s="82">
        <f>AVERAGE(BG54:BG59)</f>
        <v>0</v>
      </c>
      <c r="BH53" s="128"/>
      <c r="BI53" s="132"/>
      <c r="BJ53" s="82">
        <f>AVERAGE(BJ54:BJ59)</f>
        <v>0</v>
      </c>
      <c r="BK53" s="128"/>
      <c r="BL53" s="132"/>
      <c r="BM53" s="82">
        <f>AVERAGE(BM54:BM59)</f>
        <v>0</v>
      </c>
      <c r="BN53" s="128"/>
      <c r="BO53" s="132"/>
      <c r="BP53" s="82">
        <f>AVERAGE(BP54:BP59)</f>
        <v>0</v>
      </c>
      <c r="BQ53" s="128"/>
      <c r="BR53" s="132"/>
      <c r="BS53" s="82">
        <f>AVERAGE(BS54:BS59)</f>
        <v>0</v>
      </c>
      <c r="BT53" s="128"/>
      <c r="BU53" s="132"/>
      <c r="BV53" s="82">
        <f>AVERAGE(BV54:BV59)</f>
        <v>0</v>
      </c>
      <c r="BW53" s="128"/>
      <c r="BX53" s="132"/>
      <c r="BY53" s="82">
        <f>AVERAGE(BY54:BY59)</f>
        <v>0</v>
      </c>
      <c r="BZ53" s="126"/>
      <c r="CA53" s="127"/>
      <c r="CB53" s="82">
        <f>AVERAGE(CB54:CB59)</f>
        <v>0</v>
      </c>
      <c r="CC53" s="126"/>
      <c r="CD53" s="127"/>
      <c r="CE53" s="82">
        <f>AVERAGE(CE54:CE59)</f>
        <v>0</v>
      </c>
      <c r="CF53" s="126"/>
      <c r="CG53" s="127"/>
      <c r="CH53" s="82">
        <f>AVERAGE(CH54:CH59)</f>
        <v>0</v>
      </c>
      <c r="CI53" s="126"/>
      <c r="CJ53" s="127"/>
      <c r="CK53" s="82">
        <f>AVERAGE(CK54:CK59)</f>
        <v>0</v>
      </c>
      <c r="CL53" s="126"/>
      <c r="CM53" s="127"/>
      <c r="CN53" s="82">
        <f>AVERAGE(CN54:CN59)</f>
        <v>0</v>
      </c>
      <c r="CO53" s="126"/>
      <c r="CP53" s="127"/>
      <c r="CQ53" s="82">
        <f>AVERAGE(CQ54:CQ59)</f>
        <v>0</v>
      </c>
      <c r="CR53" s="126"/>
      <c r="CS53" s="127"/>
      <c r="CT53" s="82">
        <f>AVERAGE(CT54:CT59)</f>
        <v>0</v>
      </c>
      <c r="CU53" s="126"/>
      <c r="CV53" s="127"/>
      <c r="CW53" s="82">
        <f>AVERAGE(CW54:CW59)</f>
        <v>0</v>
      </c>
      <c r="CX53" s="126"/>
      <c r="CY53" s="127"/>
      <c r="CZ53" s="82">
        <f>AVERAGE(CZ54:CZ59)</f>
        <v>0</v>
      </c>
      <c r="DA53" s="126"/>
      <c r="DB53" s="127"/>
      <c r="DC53" s="82">
        <f>AVERAGE(DC54:DC59)</f>
        <v>0</v>
      </c>
      <c r="DD53" s="126"/>
      <c r="DE53" s="127"/>
      <c r="DF53" s="82">
        <f>AVERAGE(DF54:DF59)</f>
        <v>0</v>
      </c>
      <c r="DG53" s="126"/>
      <c r="DH53" s="127"/>
      <c r="DI53" s="82">
        <f>AVERAGE(DI54:DI59)</f>
        <v>0</v>
      </c>
      <c r="DJ53" s="126"/>
      <c r="DK53" s="127"/>
      <c r="DL53" s="82">
        <f>AVERAGE(DL54:DL59)</f>
        <v>0</v>
      </c>
      <c r="DM53" s="126"/>
      <c r="DN53" s="127"/>
      <c r="DO53" s="82">
        <f>AVERAGE(DO54:DO59)</f>
        <v>0</v>
      </c>
      <c r="DP53" s="126"/>
      <c r="DQ53" s="127"/>
      <c r="DR53" s="82">
        <f>AVERAGE(DR54:DR59)</f>
        <v>0</v>
      </c>
      <c r="DS53" s="126"/>
      <c r="DT53" s="127"/>
      <c r="DU53" s="82">
        <f>AVERAGE(DU54:DU59)</f>
        <v>0</v>
      </c>
      <c r="DV53" s="126"/>
      <c r="DW53" s="127"/>
      <c r="DX53" s="82">
        <f>AVERAGE(DX54:DX59)</f>
        <v>0</v>
      </c>
      <c r="DY53" s="126"/>
      <c r="DZ53" s="127"/>
      <c r="EA53" s="82">
        <f>AVERAGE(EA54:EA59)</f>
        <v>0</v>
      </c>
      <c r="EB53" s="126"/>
      <c r="EC53" s="127"/>
      <c r="ED53" s="82">
        <f>AVERAGE(ED54:ED59)</f>
        <v>0</v>
      </c>
      <c r="EE53" s="126"/>
      <c r="EF53" s="127"/>
      <c r="EG53" s="82">
        <f>AVERAGE(EG54:EG59)</f>
        <v>0</v>
      </c>
      <c r="EH53" s="126"/>
      <c r="EI53" s="127"/>
      <c r="EJ53" s="82">
        <f>AVERAGE(EJ54:EJ59)</f>
        <v>0</v>
      </c>
      <c r="EK53" s="126"/>
      <c r="EL53" s="127"/>
      <c r="EM53" s="82">
        <f>AVERAGE(EM54:EM59)</f>
        <v>0</v>
      </c>
      <c r="EN53" s="126"/>
      <c r="EO53" s="127"/>
      <c r="EP53" s="82">
        <f>AVERAGE(EP54:EP59)</f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30.5" customHeight="1" spans="1:148" x14ac:dyDescent="0.25">
      <c r="A54" s="177" t="s">
        <v>123</v>
      </c>
      <c r="B54" s="101"/>
      <c r="C54" s="102"/>
      <c r="D54" s="103">
        <v>5</v>
      </c>
      <c r="E54" s="104">
        <f t="shared" ref="E54:E59" si="240">C54/D54</f>
        <v>0</v>
      </c>
      <c r="F54" s="102"/>
      <c r="G54" s="103">
        <v>5</v>
      </c>
      <c r="H54" s="104">
        <f t="shared" ref="H54:H59" si="241">F54/G54</f>
        <v>0</v>
      </c>
      <c r="I54" s="105"/>
      <c r="J54" s="103">
        <v>5</v>
      </c>
      <c r="K54" s="104">
        <f t="shared" ref="K54:K59" si="242">I54/J54</f>
        <v>0</v>
      </c>
      <c r="L54" s="105"/>
      <c r="M54" s="103">
        <v>5</v>
      </c>
      <c r="N54" s="104">
        <f t="shared" ref="N54:N59" si="243">L54/M54</f>
        <v>0</v>
      </c>
      <c r="O54" s="106"/>
      <c r="P54" s="107">
        <v>5</v>
      </c>
      <c r="Q54" s="104">
        <f t="shared" ref="Q54:Q59" si="244">O54/P54</f>
        <v>0</v>
      </c>
      <c r="R54" s="102"/>
      <c r="S54" s="107">
        <v>5</v>
      </c>
      <c r="T54" s="104">
        <f t="shared" ref="T54:T59" si="245">R54/S54</f>
        <v>0</v>
      </c>
      <c r="U54" s="102"/>
      <c r="V54" s="107">
        <v>5</v>
      </c>
      <c r="W54" s="104">
        <f t="shared" ref="W54:W59" si="246">U54/V54</f>
        <v>0</v>
      </c>
      <c r="X54" s="102"/>
      <c r="Y54" s="107">
        <v>5</v>
      </c>
      <c r="Z54" s="104">
        <f t="shared" ref="Z54:Z59" si="247">X54/Y54</f>
        <v>0</v>
      </c>
      <c r="AA54" s="106"/>
      <c r="AB54" s="107">
        <v>5</v>
      </c>
      <c r="AC54" s="104">
        <f t="shared" ref="AC54:AC59" si="248">AA54/AB54</f>
        <v>0</v>
      </c>
      <c r="AD54" s="106"/>
      <c r="AE54" s="107">
        <v>5</v>
      </c>
      <c r="AF54" s="104">
        <f t="shared" ref="AF54:AF59" si="249">AD54/AE54</f>
        <v>0</v>
      </c>
      <c r="AG54" s="106"/>
      <c r="AH54" s="107">
        <v>5</v>
      </c>
      <c r="AI54" s="104">
        <f t="shared" ref="AI54:AI59" si="250">AG54/AH54</f>
        <v>0</v>
      </c>
      <c r="AJ54" s="106"/>
      <c r="AK54" s="107">
        <v>5</v>
      </c>
      <c r="AL54" s="104">
        <f t="shared" ref="AL54:AL59" si="251">AJ54/AK54</f>
        <v>0</v>
      </c>
      <c r="AM54" s="102"/>
      <c r="AN54" s="1">
        <v>5</v>
      </c>
      <c r="AO54" s="104">
        <f t="shared" ref="AO54:AO59" si="252">AM54/AN54</f>
        <v>0</v>
      </c>
      <c r="AP54" s="102"/>
      <c r="AQ54" s="1">
        <v>5</v>
      </c>
      <c r="AR54" s="104">
        <f t="shared" ref="AR54:AR59" si="253">AP54/AQ54</f>
        <v>0</v>
      </c>
      <c r="AS54" s="102"/>
      <c r="AT54" s="1">
        <v>5</v>
      </c>
      <c r="AU54" s="104">
        <f t="shared" ref="AU54:AU59" si="254">AS54/AT54</f>
        <v>0</v>
      </c>
      <c r="AV54" s="102"/>
      <c r="AW54" s="1">
        <v>5</v>
      </c>
      <c r="AX54" s="104">
        <f t="shared" ref="AX54:AX59" si="255">AV54/AW54</f>
        <v>0</v>
      </c>
      <c r="AY54" s="102"/>
      <c r="AZ54" s="1">
        <v>5</v>
      </c>
      <c r="BA54" s="104">
        <f t="shared" ref="BA54:BA59" si="256">AY54/AZ54</f>
        <v>0</v>
      </c>
      <c r="BB54" s="102"/>
      <c r="BC54" s="1">
        <v>5</v>
      </c>
      <c r="BD54" s="104">
        <f t="shared" ref="BD54:BD59" si="257">BB54/BC54</f>
        <v>0</v>
      </c>
      <c r="BE54" s="102"/>
      <c r="BF54" s="1">
        <v>5</v>
      </c>
      <c r="BG54" s="104">
        <f t="shared" ref="BG54:BG59" si="258">BE54/BF54</f>
        <v>0</v>
      </c>
      <c r="BH54" s="102"/>
      <c r="BI54" s="1">
        <v>5</v>
      </c>
      <c r="BJ54" s="104">
        <f t="shared" ref="BJ54:BJ59" si="259">BH54/BI54</f>
        <v>0</v>
      </c>
      <c r="BK54" s="102"/>
      <c r="BL54" s="1">
        <v>5</v>
      </c>
      <c r="BM54" s="104">
        <f t="shared" ref="BM54:BM59" si="260">BK54/BL54</f>
        <v>0</v>
      </c>
      <c r="BN54" s="102"/>
      <c r="BO54" s="1">
        <v>5</v>
      </c>
      <c r="BP54" s="104">
        <f t="shared" ref="BP54:BP59" si="261">BN54/BO54</f>
        <v>0</v>
      </c>
      <c r="BQ54" s="102"/>
      <c r="BR54" s="1">
        <v>5</v>
      </c>
      <c r="BS54" s="104">
        <f t="shared" ref="BS54:BS59" si="262">BQ54/BR54</f>
        <v>0</v>
      </c>
      <c r="BT54" s="102"/>
      <c r="BU54" s="1">
        <v>5</v>
      </c>
      <c r="BV54" s="104">
        <f t="shared" ref="BV54:BV59" si="263">BT54/BU54</f>
        <v>0</v>
      </c>
      <c r="BW54" s="102"/>
      <c r="BX54" s="1">
        <v>5</v>
      </c>
      <c r="BY54" s="104">
        <f t="shared" ref="BY54:BY59" si="264">BW54/BX54</f>
        <v>0</v>
      </c>
      <c r="BZ54" s="102"/>
      <c r="CA54" s="1">
        <v>5</v>
      </c>
      <c r="CB54" s="104">
        <f t="shared" ref="CB54:CB59" si="265">BZ54/CA54</f>
        <v>0</v>
      </c>
      <c r="CC54" s="102"/>
      <c r="CD54" s="1">
        <v>5</v>
      </c>
      <c r="CE54" s="104">
        <f t="shared" ref="CE54:CE59" si="266">CC54/CD54</f>
        <v>0</v>
      </c>
      <c r="CF54" s="102"/>
      <c r="CG54" s="1">
        <v>5</v>
      </c>
      <c r="CH54" s="104">
        <f t="shared" ref="CH54:CH59" si="267">CF54/CG54</f>
        <v>0</v>
      </c>
      <c r="CI54" s="102"/>
      <c r="CJ54" s="1">
        <v>5</v>
      </c>
      <c r="CK54" s="104">
        <f t="shared" ref="CK54:CK59" si="268">CI54/CJ54</f>
        <v>0</v>
      </c>
      <c r="CL54" s="102"/>
      <c r="CM54" s="1">
        <v>5</v>
      </c>
      <c r="CN54" s="104">
        <f t="shared" ref="CN54:CN59" si="269">CL54/CM54</f>
        <v>0</v>
      </c>
      <c r="CO54" s="102"/>
      <c r="CP54" s="1">
        <v>5</v>
      </c>
      <c r="CQ54" s="104">
        <f t="shared" ref="CQ54:CQ59" si="270">CO54/CP54</f>
        <v>0</v>
      </c>
      <c r="CR54" s="102"/>
      <c r="CS54" s="1">
        <v>5</v>
      </c>
      <c r="CT54" s="104">
        <f t="shared" ref="CT54:CT59" si="271">CR54/CS54</f>
        <v>0</v>
      </c>
      <c r="CU54" s="102"/>
      <c r="CV54" s="1">
        <v>5</v>
      </c>
      <c r="CW54" s="104">
        <f t="shared" ref="CW54:CW59" si="272">CU54/CV54</f>
        <v>0</v>
      </c>
      <c r="CX54" s="102"/>
      <c r="CY54" s="1">
        <v>5</v>
      </c>
      <c r="CZ54" s="104">
        <f t="shared" ref="CZ54:CZ59" si="273">CX54/CY54</f>
        <v>0</v>
      </c>
      <c r="DA54" s="102"/>
      <c r="DB54" s="1">
        <v>5</v>
      </c>
      <c r="DC54" s="104">
        <f t="shared" ref="DC54:DC59" si="274">DA54/DB54</f>
        <v>0</v>
      </c>
      <c r="DD54" s="102"/>
      <c r="DE54" s="1">
        <v>5</v>
      </c>
      <c r="DF54" s="104">
        <f t="shared" ref="DF54:DF59" si="275">DD54/DE54</f>
        <v>0</v>
      </c>
      <c r="DG54" s="102"/>
      <c r="DH54" s="1">
        <v>5</v>
      </c>
      <c r="DI54" s="104">
        <f t="shared" ref="DI54:DI59" si="276">DG54/DH54</f>
        <v>0</v>
      </c>
      <c r="DJ54" s="102"/>
      <c r="DK54" s="1">
        <v>5</v>
      </c>
      <c r="DL54" s="104">
        <f t="shared" ref="DL54:DL59" si="277">DJ54/DK54</f>
        <v>0</v>
      </c>
      <c r="DM54" s="102"/>
      <c r="DN54" s="1">
        <v>5</v>
      </c>
      <c r="DO54" s="104">
        <f t="shared" ref="DO54:DO59" si="278">DM54/DN54</f>
        <v>0</v>
      </c>
      <c r="DP54" s="102"/>
      <c r="DQ54" s="1">
        <v>5</v>
      </c>
      <c r="DR54" s="104">
        <f t="shared" ref="DR54:DR59" si="279">DP54/DQ54</f>
        <v>0</v>
      </c>
      <c r="DS54" s="102"/>
      <c r="DT54" s="1">
        <v>5</v>
      </c>
      <c r="DU54" s="104">
        <f t="shared" ref="DU54:DU59" si="280">DS54/DT54</f>
        <v>0</v>
      </c>
      <c r="DV54" s="102"/>
      <c r="DW54" s="1">
        <v>5</v>
      </c>
      <c r="DX54" s="104">
        <f t="shared" ref="DX54:DX59" si="281">DV54/DW54</f>
        <v>0</v>
      </c>
      <c r="DY54" s="102"/>
      <c r="DZ54" s="1">
        <v>5</v>
      </c>
      <c r="EA54" s="104">
        <f t="shared" ref="EA54:EA59" si="282">DY54/DZ54</f>
        <v>0</v>
      </c>
      <c r="EB54" s="102"/>
      <c r="EC54" s="1">
        <v>5</v>
      </c>
      <c r="ED54" s="104">
        <f t="shared" ref="ED54:ED59" si="283">EB54/EC54</f>
        <v>0</v>
      </c>
      <c r="EE54" s="102"/>
      <c r="EF54" s="1">
        <v>5</v>
      </c>
      <c r="EG54" s="104">
        <f t="shared" ref="EG54:EG59" si="284">EE54/EF54</f>
        <v>0</v>
      </c>
      <c r="EH54" s="102"/>
      <c r="EI54" s="1">
        <v>5</v>
      </c>
      <c r="EJ54" s="104">
        <f t="shared" ref="EJ54:EJ59" si="285">EH54/EI54</f>
        <v>0</v>
      </c>
      <c r="EK54" s="102"/>
      <c r="EL54" s="1">
        <v>5</v>
      </c>
      <c r="EM54" s="104">
        <f t="shared" ref="EM54:EM59" si="286">EK54/EL54</f>
        <v>0</v>
      </c>
      <c r="EN54" s="102"/>
      <c r="EO54" s="1">
        <v>5</v>
      </c>
      <c r="EP54" s="104">
        <f t="shared" ref="EP54:EP59" si="287">EN54/EO54</f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69" t="s">
        <v>124</v>
      </c>
      <c r="B55" s="101"/>
      <c r="C55" s="102"/>
      <c r="D55" s="103">
        <v>5</v>
      </c>
      <c r="E55" s="104">
        <f t="shared" si="240"/>
        <v>0</v>
      </c>
      <c r="F55" s="102"/>
      <c r="G55" s="103">
        <v>5</v>
      </c>
      <c r="H55" s="104">
        <f t="shared" si="241"/>
        <v>0</v>
      </c>
      <c r="I55" s="105"/>
      <c r="J55" s="103">
        <v>5</v>
      </c>
      <c r="K55" s="104">
        <f t="shared" si="242"/>
        <v>0</v>
      </c>
      <c r="L55" s="105"/>
      <c r="M55" s="103">
        <v>5</v>
      </c>
      <c r="N55" s="104">
        <f t="shared" si="243"/>
        <v>0</v>
      </c>
      <c r="O55" s="106"/>
      <c r="P55" s="107">
        <v>5</v>
      </c>
      <c r="Q55" s="104">
        <f t="shared" si="244"/>
        <v>0</v>
      </c>
      <c r="R55" s="102"/>
      <c r="S55" s="107">
        <v>5</v>
      </c>
      <c r="T55" s="104">
        <f t="shared" si="245"/>
        <v>0</v>
      </c>
      <c r="U55" s="102"/>
      <c r="V55" s="107">
        <v>5</v>
      </c>
      <c r="W55" s="104">
        <f t="shared" si="246"/>
        <v>0</v>
      </c>
      <c r="X55" s="102"/>
      <c r="Y55" s="107">
        <v>5</v>
      </c>
      <c r="Z55" s="104">
        <f t="shared" si="247"/>
        <v>0</v>
      </c>
      <c r="AA55" s="106"/>
      <c r="AB55" s="107">
        <v>5</v>
      </c>
      <c r="AC55" s="104">
        <f t="shared" si="248"/>
        <v>0</v>
      </c>
      <c r="AD55" s="106"/>
      <c r="AE55" s="107">
        <v>5</v>
      </c>
      <c r="AF55" s="104">
        <f t="shared" si="249"/>
        <v>0</v>
      </c>
      <c r="AG55" s="106"/>
      <c r="AH55" s="107">
        <v>5</v>
      </c>
      <c r="AI55" s="104">
        <f t="shared" si="250"/>
        <v>0</v>
      </c>
      <c r="AJ55" s="106"/>
      <c r="AK55" s="107">
        <v>5</v>
      </c>
      <c r="AL55" s="104">
        <f t="shared" si="251"/>
        <v>0</v>
      </c>
      <c r="AM55" s="102"/>
      <c r="AN55" s="1">
        <v>5</v>
      </c>
      <c r="AO55" s="104">
        <f t="shared" si="252"/>
        <v>0</v>
      </c>
      <c r="AP55" s="102"/>
      <c r="AQ55" s="1">
        <v>5</v>
      </c>
      <c r="AR55" s="104">
        <f t="shared" si="253"/>
        <v>0</v>
      </c>
      <c r="AS55" s="102"/>
      <c r="AT55" s="1">
        <v>5</v>
      </c>
      <c r="AU55" s="104">
        <f t="shared" si="254"/>
        <v>0</v>
      </c>
      <c r="AV55" s="102"/>
      <c r="AW55" s="1">
        <v>5</v>
      </c>
      <c r="AX55" s="104">
        <f t="shared" si="255"/>
        <v>0</v>
      </c>
      <c r="AY55" s="102"/>
      <c r="AZ55" s="1">
        <v>5</v>
      </c>
      <c r="BA55" s="104">
        <f t="shared" si="256"/>
        <v>0</v>
      </c>
      <c r="BB55" s="102"/>
      <c r="BC55" s="1">
        <v>5</v>
      </c>
      <c r="BD55" s="104">
        <f t="shared" si="257"/>
        <v>0</v>
      </c>
      <c r="BE55" s="102"/>
      <c r="BF55" s="1">
        <v>5</v>
      </c>
      <c r="BG55" s="104">
        <f t="shared" si="258"/>
        <v>0</v>
      </c>
      <c r="BH55" s="102"/>
      <c r="BI55" s="1">
        <v>5</v>
      </c>
      <c r="BJ55" s="104">
        <f t="shared" si="259"/>
        <v>0</v>
      </c>
      <c r="BK55" s="102"/>
      <c r="BL55" s="1">
        <v>5</v>
      </c>
      <c r="BM55" s="104">
        <f t="shared" si="260"/>
        <v>0</v>
      </c>
      <c r="BN55" s="102"/>
      <c r="BO55" s="1">
        <v>5</v>
      </c>
      <c r="BP55" s="104">
        <f t="shared" si="261"/>
        <v>0</v>
      </c>
      <c r="BQ55" s="102"/>
      <c r="BR55" s="1">
        <v>5</v>
      </c>
      <c r="BS55" s="104">
        <f t="shared" si="262"/>
        <v>0</v>
      </c>
      <c r="BT55" s="102"/>
      <c r="BU55" s="1">
        <v>5</v>
      </c>
      <c r="BV55" s="104">
        <f t="shared" si="263"/>
        <v>0</v>
      </c>
      <c r="BW55" s="102"/>
      <c r="BX55" s="1">
        <v>5</v>
      </c>
      <c r="BY55" s="104">
        <f t="shared" si="264"/>
        <v>0</v>
      </c>
      <c r="BZ55" s="102"/>
      <c r="CA55" s="1">
        <v>5</v>
      </c>
      <c r="CB55" s="104">
        <f t="shared" si="265"/>
        <v>0</v>
      </c>
      <c r="CC55" s="102"/>
      <c r="CD55" s="1">
        <v>5</v>
      </c>
      <c r="CE55" s="104">
        <f t="shared" si="266"/>
        <v>0</v>
      </c>
      <c r="CF55" s="102"/>
      <c r="CG55" s="1">
        <v>5</v>
      </c>
      <c r="CH55" s="104">
        <f t="shared" si="267"/>
        <v>0</v>
      </c>
      <c r="CI55" s="102"/>
      <c r="CJ55" s="1">
        <v>5</v>
      </c>
      <c r="CK55" s="104">
        <f t="shared" si="268"/>
        <v>0</v>
      </c>
      <c r="CL55" s="102"/>
      <c r="CM55" s="1">
        <v>5</v>
      </c>
      <c r="CN55" s="104">
        <f t="shared" si="269"/>
        <v>0</v>
      </c>
      <c r="CO55" s="102"/>
      <c r="CP55" s="1">
        <v>5</v>
      </c>
      <c r="CQ55" s="104">
        <f t="shared" si="270"/>
        <v>0</v>
      </c>
      <c r="CR55" s="102"/>
      <c r="CS55" s="1">
        <v>5</v>
      </c>
      <c r="CT55" s="104">
        <f t="shared" si="271"/>
        <v>0</v>
      </c>
      <c r="CU55" s="102"/>
      <c r="CV55" s="1">
        <v>5</v>
      </c>
      <c r="CW55" s="104">
        <f t="shared" si="272"/>
        <v>0</v>
      </c>
      <c r="CX55" s="102"/>
      <c r="CY55" s="1">
        <v>5</v>
      </c>
      <c r="CZ55" s="104">
        <f t="shared" si="273"/>
        <v>0</v>
      </c>
      <c r="DA55" s="102"/>
      <c r="DB55" s="1">
        <v>5</v>
      </c>
      <c r="DC55" s="104">
        <f t="shared" si="274"/>
        <v>0</v>
      </c>
      <c r="DD55" s="102"/>
      <c r="DE55" s="1">
        <v>5</v>
      </c>
      <c r="DF55" s="104">
        <f t="shared" si="275"/>
        <v>0</v>
      </c>
      <c r="DG55" s="102"/>
      <c r="DH55" s="1">
        <v>5</v>
      </c>
      <c r="DI55" s="104">
        <f t="shared" si="276"/>
        <v>0</v>
      </c>
      <c r="DJ55" s="102"/>
      <c r="DK55" s="1">
        <v>5</v>
      </c>
      <c r="DL55" s="104">
        <f t="shared" si="277"/>
        <v>0</v>
      </c>
      <c r="DM55" s="102"/>
      <c r="DN55" s="1">
        <v>5</v>
      </c>
      <c r="DO55" s="104">
        <f t="shared" si="278"/>
        <v>0</v>
      </c>
      <c r="DP55" s="102"/>
      <c r="DQ55" s="1">
        <v>5</v>
      </c>
      <c r="DR55" s="104">
        <f t="shared" si="279"/>
        <v>0</v>
      </c>
      <c r="DS55" s="102"/>
      <c r="DT55" s="1">
        <v>5</v>
      </c>
      <c r="DU55" s="104">
        <f t="shared" si="280"/>
        <v>0</v>
      </c>
      <c r="DV55" s="102"/>
      <c r="DW55" s="1">
        <v>5</v>
      </c>
      <c r="DX55" s="104">
        <f t="shared" si="281"/>
        <v>0</v>
      </c>
      <c r="DY55" s="102"/>
      <c r="DZ55" s="1">
        <v>5</v>
      </c>
      <c r="EA55" s="104">
        <f t="shared" si="282"/>
        <v>0</v>
      </c>
      <c r="EB55" s="102"/>
      <c r="EC55" s="1">
        <v>5</v>
      </c>
      <c r="ED55" s="104">
        <f t="shared" si="283"/>
        <v>0</v>
      </c>
      <c r="EE55" s="102"/>
      <c r="EF55" s="1">
        <v>5</v>
      </c>
      <c r="EG55" s="104">
        <f t="shared" si="284"/>
        <v>0</v>
      </c>
      <c r="EH55" s="102"/>
      <c r="EI55" s="1">
        <v>5</v>
      </c>
      <c r="EJ55" s="104">
        <f t="shared" si="285"/>
        <v>0</v>
      </c>
      <c r="EK55" s="102"/>
      <c r="EL55" s="1">
        <v>5</v>
      </c>
      <c r="EM55" s="104">
        <f t="shared" si="286"/>
        <v>0</v>
      </c>
      <c r="EN55" s="102"/>
      <c r="EO55" s="1">
        <v>5</v>
      </c>
      <c r="EP55" s="104">
        <f t="shared" si="287"/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69" t="s">
        <v>125</v>
      </c>
      <c r="B56" s="101"/>
      <c r="C56" s="102"/>
      <c r="D56" s="103">
        <v>5</v>
      </c>
      <c r="E56" s="104">
        <f t="shared" si="240"/>
        <v>0</v>
      </c>
      <c r="F56" s="102"/>
      <c r="G56" s="103">
        <v>5</v>
      </c>
      <c r="H56" s="104">
        <f t="shared" si="241"/>
        <v>0</v>
      </c>
      <c r="I56" s="105"/>
      <c r="J56" s="103">
        <v>5</v>
      </c>
      <c r="K56" s="104">
        <f t="shared" si="242"/>
        <v>0</v>
      </c>
      <c r="L56" s="105"/>
      <c r="M56" s="103">
        <v>5</v>
      </c>
      <c r="N56" s="104">
        <f t="shared" si="243"/>
        <v>0</v>
      </c>
      <c r="O56" s="106"/>
      <c r="P56" s="107">
        <v>5</v>
      </c>
      <c r="Q56" s="104">
        <f t="shared" si="244"/>
        <v>0</v>
      </c>
      <c r="R56" s="102"/>
      <c r="S56" s="107">
        <v>5</v>
      </c>
      <c r="T56" s="104">
        <f t="shared" si="245"/>
        <v>0</v>
      </c>
      <c r="U56" s="102"/>
      <c r="V56" s="107">
        <v>5</v>
      </c>
      <c r="W56" s="104">
        <f t="shared" si="246"/>
        <v>0</v>
      </c>
      <c r="X56" s="102"/>
      <c r="Y56" s="107">
        <v>5</v>
      </c>
      <c r="Z56" s="104">
        <f t="shared" si="247"/>
        <v>0</v>
      </c>
      <c r="AA56" s="106"/>
      <c r="AB56" s="107">
        <v>5</v>
      </c>
      <c r="AC56" s="104">
        <f t="shared" si="248"/>
        <v>0</v>
      </c>
      <c r="AD56" s="106"/>
      <c r="AE56" s="107">
        <v>5</v>
      </c>
      <c r="AF56" s="104">
        <f t="shared" si="249"/>
        <v>0</v>
      </c>
      <c r="AG56" s="106"/>
      <c r="AH56" s="107">
        <v>5</v>
      </c>
      <c r="AI56" s="104">
        <f t="shared" si="250"/>
        <v>0</v>
      </c>
      <c r="AJ56" s="106"/>
      <c r="AK56" s="107">
        <v>5</v>
      </c>
      <c r="AL56" s="104">
        <f t="shared" si="251"/>
        <v>0</v>
      </c>
      <c r="AM56" s="102"/>
      <c r="AN56" s="1">
        <v>5</v>
      </c>
      <c r="AO56" s="104">
        <f t="shared" si="252"/>
        <v>0</v>
      </c>
      <c r="AP56" s="102"/>
      <c r="AQ56" s="1">
        <v>5</v>
      </c>
      <c r="AR56" s="104">
        <f t="shared" si="253"/>
        <v>0</v>
      </c>
      <c r="AS56" s="102"/>
      <c r="AT56" s="1">
        <v>5</v>
      </c>
      <c r="AU56" s="104">
        <f t="shared" si="254"/>
        <v>0</v>
      </c>
      <c r="AV56" s="102"/>
      <c r="AW56" s="1">
        <v>5</v>
      </c>
      <c r="AX56" s="104">
        <f t="shared" si="255"/>
        <v>0</v>
      </c>
      <c r="AY56" s="102"/>
      <c r="AZ56" s="1">
        <v>5</v>
      </c>
      <c r="BA56" s="104">
        <f t="shared" si="256"/>
        <v>0</v>
      </c>
      <c r="BB56" s="102"/>
      <c r="BC56" s="1">
        <v>5</v>
      </c>
      <c r="BD56" s="104">
        <f t="shared" si="257"/>
        <v>0</v>
      </c>
      <c r="BE56" s="102"/>
      <c r="BF56" s="1">
        <v>5</v>
      </c>
      <c r="BG56" s="104">
        <f t="shared" si="258"/>
        <v>0</v>
      </c>
      <c r="BH56" s="102"/>
      <c r="BI56" s="1">
        <v>5</v>
      </c>
      <c r="BJ56" s="104">
        <f t="shared" si="259"/>
        <v>0</v>
      </c>
      <c r="BK56" s="102"/>
      <c r="BL56" s="1">
        <v>5</v>
      </c>
      <c r="BM56" s="104">
        <f t="shared" si="260"/>
        <v>0</v>
      </c>
      <c r="BN56" s="102"/>
      <c r="BO56" s="1">
        <v>5</v>
      </c>
      <c r="BP56" s="104">
        <f t="shared" si="261"/>
        <v>0</v>
      </c>
      <c r="BQ56" s="102"/>
      <c r="BR56" s="1">
        <v>5</v>
      </c>
      <c r="BS56" s="104">
        <f t="shared" si="262"/>
        <v>0</v>
      </c>
      <c r="BT56" s="102"/>
      <c r="BU56" s="1">
        <v>5</v>
      </c>
      <c r="BV56" s="104">
        <f t="shared" si="263"/>
        <v>0</v>
      </c>
      <c r="BW56" s="102"/>
      <c r="BX56" s="1">
        <v>5</v>
      </c>
      <c r="BY56" s="104">
        <f t="shared" si="264"/>
        <v>0</v>
      </c>
      <c r="BZ56" s="102"/>
      <c r="CA56" s="1">
        <v>5</v>
      </c>
      <c r="CB56" s="104">
        <f t="shared" si="265"/>
        <v>0</v>
      </c>
      <c r="CC56" s="102"/>
      <c r="CD56" s="1">
        <v>5</v>
      </c>
      <c r="CE56" s="104">
        <f t="shared" si="266"/>
        <v>0</v>
      </c>
      <c r="CF56" s="102"/>
      <c r="CG56" s="1">
        <v>5</v>
      </c>
      <c r="CH56" s="104">
        <f t="shared" si="267"/>
        <v>0</v>
      </c>
      <c r="CI56" s="102"/>
      <c r="CJ56" s="1">
        <v>5</v>
      </c>
      <c r="CK56" s="104">
        <f t="shared" si="268"/>
        <v>0</v>
      </c>
      <c r="CL56" s="102"/>
      <c r="CM56" s="1">
        <v>5</v>
      </c>
      <c r="CN56" s="104">
        <f t="shared" si="269"/>
        <v>0</v>
      </c>
      <c r="CO56" s="102"/>
      <c r="CP56" s="1">
        <v>5</v>
      </c>
      <c r="CQ56" s="104">
        <f t="shared" si="270"/>
        <v>0</v>
      </c>
      <c r="CR56" s="102"/>
      <c r="CS56" s="1">
        <v>5</v>
      </c>
      <c r="CT56" s="104">
        <f t="shared" si="271"/>
        <v>0</v>
      </c>
      <c r="CU56" s="102"/>
      <c r="CV56" s="1">
        <v>5</v>
      </c>
      <c r="CW56" s="104">
        <f t="shared" si="272"/>
        <v>0</v>
      </c>
      <c r="CX56" s="102"/>
      <c r="CY56" s="1">
        <v>5</v>
      </c>
      <c r="CZ56" s="104">
        <f t="shared" si="273"/>
        <v>0</v>
      </c>
      <c r="DA56" s="102"/>
      <c r="DB56" s="1">
        <v>5</v>
      </c>
      <c r="DC56" s="104">
        <f t="shared" si="274"/>
        <v>0</v>
      </c>
      <c r="DD56" s="102"/>
      <c r="DE56" s="1">
        <v>5</v>
      </c>
      <c r="DF56" s="104">
        <f t="shared" si="275"/>
        <v>0</v>
      </c>
      <c r="DG56" s="102"/>
      <c r="DH56" s="1">
        <v>5</v>
      </c>
      <c r="DI56" s="104">
        <f t="shared" si="276"/>
        <v>0</v>
      </c>
      <c r="DJ56" s="102"/>
      <c r="DK56" s="1">
        <v>5</v>
      </c>
      <c r="DL56" s="104">
        <f t="shared" si="277"/>
        <v>0</v>
      </c>
      <c r="DM56" s="102"/>
      <c r="DN56" s="1">
        <v>5</v>
      </c>
      <c r="DO56" s="104">
        <f t="shared" si="278"/>
        <v>0</v>
      </c>
      <c r="DP56" s="102"/>
      <c r="DQ56" s="1">
        <v>5</v>
      </c>
      <c r="DR56" s="104">
        <f t="shared" si="279"/>
        <v>0</v>
      </c>
      <c r="DS56" s="102"/>
      <c r="DT56" s="1">
        <v>5</v>
      </c>
      <c r="DU56" s="104">
        <f t="shared" si="280"/>
        <v>0</v>
      </c>
      <c r="DV56" s="102"/>
      <c r="DW56" s="1">
        <v>5</v>
      </c>
      <c r="DX56" s="104">
        <f t="shared" si="281"/>
        <v>0</v>
      </c>
      <c r="DY56" s="102"/>
      <c r="DZ56" s="1">
        <v>5</v>
      </c>
      <c r="EA56" s="104">
        <f t="shared" si="282"/>
        <v>0</v>
      </c>
      <c r="EB56" s="102"/>
      <c r="EC56" s="1">
        <v>5</v>
      </c>
      <c r="ED56" s="104">
        <f t="shared" si="283"/>
        <v>0</v>
      </c>
      <c r="EE56" s="102"/>
      <c r="EF56" s="1">
        <v>5</v>
      </c>
      <c r="EG56" s="104">
        <f t="shared" si="284"/>
        <v>0</v>
      </c>
      <c r="EH56" s="102"/>
      <c r="EI56" s="1">
        <v>5</v>
      </c>
      <c r="EJ56" s="104">
        <f t="shared" si="285"/>
        <v>0</v>
      </c>
      <c r="EK56" s="102"/>
      <c r="EL56" s="1">
        <v>5</v>
      </c>
      <c r="EM56" s="104">
        <f t="shared" si="286"/>
        <v>0</v>
      </c>
      <c r="EN56" s="102"/>
      <c r="EO56" s="1">
        <v>5</v>
      </c>
      <c r="EP56" s="104">
        <f t="shared" si="287"/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25.5" customHeight="1" spans="1:148" x14ac:dyDescent="0.25">
      <c r="A57" s="169" t="s">
        <v>155</v>
      </c>
      <c r="B57" s="101"/>
      <c r="C57" s="102"/>
      <c r="D57" s="103">
        <v>5</v>
      </c>
      <c r="E57" s="104">
        <f t="shared" si="240"/>
        <v>0</v>
      </c>
      <c r="F57" s="102"/>
      <c r="G57" s="103">
        <v>5</v>
      </c>
      <c r="H57" s="104">
        <f t="shared" si="241"/>
        <v>0</v>
      </c>
      <c r="I57" s="105"/>
      <c r="J57" s="103">
        <v>5</v>
      </c>
      <c r="K57" s="104">
        <f t="shared" si="242"/>
        <v>0</v>
      </c>
      <c r="L57" s="105"/>
      <c r="M57" s="103">
        <v>5</v>
      </c>
      <c r="N57" s="104">
        <f t="shared" si="243"/>
        <v>0</v>
      </c>
      <c r="O57" s="106"/>
      <c r="P57" s="107">
        <v>5</v>
      </c>
      <c r="Q57" s="104">
        <f t="shared" si="244"/>
        <v>0</v>
      </c>
      <c r="R57" s="102"/>
      <c r="S57" s="107">
        <v>5</v>
      </c>
      <c r="T57" s="104">
        <f t="shared" si="245"/>
        <v>0</v>
      </c>
      <c r="U57" s="102"/>
      <c r="V57" s="107">
        <v>5</v>
      </c>
      <c r="W57" s="104">
        <f t="shared" si="246"/>
        <v>0</v>
      </c>
      <c r="X57" s="102"/>
      <c r="Y57" s="107">
        <v>5</v>
      </c>
      <c r="Z57" s="104">
        <f t="shared" si="247"/>
        <v>0</v>
      </c>
      <c r="AA57" s="106"/>
      <c r="AB57" s="107">
        <v>5</v>
      </c>
      <c r="AC57" s="104">
        <f t="shared" si="248"/>
        <v>0</v>
      </c>
      <c r="AD57" s="106"/>
      <c r="AE57" s="107">
        <v>5</v>
      </c>
      <c r="AF57" s="104">
        <f t="shared" si="249"/>
        <v>0</v>
      </c>
      <c r="AG57" s="106"/>
      <c r="AH57" s="107">
        <v>5</v>
      </c>
      <c r="AI57" s="104">
        <f t="shared" si="250"/>
        <v>0</v>
      </c>
      <c r="AJ57" s="106"/>
      <c r="AK57" s="107">
        <v>5</v>
      </c>
      <c r="AL57" s="104">
        <f t="shared" si="251"/>
        <v>0</v>
      </c>
      <c r="AM57" s="102"/>
      <c r="AN57" s="1">
        <v>5</v>
      </c>
      <c r="AO57" s="104">
        <f t="shared" si="252"/>
        <v>0</v>
      </c>
      <c r="AP57" s="102"/>
      <c r="AQ57" s="1">
        <v>5</v>
      </c>
      <c r="AR57" s="104">
        <f t="shared" si="253"/>
        <v>0</v>
      </c>
      <c r="AS57" s="102"/>
      <c r="AT57" s="1">
        <v>5</v>
      </c>
      <c r="AU57" s="104">
        <f t="shared" si="254"/>
        <v>0</v>
      </c>
      <c r="AV57" s="102"/>
      <c r="AW57" s="1">
        <v>5</v>
      </c>
      <c r="AX57" s="104">
        <f t="shared" si="255"/>
        <v>0</v>
      </c>
      <c r="AY57" s="102"/>
      <c r="AZ57" s="1">
        <v>5</v>
      </c>
      <c r="BA57" s="104">
        <f t="shared" si="256"/>
        <v>0</v>
      </c>
      <c r="BB57" s="102"/>
      <c r="BC57" s="1">
        <v>5</v>
      </c>
      <c r="BD57" s="104">
        <f t="shared" si="257"/>
        <v>0</v>
      </c>
      <c r="BE57" s="102"/>
      <c r="BF57" s="1">
        <v>5</v>
      </c>
      <c r="BG57" s="104">
        <f t="shared" si="258"/>
        <v>0</v>
      </c>
      <c r="BH57" s="102"/>
      <c r="BI57" s="1">
        <v>5</v>
      </c>
      <c r="BJ57" s="104">
        <f t="shared" si="259"/>
        <v>0</v>
      </c>
      <c r="BK57" s="102"/>
      <c r="BL57" s="1">
        <v>5</v>
      </c>
      <c r="BM57" s="104">
        <f t="shared" si="260"/>
        <v>0</v>
      </c>
      <c r="BN57" s="102"/>
      <c r="BO57" s="1">
        <v>5</v>
      </c>
      <c r="BP57" s="104">
        <f t="shared" si="261"/>
        <v>0</v>
      </c>
      <c r="BQ57" s="102"/>
      <c r="BR57" s="1">
        <v>5</v>
      </c>
      <c r="BS57" s="104">
        <f t="shared" si="262"/>
        <v>0</v>
      </c>
      <c r="BT57" s="102"/>
      <c r="BU57" s="1">
        <v>5</v>
      </c>
      <c r="BV57" s="104">
        <f t="shared" si="263"/>
        <v>0</v>
      </c>
      <c r="BW57" s="102"/>
      <c r="BX57" s="1">
        <v>5</v>
      </c>
      <c r="BY57" s="104">
        <f t="shared" si="264"/>
        <v>0</v>
      </c>
      <c r="BZ57" s="102"/>
      <c r="CA57" s="1">
        <v>5</v>
      </c>
      <c r="CB57" s="104">
        <f t="shared" si="265"/>
        <v>0</v>
      </c>
      <c r="CC57" s="102"/>
      <c r="CD57" s="1">
        <v>5</v>
      </c>
      <c r="CE57" s="104">
        <f t="shared" si="266"/>
        <v>0</v>
      </c>
      <c r="CF57" s="102"/>
      <c r="CG57" s="1">
        <v>5</v>
      </c>
      <c r="CH57" s="104">
        <f t="shared" si="267"/>
        <v>0</v>
      </c>
      <c r="CI57" s="102"/>
      <c r="CJ57" s="1">
        <v>5</v>
      </c>
      <c r="CK57" s="104">
        <f t="shared" si="268"/>
        <v>0</v>
      </c>
      <c r="CL57" s="102"/>
      <c r="CM57" s="1">
        <v>5</v>
      </c>
      <c r="CN57" s="104">
        <f t="shared" si="269"/>
        <v>0</v>
      </c>
      <c r="CO57" s="102"/>
      <c r="CP57" s="1">
        <v>5</v>
      </c>
      <c r="CQ57" s="104">
        <f t="shared" si="270"/>
        <v>0</v>
      </c>
      <c r="CR57" s="102"/>
      <c r="CS57" s="1">
        <v>5</v>
      </c>
      <c r="CT57" s="104">
        <f t="shared" si="271"/>
        <v>0</v>
      </c>
      <c r="CU57" s="102"/>
      <c r="CV57" s="1">
        <v>5</v>
      </c>
      <c r="CW57" s="104">
        <f t="shared" si="272"/>
        <v>0</v>
      </c>
      <c r="CX57" s="102"/>
      <c r="CY57" s="1">
        <v>5</v>
      </c>
      <c r="CZ57" s="104">
        <f t="shared" si="273"/>
        <v>0</v>
      </c>
      <c r="DA57" s="102"/>
      <c r="DB57" s="1">
        <v>5</v>
      </c>
      <c r="DC57" s="104">
        <f t="shared" si="274"/>
        <v>0</v>
      </c>
      <c r="DD57" s="102"/>
      <c r="DE57" s="1">
        <v>5</v>
      </c>
      <c r="DF57" s="104">
        <f t="shared" si="275"/>
        <v>0</v>
      </c>
      <c r="DG57" s="102"/>
      <c r="DH57" s="1">
        <v>5</v>
      </c>
      <c r="DI57" s="104">
        <f t="shared" si="276"/>
        <v>0</v>
      </c>
      <c r="DJ57" s="102"/>
      <c r="DK57" s="1">
        <v>5</v>
      </c>
      <c r="DL57" s="104">
        <f t="shared" si="277"/>
        <v>0</v>
      </c>
      <c r="DM57" s="102"/>
      <c r="DN57" s="1">
        <v>5</v>
      </c>
      <c r="DO57" s="104">
        <f t="shared" si="278"/>
        <v>0</v>
      </c>
      <c r="DP57" s="102"/>
      <c r="DQ57" s="1">
        <v>5</v>
      </c>
      <c r="DR57" s="104">
        <f t="shared" si="279"/>
        <v>0</v>
      </c>
      <c r="DS57" s="102"/>
      <c r="DT57" s="1">
        <v>5</v>
      </c>
      <c r="DU57" s="104">
        <f t="shared" si="280"/>
        <v>0</v>
      </c>
      <c r="DV57" s="102"/>
      <c r="DW57" s="1">
        <v>5</v>
      </c>
      <c r="DX57" s="104">
        <f t="shared" si="281"/>
        <v>0</v>
      </c>
      <c r="DY57" s="102"/>
      <c r="DZ57" s="1">
        <v>5</v>
      </c>
      <c r="EA57" s="104">
        <f t="shared" si="282"/>
        <v>0</v>
      </c>
      <c r="EB57" s="102"/>
      <c r="EC57" s="1">
        <v>5</v>
      </c>
      <c r="ED57" s="104">
        <f t="shared" si="283"/>
        <v>0</v>
      </c>
      <c r="EE57" s="102"/>
      <c r="EF57" s="1">
        <v>5</v>
      </c>
      <c r="EG57" s="104">
        <f t="shared" si="284"/>
        <v>0</v>
      </c>
      <c r="EH57" s="102"/>
      <c r="EI57" s="1">
        <v>5</v>
      </c>
      <c r="EJ57" s="104">
        <f t="shared" si="285"/>
        <v>0</v>
      </c>
      <c r="EK57" s="102"/>
      <c r="EL57" s="1">
        <v>5</v>
      </c>
      <c r="EM57" s="104">
        <f t="shared" si="286"/>
        <v>0</v>
      </c>
      <c r="EN57" s="102"/>
      <c r="EO57" s="1">
        <v>5</v>
      </c>
      <c r="EP57" s="104">
        <f t="shared" si="287"/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162" t="str">
        <f t="array" ref="ER57">_xlfn.IFS(EQ57&gt;=91.5%,"MENSUAL",EQ57&gt;=75%,"QUINCENAL",EQ57&lt;75%,"SEMANAL")</f>
        <v>SEMANAL</v>
      </c>
    </row>
    <row r="58" ht="16" customHeight="1" spans="1:148" x14ac:dyDescent="0.25">
      <c r="A58" s="169" t="s">
        <v>126</v>
      </c>
      <c r="B58" s="101"/>
      <c r="C58" s="102"/>
      <c r="D58" s="103">
        <v>5</v>
      </c>
      <c r="E58" s="104">
        <f t="shared" si="240"/>
        <v>0</v>
      </c>
      <c r="F58" s="102"/>
      <c r="G58" s="103">
        <v>5</v>
      </c>
      <c r="H58" s="104">
        <f t="shared" si="241"/>
        <v>0</v>
      </c>
      <c r="I58" s="105"/>
      <c r="J58" s="103">
        <v>5</v>
      </c>
      <c r="K58" s="104">
        <f t="shared" si="242"/>
        <v>0</v>
      </c>
      <c r="L58" s="105"/>
      <c r="M58" s="103">
        <v>5</v>
      </c>
      <c r="N58" s="104">
        <f t="shared" si="243"/>
        <v>0</v>
      </c>
      <c r="O58" s="106"/>
      <c r="P58" s="107">
        <v>5</v>
      </c>
      <c r="Q58" s="104">
        <f t="shared" si="244"/>
        <v>0</v>
      </c>
      <c r="R58" s="102"/>
      <c r="S58" s="107">
        <v>5</v>
      </c>
      <c r="T58" s="104">
        <f t="shared" si="245"/>
        <v>0</v>
      </c>
      <c r="U58" s="102"/>
      <c r="V58" s="107">
        <v>5</v>
      </c>
      <c r="W58" s="104">
        <f t="shared" si="246"/>
        <v>0</v>
      </c>
      <c r="X58" s="102"/>
      <c r="Y58" s="107">
        <v>5</v>
      </c>
      <c r="Z58" s="104">
        <f t="shared" si="247"/>
        <v>0</v>
      </c>
      <c r="AA58" s="106"/>
      <c r="AB58" s="107">
        <v>5</v>
      </c>
      <c r="AC58" s="104">
        <f t="shared" si="248"/>
        <v>0</v>
      </c>
      <c r="AD58" s="106"/>
      <c r="AE58" s="107">
        <v>5</v>
      </c>
      <c r="AF58" s="104">
        <f t="shared" si="249"/>
        <v>0</v>
      </c>
      <c r="AG58" s="106"/>
      <c r="AH58" s="107">
        <v>5</v>
      </c>
      <c r="AI58" s="104">
        <f t="shared" si="250"/>
        <v>0</v>
      </c>
      <c r="AJ58" s="106"/>
      <c r="AK58" s="107">
        <v>5</v>
      </c>
      <c r="AL58" s="104">
        <f t="shared" si="251"/>
        <v>0</v>
      </c>
      <c r="AM58" s="102"/>
      <c r="AN58" s="1">
        <v>5</v>
      </c>
      <c r="AO58" s="104">
        <f t="shared" si="252"/>
        <v>0</v>
      </c>
      <c r="AP58" s="102"/>
      <c r="AQ58" s="1">
        <v>5</v>
      </c>
      <c r="AR58" s="104">
        <f t="shared" si="253"/>
        <v>0</v>
      </c>
      <c r="AS58" s="102"/>
      <c r="AT58" s="1">
        <v>5</v>
      </c>
      <c r="AU58" s="104">
        <f t="shared" si="254"/>
        <v>0</v>
      </c>
      <c r="AV58" s="102"/>
      <c r="AW58" s="1">
        <v>5</v>
      </c>
      <c r="AX58" s="104">
        <f t="shared" si="255"/>
        <v>0</v>
      </c>
      <c r="AY58" s="102"/>
      <c r="AZ58" s="1">
        <v>5</v>
      </c>
      <c r="BA58" s="104">
        <f t="shared" si="256"/>
        <v>0</v>
      </c>
      <c r="BB58" s="102"/>
      <c r="BC58" s="1">
        <v>5</v>
      </c>
      <c r="BD58" s="104">
        <f t="shared" si="257"/>
        <v>0</v>
      </c>
      <c r="BE58" s="102"/>
      <c r="BF58" s="1">
        <v>5</v>
      </c>
      <c r="BG58" s="104">
        <f t="shared" si="258"/>
        <v>0</v>
      </c>
      <c r="BH58" s="102"/>
      <c r="BI58" s="1">
        <v>5</v>
      </c>
      <c r="BJ58" s="104">
        <f t="shared" si="259"/>
        <v>0</v>
      </c>
      <c r="BK58" s="102"/>
      <c r="BL58" s="1">
        <v>5</v>
      </c>
      <c r="BM58" s="104">
        <f t="shared" si="260"/>
        <v>0</v>
      </c>
      <c r="BN58" s="102"/>
      <c r="BO58" s="1">
        <v>5</v>
      </c>
      <c r="BP58" s="104">
        <f t="shared" si="261"/>
        <v>0</v>
      </c>
      <c r="BQ58" s="102"/>
      <c r="BR58" s="1">
        <v>5</v>
      </c>
      <c r="BS58" s="104">
        <f t="shared" si="262"/>
        <v>0</v>
      </c>
      <c r="BT58" s="102"/>
      <c r="BU58" s="1">
        <v>5</v>
      </c>
      <c r="BV58" s="104">
        <f t="shared" si="263"/>
        <v>0</v>
      </c>
      <c r="BW58" s="102"/>
      <c r="BX58" s="1">
        <v>5</v>
      </c>
      <c r="BY58" s="104">
        <f t="shared" si="264"/>
        <v>0</v>
      </c>
      <c r="BZ58" s="102"/>
      <c r="CA58" s="1">
        <v>5</v>
      </c>
      <c r="CB58" s="104">
        <f t="shared" si="265"/>
        <v>0</v>
      </c>
      <c r="CC58" s="102"/>
      <c r="CD58" s="1">
        <v>5</v>
      </c>
      <c r="CE58" s="104">
        <f t="shared" si="266"/>
        <v>0</v>
      </c>
      <c r="CF58" s="102"/>
      <c r="CG58" s="1">
        <v>5</v>
      </c>
      <c r="CH58" s="104">
        <f t="shared" si="267"/>
        <v>0</v>
      </c>
      <c r="CI58" s="102"/>
      <c r="CJ58" s="1">
        <v>5</v>
      </c>
      <c r="CK58" s="104">
        <f t="shared" si="268"/>
        <v>0</v>
      </c>
      <c r="CL58" s="102"/>
      <c r="CM58" s="1">
        <v>5</v>
      </c>
      <c r="CN58" s="104">
        <f t="shared" si="269"/>
        <v>0</v>
      </c>
      <c r="CO58" s="102"/>
      <c r="CP58" s="1">
        <v>5</v>
      </c>
      <c r="CQ58" s="104">
        <f t="shared" si="270"/>
        <v>0</v>
      </c>
      <c r="CR58" s="102"/>
      <c r="CS58" s="1">
        <v>5</v>
      </c>
      <c r="CT58" s="104">
        <f t="shared" si="271"/>
        <v>0</v>
      </c>
      <c r="CU58" s="102"/>
      <c r="CV58" s="1">
        <v>5</v>
      </c>
      <c r="CW58" s="104">
        <f t="shared" si="272"/>
        <v>0</v>
      </c>
      <c r="CX58" s="102"/>
      <c r="CY58" s="1">
        <v>5</v>
      </c>
      <c r="CZ58" s="104">
        <f t="shared" si="273"/>
        <v>0</v>
      </c>
      <c r="DA58" s="102"/>
      <c r="DB58" s="1">
        <v>5</v>
      </c>
      <c r="DC58" s="104">
        <f t="shared" si="274"/>
        <v>0</v>
      </c>
      <c r="DD58" s="102"/>
      <c r="DE58" s="1">
        <v>5</v>
      </c>
      <c r="DF58" s="104">
        <f t="shared" si="275"/>
        <v>0</v>
      </c>
      <c r="DG58" s="102"/>
      <c r="DH58" s="1">
        <v>5</v>
      </c>
      <c r="DI58" s="104">
        <f t="shared" si="276"/>
        <v>0</v>
      </c>
      <c r="DJ58" s="102"/>
      <c r="DK58" s="1">
        <v>5</v>
      </c>
      <c r="DL58" s="104">
        <f t="shared" si="277"/>
        <v>0</v>
      </c>
      <c r="DM58" s="102"/>
      <c r="DN58" s="1">
        <v>5</v>
      </c>
      <c r="DO58" s="104">
        <f t="shared" si="278"/>
        <v>0</v>
      </c>
      <c r="DP58" s="102"/>
      <c r="DQ58" s="1">
        <v>5</v>
      </c>
      <c r="DR58" s="104">
        <f t="shared" si="279"/>
        <v>0</v>
      </c>
      <c r="DS58" s="102"/>
      <c r="DT58" s="1">
        <v>5</v>
      </c>
      <c r="DU58" s="104">
        <f t="shared" si="280"/>
        <v>0</v>
      </c>
      <c r="DV58" s="102"/>
      <c r="DW58" s="1">
        <v>5</v>
      </c>
      <c r="DX58" s="104">
        <f t="shared" si="281"/>
        <v>0</v>
      </c>
      <c r="DY58" s="102"/>
      <c r="DZ58" s="1">
        <v>5</v>
      </c>
      <c r="EA58" s="104">
        <f t="shared" si="282"/>
        <v>0</v>
      </c>
      <c r="EB58" s="102"/>
      <c r="EC58" s="1">
        <v>5</v>
      </c>
      <c r="ED58" s="104">
        <f t="shared" si="283"/>
        <v>0</v>
      </c>
      <c r="EE58" s="102"/>
      <c r="EF58" s="1">
        <v>5</v>
      </c>
      <c r="EG58" s="104">
        <f t="shared" si="284"/>
        <v>0</v>
      </c>
      <c r="EH58" s="102"/>
      <c r="EI58" s="1">
        <v>5</v>
      </c>
      <c r="EJ58" s="104">
        <f t="shared" si="285"/>
        <v>0</v>
      </c>
      <c r="EK58" s="102"/>
      <c r="EL58" s="1">
        <v>5</v>
      </c>
      <c r="EM58" s="104">
        <f t="shared" si="286"/>
        <v>0</v>
      </c>
      <c r="EN58" s="102"/>
      <c r="EO58" s="1">
        <v>5</v>
      </c>
      <c r="EP58" s="104">
        <f t="shared" si="287"/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20.25" customHeight="1" spans="1:148" x14ac:dyDescent="0.25">
      <c r="A59" s="169" t="s">
        <v>127</v>
      </c>
      <c r="B59" s="101"/>
      <c r="C59" s="102"/>
      <c r="D59" s="103">
        <v>5</v>
      </c>
      <c r="E59" s="104">
        <f t="shared" si="240"/>
        <v>0</v>
      </c>
      <c r="F59" s="102"/>
      <c r="G59" s="103">
        <v>5</v>
      </c>
      <c r="H59" s="104">
        <f t="shared" si="241"/>
        <v>0</v>
      </c>
      <c r="I59" s="105"/>
      <c r="J59" s="103">
        <v>5</v>
      </c>
      <c r="K59" s="104">
        <f t="shared" si="242"/>
        <v>0</v>
      </c>
      <c r="L59" s="105"/>
      <c r="M59" s="103">
        <v>5</v>
      </c>
      <c r="N59" s="104">
        <f t="shared" si="243"/>
        <v>0</v>
      </c>
      <c r="O59" s="106"/>
      <c r="P59" s="107">
        <v>5</v>
      </c>
      <c r="Q59" s="104">
        <f t="shared" si="244"/>
        <v>0</v>
      </c>
      <c r="R59" s="102"/>
      <c r="S59" s="107">
        <v>5</v>
      </c>
      <c r="T59" s="104">
        <f t="shared" si="245"/>
        <v>0</v>
      </c>
      <c r="U59" s="102"/>
      <c r="V59" s="107">
        <v>5</v>
      </c>
      <c r="W59" s="104">
        <f t="shared" si="246"/>
        <v>0</v>
      </c>
      <c r="X59" s="102"/>
      <c r="Y59" s="107">
        <v>5</v>
      </c>
      <c r="Z59" s="104">
        <f t="shared" si="247"/>
        <v>0</v>
      </c>
      <c r="AA59" s="106"/>
      <c r="AB59" s="107">
        <v>5</v>
      </c>
      <c r="AC59" s="104">
        <f t="shared" si="248"/>
        <v>0</v>
      </c>
      <c r="AD59" s="106"/>
      <c r="AE59" s="107">
        <v>5</v>
      </c>
      <c r="AF59" s="104">
        <f t="shared" si="249"/>
        <v>0</v>
      </c>
      <c r="AG59" s="106"/>
      <c r="AH59" s="107">
        <v>5</v>
      </c>
      <c r="AI59" s="104">
        <f t="shared" si="250"/>
        <v>0</v>
      </c>
      <c r="AJ59" s="106"/>
      <c r="AK59" s="107">
        <v>5</v>
      </c>
      <c r="AL59" s="104">
        <f t="shared" si="251"/>
        <v>0</v>
      </c>
      <c r="AM59" s="102"/>
      <c r="AN59" s="1">
        <v>5</v>
      </c>
      <c r="AO59" s="104">
        <f t="shared" si="252"/>
        <v>0</v>
      </c>
      <c r="AP59" s="102"/>
      <c r="AQ59" s="1">
        <v>5</v>
      </c>
      <c r="AR59" s="104">
        <f t="shared" si="253"/>
        <v>0</v>
      </c>
      <c r="AS59" s="102"/>
      <c r="AT59" s="1">
        <v>5</v>
      </c>
      <c r="AU59" s="104">
        <f t="shared" si="254"/>
        <v>0</v>
      </c>
      <c r="AV59" s="102"/>
      <c r="AW59" s="1">
        <v>5</v>
      </c>
      <c r="AX59" s="104">
        <f t="shared" si="255"/>
        <v>0</v>
      </c>
      <c r="AY59" s="102"/>
      <c r="AZ59" s="1">
        <v>5</v>
      </c>
      <c r="BA59" s="104">
        <f t="shared" si="256"/>
        <v>0</v>
      </c>
      <c r="BB59" s="102"/>
      <c r="BC59" s="1">
        <v>5</v>
      </c>
      <c r="BD59" s="104">
        <f t="shared" si="257"/>
        <v>0</v>
      </c>
      <c r="BE59" s="102"/>
      <c r="BF59" s="1">
        <v>5</v>
      </c>
      <c r="BG59" s="104">
        <f t="shared" si="258"/>
        <v>0</v>
      </c>
      <c r="BH59" s="102"/>
      <c r="BI59" s="1">
        <v>5</v>
      </c>
      <c r="BJ59" s="104">
        <f t="shared" si="259"/>
        <v>0</v>
      </c>
      <c r="BK59" s="102"/>
      <c r="BL59" s="1">
        <v>5</v>
      </c>
      <c r="BM59" s="104">
        <f t="shared" si="260"/>
        <v>0</v>
      </c>
      <c r="BN59" s="102"/>
      <c r="BO59" s="1">
        <v>5</v>
      </c>
      <c r="BP59" s="104">
        <f t="shared" si="261"/>
        <v>0</v>
      </c>
      <c r="BQ59" s="102"/>
      <c r="BR59" s="1">
        <v>5</v>
      </c>
      <c r="BS59" s="104">
        <f t="shared" si="262"/>
        <v>0</v>
      </c>
      <c r="BT59" s="102"/>
      <c r="BU59" s="1">
        <v>5</v>
      </c>
      <c r="BV59" s="104">
        <f t="shared" si="263"/>
        <v>0</v>
      </c>
      <c r="BW59" s="102"/>
      <c r="BX59" s="1">
        <v>5</v>
      </c>
      <c r="BY59" s="104">
        <f t="shared" si="264"/>
        <v>0</v>
      </c>
      <c r="BZ59" s="102"/>
      <c r="CA59" s="1">
        <v>5</v>
      </c>
      <c r="CB59" s="104">
        <f t="shared" si="265"/>
        <v>0</v>
      </c>
      <c r="CC59" s="102"/>
      <c r="CD59" s="1">
        <v>5</v>
      </c>
      <c r="CE59" s="104">
        <f t="shared" si="266"/>
        <v>0</v>
      </c>
      <c r="CF59" s="102"/>
      <c r="CG59" s="1">
        <v>5</v>
      </c>
      <c r="CH59" s="104">
        <f t="shared" si="267"/>
        <v>0</v>
      </c>
      <c r="CI59" s="102"/>
      <c r="CJ59" s="1">
        <v>5</v>
      </c>
      <c r="CK59" s="104">
        <f t="shared" si="268"/>
        <v>0</v>
      </c>
      <c r="CL59" s="102"/>
      <c r="CM59" s="1">
        <v>5</v>
      </c>
      <c r="CN59" s="104">
        <f t="shared" si="269"/>
        <v>0</v>
      </c>
      <c r="CO59" s="102"/>
      <c r="CP59" s="1">
        <v>5</v>
      </c>
      <c r="CQ59" s="104">
        <f t="shared" si="270"/>
        <v>0</v>
      </c>
      <c r="CR59" s="102"/>
      <c r="CS59" s="1">
        <v>5</v>
      </c>
      <c r="CT59" s="104">
        <f t="shared" si="271"/>
        <v>0</v>
      </c>
      <c r="CU59" s="102"/>
      <c r="CV59" s="1">
        <v>5</v>
      </c>
      <c r="CW59" s="104">
        <f t="shared" si="272"/>
        <v>0</v>
      </c>
      <c r="CX59" s="102"/>
      <c r="CY59" s="1">
        <v>5</v>
      </c>
      <c r="CZ59" s="104">
        <f t="shared" si="273"/>
        <v>0</v>
      </c>
      <c r="DA59" s="102"/>
      <c r="DB59" s="1">
        <v>5</v>
      </c>
      <c r="DC59" s="104">
        <f t="shared" si="274"/>
        <v>0</v>
      </c>
      <c r="DD59" s="102"/>
      <c r="DE59" s="1">
        <v>5</v>
      </c>
      <c r="DF59" s="104">
        <f t="shared" si="275"/>
        <v>0</v>
      </c>
      <c r="DG59" s="102"/>
      <c r="DH59" s="1">
        <v>5</v>
      </c>
      <c r="DI59" s="104">
        <f t="shared" si="276"/>
        <v>0</v>
      </c>
      <c r="DJ59" s="102"/>
      <c r="DK59" s="1">
        <v>5</v>
      </c>
      <c r="DL59" s="104">
        <f t="shared" si="277"/>
        <v>0</v>
      </c>
      <c r="DM59" s="102"/>
      <c r="DN59" s="1">
        <v>5</v>
      </c>
      <c r="DO59" s="104">
        <f t="shared" si="278"/>
        <v>0</v>
      </c>
      <c r="DP59" s="102"/>
      <c r="DQ59" s="1">
        <v>5</v>
      </c>
      <c r="DR59" s="104">
        <f t="shared" si="279"/>
        <v>0</v>
      </c>
      <c r="DS59" s="102"/>
      <c r="DT59" s="1">
        <v>5</v>
      </c>
      <c r="DU59" s="104">
        <f t="shared" si="280"/>
        <v>0</v>
      </c>
      <c r="DV59" s="102"/>
      <c r="DW59" s="1">
        <v>5</v>
      </c>
      <c r="DX59" s="104">
        <f t="shared" si="281"/>
        <v>0</v>
      </c>
      <c r="DY59" s="102"/>
      <c r="DZ59" s="1">
        <v>5</v>
      </c>
      <c r="EA59" s="104">
        <f t="shared" si="282"/>
        <v>0</v>
      </c>
      <c r="EB59" s="102"/>
      <c r="EC59" s="1">
        <v>5</v>
      </c>
      <c r="ED59" s="104">
        <f t="shared" si="283"/>
        <v>0</v>
      </c>
      <c r="EE59" s="102"/>
      <c r="EF59" s="1">
        <v>5</v>
      </c>
      <c r="EG59" s="104">
        <f t="shared" si="284"/>
        <v>0</v>
      </c>
      <c r="EH59" s="102"/>
      <c r="EI59" s="1">
        <v>5</v>
      </c>
      <c r="EJ59" s="104">
        <f t="shared" si="285"/>
        <v>0</v>
      </c>
      <c r="EK59" s="102"/>
      <c r="EL59" s="1">
        <v>5</v>
      </c>
      <c r="EM59" s="104">
        <f t="shared" si="286"/>
        <v>0</v>
      </c>
      <c r="EN59" s="102"/>
      <c r="EO59" s="1">
        <v>5</v>
      </c>
      <c r="EP59" s="104">
        <f t="shared" si="287"/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16" customHeight="1" spans="1:148" x14ac:dyDescent="0.25">
      <c r="A60" s="124" t="s">
        <v>128</v>
      </c>
      <c r="B60" s="125"/>
      <c r="C60" s="126"/>
      <c r="D60" s="127"/>
      <c r="E60" s="82">
        <f>AVERAGE(E61)</f>
        <v>0</v>
      </c>
      <c r="F60" s="126"/>
      <c r="G60" s="127"/>
      <c r="H60" s="82">
        <f>AVERAGE(H61)</f>
        <v>0</v>
      </c>
      <c r="I60" s="126"/>
      <c r="J60" s="127"/>
      <c r="K60" s="82">
        <f>AVERAGE(K61)</f>
        <v>0</v>
      </c>
      <c r="L60" s="126"/>
      <c r="M60" s="127"/>
      <c r="N60" s="82">
        <f>AVERAGE(N61)</f>
        <v>0</v>
      </c>
      <c r="O60" s="126"/>
      <c r="P60" s="127"/>
      <c r="Q60" s="82">
        <f>AVERAGE(Q61)</f>
        <v>0</v>
      </c>
      <c r="R60" s="126"/>
      <c r="S60" s="127"/>
      <c r="T60" s="82">
        <f>AVERAGE(T61)</f>
        <v>0</v>
      </c>
      <c r="U60" s="126"/>
      <c r="V60" s="127"/>
      <c r="W60" s="82">
        <f>AVERAGE(W61)</f>
        <v>0</v>
      </c>
      <c r="X60" s="126"/>
      <c r="Y60" s="127"/>
      <c r="Z60" s="82">
        <f>AVERAGE(Z61)</f>
        <v>0</v>
      </c>
      <c r="AA60" s="126"/>
      <c r="AB60" s="127"/>
      <c r="AC60" s="82">
        <f>AVERAGE(AC61)</f>
        <v>0</v>
      </c>
      <c r="AD60" s="126"/>
      <c r="AE60" s="127"/>
      <c r="AF60" s="82">
        <f>AVERAGE(AF61)</f>
        <v>0</v>
      </c>
      <c r="AG60" s="126"/>
      <c r="AH60" s="127"/>
      <c r="AI60" s="82">
        <f>AVERAGE(AI61)</f>
        <v>0</v>
      </c>
      <c r="AJ60" s="126"/>
      <c r="AK60" s="127"/>
      <c r="AL60" s="82">
        <f>AVERAGE(AL61)</f>
        <v>0</v>
      </c>
      <c r="AM60" s="126"/>
      <c r="AN60" s="136"/>
      <c r="AO60" s="82">
        <f>AVERAGE(AO61)</f>
        <v>0</v>
      </c>
      <c r="AP60" s="128"/>
      <c r="AQ60" s="129"/>
      <c r="AR60" s="82">
        <f>AVERAGE(AR61)</f>
        <v>0</v>
      </c>
      <c r="AS60" s="130"/>
      <c r="AT60" s="129"/>
      <c r="AU60" s="82">
        <f>AVERAGE(AU61)</f>
        <v>0</v>
      </c>
      <c r="AV60" s="126"/>
      <c r="AW60" s="136"/>
      <c r="AX60" s="82">
        <f>AVERAGE(AX61)</f>
        <v>0</v>
      </c>
      <c r="AY60" s="137"/>
      <c r="AZ60" s="138"/>
      <c r="BA60" s="82">
        <f>AVERAGE(BA61)</f>
        <v>0</v>
      </c>
      <c r="BB60" s="128"/>
      <c r="BC60" s="132"/>
      <c r="BD60" s="82">
        <f>AVERAGE(BD61)</f>
        <v>0</v>
      </c>
      <c r="BE60" s="128"/>
      <c r="BF60" s="132"/>
      <c r="BG60" s="82">
        <f>AVERAGE(BG61)</f>
        <v>0</v>
      </c>
      <c r="BH60" s="128"/>
      <c r="BI60" s="132"/>
      <c r="BJ60" s="82">
        <f>AVERAGE(BJ61)</f>
        <v>0</v>
      </c>
      <c r="BK60" s="128"/>
      <c r="BL60" s="132"/>
      <c r="BM60" s="82">
        <f>AVERAGE(BM61)</f>
        <v>0</v>
      </c>
      <c r="BN60" s="128"/>
      <c r="BO60" s="132"/>
      <c r="BP60" s="82">
        <f>AVERAGE(BP61)</f>
        <v>0</v>
      </c>
      <c r="BQ60" s="128"/>
      <c r="BR60" s="132"/>
      <c r="BS60" s="82">
        <f>AVERAGE(BS61)</f>
        <v>0</v>
      </c>
      <c r="BT60" s="128"/>
      <c r="BU60" s="132"/>
      <c r="BV60" s="82">
        <f>AVERAGE(BV61)</f>
        <v>0</v>
      </c>
      <c r="BW60" s="128"/>
      <c r="BX60" s="132"/>
      <c r="BY60" s="82">
        <f>AVERAGE(BY61)</f>
        <v>0</v>
      </c>
      <c r="BZ60" s="126"/>
      <c r="CA60" s="127"/>
      <c r="CB60" s="82">
        <f>AVERAGE(CB61)</f>
        <v>0</v>
      </c>
      <c r="CC60" s="126"/>
      <c r="CD60" s="127"/>
      <c r="CE60" s="82">
        <f>AVERAGE(CE61)</f>
        <v>0</v>
      </c>
      <c r="CF60" s="126"/>
      <c r="CG60" s="127"/>
      <c r="CH60" s="82">
        <f>AVERAGE(CH61)</f>
        <v>0</v>
      </c>
      <c r="CI60" s="126"/>
      <c r="CJ60" s="127"/>
      <c r="CK60" s="82">
        <f>AVERAGE(CK61)</f>
        <v>0</v>
      </c>
      <c r="CL60" s="126"/>
      <c r="CM60" s="127"/>
      <c r="CN60" s="82">
        <f>AVERAGE(CN61)</f>
        <v>0</v>
      </c>
      <c r="CO60" s="126"/>
      <c r="CP60" s="127"/>
      <c r="CQ60" s="82">
        <f>AVERAGE(CQ61)</f>
        <v>0</v>
      </c>
      <c r="CR60" s="126"/>
      <c r="CS60" s="127"/>
      <c r="CT60" s="82">
        <f>AVERAGE(CT61)</f>
        <v>0</v>
      </c>
      <c r="CU60" s="126"/>
      <c r="CV60" s="127"/>
      <c r="CW60" s="82">
        <f>AVERAGE(CW61)</f>
        <v>0</v>
      </c>
      <c r="CX60" s="126"/>
      <c r="CY60" s="127"/>
      <c r="CZ60" s="82">
        <f>AVERAGE(CZ61)</f>
        <v>0</v>
      </c>
      <c r="DA60" s="126"/>
      <c r="DB60" s="127"/>
      <c r="DC60" s="82">
        <f>AVERAGE(DC61)</f>
        <v>0</v>
      </c>
      <c r="DD60" s="126"/>
      <c r="DE60" s="127"/>
      <c r="DF60" s="82">
        <f>AVERAGE(DF61)</f>
        <v>0</v>
      </c>
      <c r="DG60" s="126"/>
      <c r="DH60" s="127"/>
      <c r="DI60" s="82">
        <f>AVERAGE(DI61)</f>
        <v>0</v>
      </c>
      <c r="DJ60" s="126"/>
      <c r="DK60" s="127"/>
      <c r="DL60" s="82">
        <f>AVERAGE(DL61)</f>
        <v>0</v>
      </c>
      <c r="DM60" s="126"/>
      <c r="DN60" s="127"/>
      <c r="DO60" s="82">
        <f>AVERAGE(DO61)</f>
        <v>0</v>
      </c>
      <c r="DP60" s="126"/>
      <c r="DQ60" s="127"/>
      <c r="DR60" s="82">
        <f>AVERAGE(DR61)</f>
        <v>0</v>
      </c>
      <c r="DS60" s="126"/>
      <c r="DT60" s="127"/>
      <c r="DU60" s="82">
        <f>AVERAGE(DU61)</f>
        <v>0</v>
      </c>
      <c r="DV60" s="126"/>
      <c r="DW60" s="127"/>
      <c r="DX60" s="82">
        <f>AVERAGE(DX61)</f>
        <v>0</v>
      </c>
      <c r="DY60" s="126"/>
      <c r="DZ60" s="127"/>
      <c r="EA60" s="82">
        <f>AVERAGE(EA61)</f>
        <v>0</v>
      </c>
      <c r="EB60" s="126"/>
      <c r="EC60" s="127"/>
      <c r="ED60" s="82">
        <f>AVERAGE(ED61)</f>
        <v>0</v>
      </c>
      <c r="EE60" s="126"/>
      <c r="EF60" s="127"/>
      <c r="EG60" s="82">
        <f>AVERAGE(EG61)</f>
        <v>0</v>
      </c>
      <c r="EH60" s="126"/>
      <c r="EI60" s="127"/>
      <c r="EJ60" s="82">
        <f>AVERAGE(EJ61)</f>
        <v>0</v>
      </c>
      <c r="EK60" s="126"/>
      <c r="EL60" s="127"/>
      <c r="EM60" s="82">
        <f>AVERAGE(EM61)</f>
        <v>0</v>
      </c>
      <c r="EN60" s="126"/>
      <c r="EO60" s="127"/>
      <c r="EP60" s="82">
        <f>AVERAGE(EP61)</f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27" customHeight="1" spans="1:148" x14ac:dyDescent="0.25">
      <c r="A61" s="144" t="s">
        <v>157</v>
      </c>
      <c r="B61" s="101"/>
      <c r="C61" s="102"/>
      <c r="D61" s="103">
        <v>5</v>
      </c>
      <c r="E61" s="104">
        <f t="shared" ref="E61" si="288">C61/D61</f>
        <v>0</v>
      </c>
      <c r="F61" s="102"/>
      <c r="G61" s="103">
        <v>5</v>
      </c>
      <c r="H61" s="104">
        <f t="shared" ref="H61" si="289">F61/G61</f>
        <v>0</v>
      </c>
      <c r="I61" s="105"/>
      <c r="J61" s="103">
        <v>5</v>
      </c>
      <c r="K61" s="104">
        <f t="shared" ref="K61" si="290">I61/J61</f>
        <v>0</v>
      </c>
      <c r="L61" s="105"/>
      <c r="M61" s="103">
        <v>5</v>
      </c>
      <c r="N61" s="104">
        <f t="shared" ref="N61" si="291">L61/M61</f>
        <v>0</v>
      </c>
      <c r="O61" s="106"/>
      <c r="P61" s="107">
        <v>5</v>
      </c>
      <c r="Q61" s="104">
        <f t="shared" ref="Q61" si="292">O61/P61</f>
        <v>0</v>
      </c>
      <c r="R61" s="102"/>
      <c r="S61" s="107">
        <v>5</v>
      </c>
      <c r="T61" s="104">
        <f t="shared" ref="T61" si="293">R61/S61</f>
        <v>0</v>
      </c>
      <c r="U61" s="102"/>
      <c r="V61" s="107">
        <v>5</v>
      </c>
      <c r="W61" s="104">
        <f t="shared" ref="W61" si="294">U61/V61</f>
        <v>0</v>
      </c>
      <c r="X61" s="102"/>
      <c r="Y61" s="107">
        <v>5</v>
      </c>
      <c r="Z61" s="104">
        <f t="shared" ref="Z61" si="295">X61/Y61</f>
        <v>0</v>
      </c>
      <c r="AA61" s="106"/>
      <c r="AB61" s="107">
        <v>5</v>
      </c>
      <c r="AC61" s="104">
        <f t="shared" ref="AC61" si="296">AA61/AB61</f>
        <v>0</v>
      </c>
      <c r="AD61" s="106"/>
      <c r="AE61" s="107">
        <v>5</v>
      </c>
      <c r="AF61" s="104">
        <f t="shared" ref="AF61" si="297">AD61/AE61</f>
        <v>0</v>
      </c>
      <c r="AG61" s="106"/>
      <c r="AH61" s="107">
        <v>5</v>
      </c>
      <c r="AI61" s="104">
        <f t="shared" ref="AI61" si="298">AG61/AH61</f>
        <v>0</v>
      </c>
      <c r="AJ61" s="106"/>
      <c r="AK61" s="107">
        <v>5</v>
      </c>
      <c r="AL61" s="104">
        <f t="shared" ref="AL61" si="299">AJ61/AK61</f>
        <v>0</v>
      </c>
      <c r="AM61" s="102"/>
      <c r="AN61" s="1">
        <v>5</v>
      </c>
      <c r="AO61" s="104">
        <f t="shared" ref="AO61" si="300">AM61/AN61</f>
        <v>0</v>
      </c>
      <c r="AP61" s="102"/>
      <c r="AQ61" s="1">
        <v>5</v>
      </c>
      <c r="AR61" s="104">
        <f t="shared" ref="AR61" si="301">AP61/AQ61</f>
        <v>0</v>
      </c>
      <c r="AS61" s="102"/>
      <c r="AT61" s="1">
        <v>5</v>
      </c>
      <c r="AU61" s="104">
        <f t="shared" ref="AU61" si="302">AS61/AT61</f>
        <v>0</v>
      </c>
      <c r="AV61" s="102"/>
      <c r="AW61" s="1">
        <v>5</v>
      </c>
      <c r="AX61" s="104">
        <f t="shared" ref="AX61" si="303">AV61/AW61</f>
        <v>0</v>
      </c>
      <c r="AY61" s="102"/>
      <c r="AZ61" s="1">
        <v>5</v>
      </c>
      <c r="BA61" s="104">
        <f t="shared" ref="BA61" si="304">AY61/AZ61</f>
        <v>0</v>
      </c>
      <c r="BB61" s="102"/>
      <c r="BC61" s="1">
        <v>5</v>
      </c>
      <c r="BD61" s="104">
        <f t="shared" ref="BD61" si="305">BB61/BC61</f>
        <v>0</v>
      </c>
      <c r="BE61" s="102"/>
      <c r="BF61" s="1">
        <v>5</v>
      </c>
      <c r="BG61" s="104">
        <f t="shared" ref="BG61" si="306">BE61/BF61</f>
        <v>0</v>
      </c>
      <c r="BH61" s="102"/>
      <c r="BI61" s="1">
        <v>5</v>
      </c>
      <c r="BJ61" s="104">
        <f t="shared" ref="BJ61" si="307">BH61/BI61</f>
        <v>0</v>
      </c>
      <c r="BK61" s="102"/>
      <c r="BL61" s="1">
        <v>5</v>
      </c>
      <c r="BM61" s="104">
        <f t="shared" ref="BM61" si="308">BK61/BL61</f>
        <v>0</v>
      </c>
      <c r="BN61" s="102"/>
      <c r="BO61" s="1">
        <v>5</v>
      </c>
      <c r="BP61" s="104">
        <f t="shared" ref="BP61" si="309">BN61/BO61</f>
        <v>0</v>
      </c>
      <c r="BQ61" s="102"/>
      <c r="BR61" s="1">
        <v>5</v>
      </c>
      <c r="BS61" s="104">
        <f t="shared" ref="BS61" si="310">BQ61/BR61</f>
        <v>0</v>
      </c>
      <c r="BT61" s="102"/>
      <c r="BU61" s="1">
        <v>5</v>
      </c>
      <c r="BV61" s="104">
        <f t="shared" ref="BV61" si="311">BT61/BU61</f>
        <v>0</v>
      </c>
      <c r="BW61" s="102"/>
      <c r="BX61" s="1">
        <v>5</v>
      </c>
      <c r="BY61" s="104">
        <f t="shared" ref="BY61" si="312">BW61/BX61</f>
        <v>0</v>
      </c>
      <c r="BZ61" s="102"/>
      <c r="CA61" s="1">
        <v>5</v>
      </c>
      <c r="CB61" s="104">
        <f t="shared" ref="CB61" si="313">BZ61/CA61</f>
        <v>0</v>
      </c>
      <c r="CC61" s="102"/>
      <c r="CD61" s="1">
        <v>5</v>
      </c>
      <c r="CE61" s="104">
        <f t="shared" ref="CE61" si="314">CC61/CD61</f>
        <v>0</v>
      </c>
      <c r="CF61" s="102"/>
      <c r="CG61" s="1">
        <v>5</v>
      </c>
      <c r="CH61" s="104">
        <f t="shared" ref="CH61" si="315">CF61/CG61</f>
        <v>0</v>
      </c>
      <c r="CI61" s="102"/>
      <c r="CJ61" s="1">
        <v>5</v>
      </c>
      <c r="CK61" s="104">
        <f t="shared" ref="CK61" si="316">CI61/CJ61</f>
        <v>0</v>
      </c>
      <c r="CL61" s="102"/>
      <c r="CM61" s="1">
        <v>5</v>
      </c>
      <c r="CN61" s="104">
        <f t="shared" ref="CN61" si="317">CL61/CM61</f>
        <v>0</v>
      </c>
      <c r="CO61" s="102"/>
      <c r="CP61" s="1">
        <v>5</v>
      </c>
      <c r="CQ61" s="104">
        <f t="shared" ref="CQ61" si="318">CO61/CP61</f>
        <v>0</v>
      </c>
      <c r="CR61" s="102"/>
      <c r="CS61" s="1">
        <v>5</v>
      </c>
      <c r="CT61" s="104">
        <f t="shared" ref="CT61" si="319">CR61/CS61</f>
        <v>0</v>
      </c>
      <c r="CU61" s="102"/>
      <c r="CV61" s="1">
        <v>5</v>
      </c>
      <c r="CW61" s="104">
        <f t="shared" ref="CW61" si="320">CU61/CV61</f>
        <v>0</v>
      </c>
      <c r="CX61" s="102"/>
      <c r="CY61" s="1">
        <v>5</v>
      </c>
      <c r="CZ61" s="104">
        <f t="shared" ref="CZ61" si="321">CX61/CY61</f>
        <v>0</v>
      </c>
      <c r="DA61" s="102"/>
      <c r="DB61" s="1">
        <v>5</v>
      </c>
      <c r="DC61" s="104">
        <f t="shared" ref="DC61" si="322">DA61/DB61</f>
        <v>0</v>
      </c>
      <c r="DD61" s="102"/>
      <c r="DE61" s="1">
        <v>5</v>
      </c>
      <c r="DF61" s="104">
        <f t="shared" ref="DF61" si="323">DD61/DE61</f>
        <v>0</v>
      </c>
      <c r="DG61" s="102"/>
      <c r="DH61" s="1">
        <v>5</v>
      </c>
      <c r="DI61" s="104">
        <f t="shared" ref="DI61" si="324">DG61/DH61</f>
        <v>0</v>
      </c>
      <c r="DJ61" s="102"/>
      <c r="DK61" s="1">
        <v>5</v>
      </c>
      <c r="DL61" s="104">
        <f t="shared" ref="DL61" si="325">DJ61/DK61</f>
        <v>0</v>
      </c>
      <c r="DM61" s="102"/>
      <c r="DN61" s="1">
        <v>5</v>
      </c>
      <c r="DO61" s="104">
        <f t="shared" ref="DO61" si="326">DM61/DN61</f>
        <v>0</v>
      </c>
      <c r="DP61" s="102"/>
      <c r="DQ61" s="1">
        <v>5</v>
      </c>
      <c r="DR61" s="104">
        <f t="shared" ref="DR61" si="327">DP61/DQ61</f>
        <v>0</v>
      </c>
      <c r="DS61" s="102"/>
      <c r="DT61" s="1">
        <v>5</v>
      </c>
      <c r="DU61" s="104">
        <f t="shared" ref="DU61" si="328">DS61/DT61</f>
        <v>0</v>
      </c>
      <c r="DV61" s="102"/>
      <c r="DW61" s="1">
        <v>5</v>
      </c>
      <c r="DX61" s="104">
        <f t="shared" ref="DX61" si="329">DV61/DW61</f>
        <v>0</v>
      </c>
      <c r="DY61" s="102"/>
      <c r="DZ61" s="1">
        <v>5</v>
      </c>
      <c r="EA61" s="104">
        <f t="shared" ref="EA61" si="330">DY61/DZ61</f>
        <v>0</v>
      </c>
      <c r="EB61" s="102"/>
      <c r="EC61" s="1">
        <v>5</v>
      </c>
      <c r="ED61" s="104">
        <f t="shared" ref="ED61" si="331">EB61/EC61</f>
        <v>0</v>
      </c>
      <c r="EE61" s="102"/>
      <c r="EF61" s="1">
        <v>5</v>
      </c>
      <c r="EG61" s="104">
        <f t="shared" ref="EG61" si="332">EE61/EF61</f>
        <v>0</v>
      </c>
      <c r="EH61" s="102"/>
      <c r="EI61" s="1">
        <v>5</v>
      </c>
      <c r="EJ61" s="104">
        <f t="shared" ref="EJ61" si="333">EH61/EI61</f>
        <v>0</v>
      </c>
      <c r="EK61" s="102"/>
      <c r="EL61" s="1">
        <v>5</v>
      </c>
      <c r="EM61" s="104">
        <f t="shared" ref="EM61" si="334">EK61/EL61</f>
        <v>0</v>
      </c>
      <c r="EN61" s="102"/>
      <c r="EO61" s="1">
        <v>5</v>
      </c>
      <c r="EP61" s="104">
        <f t="shared" ref="EP61" si="335">EN61/EO61</f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ht="16" customHeight="1" spans="1:148" x14ac:dyDescent="0.25">
      <c r="A62" s="179" t="s">
        <v>158</v>
      </c>
      <c r="B62" s="180"/>
      <c r="C62" s="126"/>
      <c r="D62" s="127"/>
      <c r="E62" s="82">
        <f>AVERAGE(E63:E64)</f>
        <v>0</v>
      </c>
      <c r="F62" s="126"/>
      <c r="G62" s="127"/>
      <c r="H62" s="82">
        <f>AVERAGE(H63:H64)</f>
        <v>0</v>
      </c>
      <c r="I62" s="126"/>
      <c r="J62" s="127"/>
      <c r="K62" s="82">
        <f>AVERAGE(K63:K64)</f>
        <v>0</v>
      </c>
      <c r="L62" s="126"/>
      <c r="M62" s="127"/>
      <c r="N62" s="82">
        <f>AVERAGE(N63:N64)</f>
        <v>0</v>
      </c>
      <c r="O62" s="126"/>
      <c r="P62" s="127"/>
      <c r="Q62" s="82">
        <f>AVERAGE(Q63:Q64)</f>
        <v>0</v>
      </c>
      <c r="R62" s="126"/>
      <c r="S62" s="127"/>
      <c r="T62" s="82">
        <f>AVERAGE(T63:T64)</f>
        <v>0</v>
      </c>
      <c r="U62" s="126"/>
      <c r="V62" s="127"/>
      <c r="W62" s="82">
        <f>AVERAGE(W63:W64)</f>
        <v>0</v>
      </c>
      <c r="X62" s="126"/>
      <c r="Y62" s="127"/>
      <c r="Z62" s="82">
        <f>AVERAGE(Z63:Z64)</f>
        <v>0</v>
      </c>
      <c r="AA62" s="126"/>
      <c r="AB62" s="127"/>
      <c r="AC62" s="82">
        <f>AVERAGE(AC63:AC64)</f>
        <v>0</v>
      </c>
      <c r="AD62" s="126"/>
      <c r="AE62" s="127"/>
      <c r="AF62" s="82">
        <f>AVERAGE(AF63:AF64)</f>
        <v>0</v>
      </c>
      <c r="AG62" s="126"/>
      <c r="AH62" s="127"/>
      <c r="AI62" s="82">
        <f>AVERAGE(AI63:AI64)</f>
        <v>0</v>
      </c>
      <c r="AJ62" s="126"/>
      <c r="AK62" s="127"/>
      <c r="AL62" s="82">
        <f>AVERAGE(AL63:AL64)</f>
        <v>0</v>
      </c>
      <c r="AM62" s="126"/>
      <c r="AN62" s="136"/>
      <c r="AO62" s="82">
        <f>AVERAGE(AO63:AO64)</f>
        <v>0</v>
      </c>
      <c r="AP62" s="128"/>
      <c r="AQ62" s="129"/>
      <c r="AR62" s="82">
        <f>AVERAGE(AR63:AR64)</f>
        <v>0</v>
      </c>
      <c r="AS62" s="130"/>
      <c r="AT62" s="129"/>
      <c r="AU62" s="82">
        <f>AVERAGE(AU63:AU64)</f>
        <v>0</v>
      </c>
      <c r="AV62" s="126"/>
      <c r="AW62" s="136"/>
      <c r="AX62" s="82">
        <f>AVERAGE(AX63:AX64)</f>
        <v>0</v>
      </c>
      <c r="AY62" s="137"/>
      <c r="AZ62" s="138"/>
      <c r="BA62" s="82">
        <f>AVERAGE(BA63:BA64)</f>
        <v>0</v>
      </c>
      <c r="BB62" s="128"/>
      <c r="BC62" s="132"/>
      <c r="BD62" s="82">
        <f>AVERAGE(BD63:BD64)</f>
        <v>0</v>
      </c>
      <c r="BE62" s="128"/>
      <c r="BF62" s="132"/>
      <c r="BG62" s="82">
        <f>AVERAGE(BG63:BG64)</f>
        <v>0</v>
      </c>
      <c r="BH62" s="128"/>
      <c r="BI62" s="132"/>
      <c r="BJ62" s="82">
        <f>AVERAGE(BJ63:BJ64)</f>
        <v>0</v>
      </c>
      <c r="BK62" s="128"/>
      <c r="BL62" s="132"/>
      <c r="BM62" s="82">
        <f>AVERAGE(BM63:BM64)</f>
        <v>0</v>
      </c>
      <c r="BN62" s="128"/>
      <c r="BO62" s="132"/>
      <c r="BP62" s="82">
        <f>AVERAGE(BP63:BP64)</f>
        <v>0</v>
      </c>
      <c r="BQ62" s="128"/>
      <c r="BR62" s="132"/>
      <c r="BS62" s="82">
        <f>AVERAGE(BS63:BS64)</f>
        <v>0</v>
      </c>
      <c r="BT62" s="128"/>
      <c r="BU62" s="132"/>
      <c r="BV62" s="82">
        <f>AVERAGE(BV63:BV64)</f>
        <v>0</v>
      </c>
      <c r="BW62" s="128"/>
      <c r="BX62" s="132"/>
      <c r="BY62" s="82">
        <f>AVERAGE(BY63:BY64)</f>
        <v>0</v>
      </c>
      <c r="BZ62" s="126"/>
      <c r="CA62" s="127"/>
      <c r="CB62" s="82">
        <f>AVERAGE(CB63:CB64)</f>
        <v>0</v>
      </c>
      <c r="CC62" s="126"/>
      <c r="CD62" s="127"/>
      <c r="CE62" s="82">
        <f>AVERAGE(CE63:CE64)</f>
        <v>0</v>
      </c>
      <c r="CF62" s="126"/>
      <c r="CG62" s="127"/>
      <c r="CH62" s="82">
        <f>AVERAGE(CH63:CH64)</f>
        <v>0</v>
      </c>
      <c r="CI62" s="126"/>
      <c r="CJ62" s="127"/>
      <c r="CK62" s="82">
        <f>AVERAGE(CK63:CK64)</f>
        <v>0</v>
      </c>
      <c r="CL62" s="126"/>
      <c r="CM62" s="127"/>
      <c r="CN62" s="82">
        <f>AVERAGE(CN63:CN64)</f>
        <v>0</v>
      </c>
      <c r="CO62" s="126"/>
      <c r="CP62" s="127"/>
      <c r="CQ62" s="82">
        <f>AVERAGE(CQ63:CQ64)</f>
        <v>0</v>
      </c>
      <c r="CR62" s="126"/>
      <c r="CS62" s="127"/>
      <c r="CT62" s="82">
        <f>AVERAGE(CT63:CT64)</f>
        <v>0</v>
      </c>
      <c r="CU62" s="126"/>
      <c r="CV62" s="127"/>
      <c r="CW62" s="82">
        <f>AVERAGE(CW63:CW64)</f>
        <v>0</v>
      </c>
      <c r="CX62" s="126"/>
      <c r="CY62" s="127"/>
      <c r="CZ62" s="82">
        <f>AVERAGE(CZ63:CZ64)</f>
        <v>0</v>
      </c>
      <c r="DA62" s="126"/>
      <c r="DB62" s="127"/>
      <c r="DC62" s="82">
        <f>AVERAGE(DC63:DC64)</f>
        <v>0</v>
      </c>
      <c r="DD62" s="126"/>
      <c r="DE62" s="127"/>
      <c r="DF62" s="82">
        <f>AVERAGE(DF63:DF64)</f>
        <v>0</v>
      </c>
      <c r="DG62" s="126"/>
      <c r="DH62" s="127"/>
      <c r="DI62" s="82">
        <f>AVERAGE(DI63:DI64)</f>
        <v>0</v>
      </c>
      <c r="DJ62" s="126"/>
      <c r="DK62" s="127"/>
      <c r="DL62" s="82">
        <f>AVERAGE(DL63:DL64)</f>
        <v>0</v>
      </c>
      <c r="DM62" s="126"/>
      <c r="DN62" s="127"/>
      <c r="DO62" s="82">
        <f>AVERAGE(DO63:DO64)</f>
        <v>0</v>
      </c>
      <c r="DP62" s="126"/>
      <c r="DQ62" s="127"/>
      <c r="DR62" s="82">
        <f>AVERAGE(DR63:DR64)</f>
        <v>0</v>
      </c>
      <c r="DS62" s="126"/>
      <c r="DT62" s="127"/>
      <c r="DU62" s="82">
        <f>AVERAGE(DU63:DU64)</f>
        <v>0</v>
      </c>
      <c r="DV62" s="126"/>
      <c r="DW62" s="127"/>
      <c r="DX62" s="82">
        <f>AVERAGE(DX63:DX64)</f>
        <v>0</v>
      </c>
      <c r="DY62" s="126"/>
      <c r="DZ62" s="127"/>
      <c r="EA62" s="82">
        <f>AVERAGE(EA63:EA64)</f>
        <v>0</v>
      </c>
      <c r="EB62" s="126"/>
      <c r="EC62" s="127"/>
      <c r="ED62" s="82">
        <f>AVERAGE(ED63:ED64)</f>
        <v>0</v>
      </c>
      <c r="EE62" s="126"/>
      <c r="EF62" s="127"/>
      <c r="EG62" s="82">
        <f>AVERAGE(EG63:EG64)</f>
        <v>0</v>
      </c>
      <c r="EH62" s="126"/>
      <c r="EI62" s="127"/>
      <c r="EJ62" s="82">
        <f>AVERAGE(EJ63:EJ64)</f>
        <v>0</v>
      </c>
      <c r="EK62" s="126"/>
      <c r="EL62" s="127"/>
      <c r="EM62" s="82">
        <f>AVERAGE(EM63:EM64)</f>
        <v>0</v>
      </c>
      <c r="EN62" s="126"/>
      <c r="EO62" s="127"/>
      <c r="EP62" s="82">
        <f>AVERAGE(EP63:EP64)</f>
        <v>0</v>
      </c>
      <c r="EQ62" s="85">
        <f t="array" ref="EQ62">IFERROR(_xlfn.LET(
_xlpm.datos,CHOOSE({1;2;3;4;5;6;7;8;9;10;11;12;13;13;14;15;16;17;18;19;20;21;22;23;23;24;25;26;27;28;29;30;31;32;33;34;35;36;37;38;39;40;41;42;43;44;45;46;47},E62,H62,K62,N62,Q62,T62,W62,Z62,AC62,AF62,AI62,AL62,AO62,AR62,AU62,AX62,BA62,BD62,BG62,BJ62,BP62,BS62,BV62,BY62,CB62,CE62,CH62,CK62,CN62,CQ62,CT62,CW62,CZ62,DC62,DF62,DI62,DL62,DO62,DR62,DU62,DX62,EA62,ED62,EG62,EJ62,EM62,EP62),
AVERAGE(_xlfn._xlws.FILTER(_xlpm.datos,(_xlpm.datos&lt;&gt;0)*(_xlpm.datos&lt;&gt;"")))
),0)</f>
        <v>0</v>
      </c>
      <c r="ER62" s="162" t="str">
        <f t="array" ref="ER62">_xlfn.IFS(EQ62&gt;=91.5%,"MENSUAL",EQ62&gt;=75%,"QUINCENAL",EQ62&lt;75%,"SEMANAL")</f>
        <v>SEMANAL</v>
      </c>
    </row>
    <row r="63" ht="16" customHeight="1" spans="1:148" x14ac:dyDescent="0.25">
      <c r="A63" s="181" t="s">
        <v>230</v>
      </c>
      <c r="B63" s="182"/>
      <c r="C63" s="102"/>
      <c r="D63" s="103">
        <v>5</v>
      </c>
      <c r="E63" s="104">
        <f t="shared" ref="E63:E64" si="336">C63/D63</f>
        <v>0</v>
      </c>
      <c r="F63" s="102"/>
      <c r="G63" s="103">
        <v>5</v>
      </c>
      <c r="H63" s="104">
        <f t="shared" ref="H63:H64" si="337">F63/G63</f>
        <v>0</v>
      </c>
      <c r="I63" s="105"/>
      <c r="J63" s="103">
        <v>5</v>
      </c>
      <c r="K63" s="104">
        <f t="shared" ref="K63:K64" si="338">I63/J63</f>
        <v>0</v>
      </c>
      <c r="L63" s="105"/>
      <c r="M63" s="103">
        <v>5</v>
      </c>
      <c r="N63" s="104">
        <f t="shared" ref="N63:N64" si="339">L63/M63</f>
        <v>0</v>
      </c>
      <c r="O63" s="106"/>
      <c r="P63" s="107">
        <v>5</v>
      </c>
      <c r="Q63" s="104">
        <f t="shared" ref="Q63:Q64" si="340">O63/P63</f>
        <v>0</v>
      </c>
      <c r="R63" s="102"/>
      <c r="S63" s="107">
        <v>5</v>
      </c>
      <c r="T63" s="104">
        <f t="shared" ref="T63:T64" si="341">R63/S63</f>
        <v>0</v>
      </c>
      <c r="U63" s="102"/>
      <c r="V63" s="107">
        <v>5</v>
      </c>
      <c r="W63" s="104">
        <f t="shared" ref="W63:W64" si="342">U63/V63</f>
        <v>0</v>
      </c>
      <c r="X63" s="102"/>
      <c r="Y63" s="107">
        <v>5</v>
      </c>
      <c r="Z63" s="104">
        <f t="shared" ref="Z63:Z64" si="343">X63/Y63</f>
        <v>0</v>
      </c>
      <c r="AA63" s="106"/>
      <c r="AB63" s="107">
        <v>5</v>
      </c>
      <c r="AC63" s="104">
        <f t="shared" ref="AC63:AC64" si="344">AA63/AB63</f>
        <v>0</v>
      </c>
      <c r="AD63" s="106"/>
      <c r="AE63" s="107">
        <v>5</v>
      </c>
      <c r="AF63" s="104">
        <f t="shared" ref="AF63:AF64" si="345">AD63/AE63</f>
        <v>0</v>
      </c>
      <c r="AG63" s="106"/>
      <c r="AH63" s="107">
        <v>5</v>
      </c>
      <c r="AI63" s="104">
        <f t="shared" ref="AI63:AI64" si="346">AG63/AH63</f>
        <v>0</v>
      </c>
      <c r="AJ63" s="106"/>
      <c r="AK63" s="107">
        <v>5</v>
      </c>
      <c r="AL63" s="104">
        <f t="shared" ref="AL63:AL64" si="347">AJ63/AK63</f>
        <v>0</v>
      </c>
      <c r="AM63" s="102"/>
      <c r="AN63" s="1">
        <v>5</v>
      </c>
      <c r="AO63" s="104">
        <f t="shared" ref="AO63:AO64" si="348">AM63/AN63</f>
        <v>0</v>
      </c>
      <c r="AP63" s="102"/>
      <c r="AQ63" s="1">
        <v>5</v>
      </c>
      <c r="AR63" s="104">
        <f t="shared" ref="AR63:AR64" si="349">AP63/AQ63</f>
        <v>0</v>
      </c>
      <c r="AS63" s="102"/>
      <c r="AT63" s="1">
        <v>5</v>
      </c>
      <c r="AU63" s="104">
        <f t="shared" ref="AU63:AU64" si="350">AS63/AT63</f>
        <v>0</v>
      </c>
      <c r="AV63" s="102"/>
      <c r="AW63" s="1">
        <v>5</v>
      </c>
      <c r="AX63" s="104">
        <f t="shared" ref="AX63:AX64" si="351">AV63/AW63</f>
        <v>0</v>
      </c>
      <c r="AY63" s="102"/>
      <c r="AZ63" s="1">
        <v>5</v>
      </c>
      <c r="BA63" s="104">
        <f t="shared" ref="BA63:BA64" si="352">AY63/AZ63</f>
        <v>0</v>
      </c>
      <c r="BB63" s="102"/>
      <c r="BC63" s="1">
        <v>5</v>
      </c>
      <c r="BD63" s="104">
        <f t="shared" ref="BD63:BD64" si="353">BB63/BC63</f>
        <v>0</v>
      </c>
      <c r="BE63" s="102"/>
      <c r="BF63" s="1">
        <v>5</v>
      </c>
      <c r="BG63" s="104">
        <f t="shared" ref="BG63:BG64" si="354">BE63/BF63</f>
        <v>0</v>
      </c>
      <c r="BH63" s="102"/>
      <c r="BI63" s="1">
        <v>5</v>
      </c>
      <c r="BJ63" s="104">
        <f t="shared" ref="BJ63:BJ64" si="355">BH63/BI63</f>
        <v>0</v>
      </c>
      <c r="BK63" s="102"/>
      <c r="BL63" s="1">
        <v>5</v>
      </c>
      <c r="BM63" s="104">
        <f t="shared" ref="BM63:BM64" si="356">BK63/BL63</f>
        <v>0</v>
      </c>
      <c r="BN63" s="102"/>
      <c r="BO63" s="1">
        <v>5</v>
      </c>
      <c r="BP63" s="104">
        <f t="shared" ref="BP63:BP64" si="357">BN63/BO63</f>
        <v>0</v>
      </c>
      <c r="BQ63" s="102"/>
      <c r="BR63" s="1">
        <v>5</v>
      </c>
      <c r="BS63" s="104">
        <f t="shared" ref="BS63:BS64" si="358">BQ63/BR63</f>
        <v>0</v>
      </c>
      <c r="BT63" s="102"/>
      <c r="BU63" s="1">
        <v>5</v>
      </c>
      <c r="BV63" s="104">
        <f t="shared" ref="BV63:BV64" si="359">BT63/BU63</f>
        <v>0</v>
      </c>
      <c r="BW63" s="102"/>
      <c r="BX63" s="1">
        <v>5</v>
      </c>
      <c r="BY63" s="104">
        <f t="shared" ref="BY63:BY64" si="360">BW63/BX63</f>
        <v>0</v>
      </c>
      <c r="BZ63" s="102"/>
      <c r="CA63" s="1">
        <v>5</v>
      </c>
      <c r="CB63" s="104">
        <f t="shared" ref="CB63:CB64" si="361">BZ63/CA63</f>
        <v>0</v>
      </c>
      <c r="CC63" s="102"/>
      <c r="CD63" s="1">
        <v>5</v>
      </c>
      <c r="CE63" s="104">
        <f t="shared" ref="CE63:CE64" si="362">CC63/CD63</f>
        <v>0</v>
      </c>
      <c r="CF63" s="102"/>
      <c r="CG63" s="1">
        <v>5</v>
      </c>
      <c r="CH63" s="104">
        <f t="shared" ref="CH63:CH64" si="363">CF63/CG63</f>
        <v>0</v>
      </c>
      <c r="CI63" s="102"/>
      <c r="CJ63" s="1">
        <v>5</v>
      </c>
      <c r="CK63" s="104">
        <f t="shared" ref="CK63:CK64" si="364">CI63/CJ63</f>
        <v>0</v>
      </c>
      <c r="CL63" s="102"/>
      <c r="CM63" s="1">
        <v>5</v>
      </c>
      <c r="CN63" s="104">
        <f t="shared" ref="CN63:CN64" si="365">CL63/CM63</f>
        <v>0</v>
      </c>
      <c r="CO63" s="102"/>
      <c r="CP63" s="1">
        <v>5</v>
      </c>
      <c r="CQ63" s="104">
        <f t="shared" ref="CQ63:CQ64" si="366">CO63/CP63</f>
        <v>0</v>
      </c>
      <c r="CR63" s="102"/>
      <c r="CS63" s="1">
        <v>5</v>
      </c>
      <c r="CT63" s="104">
        <f t="shared" ref="CT63:CT64" si="367">CR63/CS63</f>
        <v>0</v>
      </c>
      <c r="CU63" s="102"/>
      <c r="CV63" s="1">
        <v>5</v>
      </c>
      <c r="CW63" s="104">
        <f t="shared" ref="CW63:CW64" si="368">CU63/CV63</f>
        <v>0</v>
      </c>
      <c r="CX63" s="102"/>
      <c r="CY63" s="1">
        <v>5</v>
      </c>
      <c r="CZ63" s="104">
        <f t="shared" ref="CZ63:CZ64" si="369">CX63/CY63</f>
        <v>0</v>
      </c>
      <c r="DA63" s="102"/>
      <c r="DB63" s="1">
        <v>5</v>
      </c>
      <c r="DC63" s="104">
        <f t="shared" ref="DC63:DC64" si="370">DA63/DB63</f>
        <v>0</v>
      </c>
      <c r="DD63" s="102"/>
      <c r="DE63" s="1">
        <v>5</v>
      </c>
      <c r="DF63" s="104">
        <f t="shared" ref="DF63:DF64" si="371">DD63/DE63</f>
        <v>0</v>
      </c>
      <c r="DG63" s="102"/>
      <c r="DH63" s="1">
        <v>5</v>
      </c>
      <c r="DI63" s="104">
        <f t="shared" ref="DI63:DI64" si="372">DG63/DH63</f>
        <v>0</v>
      </c>
      <c r="DJ63" s="102"/>
      <c r="DK63" s="1">
        <v>5</v>
      </c>
      <c r="DL63" s="104">
        <f t="shared" ref="DL63:DL64" si="373">DJ63/DK63</f>
        <v>0</v>
      </c>
      <c r="DM63" s="102"/>
      <c r="DN63" s="1">
        <v>5</v>
      </c>
      <c r="DO63" s="104">
        <f t="shared" ref="DO63:DO64" si="374">DM63/DN63</f>
        <v>0</v>
      </c>
      <c r="DP63" s="102"/>
      <c r="DQ63" s="1">
        <v>5</v>
      </c>
      <c r="DR63" s="104">
        <f t="shared" ref="DR63:DR64" si="375">DP63/DQ63</f>
        <v>0</v>
      </c>
      <c r="DS63" s="102"/>
      <c r="DT63" s="1">
        <v>5</v>
      </c>
      <c r="DU63" s="104">
        <f t="shared" ref="DU63:DU64" si="376">DS63/DT63</f>
        <v>0</v>
      </c>
      <c r="DV63" s="102"/>
      <c r="DW63" s="1">
        <v>5</v>
      </c>
      <c r="DX63" s="104">
        <f t="shared" ref="DX63:DX64" si="377">DV63/DW63</f>
        <v>0</v>
      </c>
      <c r="DY63" s="102"/>
      <c r="DZ63" s="1">
        <v>5</v>
      </c>
      <c r="EA63" s="104">
        <f t="shared" ref="EA63:EA64" si="378">DY63/DZ63</f>
        <v>0</v>
      </c>
      <c r="EB63" s="102"/>
      <c r="EC63" s="1">
        <v>5</v>
      </c>
      <c r="ED63" s="104">
        <f t="shared" ref="ED63:ED64" si="379">EB63/EC63</f>
        <v>0</v>
      </c>
      <c r="EE63" s="102"/>
      <c r="EF63" s="1">
        <v>5</v>
      </c>
      <c r="EG63" s="104">
        <f t="shared" ref="EG63:EG64" si="380">EE63/EF63</f>
        <v>0</v>
      </c>
      <c r="EH63" s="102"/>
      <c r="EI63" s="1">
        <v>5</v>
      </c>
      <c r="EJ63" s="104">
        <f t="shared" ref="EJ63:EJ64" si="381">EH63/EI63</f>
        <v>0</v>
      </c>
      <c r="EK63" s="102"/>
      <c r="EL63" s="1">
        <v>5</v>
      </c>
      <c r="EM63" s="104">
        <f t="shared" ref="EM63:EM64" si="382">EK63/EL63</f>
        <v>0</v>
      </c>
      <c r="EN63" s="102"/>
      <c r="EO63" s="1">
        <v>5</v>
      </c>
      <c r="EP63" s="104">
        <f t="shared" ref="EP63:EP64" si="383">EN63/EO63</f>
        <v>0</v>
      </c>
      <c r="EQ63" s="85">
        <f t="array" ref="EQ63">IFERROR(_xlfn.LET(
_xlpm.datos,CHOOSE({1;2;3;4;5;6;7;8;9;10;11;12;13;13;14;15;16;17;18;19;20;21;22;23;23;24;25;26;27;28;29;30;31;32;33;34;35;36;37;38;39;40;41;42;43;44;45;46;47},E63,H63,K63,N63,Q63,T63,W63,Z63,AC63,AF63,AI63,AL63,AO63,AR63,AU63,AX63,BA63,BD63,BG63,BJ63,BP63,BS63,BV63,BY63,CB63,CE63,CH63,CK63,CN63,CQ63,CT63,CW63,CZ63,DC63,DF63,DI63,DL63,DO63,DR63,DU63,DX63,EA63,ED63,EG63,EJ63,EM63,EP63),
AVERAGE(_xlfn._xlws.FILTER(_xlpm.datos,(_xlpm.datos&lt;&gt;0)*(_xlpm.datos&lt;&gt;"")))
),0)</f>
        <v>0</v>
      </c>
      <c r="ER63" s="162" t="str">
        <f t="array" ref="ER63">_xlfn.IFS(EQ63&gt;=91.5%,"MENSUAL",EQ63&gt;=75%,"QUINCENAL",EQ63&lt;75%,"SEMANAL")</f>
        <v>SEMANAL</v>
      </c>
    </row>
    <row r="64" ht="21.5" customHeight="1" spans="1:148" x14ac:dyDescent="0.25">
      <c r="A64" s="281" t="s">
        <v>231</v>
      </c>
      <c r="B64" s="166"/>
      <c r="C64" s="116"/>
      <c r="D64" s="117">
        <v>5</v>
      </c>
      <c r="E64" s="118">
        <f t="shared" si="336"/>
        <v>0</v>
      </c>
      <c r="F64" s="116"/>
      <c r="G64" s="117">
        <v>5</v>
      </c>
      <c r="H64" s="118">
        <f t="shared" si="337"/>
        <v>0</v>
      </c>
      <c r="I64" s="119"/>
      <c r="J64" s="117">
        <v>5</v>
      </c>
      <c r="K64" s="118">
        <f t="shared" si="338"/>
        <v>0</v>
      </c>
      <c r="L64" s="119"/>
      <c r="M64" s="117">
        <v>5</v>
      </c>
      <c r="N64" s="118">
        <f t="shared" si="339"/>
        <v>0</v>
      </c>
      <c r="O64" s="120"/>
      <c r="P64" s="121">
        <v>5</v>
      </c>
      <c r="Q64" s="118">
        <f t="shared" si="340"/>
        <v>0</v>
      </c>
      <c r="R64" s="116"/>
      <c r="S64" s="121">
        <v>5</v>
      </c>
      <c r="T64" s="118">
        <f t="shared" si="341"/>
        <v>0</v>
      </c>
      <c r="U64" s="116"/>
      <c r="V64" s="121">
        <v>5</v>
      </c>
      <c r="W64" s="118">
        <f t="shared" si="342"/>
        <v>0</v>
      </c>
      <c r="X64" s="116"/>
      <c r="Y64" s="121">
        <v>5</v>
      </c>
      <c r="Z64" s="118">
        <f t="shared" si="343"/>
        <v>0</v>
      </c>
      <c r="AA64" s="120"/>
      <c r="AB64" s="121">
        <v>5</v>
      </c>
      <c r="AC64" s="118">
        <f t="shared" si="344"/>
        <v>0</v>
      </c>
      <c r="AD64" s="120"/>
      <c r="AE64" s="121">
        <v>5</v>
      </c>
      <c r="AF64" s="118">
        <f t="shared" si="345"/>
        <v>0</v>
      </c>
      <c r="AG64" s="120"/>
      <c r="AH64" s="121">
        <v>5</v>
      </c>
      <c r="AI64" s="118">
        <f t="shared" si="346"/>
        <v>0</v>
      </c>
      <c r="AJ64" s="120"/>
      <c r="AK64" s="121">
        <v>5</v>
      </c>
      <c r="AL64" s="118">
        <f t="shared" si="347"/>
        <v>0</v>
      </c>
      <c r="AM64" s="116"/>
      <c r="AN64" s="122">
        <v>5</v>
      </c>
      <c r="AO64" s="118">
        <f t="shared" si="348"/>
        <v>0</v>
      </c>
      <c r="AP64" s="116"/>
      <c r="AQ64" s="122">
        <v>5</v>
      </c>
      <c r="AR64" s="118">
        <f t="shared" si="349"/>
        <v>0</v>
      </c>
      <c r="AS64" s="116"/>
      <c r="AT64" s="122">
        <v>5</v>
      </c>
      <c r="AU64" s="118">
        <f t="shared" si="350"/>
        <v>0</v>
      </c>
      <c r="AV64" s="116"/>
      <c r="AW64" s="122">
        <v>5</v>
      </c>
      <c r="AX64" s="118">
        <f t="shared" si="351"/>
        <v>0</v>
      </c>
      <c r="AY64" s="116"/>
      <c r="AZ64" s="122">
        <v>5</v>
      </c>
      <c r="BA64" s="118">
        <f t="shared" si="352"/>
        <v>0</v>
      </c>
      <c r="BB64" s="116"/>
      <c r="BC64" s="122">
        <v>5</v>
      </c>
      <c r="BD64" s="118">
        <f t="shared" si="353"/>
        <v>0</v>
      </c>
      <c r="BE64" s="116"/>
      <c r="BF64" s="122">
        <v>5</v>
      </c>
      <c r="BG64" s="118">
        <f t="shared" si="354"/>
        <v>0</v>
      </c>
      <c r="BH64" s="116"/>
      <c r="BI64" s="122">
        <v>5</v>
      </c>
      <c r="BJ64" s="118">
        <f t="shared" si="355"/>
        <v>0</v>
      </c>
      <c r="BK64" s="116"/>
      <c r="BL64" s="122">
        <v>5</v>
      </c>
      <c r="BM64" s="118">
        <f t="shared" si="356"/>
        <v>0</v>
      </c>
      <c r="BN64" s="116"/>
      <c r="BO64" s="122">
        <v>5</v>
      </c>
      <c r="BP64" s="118">
        <f t="shared" si="357"/>
        <v>0</v>
      </c>
      <c r="BQ64" s="116"/>
      <c r="BR64" s="122">
        <v>5</v>
      </c>
      <c r="BS64" s="118">
        <f t="shared" si="358"/>
        <v>0</v>
      </c>
      <c r="BT64" s="116"/>
      <c r="BU64" s="122">
        <v>5</v>
      </c>
      <c r="BV64" s="118">
        <f t="shared" si="359"/>
        <v>0</v>
      </c>
      <c r="BW64" s="116"/>
      <c r="BX64" s="122">
        <v>5</v>
      </c>
      <c r="BY64" s="118">
        <f t="shared" si="360"/>
        <v>0</v>
      </c>
      <c r="BZ64" s="116"/>
      <c r="CA64" s="122">
        <v>5</v>
      </c>
      <c r="CB64" s="118">
        <f t="shared" si="361"/>
        <v>0</v>
      </c>
      <c r="CC64" s="116"/>
      <c r="CD64" s="122">
        <v>5</v>
      </c>
      <c r="CE64" s="118">
        <f t="shared" si="362"/>
        <v>0</v>
      </c>
      <c r="CF64" s="116"/>
      <c r="CG64" s="122">
        <v>5</v>
      </c>
      <c r="CH64" s="118">
        <f t="shared" si="363"/>
        <v>0</v>
      </c>
      <c r="CI64" s="116"/>
      <c r="CJ64" s="122">
        <v>5</v>
      </c>
      <c r="CK64" s="118">
        <f t="shared" si="364"/>
        <v>0</v>
      </c>
      <c r="CL64" s="116"/>
      <c r="CM64" s="122">
        <v>5</v>
      </c>
      <c r="CN64" s="118">
        <f t="shared" si="365"/>
        <v>0</v>
      </c>
      <c r="CO64" s="116"/>
      <c r="CP64" s="122">
        <v>5</v>
      </c>
      <c r="CQ64" s="118">
        <f t="shared" si="366"/>
        <v>0</v>
      </c>
      <c r="CR64" s="116"/>
      <c r="CS64" s="122">
        <v>5</v>
      </c>
      <c r="CT64" s="118">
        <f t="shared" si="367"/>
        <v>0</v>
      </c>
      <c r="CU64" s="116"/>
      <c r="CV64" s="122">
        <v>5</v>
      </c>
      <c r="CW64" s="118">
        <f t="shared" si="368"/>
        <v>0</v>
      </c>
      <c r="CX64" s="116"/>
      <c r="CY64" s="122">
        <v>5</v>
      </c>
      <c r="CZ64" s="118">
        <f t="shared" si="369"/>
        <v>0</v>
      </c>
      <c r="DA64" s="116"/>
      <c r="DB64" s="122">
        <v>5</v>
      </c>
      <c r="DC64" s="118">
        <f t="shared" si="370"/>
        <v>0</v>
      </c>
      <c r="DD64" s="116"/>
      <c r="DE64" s="122">
        <v>5</v>
      </c>
      <c r="DF64" s="118">
        <f t="shared" si="371"/>
        <v>0</v>
      </c>
      <c r="DG64" s="116"/>
      <c r="DH64" s="122">
        <v>5</v>
      </c>
      <c r="DI64" s="118">
        <f t="shared" si="372"/>
        <v>0</v>
      </c>
      <c r="DJ64" s="116"/>
      <c r="DK64" s="122">
        <v>5</v>
      </c>
      <c r="DL64" s="118">
        <f t="shared" si="373"/>
        <v>0</v>
      </c>
      <c r="DM64" s="116"/>
      <c r="DN64" s="122">
        <v>5</v>
      </c>
      <c r="DO64" s="118">
        <f t="shared" si="374"/>
        <v>0</v>
      </c>
      <c r="DP64" s="116"/>
      <c r="DQ64" s="122">
        <v>5</v>
      </c>
      <c r="DR64" s="118">
        <f t="shared" si="375"/>
        <v>0</v>
      </c>
      <c r="DS64" s="116"/>
      <c r="DT64" s="122">
        <v>5</v>
      </c>
      <c r="DU64" s="118">
        <f t="shared" si="376"/>
        <v>0</v>
      </c>
      <c r="DV64" s="116"/>
      <c r="DW64" s="122">
        <v>5</v>
      </c>
      <c r="DX64" s="118">
        <f t="shared" si="377"/>
        <v>0</v>
      </c>
      <c r="DY64" s="116"/>
      <c r="DZ64" s="122">
        <v>5</v>
      </c>
      <c r="EA64" s="118">
        <f t="shared" si="378"/>
        <v>0</v>
      </c>
      <c r="EB64" s="116"/>
      <c r="EC64" s="122">
        <v>5</v>
      </c>
      <c r="ED64" s="118">
        <f t="shared" si="379"/>
        <v>0</v>
      </c>
      <c r="EE64" s="116"/>
      <c r="EF64" s="122">
        <v>5</v>
      </c>
      <c r="EG64" s="118">
        <f t="shared" si="380"/>
        <v>0</v>
      </c>
      <c r="EH64" s="116"/>
      <c r="EI64" s="122">
        <v>5</v>
      </c>
      <c r="EJ64" s="118">
        <f t="shared" si="381"/>
        <v>0</v>
      </c>
      <c r="EK64" s="116"/>
      <c r="EL64" s="122">
        <v>5</v>
      </c>
      <c r="EM64" s="118">
        <f t="shared" si="382"/>
        <v>0</v>
      </c>
      <c r="EN64" s="116"/>
      <c r="EO64" s="122">
        <v>5</v>
      </c>
      <c r="EP64" s="118">
        <f t="shared" si="383"/>
        <v>0</v>
      </c>
      <c r="EQ64" s="85">
        <f t="array" ref="EQ64">IFERROR(_xlfn.LET(
_xlpm.datos,CHOOSE({1;2;3;4;5;6;7;8;9;10;11;12;13;13;14;15;16;17;18;19;20;21;22;23;23;24;25;26;27;28;29;30;31;32;33;34;35;36;37;38;39;40;41;42;43;44;45;46;47},E64,H64,K64,N64,Q64,T64,W64,Z64,AC64,AF64,AI64,AL64,AO64,AR64,AU64,AX64,BA64,BD64,BG64,BJ64,BP64,BS64,BV64,BY64,CB64,CE64,CH64,CK64,CN64,CQ64,CT64,CW64,CZ64,DC64,DF64,DI64,DL64,DO64,DR64,DU64,DX64,EA64,ED64,EG64,EJ64,EM64,EP64),
AVERAGE(_xlfn._xlws.FILTER(_xlpm.datos,(_xlpm.datos&lt;&gt;0)*(_xlpm.datos&lt;&gt;"")))
),0)</f>
        <v>0</v>
      </c>
      <c r="ER64" s="253" t="str">
        <f t="array" ref="ER64">_xlfn.IFS(EQ64&gt;=91.5%,"MENSUAL",EQ64&gt;=75%,"QUINCENAL",EQ64&lt;75%,"SEMANAL")</f>
        <v>SEMANAL</v>
      </c>
    </row>
    <row r="65" ht="16" customHeight="1" spans="1:148" x14ac:dyDescent="0.25">
      <c r="A65" s="185" t="s">
        <v>130</v>
      </c>
      <c r="B65" s="186"/>
      <c r="C65" s="126"/>
      <c r="D65" s="127"/>
      <c r="E65" s="82">
        <f>AVERAGE(E66:E68)</f>
        <v>0</v>
      </c>
      <c r="F65" s="126"/>
      <c r="G65" s="127"/>
      <c r="H65" s="82">
        <f>AVERAGE(H66:H68)</f>
        <v>0</v>
      </c>
      <c r="I65" s="126"/>
      <c r="J65" s="127"/>
      <c r="K65" s="82">
        <f>AVERAGE(K66:K68)</f>
        <v>0</v>
      </c>
      <c r="L65" s="126"/>
      <c r="M65" s="127"/>
      <c r="N65" s="82">
        <f>AVERAGE(N66:N68)</f>
        <v>0</v>
      </c>
      <c r="O65" s="126"/>
      <c r="P65" s="127"/>
      <c r="Q65" s="82">
        <f>AVERAGE(Q66:Q68)</f>
        <v>0</v>
      </c>
      <c r="R65" s="126"/>
      <c r="S65" s="127"/>
      <c r="T65" s="82">
        <f>AVERAGE(T66:T68)</f>
        <v>0</v>
      </c>
      <c r="U65" s="126"/>
      <c r="V65" s="127"/>
      <c r="W65" s="82">
        <f>AVERAGE(W66:W68)</f>
        <v>0</v>
      </c>
      <c r="X65" s="126"/>
      <c r="Y65" s="127"/>
      <c r="Z65" s="82">
        <f>AVERAGE(Z66:Z68)</f>
        <v>0</v>
      </c>
      <c r="AA65" s="126"/>
      <c r="AB65" s="127"/>
      <c r="AC65" s="82">
        <f>AVERAGE(AC66:AC68)</f>
        <v>0</v>
      </c>
      <c r="AD65" s="126"/>
      <c r="AE65" s="127"/>
      <c r="AF65" s="82">
        <f>AVERAGE(AF66:AF68)</f>
        <v>0</v>
      </c>
      <c r="AG65" s="126"/>
      <c r="AH65" s="127"/>
      <c r="AI65" s="82">
        <f>AVERAGE(AI66:AI68)</f>
        <v>0</v>
      </c>
      <c r="AJ65" s="126"/>
      <c r="AK65" s="127"/>
      <c r="AL65" s="82">
        <f>AVERAGE(AL66:AL68)</f>
        <v>0</v>
      </c>
      <c r="AM65" s="126"/>
      <c r="AN65" s="136"/>
      <c r="AO65" s="82">
        <f>AVERAGE(AO66:AO68)</f>
        <v>0</v>
      </c>
      <c r="AP65" s="128"/>
      <c r="AQ65" s="129"/>
      <c r="AR65" s="82">
        <f>AVERAGE(AR66:AR68)</f>
        <v>0</v>
      </c>
      <c r="AS65" s="130"/>
      <c r="AT65" s="129"/>
      <c r="AU65" s="82">
        <f>AVERAGE(AU66:AU68)</f>
        <v>0</v>
      </c>
      <c r="AV65" s="126"/>
      <c r="AW65" s="136"/>
      <c r="AX65" s="82">
        <f>AVERAGE(AX66:AX68)</f>
        <v>0</v>
      </c>
      <c r="AY65" s="137"/>
      <c r="AZ65" s="138"/>
      <c r="BA65" s="82">
        <f>AVERAGE(BA66:BA68)</f>
        <v>0</v>
      </c>
      <c r="BB65" s="128"/>
      <c r="BC65" s="132"/>
      <c r="BD65" s="82">
        <f>AVERAGE(BD66:BD68)</f>
        <v>0</v>
      </c>
      <c r="BE65" s="128"/>
      <c r="BF65" s="132"/>
      <c r="BG65" s="82">
        <f>AVERAGE(BG66:BG68)</f>
        <v>0</v>
      </c>
      <c r="BH65" s="128"/>
      <c r="BI65" s="132"/>
      <c r="BJ65" s="82">
        <f>AVERAGE(BJ66:BJ68)</f>
        <v>0</v>
      </c>
      <c r="BK65" s="128"/>
      <c r="BL65" s="132"/>
      <c r="BM65" s="82">
        <f>AVERAGE(BM66:BM68)</f>
        <v>0</v>
      </c>
      <c r="BN65" s="128"/>
      <c r="BO65" s="132"/>
      <c r="BP65" s="82">
        <f>AVERAGE(BP66:BP68)</f>
        <v>0</v>
      </c>
      <c r="BQ65" s="128"/>
      <c r="BR65" s="132"/>
      <c r="BS65" s="82">
        <f>AVERAGE(BS66:BS68)</f>
        <v>0</v>
      </c>
      <c r="BT65" s="128"/>
      <c r="BU65" s="132"/>
      <c r="BV65" s="82">
        <f>AVERAGE(BV66:BV68)</f>
        <v>0</v>
      </c>
      <c r="BW65" s="128"/>
      <c r="BX65" s="132"/>
      <c r="BY65" s="82">
        <f>AVERAGE(BY66:BY68)</f>
        <v>0</v>
      </c>
      <c r="BZ65" s="126"/>
      <c r="CA65" s="127"/>
      <c r="CB65" s="82">
        <f>AVERAGE(CB66:CB68)</f>
        <v>0</v>
      </c>
      <c r="CC65" s="126"/>
      <c r="CD65" s="127"/>
      <c r="CE65" s="82">
        <f>AVERAGE(CE66:CE68)</f>
        <v>0</v>
      </c>
      <c r="CF65" s="126"/>
      <c r="CG65" s="127"/>
      <c r="CH65" s="82">
        <f>AVERAGE(CH66:CH68)</f>
        <v>0</v>
      </c>
      <c r="CI65" s="126"/>
      <c r="CJ65" s="127"/>
      <c r="CK65" s="82">
        <f>AVERAGE(CK66:CK68)</f>
        <v>0</v>
      </c>
      <c r="CL65" s="126"/>
      <c r="CM65" s="127"/>
      <c r="CN65" s="82">
        <f>AVERAGE(CN66:CN68)</f>
        <v>0</v>
      </c>
      <c r="CO65" s="126"/>
      <c r="CP65" s="127"/>
      <c r="CQ65" s="82">
        <f>AVERAGE(CQ66:CQ68)</f>
        <v>0</v>
      </c>
      <c r="CR65" s="126"/>
      <c r="CS65" s="127"/>
      <c r="CT65" s="82">
        <f>AVERAGE(CT66:CT68)</f>
        <v>0</v>
      </c>
      <c r="CU65" s="126"/>
      <c r="CV65" s="127"/>
      <c r="CW65" s="82">
        <f>AVERAGE(CW66:CW68)</f>
        <v>0</v>
      </c>
      <c r="CX65" s="126"/>
      <c r="CY65" s="127"/>
      <c r="CZ65" s="82">
        <f>AVERAGE(CZ66:CZ68)</f>
        <v>0</v>
      </c>
      <c r="DA65" s="126"/>
      <c r="DB65" s="127"/>
      <c r="DC65" s="82">
        <f>AVERAGE(DC66:DC68)</f>
        <v>0</v>
      </c>
      <c r="DD65" s="126"/>
      <c r="DE65" s="127"/>
      <c r="DF65" s="82">
        <f>AVERAGE(DF66:DF68)</f>
        <v>0</v>
      </c>
      <c r="DG65" s="126"/>
      <c r="DH65" s="127"/>
      <c r="DI65" s="82">
        <f>AVERAGE(DI66:DI68)</f>
        <v>0</v>
      </c>
      <c r="DJ65" s="126"/>
      <c r="DK65" s="127"/>
      <c r="DL65" s="82">
        <f>AVERAGE(DL66:DL68)</f>
        <v>0</v>
      </c>
      <c r="DM65" s="126"/>
      <c r="DN65" s="127"/>
      <c r="DO65" s="82">
        <f>AVERAGE(DO66:DO68)</f>
        <v>0</v>
      </c>
      <c r="DP65" s="126"/>
      <c r="DQ65" s="127"/>
      <c r="DR65" s="82">
        <f>AVERAGE(DR66:DR68)</f>
        <v>0</v>
      </c>
      <c r="DS65" s="126"/>
      <c r="DT65" s="127"/>
      <c r="DU65" s="82">
        <f>AVERAGE(DU66:DU68)</f>
        <v>0</v>
      </c>
      <c r="DV65" s="126"/>
      <c r="DW65" s="127"/>
      <c r="DX65" s="82">
        <f>AVERAGE(DX66:DX68)</f>
        <v>0</v>
      </c>
      <c r="DY65" s="126"/>
      <c r="DZ65" s="127"/>
      <c r="EA65" s="82">
        <f>AVERAGE(EA66:EA68)</f>
        <v>0</v>
      </c>
      <c r="EB65" s="126"/>
      <c r="EC65" s="127"/>
      <c r="ED65" s="82">
        <f>AVERAGE(ED66:ED68)</f>
        <v>0</v>
      </c>
      <c r="EE65" s="126"/>
      <c r="EF65" s="127"/>
      <c r="EG65" s="82">
        <f>AVERAGE(EG66:EG68)</f>
        <v>0</v>
      </c>
      <c r="EH65" s="126"/>
      <c r="EI65" s="127"/>
      <c r="EJ65" s="82">
        <f>AVERAGE(EJ66:EJ68)</f>
        <v>0</v>
      </c>
      <c r="EK65" s="126"/>
      <c r="EL65" s="127"/>
      <c r="EM65" s="82">
        <f>AVERAGE(EM66:EM68)</f>
        <v>0</v>
      </c>
      <c r="EN65" s="126"/>
      <c r="EO65" s="127"/>
      <c r="EP65" s="82">
        <f>AVERAGE(EP66:EP68)</f>
        <v>0</v>
      </c>
      <c r="EQ65" s="85">
        <f t="array" ref="EQ65">IFERROR(_xlfn.LET(
_xlpm.datos,CHOOSE({1;2;3;4;5;6;7;8;9;10;11;12;13;13;14;15;16;17;18;19;20;21;22;23;23;24;25;26;27;28;29;30;31;32;33;34;35;36;37;38;39;40;41;42;43;44;45;46;47},E65,H65,K65,N65,Q65,T65,W65,Z65,AC65,AF65,AI65,AL65,AO65,AR65,AU65,AX65,BA65,BD65,BG65,BJ65,BP65,BS65,BV65,BY65,CB65,CE65,CH65,CK65,CN65,CQ65,CT65,CW65,CZ65,DC65,DF65,DI65,DL65,DO65,DR65,DU65,DX65,EA65,ED65,EG65,EJ65,EM65,EP65),
AVERAGE(_xlfn._xlws.FILTER(_xlpm.datos,(_xlpm.datos&lt;&gt;0)*(_xlpm.datos&lt;&gt;"")))
),0)</f>
        <v>0</v>
      </c>
      <c r="ER65" s="162" t="str">
        <f t="array" ref="ER65">_xlfn.IFS(EQ65&gt;=91.5%,"MENSUAL",EQ65&gt;=75%,"QUINCENAL",EQ65&lt;75%,"SEMANAL")</f>
        <v>SEMANAL</v>
      </c>
    </row>
    <row r="66" ht="16" customHeight="1" spans="1:148" x14ac:dyDescent="0.25">
      <c r="A66" s="181" t="s">
        <v>232</v>
      </c>
      <c r="B66" s="187"/>
      <c r="C66" s="102"/>
      <c r="D66" s="103">
        <v>5</v>
      </c>
      <c r="E66" s="104">
        <f t="shared" ref="E66:E68" si="384">C66/D66</f>
        <v>0</v>
      </c>
      <c r="F66" s="102"/>
      <c r="G66" s="103">
        <v>5</v>
      </c>
      <c r="H66" s="104">
        <f t="shared" ref="H66:H68" si="385">F66/G66</f>
        <v>0</v>
      </c>
      <c r="I66" s="105"/>
      <c r="J66" s="103">
        <v>5</v>
      </c>
      <c r="K66" s="104">
        <f t="shared" ref="K66:K68" si="386">I66/J66</f>
        <v>0</v>
      </c>
      <c r="L66" s="105"/>
      <c r="M66" s="103">
        <v>5</v>
      </c>
      <c r="N66" s="104">
        <f t="shared" ref="N66:N68" si="387">L66/M66</f>
        <v>0</v>
      </c>
      <c r="O66" s="106"/>
      <c r="P66" s="107">
        <v>5</v>
      </c>
      <c r="Q66" s="104">
        <f t="shared" ref="Q66:Q68" si="388">O66/P66</f>
        <v>0</v>
      </c>
      <c r="R66" s="102"/>
      <c r="S66" s="107">
        <v>5</v>
      </c>
      <c r="T66" s="104">
        <f t="shared" ref="T66:T68" si="389">R66/S66</f>
        <v>0</v>
      </c>
      <c r="U66" s="102"/>
      <c r="V66" s="107">
        <v>5</v>
      </c>
      <c r="W66" s="104">
        <f t="shared" ref="W66:W68" si="390">U66/V66</f>
        <v>0</v>
      </c>
      <c r="X66" s="102"/>
      <c r="Y66" s="107">
        <v>5</v>
      </c>
      <c r="Z66" s="104">
        <f t="shared" ref="Z66:Z68" si="391">X66/Y66</f>
        <v>0</v>
      </c>
      <c r="AA66" s="106"/>
      <c r="AB66" s="107">
        <v>5</v>
      </c>
      <c r="AC66" s="104">
        <f t="shared" ref="AC66:AC68" si="392">AA66/AB66</f>
        <v>0</v>
      </c>
      <c r="AD66" s="106"/>
      <c r="AE66" s="107">
        <v>5</v>
      </c>
      <c r="AF66" s="104">
        <f t="shared" ref="AF66:AF68" si="393">AD66/AE66</f>
        <v>0</v>
      </c>
      <c r="AG66" s="106"/>
      <c r="AH66" s="107">
        <v>5</v>
      </c>
      <c r="AI66" s="104">
        <f t="shared" ref="AI66:AI68" si="394">AG66/AH66</f>
        <v>0</v>
      </c>
      <c r="AJ66" s="106"/>
      <c r="AK66" s="107">
        <v>5</v>
      </c>
      <c r="AL66" s="104">
        <f t="shared" ref="AL66:AL68" si="395">AJ66/AK66</f>
        <v>0</v>
      </c>
      <c r="AM66" s="102"/>
      <c r="AN66" s="1">
        <v>5</v>
      </c>
      <c r="AO66" s="104">
        <f t="shared" ref="AO66:AO68" si="396">AM66/AN66</f>
        <v>0</v>
      </c>
      <c r="AP66" s="102"/>
      <c r="AQ66" s="1">
        <v>5</v>
      </c>
      <c r="AR66" s="104">
        <f t="shared" ref="AR66:AR68" si="397">AP66/AQ66</f>
        <v>0</v>
      </c>
      <c r="AS66" s="102"/>
      <c r="AT66" s="1">
        <v>5</v>
      </c>
      <c r="AU66" s="104">
        <f t="shared" ref="AU66:AU68" si="398">AS66/AT66</f>
        <v>0</v>
      </c>
      <c r="AV66" s="102"/>
      <c r="AW66" s="1">
        <v>5</v>
      </c>
      <c r="AX66" s="104">
        <f t="shared" ref="AX66:AX68" si="399">AV66/AW66</f>
        <v>0</v>
      </c>
      <c r="AY66" s="102"/>
      <c r="AZ66" s="1">
        <v>5</v>
      </c>
      <c r="BA66" s="104">
        <f t="shared" ref="BA66:BA68" si="400">AY66/AZ66</f>
        <v>0</v>
      </c>
      <c r="BB66" s="102"/>
      <c r="BC66" s="1">
        <v>5</v>
      </c>
      <c r="BD66" s="104">
        <f t="shared" ref="BD66:BD68" si="401">BB66/BC66</f>
        <v>0</v>
      </c>
      <c r="BE66" s="102"/>
      <c r="BF66" s="1">
        <v>5</v>
      </c>
      <c r="BG66" s="104">
        <f t="shared" ref="BG66:BG68" si="402">BE66/BF66</f>
        <v>0</v>
      </c>
      <c r="BH66" s="102"/>
      <c r="BI66" s="1">
        <v>5</v>
      </c>
      <c r="BJ66" s="104">
        <f t="shared" ref="BJ66:BJ68" si="403">BH66/BI66</f>
        <v>0</v>
      </c>
      <c r="BK66" s="102"/>
      <c r="BL66" s="1">
        <v>5</v>
      </c>
      <c r="BM66" s="104">
        <f t="shared" ref="BM66:BM68" si="404">BK66/BL66</f>
        <v>0</v>
      </c>
      <c r="BN66" s="102"/>
      <c r="BO66" s="1">
        <v>5</v>
      </c>
      <c r="BP66" s="104">
        <f t="shared" ref="BP66:BP68" si="405">BN66/BO66</f>
        <v>0</v>
      </c>
      <c r="BQ66" s="102"/>
      <c r="BR66" s="1">
        <v>5</v>
      </c>
      <c r="BS66" s="104">
        <f t="shared" ref="BS66:BS68" si="406">BQ66/BR66</f>
        <v>0</v>
      </c>
      <c r="BT66" s="102"/>
      <c r="BU66" s="1">
        <v>5</v>
      </c>
      <c r="BV66" s="104">
        <f t="shared" ref="BV66:BV68" si="407">BT66/BU66</f>
        <v>0</v>
      </c>
      <c r="BW66" s="102"/>
      <c r="BX66" s="1">
        <v>5</v>
      </c>
      <c r="BY66" s="104">
        <f t="shared" ref="BY66:BY68" si="408">BW66/BX66</f>
        <v>0</v>
      </c>
      <c r="BZ66" s="102"/>
      <c r="CA66" s="1">
        <v>5</v>
      </c>
      <c r="CB66" s="104">
        <f t="shared" ref="CB66:CB68" si="409">BZ66/CA66</f>
        <v>0</v>
      </c>
      <c r="CC66" s="102"/>
      <c r="CD66" s="1">
        <v>5</v>
      </c>
      <c r="CE66" s="104">
        <f t="shared" ref="CE66:CE68" si="410">CC66/CD66</f>
        <v>0</v>
      </c>
      <c r="CF66" s="102"/>
      <c r="CG66" s="1">
        <v>5</v>
      </c>
      <c r="CH66" s="104">
        <f t="shared" ref="CH66:CH68" si="411">CF66/CG66</f>
        <v>0</v>
      </c>
      <c r="CI66" s="102"/>
      <c r="CJ66" s="1">
        <v>5</v>
      </c>
      <c r="CK66" s="104">
        <f t="shared" ref="CK66:CK68" si="412">CI66/CJ66</f>
        <v>0</v>
      </c>
      <c r="CL66" s="102"/>
      <c r="CM66" s="1">
        <v>5</v>
      </c>
      <c r="CN66" s="104">
        <f t="shared" ref="CN66:CN68" si="413">CL66/CM66</f>
        <v>0</v>
      </c>
      <c r="CO66" s="102"/>
      <c r="CP66" s="1">
        <v>5</v>
      </c>
      <c r="CQ66" s="104">
        <f t="shared" ref="CQ66:CQ68" si="414">CO66/CP66</f>
        <v>0</v>
      </c>
      <c r="CR66" s="102"/>
      <c r="CS66" s="1">
        <v>5</v>
      </c>
      <c r="CT66" s="104">
        <f t="shared" ref="CT66:CT68" si="415">CR66/CS66</f>
        <v>0</v>
      </c>
      <c r="CU66" s="102"/>
      <c r="CV66" s="1">
        <v>5</v>
      </c>
      <c r="CW66" s="104">
        <f t="shared" ref="CW66:CW68" si="416">CU66/CV66</f>
        <v>0</v>
      </c>
      <c r="CX66" s="102"/>
      <c r="CY66" s="1">
        <v>5</v>
      </c>
      <c r="CZ66" s="104">
        <f t="shared" ref="CZ66:CZ68" si="417">CX66/CY66</f>
        <v>0</v>
      </c>
      <c r="DA66" s="102"/>
      <c r="DB66" s="1">
        <v>5</v>
      </c>
      <c r="DC66" s="104">
        <f t="shared" ref="DC66:DC68" si="418">DA66/DB66</f>
        <v>0</v>
      </c>
      <c r="DD66" s="102"/>
      <c r="DE66" s="1">
        <v>5</v>
      </c>
      <c r="DF66" s="104">
        <f t="shared" ref="DF66:DF68" si="419">DD66/DE66</f>
        <v>0</v>
      </c>
      <c r="DG66" s="102"/>
      <c r="DH66" s="1">
        <v>5</v>
      </c>
      <c r="DI66" s="104">
        <f t="shared" ref="DI66:DI68" si="420">DG66/DH66</f>
        <v>0</v>
      </c>
      <c r="DJ66" s="102"/>
      <c r="DK66" s="1">
        <v>5</v>
      </c>
      <c r="DL66" s="104">
        <f t="shared" ref="DL66:DL68" si="421">DJ66/DK66</f>
        <v>0</v>
      </c>
      <c r="DM66" s="102"/>
      <c r="DN66" s="1">
        <v>5</v>
      </c>
      <c r="DO66" s="104">
        <f t="shared" ref="DO66:DO68" si="422">DM66/DN66</f>
        <v>0</v>
      </c>
      <c r="DP66" s="102"/>
      <c r="DQ66" s="1">
        <v>5</v>
      </c>
      <c r="DR66" s="104">
        <f t="shared" ref="DR66:DR68" si="423">DP66/DQ66</f>
        <v>0</v>
      </c>
      <c r="DS66" s="102"/>
      <c r="DT66" s="1">
        <v>5</v>
      </c>
      <c r="DU66" s="104">
        <f t="shared" ref="DU66:DU68" si="424">DS66/DT66</f>
        <v>0</v>
      </c>
      <c r="DV66" s="102"/>
      <c r="DW66" s="1">
        <v>5</v>
      </c>
      <c r="DX66" s="104">
        <f t="shared" ref="DX66:DX68" si="425">DV66/DW66</f>
        <v>0</v>
      </c>
      <c r="DY66" s="102"/>
      <c r="DZ66" s="1">
        <v>5</v>
      </c>
      <c r="EA66" s="104">
        <f t="shared" ref="EA66:EA68" si="426">DY66/DZ66</f>
        <v>0</v>
      </c>
      <c r="EB66" s="102"/>
      <c r="EC66" s="1">
        <v>5</v>
      </c>
      <c r="ED66" s="104">
        <f t="shared" ref="ED66:ED68" si="427">EB66/EC66</f>
        <v>0</v>
      </c>
      <c r="EE66" s="102"/>
      <c r="EF66" s="1">
        <v>5</v>
      </c>
      <c r="EG66" s="104">
        <f t="shared" ref="EG66:EG68" si="428">EE66/EF66</f>
        <v>0</v>
      </c>
      <c r="EH66" s="102"/>
      <c r="EI66" s="1">
        <v>5</v>
      </c>
      <c r="EJ66" s="104">
        <f t="shared" ref="EJ66:EJ68" si="429">EH66/EI66</f>
        <v>0</v>
      </c>
      <c r="EK66" s="102"/>
      <c r="EL66" s="1">
        <v>5</v>
      </c>
      <c r="EM66" s="104">
        <f t="shared" ref="EM66:EM68" si="430">EK66/EL66</f>
        <v>0</v>
      </c>
      <c r="EN66" s="102"/>
      <c r="EO66" s="1">
        <v>5</v>
      </c>
      <c r="EP66" s="104">
        <f t="shared" ref="EP66:EP68" si="431">EN66/EO66</f>
        <v>0</v>
      </c>
      <c r="EQ66" s="85">
        <f t="array" ref="EQ66">IFERROR(_xlfn.LET(
_xlpm.datos,CHOOSE({1;2;3;4;5;6;7;8;9;10;11;12;13;13;14;15;16;17;18;19;20;21;22;23;23;24;25;26;27;28;29;30;31;32;33;34;35;36;37;38;39;40;41;42;43;44;45;46;47},E66,H66,K66,N66,Q66,T66,W66,Z66,AC66,AF66,AI66,AL66,AO66,AR66,AU66,AX66,BA66,BD66,BG66,BJ66,BP66,BS66,BV66,BY66,CB66,CE66,CH66,CK66,CN66,CQ66,CT66,CW66,CZ66,DC66,DF66,DI66,DL66,DO66,DR66,DU66,DX66,EA66,ED66,EG66,EJ66,EM66,EP66),
AVERAGE(_xlfn._xlws.FILTER(_xlpm.datos,(_xlpm.datos&lt;&gt;0)*(_xlpm.datos&lt;&gt;"")))
),0)</f>
        <v>0</v>
      </c>
      <c r="ER66" s="162" t="str">
        <f t="array" ref="ER66">_xlfn.IFS(EQ66&gt;=91.5%,"MENSUAL",EQ66&gt;=75%,"QUINCENAL",EQ66&lt;75%,"SEMANAL")</f>
        <v>SEMANAL</v>
      </c>
    </row>
    <row r="67" ht="16" customHeight="1" spans="1:148" x14ac:dyDescent="0.25">
      <c r="A67" s="183" t="s">
        <v>233</v>
      </c>
      <c r="B67" s="188"/>
      <c r="C67" s="102"/>
      <c r="D67" s="103">
        <v>5</v>
      </c>
      <c r="E67" s="104">
        <f t="shared" si="384"/>
        <v>0</v>
      </c>
      <c r="F67" s="102"/>
      <c r="G67" s="103">
        <v>5</v>
      </c>
      <c r="H67" s="104">
        <f t="shared" si="385"/>
        <v>0</v>
      </c>
      <c r="I67" s="105"/>
      <c r="J67" s="103">
        <v>5</v>
      </c>
      <c r="K67" s="104">
        <f t="shared" si="386"/>
        <v>0</v>
      </c>
      <c r="L67" s="105"/>
      <c r="M67" s="103">
        <v>5</v>
      </c>
      <c r="N67" s="104">
        <f t="shared" si="387"/>
        <v>0</v>
      </c>
      <c r="O67" s="106"/>
      <c r="P67" s="107">
        <v>5</v>
      </c>
      <c r="Q67" s="104">
        <f t="shared" si="388"/>
        <v>0</v>
      </c>
      <c r="R67" s="102"/>
      <c r="S67" s="107">
        <v>5</v>
      </c>
      <c r="T67" s="104">
        <f t="shared" si="389"/>
        <v>0</v>
      </c>
      <c r="U67" s="102"/>
      <c r="V67" s="107">
        <v>5</v>
      </c>
      <c r="W67" s="104">
        <f t="shared" si="390"/>
        <v>0</v>
      </c>
      <c r="X67" s="102"/>
      <c r="Y67" s="107">
        <v>5</v>
      </c>
      <c r="Z67" s="104">
        <f t="shared" si="391"/>
        <v>0</v>
      </c>
      <c r="AA67" s="106"/>
      <c r="AB67" s="107">
        <v>5</v>
      </c>
      <c r="AC67" s="104">
        <f t="shared" si="392"/>
        <v>0</v>
      </c>
      <c r="AD67" s="106"/>
      <c r="AE67" s="107">
        <v>5</v>
      </c>
      <c r="AF67" s="104">
        <f t="shared" si="393"/>
        <v>0</v>
      </c>
      <c r="AG67" s="106"/>
      <c r="AH67" s="107">
        <v>5</v>
      </c>
      <c r="AI67" s="104">
        <f t="shared" si="394"/>
        <v>0</v>
      </c>
      <c r="AJ67" s="106"/>
      <c r="AK67" s="107">
        <v>5</v>
      </c>
      <c r="AL67" s="104">
        <f t="shared" si="395"/>
        <v>0</v>
      </c>
      <c r="AM67" s="102"/>
      <c r="AN67" s="1">
        <v>5</v>
      </c>
      <c r="AO67" s="104">
        <f t="shared" si="396"/>
        <v>0</v>
      </c>
      <c r="AP67" s="102"/>
      <c r="AQ67" s="1">
        <v>5</v>
      </c>
      <c r="AR67" s="104">
        <f t="shared" si="397"/>
        <v>0</v>
      </c>
      <c r="AS67" s="102"/>
      <c r="AT67" s="1">
        <v>5</v>
      </c>
      <c r="AU67" s="104">
        <f t="shared" si="398"/>
        <v>0</v>
      </c>
      <c r="AV67" s="102"/>
      <c r="AW67" s="1">
        <v>5</v>
      </c>
      <c r="AX67" s="104">
        <f t="shared" si="399"/>
        <v>0</v>
      </c>
      <c r="AY67" s="102"/>
      <c r="AZ67" s="1">
        <v>5</v>
      </c>
      <c r="BA67" s="104">
        <f t="shared" si="400"/>
        <v>0</v>
      </c>
      <c r="BB67" s="102"/>
      <c r="BC67" s="1">
        <v>5</v>
      </c>
      <c r="BD67" s="104">
        <f t="shared" si="401"/>
        <v>0</v>
      </c>
      <c r="BE67" s="102"/>
      <c r="BF67" s="1">
        <v>5</v>
      </c>
      <c r="BG67" s="104">
        <f t="shared" si="402"/>
        <v>0</v>
      </c>
      <c r="BH67" s="102"/>
      <c r="BI67" s="1">
        <v>5</v>
      </c>
      <c r="BJ67" s="104">
        <f t="shared" si="403"/>
        <v>0</v>
      </c>
      <c r="BK67" s="102"/>
      <c r="BL67" s="1">
        <v>5</v>
      </c>
      <c r="BM67" s="104">
        <f t="shared" si="404"/>
        <v>0</v>
      </c>
      <c r="BN67" s="102"/>
      <c r="BO67" s="1">
        <v>5</v>
      </c>
      <c r="BP67" s="104">
        <f t="shared" si="405"/>
        <v>0</v>
      </c>
      <c r="BQ67" s="102"/>
      <c r="BR67" s="1">
        <v>5</v>
      </c>
      <c r="BS67" s="104">
        <f t="shared" si="406"/>
        <v>0</v>
      </c>
      <c r="BT67" s="102"/>
      <c r="BU67" s="1">
        <v>5</v>
      </c>
      <c r="BV67" s="104">
        <f t="shared" si="407"/>
        <v>0</v>
      </c>
      <c r="BW67" s="102"/>
      <c r="BX67" s="1">
        <v>5</v>
      </c>
      <c r="BY67" s="104">
        <f t="shared" si="408"/>
        <v>0</v>
      </c>
      <c r="BZ67" s="102"/>
      <c r="CA67" s="1">
        <v>5</v>
      </c>
      <c r="CB67" s="104">
        <f t="shared" si="409"/>
        <v>0</v>
      </c>
      <c r="CC67" s="102"/>
      <c r="CD67" s="1">
        <v>5</v>
      </c>
      <c r="CE67" s="104">
        <f t="shared" si="410"/>
        <v>0</v>
      </c>
      <c r="CF67" s="102"/>
      <c r="CG67" s="1">
        <v>5</v>
      </c>
      <c r="CH67" s="104">
        <f t="shared" si="411"/>
        <v>0</v>
      </c>
      <c r="CI67" s="102"/>
      <c r="CJ67" s="1">
        <v>5</v>
      </c>
      <c r="CK67" s="104">
        <f t="shared" si="412"/>
        <v>0</v>
      </c>
      <c r="CL67" s="102"/>
      <c r="CM67" s="1">
        <v>5</v>
      </c>
      <c r="CN67" s="104">
        <f t="shared" si="413"/>
        <v>0</v>
      </c>
      <c r="CO67" s="102"/>
      <c r="CP67" s="1">
        <v>5</v>
      </c>
      <c r="CQ67" s="104">
        <f t="shared" si="414"/>
        <v>0</v>
      </c>
      <c r="CR67" s="102"/>
      <c r="CS67" s="1">
        <v>5</v>
      </c>
      <c r="CT67" s="104">
        <f t="shared" si="415"/>
        <v>0</v>
      </c>
      <c r="CU67" s="102"/>
      <c r="CV67" s="1">
        <v>5</v>
      </c>
      <c r="CW67" s="104">
        <f t="shared" si="416"/>
        <v>0</v>
      </c>
      <c r="CX67" s="102"/>
      <c r="CY67" s="1">
        <v>5</v>
      </c>
      <c r="CZ67" s="104">
        <f t="shared" si="417"/>
        <v>0</v>
      </c>
      <c r="DA67" s="102"/>
      <c r="DB67" s="1">
        <v>5</v>
      </c>
      <c r="DC67" s="104">
        <f t="shared" si="418"/>
        <v>0</v>
      </c>
      <c r="DD67" s="102"/>
      <c r="DE67" s="1">
        <v>5</v>
      </c>
      <c r="DF67" s="104">
        <f t="shared" si="419"/>
        <v>0</v>
      </c>
      <c r="DG67" s="102"/>
      <c r="DH67" s="1">
        <v>5</v>
      </c>
      <c r="DI67" s="104">
        <f t="shared" si="420"/>
        <v>0</v>
      </c>
      <c r="DJ67" s="102"/>
      <c r="DK67" s="1">
        <v>5</v>
      </c>
      <c r="DL67" s="104">
        <f t="shared" si="421"/>
        <v>0</v>
      </c>
      <c r="DM67" s="102"/>
      <c r="DN67" s="1">
        <v>5</v>
      </c>
      <c r="DO67" s="104">
        <f t="shared" si="422"/>
        <v>0</v>
      </c>
      <c r="DP67" s="102"/>
      <c r="DQ67" s="1">
        <v>5</v>
      </c>
      <c r="DR67" s="104">
        <f t="shared" si="423"/>
        <v>0</v>
      </c>
      <c r="DS67" s="102"/>
      <c r="DT67" s="1">
        <v>5</v>
      </c>
      <c r="DU67" s="104">
        <f t="shared" si="424"/>
        <v>0</v>
      </c>
      <c r="DV67" s="102"/>
      <c r="DW67" s="1">
        <v>5</v>
      </c>
      <c r="DX67" s="104">
        <f t="shared" si="425"/>
        <v>0</v>
      </c>
      <c r="DY67" s="102"/>
      <c r="DZ67" s="1">
        <v>5</v>
      </c>
      <c r="EA67" s="104">
        <f t="shared" si="426"/>
        <v>0</v>
      </c>
      <c r="EB67" s="102"/>
      <c r="EC67" s="1">
        <v>5</v>
      </c>
      <c r="ED67" s="104">
        <f t="shared" si="427"/>
        <v>0</v>
      </c>
      <c r="EE67" s="102"/>
      <c r="EF67" s="1">
        <v>5</v>
      </c>
      <c r="EG67" s="104">
        <f t="shared" si="428"/>
        <v>0</v>
      </c>
      <c r="EH67" s="102"/>
      <c r="EI67" s="1">
        <v>5</v>
      </c>
      <c r="EJ67" s="104">
        <f t="shared" si="429"/>
        <v>0</v>
      </c>
      <c r="EK67" s="102"/>
      <c r="EL67" s="1">
        <v>5</v>
      </c>
      <c r="EM67" s="104">
        <f t="shared" si="430"/>
        <v>0</v>
      </c>
      <c r="EN67" s="102"/>
      <c r="EO67" s="1">
        <v>5</v>
      </c>
      <c r="EP67" s="104">
        <f t="shared" si="431"/>
        <v>0</v>
      </c>
      <c r="EQ67" s="85">
        <f t="array" ref="EQ67">IFERROR(_xlfn.LET(
_xlpm.datos,CHOOSE({1;2;3;4;5;6;7;8;9;10;11;12;13;13;14;15;16;17;18;19;20;21;22;23;23;24;25;26;27;28;29;30;31;32;33;34;35;36;37;38;39;40;41;42;43;44;45;46;47},E67,H67,K67,N67,Q67,T67,W67,Z67,AC67,AF67,AI67,AL67,AO67,AR67,AU67,AX67,BA67,BD67,BG67,BJ67,BP67,BS67,BV67,BY67,CB67,CE67,CH67,CK67,CN67,CQ67,CT67,CW67,CZ67,DC67,DF67,DI67,DL67,DO67,DR67,DU67,DX67,EA67,ED67,EG67,EJ67,EM67,EP67),
AVERAGE(_xlfn._xlws.FILTER(_xlpm.datos,(_xlpm.datos&lt;&gt;0)*(_xlpm.datos&lt;&gt;"")))
),0)</f>
        <v>0</v>
      </c>
      <c r="ER67" s="162" t="str">
        <f t="array" ref="ER67">_xlfn.IFS(EQ67&gt;=91.5%,"MENSUAL",EQ67&gt;=75%,"QUINCENAL",EQ67&lt;75%,"SEMANAL")</f>
        <v>SEMANAL</v>
      </c>
    </row>
    <row r="68" ht="16" customHeight="1" spans="1:148" x14ac:dyDescent="0.25">
      <c r="A68" s="184" t="s">
        <v>234</v>
      </c>
      <c r="B68" s="191"/>
      <c r="C68" s="151"/>
      <c r="D68" s="152">
        <v>5</v>
      </c>
      <c r="E68" s="153">
        <f t="shared" si="384"/>
        <v>0</v>
      </c>
      <c r="F68" s="151"/>
      <c r="G68" s="152">
        <v>5</v>
      </c>
      <c r="H68" s="153">
        <f t="shared" si="385"/>
        <v>0</v>
      </c>
      <c r="I68" s="154"/>
      <c r="J68" s="152">
        <v>5</v>
      </c>
      <c r="K68" s="153">
        <f t="shared" si="386"/>
        <v>0</v>
      </c>
      <c r="L68" s="154"/>
      <c r="M68" s="152">
        <v>5</v>
      </c>
      <c r="N68" s="153">
        <f t="shared" si="387"/>
        <v>0</v>
      </c>
      <c r="O68" s="155"/>
      <c r="P68" s="156">
        <v>5</v>
      </c>
      <c r="Q68" s="153">
        <f t="shared" si="388"/>
        <v>0</v>
      </c>
      <c r="R68" s="151"/>
      <c r="S68" s="156">
        <v>5</v>
      </c>
      <c r="T68" s="153">
        <f t="shared" si="389"/>
        <v>0</v>
      </c>
      <c r="U68" s="151"/>
      <c r="V68" s="156">
        <v>5</v>
      </c>
      <c r="W68" s="153">
        <f t="shared" si="390"/>
        <v>0</v>
      </c>
      <c r="X68" s="151"/>
      <c r="Y68" s="156">
        <v>5</v>
      </c>
      <c r="Z68" s="153">
        <f t="shared" si="391"/>
        <v>0</v>
      </c>
      <c r="AA68" s="155"/>
      <c r="AB68" s="156">
        <v>5</v>
      </c>
      <c r="AC68" s="153">
        <f t="shared" si="392"/>
        <v>0</v>
      </c>
      <c r="AD68" s="155"/>
      <c r="AE68" s="156">
        <v>5</v>
      </c>
      <c r="AF68" s="153">
        <f t="shared" si="393"/>
        <v>0</v>
      </c>
      <c r="AG68" s="155"/>
      <c r="AH68" s="156">
        <v>5</v>
      </c>
      <c r="AI68" s="153">
        <f t="shared" si="394"/>
        <v>0</v>
      </c>
      <c r="AJ68" s="155"/>
      <c r="AK68" s="156">
        <v>5</v>
      </c>
      <c r="AL68" s="153">
        <f t="shared" si="395"/>
        <v>0</v>
      </c>
      <c r="AM68" s="151"/>
      <c r="AN68" s="157">
        <v>5</v>
      </c>
      <c r="AO68" s="153">
        <f t="shared" si="396"/>
        <v>0</v>
      </c>
      <c r="AP68" s="151"/>
      <c r="AQ68" s="157">
        <v>5</v>
      </c>
      <c r="AR68" s="153">
        <f t="shared" si="397"/>
        <v>0</v>
      </c>
      <c r="AS68" s="151"/>
      <c r="AT68" s="157">
        <v>5</v>
      </c>
      <c r="AU68" s="153">
        <f t="shared" si="398"/>
        <v>0</v>
      </c>
      <c r="AV68" s="151"/>
      <c r="AW68" s="157">
        <v>5</v>
      </c>
      <c r="AX68" s="153">
        <f t="shared" si="399"/>
        <v>0</v>
      </c>
      <c r="AY68" s="151"/>
      <c r="AZ68" s="157">
        <v>5</v>
      </c>
      <c r="BA68" s="153">
        <f t="shared" si="400"/>
        <v>0</v>
      </c>
      <c r="BB68" s="151"/>
      <c r="BC68" s="157">
        <v>5</v>
      </c>
      <c r="BD68" s="153">
        <f t="shared" si="401"/>
        <v>0</v>
      </c>
      <c r="BE68" s="151"/>
      <c r="BF68" s="157">
        <v>5</v>
      </c>
      <c r="BG68" s="153">
        <f t="shared" si="402"/>
        <v>0</v>
      </c>
      <c r="BH68" s="151"/>
      <c r="BI68" s="157">
        <v>5</v>
      </c>
      <c r="BJ68" s="153">
        <f t="shared" si="403"/>
        <v>0</v>
      </c>
      <c r="BK68" s="151"/>
      <c r="BL68" s="157">
        <v>5</v>
      </c>
      <c r="BM68" s="153">
        <f t="shared" si="404"/>
        <v>0</v>
      </c>
      <c r="BN68" s="151"/>
      <c r="BO68" s="157">
        <v>5</v>
      </c>
      <c r="BP68" s="153">
        <f t="shared" si="405"/>
        <v>0</v>
      </c>
      <c r="BQ68" s="151"/>
      <c r="BR68" s="157">
        <v>5</v>
      </c>
      <c r="BS68" s="153">
        <f t="shared" si="406"/>
        <v>0</v>
      </c>
      <c r="BT68" s="151"/>
      <c r="BU68" s="157">
        <v>5</v>
      </c>
      <c r="BV68" s="153">
        <f t="shared" si="407"/>
        <v>0</v>
      </c>
      <c r="BW68" s="151"/>
      <c r="BX68" s="157">
        <v>5</v>
      </c>
      <c r="BY68" s="153">
        <f t="shared" si="408"/>
        <v>0</v>
      </c>
      <c r="BZ68" s="151"/>
      <c r="CA68" s="157">
        <v>5</v>
      </c>
      <c r="CB68" s="153">
        <f t="shared" si="409"/>
        <v>0</v>
      </c>
      <c r="CC68" s="151"/>
      <c r="CD68" s="157">
        <v>5</v>
      </c>
      <c r="CE68" s="153">
        <f t="shared" si="410"/>
        <v>0</v>
      </c>
      <c r="CF68" s="151"/>
      <c r="CG68" s="157">
        <v>5</v>
      </c>
      <c r="CH68" s="153">
        <f t="shared" si="411"/>
        <v>0</v>
      </c>
      <c r="CI68" s="151"/>
      <c r="CJ68" s="157">
        <v>5</v>
      </c>
      <c r="CK68" s="153">
        <f t="shared" si="412"/>
        <v>0</v>
      </c>
      <c r="CL68" s="151"/>
      <c r="CM68" s="157">
        <v>5</v>
      </c>
      <c r="CN68" s="153">
        <f t="shared" si="413"/>
        <v>0</v>
      </c>
      <c r="CO68" s="151"/>
      <c r="CP68" s="157">
        <v>5</v>
      </c>
      <c r="CQ68" s="153">
        <f t="shared" si="414"/>
        <v>0</v>
      </c>
      <c r="CR68" s="151"/>
      <c r="CS68" s="157">
        <v>5</v>
      </c>
      <c r="CT68" s="153">
        <f t="shared" si="415"/>
        <v>0</v>
      </c>
      <c r="CU68" s="151"/>
      <c r="CV68" s="157">
        <v>5</v>
      </c>
      <c r="CW68" s="153">
        <f t="shared" si="416"/>
        <v>0</v>
      </c>
      <c r="CX68" s="151"/>
      <c r="CY68" s="157">
        <v>5</v>
      </c>
      <c r="CZ68" s="153">
        <f t="shared" si="417"/>
        <v>0</v>
      </c>
      <c r="DA68" s="151"/>
      <c r="DB68" s="157">
        <v>5</v>
      </c>
      <c r="DC68" s="153">
        <f t="shared" si="418"/>
        <v>0</v>
      </c>
      <c r="DD68" s="151"/>
      <c r="DE68" s="157">
        <v>5</v>
      </c>
      <c r="DF68" s="153">
        <f t="shared" si="419"/>
        <v>0</v>
      </c>
      <c r="DG68" s="151"/>
      <c r="DH68" s="157">
        <v>5</v>
      </c>
      <c r="DI68" s="153">
        <f t="shared" si="420"/>
        <v>0</v>
      </c>
      <c r="DJ68" s="151"/>
      <c r="DK68" s="157">
        <v>5</v>
      </c>
      <c r="DL68" s="153">
        <f t="shared" si="421"/>
        <v>0</v>
      </c>
      <c r="DM68" s="151"/>
      <c r="DN68" s="157">
        <v>5</v>
      </c>
      <c r="DO68" s="153">
        <f t="shared" si="422"/>
        <v>0</v>
      </c>
      <c r="DP68" s="151"/>
      <c r="DQ68" s="157">
        <v>5</v>
      </c>
      <c r="DR68" s="153">
        <f t="shared" si="423"/>
        <v>0</v>
      </c>
      <c r="DS68" s="151"/>
      <c r="DT68" s="157">
        <v>5</v>
      </c>
      <c r="DU68" s="153">
        <f t="shared" si="424"/>
        <v>0</v>
      </c>
      <c r="DV68" s="151"/>
      <c r="DW68" s="157">
        <v>5</v>
      </c>
      <c r="DX68" s="153">
        <f t="shared" si="425"/>
        <v>0</v>
      </c>
      <c r="DY68" s="151"/>
      <c r="DZ68" s="157">
        <v>5</v>
      </c>
      <c r="EA68" s="153">
        <f t="shared" si="426"/>
        <v>0</v>
      </c>
      <c r="EB68" s="151"/>
      <c r="EC68" s="157">
        <v>5</v>
      </c>
      <c r="ED68" s="153">
        <f t="shared" si="427"/>
        <v>0</v>
      </c>
      <c r="EE68" s="151"/>
      <c r="EF68" s="157">
        <v>5</v>
      </c>
      <c r="EG68" s="153">
        <f t="shared" si="428"/>
        <v>0</v>
      </c>
      <c r="EH68" s="151"/>
      <c r="EI68" s="157">
        <v>5</v>
      </c>
      <c r="EJ68" s="153">
        <f t="shared" si="429"/>
        <v>0</v>
      </c>
      <c r="EK68" s="151"/>
      <c r="EL68" s="157">
        <v>5</v>
      </c>
      <c r="EM68" s="153">
        <f t="shared" si="430"/>
        <v>0</v>
      </c>
      <c r="EN68" s="151"/>
      <c r="EO68" s="157">
        <v>5</v>
      </c>
      <c r="EP68" s="153">
        <f t="shared" si="431"/>
        <v>0</v>
      </c>
      <c r="EQ68" s="85">
        <f t="array" ref="EQ68">IFERROR(_xlfn.LET(
_xlpm.datos,CHOOSE({1;2;3;4;5;6;7;8;9;10;11;12;13;13;14;15;16;17;18;19;20;21;22;23;23;24;25;26;27;28;29;30;31;32;33;34;35;36;37;38;39;40;41;42;43;44;45;46;47},E68,H68,K68,N68,Q68,T68,W68,Z68,AC68,AF68,AI68,AL68,AO68,AR68,AU68,AX68,BA68,BD68,BG68,BJ68,BP68,BS68,BV68,BY68,CB68,CE68,CH68,CK68,CN68,CQ68,CT68,CW68,CZ68,DC68,DF68,DI68,DL68,DO68,DR68,DU68,DX68,EA68,ED68,EG68,EJ68,EM68,EP68),
AVERAGE(_xlfn._xlws.FILTER(_xlpm.datos,(_xlpm.datos&lt;&gt;0)*(_xlpm.datos&lt;&gt;"")))
),0)</f>
        <v>0</v>
      </c>
      <c r="ER68" s="162" t="str">
        <f t="array" ref="ER68">_xlfn.IFS(EQ68&gt;=91.5%,"MENSUAL",EQ68&gt;=75%,"QUINCENAL",EQ68&lt;75%,"SEMANAL")</f>
        <v>SEMANAL</v>
      </c>
    </row>
    <row r="69" spans="88:100" x14ac:dyDescent="0.25">
      <c r="CJ69" s="12"/>
      <c r="CP69" s="12"/>
      <c r="CS69" s="12"/>
      <c r="CV69" s="12"/>
    </row>
    <row r="70" spans="88:100" x14ac:dyDescent="0.25">
      <c r="CJ70" s="12"/>
      <c r="CP70" s="12"/>
      <c r="CS70" s="12"/>
      <c r="CV70" s="12"/>
    </row>
    <row r="71" spans="88:100" x14ac:dyDescent="0.25">
      <c r="CJ71" s="12"/>
      <c r="CP71" s="12"/>
      <c r="CS71" s="12"/>
      <c r="CV71" s="12"/>
    </row>
    <row r="72" spans="88:100" x14ac:dyDescent="0.25">
      <c r="CJ72" s="12"/>
      <c r="CP72" s="12"/>
      <c r="CS72" s="12"/>
      <c r="CV72" s="12"/>
    </row>
    <row r="73" spans="88:100" x14ac:dyDescent="0.25">
      <c r="CJ73" s="12"/>
      <c r="CP73" s="12"/>
      <c r="CS73" s="12"/>
      <c r="CV73" s="12"/>
    </row>
    <row r="74" spans="88:100" x14ac:dyDescent="0.25">
      <c r="CJ74" s="12"/>
      <c r="CP74" s="12"/>
      <c r="CS74" s="12"/>
      <c r="CV74" s="12"/>
    </row>
    <row r="75" spans="88:100" x14ac:dyDescent="0.25">
      <c r="CJ75" s="12"/>
      <c r="CP75" s="12"/>
      <c r="CS75" s="12"/>
      <c r="CV75" s="12"/>
    </row>
    <row r="76" spans="88:100" x14ac:dyDescent="0.25">
      <c r="CJ76" s="12"/>
      <c r="CP76" s="12"/>
      <c r="CS76" s="12"/>
      <c r="CV76" s="12"/>
    </row>
    <row r="77" spans="52:100" x14ac:dyDescent="0.25">
      <c r="AZ77" s="160"/>
      <c r="CJ77" s="12"/>
      <c r="CP77" s="12"/>
      <c r="CS77" s="12"/>
      <c r="CV77" s="12"/>
    </row>
    <row r="78" spans="88:100" x14ac:dyDescent="0.25">
      <c r="CJ78" s="12"/>
      <c r="CP78" s="12"/>
      <c r="CS78" s="12"/>
      <c r="CV78" s="12"/>
    </row>
    <row r="79" spans="88:100" x14ac:dyDescent="0.25">
      <c r="CJ79" s="12"/>
      <c r="CP79" s="12"/>
      <c r="CS79" s="12"/>
      <c r="CV79" s="12"/>
    </row>
    <row r="80" spans="88:100" x14ac:dyDescent="0.25">
      <c r="CJ80" s="12"/>
      <c r="CS80" s="12"/>
      <c r="CV80" s="12"/>
    </row>
    <row r="81" spans="88:100" x14ac:dyDescent="0.25">
      <c r="CJ81" s="12"/>
      <c r="CS81" s="12"/>
      <c r="CV81" s="12"/>
    </row>
    <row r="82" spans="88:100" x14ac:dyDescent="0.25">
      <c r="CJ82" s="12"/>
      <c r="CS82" s="12"/>
      <c r="CV82" s="12"/>
    </row>
    <row r="83" spans="88:100" x14ac:dyDescent="0.25">
      <c r="CJ83" s="12"/>
      <c r="CV83" s="12"/>
    </row>
    <row r="84" spans="88:88" x14ac:dyDescent="0.25">
      <c r="CJ84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68">
    <cfRule type="containsText" dxfId="15" priority="1">
      <formula>NOT(ISERROR(SEARCH("QUINCENAL",ER8)))</formula>
    </cfRule>
    <cfRule type="containsText" dxfId="16" priority="2">
      <formula>NOT(ISERROR(SEARCH("MENSUAL",ER8)))</formula>
    </cfRule>
    <cfRule type="containsText" dxfId="17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B1:O99"/>
  <sheetViews>
    <sheetView workbookViewId="0" showGridLines="0" zoomScale="70" zoomScaleNormal="70">
      <selection activeCell="E8" sqref="E8"/>
    </sheetView>
  </sheetViews>
  <sheetFormatPr defaultRowHeight="14.5" outlineLevelRow="0" outlineLevelCol="0" x14ac:dyDescent="0.35" customHeight="1"/>
  <cols>
    <col min="1" max="1" width="11.453125" customWidth="1"/>
    <col min="2" max="2" width="24.72656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spans="7:8" x14ac:dyDescent="0.25">
      <c r="G2" t="s">
        <v>2</v>
      </c>
      <c r="H2" t="s">
        <v>2</v>
      </c>
    </row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_xlfn.XMATCH($D$3,'2. Prev_Frecu Caliente (dia)'!6:6,0)+2</f>
        <v>5</v>
      </c>
      <c r="H4" s="319">
        <f>_xlfn.XMATCH($E$3,'2. Prev_Frecu Caliente (dia)'!6:6,0)+2</f>
        <v>146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5" t="s">
        <v>14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17</v>
      </c>
      <c r="O9">
        <v>14</v>
      </c>
    </row>
    <row r="10" ht="15.5" customHeight="1" spans="3:15" x14ac:dyDescent="0.25">
      <c r="C10" s="320" t="s">
        <v>191</v>
      </c>
      <c r="D10" s="321">
        <f t="array" ref="D10">_xlfn.LET(
    _xlpm.Fila,$F10,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21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34</v>
      </c>
      <c r="O11">
        <v>30</v>
      </c>
    </row>
    <row r="12" ht="19.5" customHeight="1" spans="3:15" x14ac:dyDescent="0.25">
      <c r="C12" s="322" t="s">
        <v>111</v>
      </c>
      <c r="D12" s="321">
        <f t="array" ref="D12">_xlfn.LET(
    _xlpm.Fila,$F12,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43</v>
      </c>
      <c r="O12">
        <v>36</v>
      </c>
    </row>
    <row r="13" ht="31" customHeight="1" spans="3:15" x14ac:dyDescent="0.25">
      <c r="C13" s="322" t="s">
        <v>154</v>
      </c>
      <c r="D13" s="321">
        <f t="array" ref="D13">_xlfn.LET(
    _xlpm.Fila,$F13,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57</v>
      </c>
      <c r="O13">
        <v>47</v>
      </c>
    </row>
    <row r="14" ht="15.5" customHeight="1" spans="3:15" x14ac:dyDescent="0.25">
      <c r="C14" s="322" t="s">
        <v>214</v>
      </c>
      <c r="D14" s="321">
        <f t="array" ref="D14">_xlfn.LET(
    _xlpm.Fila,$F14,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65</v>
      </c>
      <c r="O14">
        <v>53</v>
      </c>
    </row>
    <row r="15" ht="15.5" customHeight="1" spans="3:15" x14ac:dyDescent="0.25">
      <c r="C15" s="299" t="s">
        <v>158</v>
      </c>
      <c r="D15" s="321">
        <f t="array" ref="D15">_xlfn.LET(
    _xlpm.Fila,$F15,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67</v>
      </c>
      <c r="O15">
        <v>55</v>
      </c>
    </row>
    <row r="16" ht="15.5" customHeight="1" spans="3:6" x14ac:dyDescent="0.25">
      <c r="C16" s="323" t="s">
        <v>130</v>
      </c>
      <c r="D16" s="321">
        <f t="array" ref="D16">_xlfn.LET(
    _xlpm.Fila,$F16,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78</v>
      </c>
    </row>
    <row r="20" ht="35" customHeight="1" spans="3:5" x14ac:dyDescent="0.25">
      <c r="C20" s="300" t="s">
        <v>247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36.5" customHeight="1" spans="3:6" x14ac:dyDescent="0.25">
      <c r="C22" s="324" t="s">
        <v>78</v>
      </c>
      <c r="D22" s="321">
        <f t="array" ref="D22">_xlfn.LET(
    _xlpm.Fila,$F22,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25" t="s">
        <v>135</v>
      </c>
      <c r="D23" s="321">
        <f t="array" ref="D23">_xlfn.LET(
    _xlpm.Fila,$F23,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25" t="s">
        <v>136</v>
      </c>
      <c r="D24" s="321">
        <f t="array" ref="D24">_xlfn.LET(
    _xlpm.Fila,$F24,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31.5" customHeight="1" spans="3:6" x14ac:dyDescent="0.25">
      <c r="C25" s="325" t="s">
        <v>137</v>
      </c>
      <c r="D25" s="321">
        <f t="array" ref="D25">_xlfn.LET(
    _xlpm.Fila,$F25,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26" t="s">
        <v>138</v>
      </c>
      <c r="D26" s="321">
        <f t="array" ref="D26">_xlfn.LET(
    _xlpm.Fila,$F26,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30" customHeight="1" spans="3:6" x14ac:dyDescent="0.25">
      <c r="C27" s="325" t="s">
        <v>84</v>
      </c>
      <c r="D27" s="321">
        <f t="array" ref="D27">_xlfn.LET(
    _xlpm.Fila,$F27,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7" s="328" t="str">
        <f t="array" ref="E27">_xlfn.IFS(D27&gt;=91.5%,"MENSUAL",D27&gt;=75%,"QUINCENAL",D27&lt;75%,"SEMANAL")</f>
        <v>SEMANAL</v>
      </c>
      <c r="F27">
        <v>14</v>
      </c>
    </row>
    <row r="28" ht="30" customHeight="1" spans="3:6" x14ac:dyDescent="0.25">
      <c r="C28" s="325" t="s">
        <v>87</v>
      </c>
      <c r="D28" s="321">
        <f t="array" ref="D28">_xlfn.LET(
    _xlpm.Fila,$F28,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8" s="328" t="str">
        <f t="array" ref="E28">_xlfn.IFS(D28&gt;=91.5%,"MENSUAL",D28&gt;=75%,"QUINCENAL",D28&lt;75%,"SEMANAL")</f>
        <v>SEMANAL</v>
      </c>
      <c r="F28">
        <v>15</v>
      </c>
    </row>
    <row r="29" ht="30" customHeight="1" spans="3:6" x14ac:dyDescent="0.25">
      <c r="C29" s="325" t="s">
        <v>139</v>
      </c>
      <c r="D29" s="321">
        <f t="array" ref="D29">_xlfn.LET(
    _xlpm.Fila,$F29,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29" s="328" t="str">
        <f t="array" ref="E29">_xlfn.IFS(D29&gt;=91.5%,"MENSUAL",D29&gt;=75%,"QUINCENAL",D29&lt;75%,"SEMANAL")</f>
        <v>SEMANAL</v>
      </c>
      <c r="F29">
        <v>16</v>
      </c>
    </row>
    <row r="30" ht="35" customHeight="1" spans="3:6" x14ac:dyDescent="0.25">
      <c r="C30" s="303" t="s">
        <v>188</v>
      </c>
      <c r="D30" s="304"/>
      <c r="E30" s="305"/>
      <c r="F30">
        <v>17</v>
      </c>
    </row>
    <row r="31" ht="29.5" customHeight="1" spans="3:6" x14ac:dyDescent="0.25">
      <c r="C31" s="318" t="s">
        <v>140</v>
      </c>
      <c r="D31" s="321">
        <f t="array" ref="D31">_xlfn.LET(
    _xlpm.Fila,$F31,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1" s="311" t="str">
        <f t="array" ref="E31">_xlfn.IFS(D31&gt;=91.5%,"MENSUAL",D31&gt;=75%,"QUINCENAL",D31&lt;75%,"SEMANAL")</f>
        <v>SEMANAL</v>
      </c>
      <c r="F31">
        <v>18</v>
      </c>
    </row>
    <row r="32" ht="56" customHeight="1" spans="3:6" x14ac:dyDescent="0.25">
      <c r="C32" s="165" t="s">
        <v>141</v>
      </c>
      <c r="D32" s="321">
        <f t="array" ref="D32">_xlfn.LET(
    _xlpm.Fila,$F32,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64.5" customHeight="1" spans="3:6" x14ac:dyDescent="0.25">
      <c r="C33" s="318" t="s">
        <v>91</v>
      </c>
      <c r="D33" s="321">
        <f t="array" ref="D33">_xlfn.LET(
    _xlpm.Fila,$F33,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34.5" customHeight="1" spans="3:6" x14ac:dyDescent="0.25">
      <c r="C34" s="329" t="s">
        <v>191</v>
      </c>
      <c r="D34" s="330"/>
      <c r="E34" s="331"/>
      <c r="F34">
        <v>21</v>
      </c>
    </row>
    <row r="35" ht="25.5" customHeight="1" spans="3:6" x14ac:dyDescent="0.25">
      <c r="C35" s="165" t="s">
        <v>94</v>
      </c>
      <c r="D35" s="321">
        <f t="array" ref="D35">_xlfn.LET(
    _xlpm.Fila,$F35,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25.5" customHeight="1" spans="3:6" x14ac:dyDescent="0.25">
      <c r="C36" s="165" t="s">
        <v>142</v>
      </c>
      <c r="D36" s="321">
        <f t="array" ref="D36">_xlfn.LET(
    _xlpm.Fila,$F36,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25.5" customHeight="1" spans="3:6" x14ac:dyDescent="0.25">
      <c r="C37" s="165" t="s">
        <v>143</v>
      </c>
      <c r="D37" s="321">
        <f t="array" ref="D37">_xlfn.LET(
    _xlpm.Fila,$F37,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25.5" customHeight="1" spans="3:6" x14ac:dyDescent="0.25">
      <c r="C38" s="165" t="s">
        <v>96</v>
      </c>
      <c r="D38" s="321">
        <f t="array" ref="D38">_xlfn.LET(
    _xlpm.Fila,$F38,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25.5" customHeight="1" spans="3:6" x14ac:dyDescent="0.25">
      <c r="C39" s="165" t="s">
        <v>97</v>
      </c>
      <c r="D39" s="321">
        <f t="array" ref="D39">_xlfn.LET(
    _xlpm.Fila,$F39,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26</v>
      </c>
    </row>
    <row r="40" ht="25.5" customHeight="1" spans="3:6" x14ac:dyDescent="0.25">
      <c r="C40" s="165" t="s">
        <v>144</v>
      </c>
      <c r="D40" s="321">
        <f t="array" ref="D40">_xlfn.LET(
    _xlpm.Fila,$F40,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45.5" customHeight="1" spans="3:6" x14ac:dyDescent="0.25">
      <c r="C41" s="165" t="s">
        <v>99</v>
      </c>
      <c r="D41" s="321">
        <f t="array" ref="D41">_xlfn.LET(
    _xlpm.Fila,$F41,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47.5" customHeight="1" spans="3:6" x14ac:dyDescent="0.25">
      <c r="C42" s="165" t="s">
        <v>100</v>
      </c>
      <c r="D42" s="321">
        <f t="array" ref="D42">_xlfn.LET(
    _xlpm.Fila,$F42,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49.5" customHeight="1" spans="3:6" x14ac:dyDescent="0.25">
      <c r="C43" s="165" t="s">
        <v>101</v>
      </c>
      <c r="D43" s="321">
        <f t="array" ref="D43">_xlfn.LET(
    _xlpm.Fila,$F43,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33" customHeight="1" spans="3:6" x14ac:dyDescent="0.25">
      <c r="C44" s="318" t="s">
        <v>102</v>
      </c>
      <c r="D44" s="321">
        <f t="array" ref="D44">_xlfn.LET(
    _xlpm.Fila,$F44,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21.5" customHeight="1" spans="3:6" x14ac:dyDescent="0.25">
      <c r="C45" s="318" t="s">
        <v>103</v>
      </c>
      <c r="D45" s="321">
        <f t="array" ref="D45">_xlfn.LET(
    _xlpm.Fila,$F45,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32</v>
      </c>
    </row>
    <row r="46" ht="31.5" customHeight="1" spans="3:6" x14ac:dyDescent="0.25">
      <c r="C46" s="318" t="s">
        <v>104</v>
      </c>
      <c r="D46" s="321">
        <f t="array" ref="D46">_xlfn.LET(
    _xlpm.Fila,$F46,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20" customHeight="1" spans="3:6" x14ac:dyDescent="0.25">
      <c r="C47" s="313" t="s">
        <v>105</v>
      </c>
      <c r="D47" s="314"/>
      <c r="E47" s="315"/>
      <c r="F47">
        <v>34</v>
      </c>
    </row>
    <row r="48" ht="31.5" customHeight="1" spans="3:6" x14ac:dyDescent="0.25">
      <c r="C48" s="318" t="s">
        <v>106</v>
      </c>
      <c r="D48" s="321">
        <f t="array" ref="D48">_xlfn.LET(
    _xlpm.Fila,$F48,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32.5" customHeight="1" spans="3:6" x14ac:dyDescent="0.25">
      <c r="C49" s="318" t="s">
        <v>145</v>
      </c>
      <c r="D49" s="321">
        <f t="array" ref="D49">_xlfn.LET(
    _xlpm.Fila,$F49,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36</v>
      </c>
    </row>
    <row r="50" ht="20" customHeight="1" spans="3:6" x14ac:dyDescent="0.25">
      <c r="C50" s="165" t="s">
        <v>146</v>
      </c>
      <c r="D50" s="321">
        <f t="array" ref="D50">_xlfn.LET(
    _xlpm.Fila,$F50,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37</v>
      </c>
    </row>
    <row r="51" ht="27.5" customHeight="1" spans="3:6" x14ac:dyDescent="0.25">
      <c r="C51" s="165" t="s">
        <v>107</v>
      </c>
      <c r="D51" s="321">
        <f t="array" ref="D51">_xlfn.LET(
    _xlpm.Fila,$F51,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37.5" customHeight="1" spans="3:6" x14ac:dyDescent="0.25">
      <c r="C52" s="318" t="s">
        <v>147</v>
      </c>
      <c r="D52" s="321">
        <f t="array" ref="D52">_xlfn.LET(
    _xlpm.Fila,$F52,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27.5" customHeight="1" spans="3:6" x14ac:dyDescent="0.25">
      <c r="C53" s="318" t="s">
        <v>108</v>
      </c>
      <c r="D53" s="321">
        <f t="array" ref="D53">_xlfn.LET(
    _xlpm.Fila,$F53,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40</v>
      </c>
    </row>
    <row r="54" ht="21.5" customHeight="1" spans="3:6" x14ac:dyDescent="0.25">
      <c r="C54" s="318" t="s">
        <v>109</v>
      </c>
      <c r="D54" s="321">
        <f t="array" ref="D54">_xlfn.LET(
    _xlpm.Fila,$F54,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29" customHeight="1" spans="3:6" x14ac:dyDescent="0.25">
      <c r="C55" s="318" t="s">
        <v>148</v>
      </c>
      <c r="D55" s="321">
        <f t="array" ref="D55">_xlfn.LET(
    _xlpm.Fila,$F55,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0" customHeight="1" spans="3:6" x14ac:dyDescent="0.25">
      <c r="C56" s="332" t="s">
        <v>111</v>
      </c>
      <c r="D56" s="333"/>
      <c r="E56" s="334"/>
      <c r="F56">
        <v>43</v>
      </c>
    </row>
    <row r="57" ht="34.5" customHeight="1" spans="3:6" x14ac:dyDescent="0.25">
      <c r="C57" s="165" t="s">
        <v>112</v>
      </c>
      <c r="D57" s="321">
        <f t="array" ref="D57">_xlfn.LET(
    _xlpm.Fila,$F57,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50" customHeight="1" spans="3:6" x14ac:dyDescent="0.25">
      <c r="C58" s="165" t="s">
        <v>133</v>
      </c>
      <c r="D58" s="321">
        <f t="array" ref="D58">_xlfn.LET(
    _xlpm.Fila,$F58,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21.5" customHeight="1" spans="3:6" x14ac:dyDescent="0.25">
      <c r="C59" s="318" t="s">
        <v>113</v>
      </c>
      <c r="D59" s="321">
        <f t="array" ref="D59">_xlfn.LET(
    _xlpm.Fila,$F59,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40" customHeight="1" spans="3:6" x14ac:dyDescent="0.25">
      <c r="C60" s="165" t="s">
        <v>149</v>
      </c>
      <c r="D60" s="321">
        <f t="array" ref="D60">_xlfn.LET(
    _xlpm.Fila,$F60,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30" customHeight="1" spans="3:6" x14ac:dyDescent="0.25">
      <c r="C61" s="335" t="s">
        <v>150</v>
      </c>
      <c r="D61" s="321">
        <f t="array" ref="D61">_xlfn.LET(
    _xlpm.Fila,$F61,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1" s="311" t="str">
        <f t="array" ref="E61">_xlfn.IFS(D61&gt;=91.5%,"MENSUAL",D61&gt;=75%,"QUINCENAL",D61&lt;75%,"SEMANAL")</f>
        <v>SEMANAL</v>
      </c>
      <c r="F61">
        <v>48</v>
      </c>
    </row>
    <row r="62" ht="20" customHeight="1" spans="3:6" x14ac:dyDescent="0.25">
      <c r="C62" s="335" t="s">
        <v>151</v>
      </c>
      <c r="D62" s="321">
        <f t="array" ref="D62">_xlfn.LET(
    _xlpm.Fila,$F62,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25" customHeight="1" spans="3:6" x14ac:dyDescent="0.25">
      <c r="C63" s="165" t="s">
        <v>116</v>
      </c>
      <c r="D63" s="321">
        <f t="array" ref="D63">_xlfn.LET(
    _xlpm.Fila,$F63,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22.5" customHeight="1" spans="3:6" x14ac:dyDescent="0.25">
      <c r="C64" s="165" t="s">
        <v>117</v>
      </c>
      <c r="D64" s="321">
        <f t="array" ref="D64">_xlfn.LET(
    _xlpm.Fila,$F64,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22.5" customHeight="1" spans="3:6" x14ac:dyDescent="0.25">
      <c r="C65" s="165" t="s">
        <v>152</v>
      </c>
      <c r="D65" s="321">
        <f t="array" ref="D65">_xlfn.LET(
    _xlpm.Fila,$F65,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25" customHeight="1" spans="3:6" x14ac:dyDescent="0.25">
      <c r="C66" s="165" t="s">
        <v>118</v>
      </c>
      <c r="D66" s="321">
        <f t="array" ref="D66">_xlfn.LET(
    _xlpm.Fila,$F66,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6" s="311" t="str">
        <f t="array" ref="E66">_xlfn.IFS(D66&gt;=91.5%,"MENSUAL",D66&gt;=75%,"QUINCENAL",D66&lt;75%,"SEMANAL")</f>
        <v>SEMANAL</v>
      </c>
      <c r="F66">
        <v>53</v>
      </c>
    </row>
    <row r="67" ht="44.5" customHeight="1" spans="3:6" x14ac:dyDescent="0.25">
      <c r="C67" s="165" t="s">
        <v>120</v>
      </c>
      <c r="D67" s="321">
        <f t="array" ref="D67">_xlfn.LET(
    _xlpm.Fila,$F67,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20" customHeight="1" spans="3:6" x14ac:dyDescent="0.25">
      <c r="C68" s="165" t="s">
        <v>121</v>
      </c>
      <c r="D68" s="321">
        <f t="array" ref="D68">_xlfn.LET(
    _xlpm.Fila,$F68,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8" s="311" t="str">
        <f t="array" ref="E68">_xlfn.IFS(D68&gt;=91.5%,"MENSUAL",D68&gt;=75%,"QUINCENAL",D68&lt;75%,"SEMANAL")</f>
        <v>SEMANAL</v>
      </c>
      <c r="F68">
        <v>55</v>
      </c>
    </row>
    <row r="69" ht="15.5" customHeight="1" spans="3:6" x14ac:dyDescent="0.25">
      <c r="C69" s="165" t="s">
        <v>153</v>
      </c>
      <c r="D69" s="321">
        <f t="array" ref="D69">_xlfn.LET(
    _xlpm.Fila,$F69,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45" customHeight="1" spans="3:6" x14ac:dyDescent="0.25">
      <c r="C70" s="336" t="s">
        <v>122</v>
      </c>
      <c r="D70" s="337"/>
      <c r="E70" s="338"/>
      <c r="F70">
        <v>57</v>
      </c>
    </row>
    <row r="71" ht="40" customHeight="1" spans="3:6" x14ac:dyDescent="0.25">
      <c r="C71" s="177" t="s">
        <v>123</v>
      </c>
      <c r="D71" s="321">
        <f t="array" ref="D71">_xlfn.LET(
    _xlpm.Fila,$F71,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1" s="311" t="str">
        <f t="array" ref="E71">_xlfn.IFS(D71&gt;=91.5%,"MENSUAL",D71&gt;=75%,"QUINCENAL",D71&lt;75%,"SEMANAL")</f>
        <v>SEMANAL</v>
      </c>
      <c r="F71">
        <v>58</v>
      </c>
    </row>
    <row r="72" ht="20" customHeight="1" spans="3:6" x14ac:dyDescent="0.25">
      <c r="C72" s="169" t="s">
        <v>124</v>
      </c>
      <c r="D72" s="321">
        <f t="array" ref="D72">_xlfn.LET(
    _xlpm.Fila,$F72,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20" customHeight="1" spans="3:6" x14ac:dyDescent="0.25">
      <c r="C73" s="169" t="s">
        <v>125</v>
      </c>
      <c r="D73" s="321">
        <f t="array" ref="D73">_xlfn.LET(
    _xlpm.Fila,$F73,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3" s="311" t="str">
        <f t="array" ref="E73">_xlfn.IFS(D73&gt;=91.5%,"MENSUAL",D73&gt;=75%,"QUINCENAL",D73&lt;75%,"SEMANAL")</f>
        <v>SEMANAL</v>
      </c>
      <c r="F73">
        <v>60</v>
      </c>
    </row>
    <row r="74" ht="20" customHeight="1" spans="3:6" x14ac:dyDescent="0.25">
      <c r="C74" s="169" t="s">
        <v>155</v>
      </c>
      <c r="D74" s="321">
        <f t="array" ref="D74">_xlfn.LET(
    _xlpm.Fila,$F74,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  <row r="75" ht="24.5" customHeight="1" spans="3:6" x14ac:dyDescent="0.25">
      <c r="C75" s="169" t="s">
        <v>155</v>
      </c>
      <c r="D75" s="321">
        <f t="array" ref="D75">_xlfn.LET(
    _xlpm.Fila,$F75,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5" s="311" t="str">
        <f t="array" ref="E75">_xlfn.IFS(D75&gt;=91.5%,"MENSUAL",D75&gt;=75%,"QUINCENAL",D75&lt;75%,"SEMANAL")</f>
        <v>SEMANAL</v>
      </c>
      <c r="F75">
        <v>62</v>
      </c>
    </row>
    <row r="76" ht="36.5" customHeight="1" spans="3:6" x14ac:dyDescent="0.25">
      <c r="C76" s="169" t="s">
        <v>127</v>
      </c>
      <c r="D76" s="321">
        <f t="array" ref="D76">_xlfn.LET(
    _xlpm.Fila,$F76,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6" s="311" t="str">
        <f t="array" ref="E76">_xlfn.IFS(D76&gt;=91.5%,"MENSUAL",D76&gt;=75%,"QUINCENAL",D76&lt;75%,"SEMANAL")</f>
        <v>SEMANAL</v>
      </c>
      <c r="F76">
        <v>63</v>
      </c>
    </row>
    <row r="77" ht="24" customHeight="1" spans="3:6" x14ac:dyDescent="0.25">
      <c r="C77" s="172" t="s">
        <v>156</v>
      </c>
      <c r="D77" s="321">
        <f t="array" ref="D77">_xlfn.LET(
    _xlpm.Fila,$F77,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7" s="311" t="str">
        <f t="array" ref="E77">_xlfn.IFS(D77&gt;=91.5%,"MENSUAL",D77&gt;=75%,"QUINCENAL",D77&lt;75%,"SEMANAL")</f>
        <v>SEMANAL</v>
      </c>
      <c r="F77">
        <v>64</v>
      </c>
    </row>
    <row r="78" ht="59" customHeight="1" spans="3:6" x14ac:dyDescent="0.25">
      <c r="C78" s="313" t="s">
        <v>214</v>
      </c>
      <c r="D78" s="314"/>
      <c r="E78" s="315"/>
      <c r="F78">
        <v>65</v>
      </c>
    </row>
    <row r="79" ht="59" customHeight="1" spans="3:6" x14ac:dyDescent="0.25">
      <c r="C79" s="316" t="s">
        <v>215</v>
      </c>
      <c r="D79" s="321">
        <f t="array" ref="D79">_xlfn.LET(
    _xlpm.Fila,$F79,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79" s="311" t="str">
        <f t="array" ref="E79">_xlfn.IFS(D79&gt;=91.5%,"MENSUAL",D79&gt;=75%,"QUINCENAL",D79&lt;75%,"SEMANAL")</f>
        <v>SEMANAL</v>
      </c>
      <c r="F79">
        <v>66</v>
      </c>
    </row>
    <row r="80" ht="59" customHeight="1" spans="3:6" x14ac:dyDescent="0.25">
      <c r="C80" s="332" t="s">
        <v>158</v>
      </c>
      <c r="D80" s="333"/>
      <c r="E80" s="334"/>
      <c r="F80">
        <v>67</v>
      </c>
    </row>
    <row r="81" ht="59" customHeight="1" spans="3:6" x14ac:dyDescent="0.25">
      <c r="C81" s="339" t="s">
        <v>159</v>
      </c>
      <c r="D81" s="321">
        <f t="array" ref="D81">_xlfn.LET(
    _xlpm.Fila,$F81,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1" s="311" t="str">
        <f t="array" ref="E81">_xlfn.IFS(D81&gt;=91.5%,"MENSUAL",D81&gt;=75%,"QUINCENAL",D81&lt;75%,"SEMANAL")</f>
        <v>SEMANAL</v>
      </c>
      <c r="F81">
        <v>68</v>
      </c>
    </row>
    <row r="82" ht="59" customHeight="1" spans="3:6" x14ac:dyDescent="0.25">
      <c r="C82" s="339" t="s">
        <v>160</v>
      </c>
      <c r="D82" s="321">
        <f t="array" ref="D82">_xlfn.LET(
    _xlpm.Fila,$F82,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2" s="311" t="str">
        <f t="array" ref="E82">_xlfn.IFS(D82&gt;=91.5%,"MENSUAL",D82&gt;=75%,"QUINCENAL",D82&lt;75%,"SEMANAL")</f>
        <v>SEMANAL</v>
      </c>
      <c r="F82">
        <v>69</v>
      </c>
    </row>
    <row r="83" ht="59" customHeight="1" spans="3:6" x14ac:dyDescent="0.25">
      <c r="C83" s="339" t="s">
        <v>161</v>
      </c>
      <c r="D83" s="321">
        <f t="array" ref="D83">_xlfn.LET(
    _xlpm.Fila,$F83,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3" s="311" t="str">
        <f t="array" ref="E83">_xlfn.IFS(D83&gt;=91.5%,"MENSUAL",D83&gt;=75%,"QUINCENAL",D83&lt;75%,"SEMANAL")</f>
        <v>SEMANAL</v>
      </c>
      <c r="F83">
        <v>70</v>
      </c>
    </row>
    <row r="84" ht="59" customHeight="1" spans="3:6" x14ac:dyDescent="0.25">
      <c r="C84" s="339" t="s">
        <v>162</v>
      </c>
      <c r="D84" s="321">
        <f t="array" ref="D84">_xlfn.LET(
    _xlpm.Fila,$F84,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4" s="311" t="str">
        <f t="array" ref="E84">_xlfn.IFS(D84&gt;=91.5%,"MENSUAL",D84&gt;=75%,"QUINCENAL",D84&lt;75%,"SEMANAL")</f>
        <v>SEMANAL</v>
      </c>
      <c r="F84">
        <v>71</v>
      </c>
    </row>
    <row r="85" ht="59" customHeight="1" spans="3:6" x14ac:dyDescent="0.25">
      <c r="C85" s="339" t="s">
        <v>163</v>
      </c>
      <c r="D85" s="321">
        <f t="array" ref="D85">_xlfn.LET(
    _xlpm.Fila,$F85,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5" s="311" t="str">
        <f t="array" ref="E85">_xlfn.IFS(D85&gt;=91.5%,"MENSUAL",D85&gt;=75%,"QUINCENAL",D85&lt;75%,"SEMANAL")</f>
        <v>SEMANAL</v>
      </c>
      <c r="F85">
        <v>72</v>
      </c>
    </row>
    <row r="86" ht="59" customHeight="1" spans="3:6" x14ac:dyDescent="0.25">
      <c r="C86" s="339" t="s">
        <v>164</v>
      </c>
      <c r="D86" s="321">
        <f t="array" ref="D86">_xlfn.LET(
    _xlpm.Fila,$F86,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6" s="311" t="str">
        <f t="array" ref="E86">_xlfn.IFS(D86&gt;=91.5%,"MENSUAL",D86&gt;=75%,"QUINCENAL",D86&lt;75%,"SEMANAL")</f>
        <v>SEMANAL</v>
      </c>
      <c r="F86">
        <v>73</v>
      </c>
    </row>
    <row r="87" ht="52.5" customHeight="1" spans="3:6" x14ac:dyDescent="0.25">
      <c r="C87" s="339" t="s">
        <v>165</v>
      </c>
      <c r="D87" s="321">
        <f t="array" ref="D87">_xlfn.LET(
    _xlpm.Fila,$F87,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7" s="311" t="str">
        <f t="array" ref="E87">_xlfn.IFS(D87&gt;=91.5%,"MENSUAL",D87&gt;=75%,"QUINCENAL",D87&lt;75%,"SEMANAL")</f>
        <v>SEMANAL</v>
      </c>
      <c r="F87">
        <v>74</v>
      </c>
    </row>
    <row r="88" ht="24" customHeight="1" spans="3:6" x14ac:dyDescent="0.25">
      <c r="C88" s="339" t="s">
        <v>166</v>
      </c>
      <c r="D88" s="321">
        <f t="array" ref="D88">_xlfn.LET(
    _xlpm.Fila,$F88,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8" s="311" t="str">
        <f t="array" ref="E88">_xlfn.IFS(D88&gt;=91.5%,"MENSUAL",D88&gt;=75%,"QUINCENAL",D88&lt;75%,"SEMANAL")</f>
        <v>SEMANAL</v>
      </c>
      <c r="F88">
        <v>75</v>
      </c>
    </row>
    <row r="89" ht="35" customHeight="1" spans="3:6" x14ac:dyDescent="0.25">
      <c r="C89" s="339" t="s">
        <v>167</v>
      </c>
      <c r="D89" s="321">
        <f t="array" ref="D89">_xlfn.LET(
    _xlpm.Fila,$F89,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89" s="311" t="str">
        <f t="array" ref="E89">_xlfn.IFS(D89&gt;=91.5%,"MENSUAL",D89&gt;=75%,"QUINCENAL",D89&lt;75%,"SEMANAL")</f>
        <v>SEMANAL</v>
      </c>
      <c r="F89">
        <v>76</v>
      </c>
    </row>
    <row r="90" ht="42.5" customHeight="1" spans="3:6" x14ac:dyDescent="0.25">
      <c r="C90" s="339" t="s">
        <v>118</v>
      </c>
      <c r="D90" s="321">
        <f t="array" ref="D90">_xlfn.LET(
    _xlpm.Fila,$F90,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0" s="311" t="str">
        <f t="array" ref="E90">_xlfn.IFS(D90&gt;=91.5%,"MENSUAL",D90&gt;=75%,"QUINCENAL",D90&lt;75%,"SEMANAL")</f>
        <v>SEMANAL</v>
      </c>
      <c r="F90">
        <v>77</v>
      </c>
    </row>
    <row r="91" ht="43.5" customHeight="1" spans="3:6" x14ac:dyDescent="0.25">
      <c r="C91" s="340" t="s">
        <v>130</v>
      </c>
      <c r="D91" s="341"/>
      <c r="E91" s="342"/>
      <c r="F91">
        <v>78</v>
      </c>
    </row>
    <row r="92" ht="43.5" customHeight="1" spans="3:6" x14ac:dyDescent="0.25">
      <c r="C92" s="339" t="s">
        <v>168</v>
      </c>
      <c r="D92" s="321">
        <f t="array" ref="D92">_xlfn.LET(
    _xlpm.Fila,$F92,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2" s="311" t="str">
        <f t="array" ref="E92">_xlfn.IFS(D92&gt;=91.5%,"MENSUAL",D92&gt;=75%,"QUINCENAL",D92&lt;75%,"SEMANAL")</f>
        <v>SEMANAL</v>
      </c>
      <c r="F92">
        <v>79</v>
      </c>
    </row>
    <row r="93" ht="43.5" customHeight="1" spans="3:6" x14ac:dyDescent="0.25">
      <c r="C93" s="339" t="s">
        <v>169</v>
      </c>
      <c r="D93" s="321">
        <f t="array" ref="D93">_xlfn.LET(
    _xlpm.Fila,$F93,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3" s="311" t="str">
        <f t="array" ref="E93">_xlfn.IFS(D93&gt;=91.5%,"MENSUAL",D93&gt;=75%,"QUINCENAL",D93&lt;75%,"SEMANAL")</f>
        <v>SEMANAL</v>
      </c>
      <c r="F93">
        <v>80</v>
      </c>
    </row>
    <row r="94" ht="43.5" customHeight="1" spans="3:6" x14ac:dyDescent="0.25">
      <c r="C94" s="339" t="s">
        <v>170</v>
      </c>
      <c r="D94" s="321">
        <f t="array" ref="D94">_xlfn.LET(
    _xlpm.Fila,$F94,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4" s="311" t="str">
        <f t="array" ref="E94">_xlfn.IFS(D94&gt;=91.5%,"MENSUAL",D94&gt;=75%,"QUINCENAL",D94&lt;75%,"SEMANAL")</f>
        <v>SEMANAL</v>
      </c>
      <c r="F94">
        <v>81</v>
      </c>
    </row>
    <row r="95" ht="43.5" customHeight="1" spans="3:6" x14ac:dyDescent="0.25">
      <c r="C95" s="339" t="s">
        <v>171</v>
      </c>
      <c r="D95" s="321">
        <f t="array" ref="D95">_xlfn.LET(
    _xlpm.Fila,$F95,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5" s="311" t="str">
        <f t="array" ref="E95">_xlfn.IFS(D95&gt;=91.5%,"MENSUAL",D95&gt;=75%,"QUINCENAL",D95&lt;75%,"SEMANAL")</f>
        <v>SEMANAL</v>
      </c>
      <c r="F95">
        <v>82</v>
      </c>
    </row>
    <row r="96" ht="43.5" customHeight="1" spans="3:6" x14ac:dyDescent="0.25">
      <c r="C96" s="339" t="s">
        <v>172</v>
      </c>
      <c r="D96" s="321">
        <f t="array" ref="D96">_xlfn.LET(
    _xlpm.Fila,$F96,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6" s="311" t="str">
        <f t="array" ref="E96">_xlfn.IFS(D96&gt;=91.5%,"MENSUAL",D96&gt;=75%,"QUINCENAL",D96&lt;75%,"SEMANAL")</f>
        <v>SEMANAL</v>
      </c>
      <c r="F96">
        <v>83</v>
      </c>
    </row>
    <row r="97" ht="50" customHeight="1" spans="3:6" x14ac:dyDescent="0.25">
      <c r="C97" s="339" t="s">
        <v>173</v>
      </c>
      <c r="D97" s="321">
        <f t="array" ref="D97">_xlfn.LET(
    _xlpm.Fila,$F97,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7" s="311" t="str">
        <f t="array" ref="E97">_xlfn.IFS(D97&gt;=91.5%,"MENSUAL",D97&gt;=75%,"QUINCENAL",D97&lt;75%,"SEMANAL")</f>
        <v>SEMANAL</v>
      </c>
      <c r="F97">
        <v>84</v>
      </c>
    </row>
    <row r="98" ht="21" customHeight="1" spans="3:6" x14ac:dyDescent="0.25">
      <c r="C98" s="339" t="s">
        <v>174</v>
      </c>
      <c r="D98" s="321">
        <f t="array" ref="D98">_xlfn.LET(
    _xlpm.Fila,$F98,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8" s="311" t="str">
        <f t="array" ref="E98">_xlfn.IFS(D98&gt;=91.5%,"MENSUAL",D98&gt;=75%,"QUINCENAL",D98&lt;75%,"SEMANAL")</f>
        <v>SEMANAL</v>
      </c>
      <c r="F98">
        <v>85</v>
      </c>
    </row>
    <row r="99" ht="51" customHeight="1" spans="3:6" x14ac:dyDescent="0.25">
      <c r="C99" s="339" t="s">
        <v>175</v>
      </c>
      <c r="D99" s="321">
        <f t="array" ref="D99">_xlfn.LET(
    _xlpm.Fila,$F99,
    _xlpm.ColIni,$G$4,
    _xlpm.ColFin,$H$4,
    _xlpm.Datos,INDEX('2. Prev_Frecu Caliente (dia)'!$A$1:$ER$86,_xlpm.Fila,_xlfn.SEQUENCE(1,(_xlpm.ColFin-_xlpm.ColIni)/3+1,_xlpm.ColIni,3)),
    IFERROR(AVERAGE(_xlfn._xlws.FILTER(_xlpm.Datos,(_xlpm.Datos&lt;&gt;"")*(_xlpm.Datos&lt;&gt;0))),0)
)</f>
        <v>0</v>
      </c>
      <c r="E99" s="311" t="str">
        <f t="array" ref="E99">_xlfn.IFS(D99&gt;=91.5%,"MENSUAL",D99&gt;=75%,"QUINCENAL",D99&lt;75%,"SEMANAL")</f>
        <v>SEMANAL</v>
      </c>
      <c r="F99">
        <v>86</v>
      </c>
    </row>
  </sheetData>
  <mergeCells count="10">
    <mergeCell ref="C20:E20"/>
    <mergeCell ref="C21:E21"/>
    <mergeCell ref="C30:E30"/>
    <mergeCell ref="C34:E34"/>
    <mergeCell ref="C47:E47"/>
    <mergeCell ref="C56:E56"/>
    <mergeCell ref="C70:E70"/>
    <mergeCell ref="C78:E78"/>
    <mergeCell ref="C80:E80"/>
    <mergeCell ref="C91:E91"/>
  </mergeCells>
  <conditionalFormatting sqref="E8:E16 E22:E29">
    <cfRule type="containsText" dxfId="49" priority="28">
      <formula>NOT(ISERROR(SEARCH("QUINCENAL",E8)))</formula>
    </cfRule>
    <cfRule type="containsText" dxfId="50" priority="29">
      <formula>NOT(ISERROR(SEARCH("MENSUAL",E8)))</formula>
    </cfRule>
    <cfRule type="containsText" dxfId="51" priority="30">
      <formula>NOT(ISERROR(SEARCH("SEMANAL",E8)))</formula>
    </cfRule>
  </conditionalFormatting>
  <conditionalFormatting sqref="E31:E33">
    <cfRule type="containsText" dxfId="52" priority="22">
      <formula>NOT(ISERROR(SEARCH("QUINCENAL",E31)))</formula>
    </cfRule>
    <cfRule type="containsText" dxfId="53" priority="23">
      <formula>NOT(ISERROR(SEARCH("MENSUAL",E31)))</formula>
    </cfRule>
    <cfRule type="containsText" dxfId="54" priority="24">
      <formula>NOT(ISERROR(SEARCH("SEMANAL",E31)))</formula>
    </cfRule>
  </conditionalFormatting>
  <conditionalFormatting sqref="E35:E46">
    <cfRule type="containsText" dxfId="55" priority="19">
      <formula>NOT(ISERROR(SEARCH("QUINCENAL",E35)))</formula>
    </cfRule>
    <cfRule type="containsText" dxfId="56" priority="20">
      <formula>NOT(ISERROR(SEARCH("MENSUAL",E35)))</formula>
    </cfRule>
    <cfRule type="containsText" dxfId="57" priority="21">
      <formula>NOT(ISERROR(SEARCH("SEMANAL",E35)))</formula>
    </cfRule>
  </conditionalFormatting>
  <conditionalFormatting sqref="E48:E55">
    <cfRule type="containsText" dxfId="58" priority="16">
      <formula>NOT(ISERROR(SEARCH("QUINCENAL",E48)))</formula>
    </cfRule>
    <cfRule type="containsText" dxfId="59" priority="17">
      <formula>NOT(ISERROR(SEARCH("MENSUAL",E48)))</formula>
    </cfRule>
    <cfRule type="containsText" dxfId="60" priority="18">
      <formula>NOT(ISERROR(SEARCH("SEMANAL",E48)))</formula>
    </cfRule>
  </conditionalFormatting>
  <conditionalFormatting sqref="E57:E69">
    <cfRule type="containsText" dxfId="61" priority="13">
      <formula>NOT(ISERROR(SEARCH("QUINCENAL",E57)))</formula>
    </cfRule>
    <cfRule type="containsText" dxfId="62" priority="14">
      <formula>NOT(ISERROR(SEARCH("MENSUAL",E57)))</formula>
    </cfRule>
    <cfRule type="containsText" dxfId="63" priority="15">
      <formula>NOT(ISERROR(SEARCH("SEMANAL",E57)))</formula>
    </cfRule>
  </conditionalFormatting>
  <conditionalFormatting sqref="E71:E77">
    <cfRule type="containsText" dxfId="64" priority="10">
      <formula>NOT(ISERROR(SEARCH("QUINCENAL",E71)))</formula>
    </cfRule>
    <cfRule type="containsText" dxfId="65" priority="11">
      <formula>NOT(ISERROR(SEARCH("MENSUAL",E71)))</formula>
    </cfRule>
    <cfRule type="containsText" dxfId="66" priority="12">
      <formula>NOT(ISERROR(SEARCH("SEMANAL",E71)))</formula>
    </cfRule>
  </conditionalFormatting>
  <conditionalFormatting sqref="E79">
    <cfRule type="containsText" dxfId="67" priority="1">
      <formula>NOT(ISERROR(SEARCH("QUINCENAL",E79)))</formula>
    </cfRule>
    <cfRule type="containsText" dxfId="68" priority="2">
      <formula>NOT(ISERROR(SEARCH("MENSUAL",E79)))</formula>
    </cfRule>
    <cfRule type="containsText" dxfId="69" priority="3">
      <formula>NOT(ISERROR(SEARCH("SEMANAL",E79)))</formula>
    </cfRule>
  </conditionalFormatting>
  <conditionalFormatting sqref="E81:E90">
    <cfRule type="containsText" dxfId="70" priority="7">
      <formula>NOT(ISERROR(SEARCH("QUINCENAL",E81)))</formula>
    </cfRule>
    <cfRule type="containsText" dxfId="71" priority="8">
      <formula>NOT(ISERROR(SEARCH("MENSUAL",E81)))</formula>
    </cfRule>
    <cfRule type="containsText" dxfId="72" priority="9">
      <formula>NOT(ISERROR(SEARCH("SEMANAL",E81)))</formula>
    </cfRule>
  </conditionalFormatting>
  <conditionalFormatting sqref="E92:E99">
    <cfRule type="containsText" dxfId="73" priority="4">
      <formula>NOT(ISERROR(SEARCH("QUINCENAL",E92)))</formula>
    </cfRule>
    <cfRule type="containsText" dxfId="74" priority="5">
      <formula>NOT(ISERROR(SEARCH("MENSUAL",E92)))</formula>
    </cfRule>
    <cfRule type="containsText" dxfId="75" priority="6">
      <formula>NOT(ISERROR(SEARCH("SEMANAL",E92)))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B1:O76"/>
  <sheetViews>
    <sheetView workbookViewId="0" showGridLines="0" zoomScale="60" zoomScaleNormal="60">
      <selection activeCell="A8" sqref="A8"/>
    </sheetView>
  </sheetViews>
  <sheetFormatPr defaultRowHeight="14.5" outlineLevelRow="0" outlineLevelCol="0" x14ac:dyDescent="0.35" customHeight="1"/>
  <cols>
    <col min="2" max="2" width="24.26953125" customWidth="1"/>
    <col min="3" max="3" width="36.54296875" customWidth="1"/>
    <col min="4" max="4" width="21.26953125" customWidth="1"/>
    <col min="5" max="5" width="20.7265625" customWidth="1"/>
    <col min="6" max="6" width="10.90625" hidden="1" customWidth="1"/>
    <col min="7" max="7" width="15" hidden="1" customWidth="1"/>
    <col min="8" max="8" width="5.7265625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spans="7:8" x14ac:dyDescent="0.25">
      <c r="G2" t="s">
        <v>2</v>
      </c>
      <c r="H2" t="s">
        <v>2</v>
      </c>
    </row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_xlfn.XMATCH($D$3,'3. Prev_Frecuenc Calient(noche)'!6:6,0)+2</f>
        <v>5</v>
      </c>
      <c r="H4" s="291">
        <f>_xlfn.XMATCH($E$3,'3. Prev_Frecuenc Calient(noche)'!6:6,0)+2</f>
        <v>146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24.5" customHeight="1" spans="3:5" x14ac:dyDescent="0.25">
      <c r="C7" s="295" t="s">
        <v>16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8" s="298" t="s">
        <v>248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9" s="298" t="s">
        <v>248</v>
      </c>
      <c r="F9">
        <v>16</v>
      </c>
      <c r="O9">
        <v>14</v>
      </c>
    </row>
    <row r="10" ht="15.5" customHeight="1" spans="3:15" x14ac:dyDescent="0.25">
      <c r="C10" s="320" t="s">
        <v>191</v>
      </c>
      <c r="D10" s="321">
        <f t="array" ref="D10">_xlfn.LET(
    _xlpm.Fila,$F10,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0" s="298" t="s">
        <v>248</v>
      </c>
      <c r="F10">
        <v>20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1" s="298" t="s">
        <v>248</v>
      </c>
      <c r="F11">
        <v>33</v>
      </c>
      <c r="O11">
        <v>30</v>
      </c>
    </row>
    <row r="12" ht="19.5" customHeight="1" spans="3:15" x14ac:dyDescent="0.25">
      <c r="C12" s="322" t="s">
        <v>111</v>
      </c>
      <c r="D12" s="321">
        <f t="array" ref="D12">_xlfn.LET(
    _xlpm.Fila,$F12,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2" s="298" t="s">
        <v>248</v>
      </c>
      <c r="F12">
        <v>42</v>
      </c>
      <c r="O12">
        <v>36</v>
      </c>
    </row>
    <row r="13" ht="31" customHeight="1" spans="3:15" x14ac:dyDescent="0.25">
      <c r="C13" s="322" t="s">
        <v>154</v>
      </c>
      <c r="D13" s="321">
        <f t="array" ref="D13">_xlfn.LET(
    _xlpm.Fila,$F13,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3" s="298" t="s">
        <v>248</v>
      </c>
      <c r="F13">
        <v>56</v>
      </c>
      <c r="O13">
        <v>47</v>
      </c>
    </row>
    <row r="14" ht="15.5" customHeight="1" spans="3:15" x14ac:dyDescent="0.25">
      <c r="C14" s="322" t="s">
        <v>214</v>
      </c>
      <c r="D14" s="321">
        <f t="array" ref="D14">_xlfn.LET(
    _xlpm.Fila,$F14,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14" s="298" t="s">
        <v>248</v>
      </c>
      <c r="F14">
        <v>64</v>
      </c>
      <c r="O14">
        <v>53</v>
      </c>
    </row>
    <row r="18" ht="35" customHeight="1" spans="3:5" x14ac:dyDescent="0.25">
      <c r="C18" s="300" t="s">
        <v>249</v>
      </c>
      <c r="D18" s="301"/>
      <c r="E18" s="302"/>
    </row>
    <row r="19" ht="31" customHeight="1" spans="3:5" x14ac:dyDescent="0.25">
      <c r="C19" s="303" t="s">
        <v>73</v>
      </c>
      <c r="D19" s="304"/>
      <c r="E19" s="305"/>
    </row>
    <row r="20" ht="36.5" customHeight="1" spans="3:6" x14ac:dyDescent="0.25">
      <c r="C20" s="324" t="s">
        <v>126</v>
      </c>
      <c r="D20" s="321">
        <f t="array" ref="D20">_xlfn.LET(
    _xlpm.Fila,$F20,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0" s="306" t="s">
        <v>248</v>
      </c>
      <c r="F20">
        <v>9</v>
      </c>
    </row>
    <row r="21" ht="25.5" customHeight="1" spans="3:6" x14ac:dyDescent="0.25">
      <c r="C21" s="324" t="s">
        <v>126</v>
      </c>
      <c r="D21" s="321">
        <f t="array" ref="D21">_xlfn.LET(
    _xlpm.Fila,$F21,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1" s="306" t="s">
        <v>248</v>
      </c>
      <c r="F21">
        <v>10</v>
      </c>
    </row>
    <row r="22" ht="28" customHeight="1" spans="3:6" x14ac:dyDescent="0.25">
      <c r="C22" s="324" t="s">
        <v>126</v>
      </c>
      <c r="D22" s="321">
        <f t="array" ref="D22">_xlfn.LET(
    _xlpm.Fila,$F22,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2" s="306" t="s">
        <v>248</v>
      </c>
      <c r="F22">
        <v>11</v>
      </c>
    </row>
    <row r="23" ht="21.5" customHeight="1" spans="3:6" x14ac:dyDescent="0.25">
      <c r="C23" s="324" t="s">
        <v>126</v>
      </c>
      <c r="D23" s="321">
        <f t="array" ref="D23">_xlfn.LET(
    _xlpm.Fila,$F23,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3" s="306" t="s">
        <v>248</v>
      </c>
      <c r="F23">
        <v>12</v>
      </c>
    </row>
    <row r="24" ht="30" customHeight="1" spans="3:6" x14ac:dyDescent="0.25">
      <c r="C24" s="324" t="s">
        <v>126</v>
      </c>
      <c r="D24" s="321">
        <f t="array" ref="D24">_xlfn.LET(
    _xlpm.Fila,$F24,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4" s="327" t="s">
        <v>248</v>
      </c>
      <c r="F24">
        <v>13</v>
      </c>
    </row>
    <row r="25" ht="30" customHeight="1" spans="3:6" x14ac:dyDescent="0.25">
      <c r="C25" s="324" t="s">
        <v>126</v>
      </c>
      <c r="D25" s="321">
        <f t="array" ref="D25">_xlfn.LET(
    _xlpm.Fila,$F25,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5" s="328" t="s">
        <v>248</v>
      </c>
      <c r="F25">
        <v>14</v>
      </c>
    </row>
    <row r="26" ht="30" customHeight="1" spans="3:6" x14ac:dyDescent="0.25">
      <c r="C26" s="324" t="s">
        <v>126</v>
      </c>
      <c r="D26" s="321">
        <f t="array" ref="D26">_xlfn.LET(
    _xlpm.Fila,$F26,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6" s="328" t="s">
        <v>248</v>
      </c>
      <c r="F26">
        <v>15</v>
      </c>
    </row>
    <row r="27" ht="35" customHeight="1" spans="3:6" x14ac:dyDescent="0.25">
      <c r="C27" s="303" t="s">
        <v>188</v>
      </c>
      <c r="D27" s="304"/>
      <c r="E27" s="305"/>
      <c r="F27">
        <v>16</v>
      </c>
    </row>
    <row r="28" ht="29.5" customHeight="1" spans="3:6" x14ac:dyDescent="0.25">
      <c r="C28" s="343" t="s">
        <v>140</v>
      </c>
      <c r="D28" s="321">
        <f t="array" ref="D28">_xlfn.LET(
    _xlpm.Fila,$F28,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8" s="311" t="s">
        <v>248</v>
      </c>
      <c r="F28">
        <v>17</v>
      </c>
    </row>
    <row r="29" ht="56" customHeight="1" spans="3:6" x14ac:dyDescent="0.25">
      <c r="C29" s="343" t="s">
        <v>178</v>
      </c>
      <c r="D29" s="321">
        <f t="array" ref="D29">_xlfn.LET(
    _xlpm.Fila,$F29,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29" s="311" t="s">
        <v>248</v>
      </c>
      <c r="F29">
        <v>18</v>
      </c>
    </row>
    <row r="30" ht="64.5" customHeight="1" spans="3:6" x14ac:dyDescent="0.25">
      <c r="C30" s="343" t="s">
        <v>91</v>
      </c>
      <c r="D30" s="321">
        <f t="array" ref="D30">_xlfn.LET(
    _xlpm.Fila,$F30,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0" s="311" t="s">
        <v>248</v>
      </c>
      <c r="F30">
        <v>19</v>
      </c>
    </row>
    <row r="31" ht="34.5" customHeight="1" spans="3:6" x14ac:dyDescent="0.25">
      <c r="C31" s="329" t="s">
        <v>191</v>
      </c>
      <c r="D31" s="330"/>
      <c r="E31" s="331"/>
      <c r="F31">
        <v>20</v>
      </c>
    </row>
    <row r="32" ht="25.5" customHeight="1" spans="3:6" x14ac:dyDescent="0.25">
      <c r="C32" s="343" t="s">
        <v>94</v>
      </c>
      <c r="D32" s="321">
        <f t="array" ref="D32">_xlfn.LET(
    _xlpm.Fila,$F32,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2" s="311" t="s">
        <v>248</v>
      </c>
      <c r="F32">
        <v>21</v>
      </c>
    </row>
    <row r="33" ht="25.5" customHeight="1" spans="3:6" x14ac:dyDescent="0.25">
      <c r="C33" s="343" t="s">
        <v>142</v>
      </c>
      <c r="D33" s="321">
        <f t="array" ref="D33">_xlfn.LET(
    _xlpm.Fila,$F33,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3" s="311" t="s">
        <v>248</v>
      </c>
      <c r="F33">
        <v>22</v>
      </c>
    </row>
    <row r="34" ht="25.5" customHeight="1" spans="3:6" x14ac:dyDescent="0.25">
      <c r="C34" s="343" t="s">
        <v>143</v>
      </c>
      <c r="D34" s="321">
        <f t="array" ref="D34">_xlfn.LET(
    _xlpm.Fila,$F34,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4" s="311" t="s">
        <v>248</v>
      </c>
      <c r="F34">
        <v>23</v>
      </c>
    </row>
    <row r="35" ht="25.5" customHeight="1" spans="3:6" x14ac:dyDescent="0.25">
      <c r="C35" s="343" t="s">
        <v>96</v>
      </c>
      <c r="D35" s="321">
        <f t="array" ref="D35">_xlfn.LET(
    _xlpm.Fila,$F35,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5" s="311" t="s">
        <v>248</v>
      </c>
      <c r="F35">
        <v>24</v>
      </c>
    </row>
    <row r="36" ht="25.5" customHeight="1" spans="3:6" x14ac:dyDescent="0.25">
      <c r="C36" s="343" t="s">
        <v>97</v>
      </c>
      <c r="D36" s="321">
        <f t="array" ref="D36">_xlfn.LET(
    _xlpm.Fila,$F36,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6" s="311" t="s">
        <v>248</v>
      </c>
      <c r="F36">
        <v>25</v>
      </c>
    </row>
    <row r="37" ht="25.5" customHeight="1" spans="3:6" x14ac:dyDescent="0.25">
      <c r="C37" s="343" t="s">
        <v>144</v>
      </c>
      <c r="D37" s="321">
        <f t="array" ref="D37">_xlfn.LET(
    _xlpm.Fila,$F37,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7" s="311" t="s">
        <v>248</v>
      </c>
      <c r="F37">
        <v>26</v>
      </c>
    </row>
    <row r="38" ht="45.5" customHeight="1" spans="3:6" x14ac:dyDescent="0.25">
      <c r="C38" s="343" t="s">
        <v>99</v>
      </c>
      <c r="D38" s="321">
        <f t="array" ref="D38">_xlfn.LET(
    _xlpm.Fila,$F38,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8" s="311" t="s">
        <v>248</v>
      </c>
      <c r="F38">
        <v>27</v>
      </c>
    </row>
    <row r="39" ht="47.5" customHeight="1" spans="3:6" x14ac:dyDescent="0.25">
      <c r="C39" s="343" t="s">
        <v>100</v>
      </c>
      <c r="D39" s="321">
        <f t="array" ref="D39">_xlfn.LET(
    _xlpm.Fila,$F39,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39" s="311" t="s">
        <v>248</v>
      </c>
      <c r="F39">
        <v>28</v>
      </c>
    </row>
    <row r="40" ht="49.5" customHeight="1" spans="3:6" x14ac:dyDescent="0.25">
      <c r="C40" s="343" t="s">
        <v>101</v>
      </c>
      <c r="D40" s="321">
        <f t="array" ref="D40">_xlfn.LET(
    _xlpm.Fila,$F40,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0" s="311" t="s">
        <v>248</v>
      </c>
      <c r="F40">
        <v>29</v>
      </c>
    </row>
    <row r="41" ht="33" customHeight="1" spans="3:6" x14ac:dyDescent="0.25">
      <c r="C41" s="343" t="s">
        <v>102</v>
      </c>
      <c r="D41" s="321">
        <f t="array" ref="D41">_xlfn.LET(
    _xlpm.Fila,$F41,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1" s="311" t="s">
        <v>248</v>
      </c>
      <c r="F41">
        <v>30</v>
      </c>
    </row>
    <row r="42" ht="21.5" customHeight="1" spans="3:6" x14ac:dyDescent="0.25">
      <c r="C42" s="343" t="s">
        <v>103</v>
      </c>
      <c r="D42" s="321">
        <f t="array" ref="D42">_xlfn.LET(
    _xlpm.Fila,$F42,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2" s="311" t="s">
        <v>248</v>
      </c>
      <c r="F42">
        <v>31</v>
      </c>
    </row>
    <row r="43" ht="31.5" customHeight="1" spans="3:6" x14ac:dyDescent="0.25">
      <c r="C43" s="343" t="s">
        <v>104</v>
      </c>
      <c r="D43" s="321">
        <f t="array" ref="D43">_xlfn.LET(
    _xlpm.Fila,$F43,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3" s="311" t="s">
        <v>248</v>
      </c>
      <c r="F43">
        <v>32</v>
      </c>
    </row>
    <row r="44" ht="20" customHeight="1" spans="3:6" x14ac:dyDescent="0.25">
      <c r="C44" s="313" t="s">
        <v>105</v>
      </c>
      <c r="D44" s="314"/>
      <c r="E44" s="315"/>
      <c r="F44">
        <v>33</v>
      </c>
    </row>
    <row r="45" ht="31.5" customHeight="1" spans="3:6" x14ac:dyDescent="0.25">
      <c r="C45" s="343" t="s">
        <v>106</v>
      </c>
      <c r="D45" s="321">
        <f t="array" ref="D45">_xlfn.LET(
    _xlpm.Fila,$F45,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5" s="311" t="s">
        <v>248</v>
      </c>
      <c r="F45">
        <v>34</v>
      </c>
    </row>
    <row r="46" ht="32.5" customHeight="1" spans="3:6" x14ac:dyDescent="0.25">
      <c r="C46" s="343" t="s">
        <v>145</v>
      </c>
      <c r="D46" s="321">
        <f t="array" ref="D46">_xlfn.LET(
    _xlpm.Fila,$F46,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6" s="311" t="s">
        <v>248</v>
      </c>
      <c r="F46">
        <v>35</v>
      </c>
    </row>
    <row r="47" ht="21.5" customHeight="1" spans="3:6" x14ac:dyDescent="0.25">
      <c r="C47" s="343" t="s">
        <v>146</v>
      </c>
      <c r="D47" s="321">
        <f t="array" ref="D47">_xlfn.LET(
    _xlpm.Fila,$F47,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7" s="311" t="s">
        <v>248</v>
      </c>
      <c r="F47">
        <v>36</v>
      </c>
    </row>
    <row r="48" ht="27.5" customHeight="1" spans="3:6" x14ac:dyDescent="0.25">
      <c r="C48" s="343" t="s">
        <v>107</v>
      </c>
      <c r="D48" s="321">
        <f t="array" ref="D48">_xlfn.LET(
    _xlpm.Fila,$F48,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8" s="311" t="s">
        <v>248</v>
      </c>
      <c r="F48">
        <v>37</v>
      </c>
    </row>
    <row r="49" ht="37.5" customHeight="1" spans="3:6" x14ac:dyDescent="0.25">
      <c r="C49" s="343" t="s">
        <v>147</v>
      </c>
      <c r="D49" s="321">
        <f t="array" ref="D49">_xlfn.LET(
    _xlpm.Fila,$F49,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49" s="311" t="s">
        <v>248</v>
      </c>
      <c r="F49">
        <v>38</v>
      </c>
    </row>
    <row r="50" ht="27.5" customHeight="1" spans="3:6" x14ac:dyDescent="0.25">
      <c r="C50" s="343" t="s">
        <v>108</v>
      </c>
      <c r="D50" s="321">
        <f t="array" ref="D50">_xlfn.LET(
    _xlpm.Fila,$F50,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0" s="311" t="s">
        <v>248</v>
      </c>
      <c r="F50">
        <v>39</v>
      </c>
    </row>
    <row r="51" ht="21.5" customHeight="1" spans="3:6" x14ac:dyDescent="0.25">
      <c r="C51" s="343" t="s">
        <v>109</v>
      </c>
      <c r="D51" s="321">
        <f t="array" ref="D51">_xlfn.LET(
    _xlpm.Fila,$F51,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1" s="311" t="s">
        <v>248</v>
      </c>
      <c r="F51">
        <v>40</v>
      </c>
    </row>
    <row r="52" ht="29" customHeight="1" spans="3:6" x14ac:dyDescent="0.25">
      <c r="C52" s="343" t="s">
        <v>148</v>
      </c>
      <c r="D52" s="321">
        <f t="array" ref="D52">_xlfn.LET(
    _xlpm.Fila,$F52,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2" s="311" t="s">
        <v>248</v>
      </c>
      <c r="F52">
        <v>41</v>
      </c>
    </row>
    <row r="53" ht="20" customHeight="1" spans="3:6" x14ac:dyDescent="0.25">
      <c r="C53" s="332" t="s">
        <v>111</v>
      </c>
      <c r="D53" s="333"/>
      <c r="E53" s="334"/>
      <c r="F53">
        <v>42</v>
      </c>
    </row>
    <row r="54" ht="34.5" customHeight="1" spans="3:6" x14ac:dyDescent="0.25">
      <c r="C54" s="343" t="s">
        <v>112</v>
      </c>
      <c r="D54" s="321">
        <f t="array" ref="D54">_xlfn.LET(
    _xlpm.Fila,$F54,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4" s="311" t="s">
        <v>248</v>
      </c>
      <c r="F54">
        <v>43</v>
      </c>
    </row>
    <row r="55" ht="50" customHeight="1" spans="3:6" x14ac:dyDescent="0.25">
      <c r="C55" s="343" t="s">
        <v>133</v>
      </c>
      <c r="D55" s="321">
        <f t="array" ref="D55">_xlfn.LET(
    _xlpm.Fila,$F55,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5" s="311" t="s">
        <v>248</v>
      </c>
      <c r="F55">
        <v>44</v>
      </c>
    </row>
    <row r="56" ht="21.5" customHeight="1" spans="3:6" x14ac:dyDescent="0.25">
      <c r="C56" s="343" t="s">
        <v>113</v>
      </c>
      <c r="D56" s="321">
        <f t="array" ref="D56">_xlfn.LET(
    _xlpm.Fila,$F56,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6" s="311" t="s">
        <v>248</v>
      </c>
      <c r="F56">
        <v>45</v>
      </c>
    </row>
    <row r="57" ht="41.5" customHeight="1" spans="3:6" x14ac:dyDescent="0.25">
      <c r="C57" s="343" t="s">
        <v>149</v>
      </c>
      <c r="D57" s="321">
        <f t="array" ref="D57">_xlfn.LET(
    _xlpm.Fila,$F57,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7" s="311" t="s">
        <v>248</v>
      </c>
      <c r="F57">
        <v>46</v>
      </c>
    </row>
    <row r="58" ht="31.5" customHeight="1" spans="3:6" x14ac:dyDescent="0.25">
      <c r="C58" s="343" t="s">
        <v>179</v>
      </c>
      <c r="D58" s="321">
        <f t="array" ref="D58">_xlfn.LET(
    _xlpm.Fila,$F58,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8" s="311" t="s">
        <v>248</v>
      </c>
      <c r="F58">
        <v>47</v>
      </c>
    </row>
    <row r="59" ht="21.5" customHeight="1" spans="3:6" x14ac:dyDescent="0.25">
      <c r="C59" s="343" t="s">
        <v>151</v>
      </c>
      <c r="D59" s="321">
        <f t="array" ref="D59">_xlfn.LET(
    _xlpm.Fila,$F59,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59" s="311" t="s">
        <v>248</v>
      </c>
      <c r="F59">
        <v>48</v>
      </c>
    </row>
    <row r="60" ht="25" customHeight="1" spans="3:6" x14ac:dyDescent="0.25">
      <c r="C60" s="343" t="s">
        <v>116</v>
      </c>
      <c r="D60" s="321">
        <f t="array" ref="D60">_xlfn.LET(
    _xlpm.Fila,$F60,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0" s="311" t="s">
        <v>248</v>
      </c>
      <c r="F60">
        <v>49</v>
      </c>
    </row>
    <row r="61" ht="22.5" customHeight="1" spans="3:6" x14ac:dyDescent="0.25">
      <c r="C61" s="343" t="s">
        <v>117</v>
      </c>
      <c r="D61" s="321">
        <f t="array" ref="D61">_xlfn.LET(
    _xlpm.Fila,$F61,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1" s="311" t="s">
        <v>248</v>
      </c>
      <c r="F61">
        <v>50</v>
      </c>
    </row>
    <row r="62" ht="22.5" customHeight="1" spans="3:6" x14ac:dyDescent="0.25">
      <c r="C62" s="343" t="s">
        <v>152</v>
      </c>
      <c r="D62" s="321">
        <f t="array" ref="D62">_xlfn.LET(
    _xlpm.Fila,$F62,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2" s="311" t="s">
        <v>248</v>
      </c>
      <c r="F62">
        <v>51</v>
      </c>
    </row>
    <row r="63" ht="25" customHeight="1" spans="3:6" x14ac:dyDescent="0.25">
      <c r="C63" s="343" t="s">
        <v>118</v>
      </c>
      <c r="D63" s="321">
        <f t="array" ref="D63">_xlfn.LET(
    _xlpm.Fila,$F63,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3" s="311" t="s">
        <v>248</v>
      </c>
      <c r="F63">
        <v>52</v>
      </c>
    </row>
    <row r="64" ht="44.5" customHeight="1" spans="3:6" x14ac:dyDescent="0.25">
      <c r="C64" s="343" t="s">
        <v>120</v>
      </c>
      <c r="D64" s="321">
        <f t="array" ref="D64">_xlfn.LET(
    _xlpm.Fila,$F64,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4" s="311" t="s">
        <v>248</v>
      </c>
      <c r="F64">
        <v>53</v>
      </c>
    </row>
    <row r="65" ht="21.5" customHeight="1" spans="3:6" x14ac:dyDescent="0.25">
      <c r="C65" s="343" t="s">
        <v>121</v>
      </c>
      <c r="D65" s="321">
        <f t="array" ref="D65">_xlfn.LET(
    _xlpm.Fila,$F65,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5" s="311" t="s">
        <v>248</v>
      </c>
      <c r="F65">
        <v>54</v>
      </c>
    </row>
    <row r="66" ht="27" customHeight="1" spans="3:6" x14ac:dyDescent="0.25">
      <c r="C66" s="343" t="s">
        <v>153</v>
      </c>
      <c r="D66" s="321">
        <f t="array" ref="D66">_xlfn.LET(
    _xlpm.Fila,$F66,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6" s="311" t="s">
        <v>248</v>
      </c>
      <c r="F66">
        <v>55</v>
      </c>
    </row>
    <row r="67" ht="45" customHeight="1" spans="3:6" x14ac:dyDescent="0.25">
      <c r="C67" s="336" t="s">
        <v>122</v>
      </c>
      <c r="D67" s="337"/>
      <c r="E67" s="338"/>
      <c r="F67">
        <v>56</v>
      </c>
    </row>
    <row r="68" ht="41.5" customHeight="1" spans="3:6" x14ac:dyDescent="0.25">
      <c r="C68" s="343" t="s">
        <v>123</v>
      </c>
      <c r="D68" s="321">
        <f t="array" ref="D68">_xlfn.LET(
    _xlpm.Fila,$F68,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8" s="311" t="s">
        <v>248</v>
      </c>
      <c r="F68">
        <v>57</v>
      </c>
    </row>
    <row r="69" ht="21.5" customHeight="1" spans="3:6" x14ac:dyDescent="0.25">
      <c r="C69" s="343" t="s">
        <v>124</v>
      </c>
      <c r="D69" s="321">
        <f t="array" ref="D69">_xlfn.LET(
    _xlpm.Fila,$F69,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69" s="311" t="s">
        <v>248</v>
      </c>
      <c r="F69">
        <v>58</v>
      </c>
    </row>
    <row r="70" ht="21.5" customHeight="1" spans="3:6" x14ac:dyDescent="0.25">
      <c r="C70" s="343" t="s">
        <v>125</v>
      </c>
      <c r="D70" s="321">
        <f t="array" ref="D70">_xlfn.LET(
    _xlpm.Fila,$F70,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0" s="311" t="s">
        <v>248</v>
      </c>
      <c r="F70">
        <v>59</v>
      </c>
    </row>
    <row r="71" ht="21.5" customHeight="1" spans="3:6" x14ac:dyDescent="0.25">
      <c r="C71" s="343" t="s">
        <v>180</v>
      </c>
      <c r="D71" s="321">
        <f t="array" ref="D71">_xlfn.LET(
    _xlpm.Fila,$F71,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1" s="311" t="s">
        <v>248</v>
      </c>
      <c r="F71">
        <v>60</v>
      </c>
    </row>
    <row r="72" ht="24.5" customHeight="1" spans="3:6" x14ac:dyDescent="0.25">
      <c r="C72" s="343" t="s">
        <v>126</v>
      </c>
      <c r="D72" s="321">
        <f t="array" ref="D72">_xlfn.LET(
    _xlpm.Fila,$F72,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2" s="311" t="s">
        <v>248</v>
      </c>
      <c r="F72">
        <v>61</v>
      </c>
    </row>
    <row r="73" ht="36.5" customHeight="1" spans="3:6" x14ac:dyDescent="0.25">
      <c r="C73" s="343" t="s">
        <v>181</v>
      </c>
      <c r="D73" s="321">
        <f t="array" ref="D73">_xlfn.LET(
    _xlpm.Fila,$F73,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3" s="311" t="s">
        <v>248</v>
      </c>
      <c r="F73">
        <v>62</v>
      </c>
    </row>
    <row r="74" ht="24" customHeight="1" spans="3:6" x14ac:dyDescent="0.25">
      <c r="C74" s="343" t="s">
        <v>156</v>
      </c>
      <c r="D74" s="321">
        <f t="array" ref="D74">_xlfn.LET(
    _xlpm.Fila,$F74,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4" s="311" t="s">
        <v>248</v>
      </c>
      <c r="F74">
        <v>63</v>
      </c>
    </row>
    <row r="75" ht="59" customHeight="1" spans="3:6" x14ac:dyDescent="0.25">
      <c r="C75" s="313" t="s">
        <v>214</v>
      </c>
      <c r="D75" s="314"/>
      <c r="E75" s="315"/>
      <c r="F75">
        <v>64</v>
      </c>
    </row>
    <row r="76" ht="59" customHeight="1" spans="3:6" x14ac:dyDescent="0.25">
      <c r="C76" s="343" t="s">
        <v>157</v>
      </c>
      <c r="D76" s="321">
        <f t="array" ref="D76">_xlfn.LET(
    _xlpm.Fila,$F76,
    _xlpm.ColIni,$G$4,
    _xlpm.ColFin,$H$4,
    _xlpm.Datos,INDEX('3. Prev_Frecuenc Calient(noche)'!$A$1:$ER$65,_xlpm.Fila,_xlfn.SEQUENCE(1,(_xlpm.ColFin-_xlpm.ColIni)/3+1,_xlpm.ColIni,3)),
    IFERROR(AVERAGE(_xlfn._xlws.FILTER(_xlpm.Datos,(_xlpm.Datos&lt;&gt;"")*(_xlpm.Datos&lt;&gt;0))),0)
)</f>
        <v>0</v>
      </c>
      <c r="E76" s="311" t="s">
        <v>248</v>
      </c>
      <c r="F76">
        <v>65</v>
      </c>
    </row>
  </sheetData>
  <mergeCells count="8">
    <mergeCell ref="C18:E18"/>
    <mergeCell ref="C19:E19"/>
    <mergeCell ref="C27:E27"/>
    <mergeCell ref="C31:E31"/>
    <mergeCell ref="C44:E44"/>
    <mergeCell ref="C53:E53"/>
    <mergeCell ref="C67:E67"/>
    <mergeCell ref="C75:E75"/>
  </mergeCells>
  <conditionalFormatting sqref="E8:E14 E20:E26">
    <cfRule type="containsText" dxfId="76" priority="25">
      <formula>NOT(ISERROR(SEARCH("QUINCENAL",E8)))</formula>
    </cfRule>
    <cfRule type="containsText" dxfId="77" priority="26">
      <formula>NOT(ISERROR(SEARCH("MENSUAL",E8)))</formula>
    </cfRule>
    <cfRule type="containsText" dxfId="78" priority="27">
      <formula>NOT(ISERROR(SEARCH("SEMANAL",E8)))</formula>
    </cfRule>
  </conditionalFormatting>
  <conditionalFormatting sqref="E28:E30">
    <cfRule type="containsText" dxfId="79" priority="22">
      <formula>NOT(ISERROR(SEARCH("QUINCENAL",E28)))</formula>
    </cfRule>
    <cfRule type="containsText" dxfId="80" priority="23">
      <formula>NOT(ISERROR(SEARCH("MENSUAL",E28)))</formula>
    </cfRule>
    <cfRule type="containsText" dxfId="81" priority="24">
      <formula>NOT(ISERROR(SEARCH("SEMANAL",E28)))</formula>
    </cfRule>
  </conditionalFormatting>
  <conditionalFormatting sqref="E32:E43">
    <cfRule type="containsText" dxfId="82" priority="19">
      <formula>NOT(ISERROR(SEARCH("QUINCENAL",E32)))</formula>
    </cfRule>
    <cfRule type="containsText" dxfId="83" priority="20">
      <formula>NOT(ISERROR(SEARCH("MENSUAL",E32)))</formula>
    </cfRule>
    <cfRule type="containsText" dxfId="84" priority="21">
      <formula>NOT(ISERROR(SEARCH("SEMANAL",E32)))</formula>
    </cfRule>
  </conditionalFormatting>
  <conditionalFormatting sqref="E45:E52">
    <cfRule type="containsText" dxfId="85" priority="16">
      <formula>NOT(ISERROR(SEARCH("QUINCENAL",E45)))</formula>
    </cfRule>
    <cfRule type="containsText" dxfId="86" priority="17">
      <formula>NOT(ISERROR(SEARCH("MENSUAL",E45)))</formula>
    </cfRule>
    <cfRule type="containsText" dxfId="87" priority="18">
      <formula>NOT(ISERROR(SEARCH("SEMANAL",E45)))</formula>
    </cfRule>
  </conditionalFormatting>
  <conditionalFormatting sqref="E54:E66">
    <cfRule type="containsText" dxfId="88" priority="13">
      <formula>NOT(ISERROR(SEARCH("QUINCENAL",E54)))</formula>
    </cfRule>
    <cfRule type="containsText" dxfId="89" priority="14">
      <formula>NOT(ISERROR(SEARCH("MENSUAL",E54)))</formula>
    </cfRule>
    <cfRule type="containsText" dxfId="90" priority="15">
      <formula>NOT(ISERROR(SEARCH("SEMANAL",E54)))</formula>
    </cfRule>
  </conditionalFormatting>
  <conditionalFormatting sqref="E68:E74">
    <cfRule type="containsText" dxfId="91" priority="10">
      <formula>NOT(ISERROR(SEARCH("QUINCENAL",E68)))</formula>
    </cfRule>
    <cfRule type="containsText" dxfId="92" priority="11">
      <formula>NOT(ISERROR(SEARCH("MENSUAL",E68)))</formula>
    </cfRule>
    <cfRule type="containsText" dxfId="93" priority="12">
      <formula>NOT(ISERROR(SEARCH("SEMANAL",E68)))</formula>
    </cfRule>
  </conditionalFormatting>
  <conditionalFormatting sqref="E76">
    <cfRule type="containsText" dxfId="94" priority="1">
      <formula>NOT(ISERROR(SEARCH("QUINCENAL",E76)))</formula>
    </cfRule>
    <cfRule type="containsText" dxfId="95" priority="2">
      <formula>NOT(ISERROR(SEARCH("MENSUAL",E76)))</formula>
    </cfRule>
    <cfRule type="containsText" dxfId="96" priority="3">
      <formula>NOT(ISERROR(SEARCH("SEMANAL",E76)))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C1:O81"/>
  <sheetViews>
    <sheetView workbookViewId="0" showGridLines="0" zoomScale="60" zoomScaleNormal="60">
      <selection activeCell="J8" sqref="J8"/>
    </sheetView>
  </sheetViews>
  <sheetFormatPr defaultRowHeight="14.5" outlineLevelRow="0" outlineLevelCol="0" x14ac:dyDescent="0.35" customHeight="1"/>
  <cols>
    <col min="2" max="2" width="21" customWidth="1"/>
    <col min="3" max="3" width="36.54296875" customWidth="1"/>
    <col min="4" max="4" width="21.26953125" customWidth="1"/>
    <col min="5" max="5" width="23.36328125" customWidth="1"/>
    <col min="6" max="6" width="10.90625" hidden="1" customWidth="1"/>
    <col min="7" max="7" width="15" hidden="1" customWidth="1"/>
    <col min="8" max="8" width="17" hidden="1" customWidth="1"/>
    <col min="12" max="12" width="25.6328125" customWidth="1"/>
    <col min="13" max="13" width="12.6328125" customWidth="1"/>
    <col min="14" max="14" width="16.453125" customWidth="1"/>
    <col min="15" max="15" width="10.90625" hidden="1" customWidth="1"/>
  </cols>
  <sheetData>
    <row r="1" spans="2:2" x14ac:dyDescent="0.25">
      <c r="B1" s="287" t="s">
        <v>240</v>
      </c>
    </row>
    <row r="2" ht="15" customHeight="1" x14ac:dyDescent="0.25"/>
    <row r="3" ht="21" customHeight="1" spans="4:14" x14ac:dyDescent="0.25">
      <c r="D3" s="288" t="s">
        <v>2</v>
      </c>
      <c r="E3" s="288" t="s">
        <v>3</v>
      </c>
      <c r="G3" s="289" t="s">
        <v>241</v>
      </c>
      <c r="H3" s="290" t="s">
        <v>242</v>
      </c>
      <c r="L3" s="220">
        <v>1</v>
      </c>
      <c r="M3" s="220" t="s">
        <v>79</v>
      </c>
      <c r="N3" s="99" t="s">
        <v>80</v>
      </c>
    </row>
    <row r="4" ht="15" customHeight="1" spans="7:14" x14ac:dyDescent="0.25">
      <c r="G4" s="291">
        <f>_xlfn.XMATCH($D$3,'4. Prev_Frecuencia Despachos'!6:6,0)+2</f>
        <v>5</v>
      </c>
      <c r="H4" s="319">
        <f>_xlfn.XMATCH($E$3,'4. Prev_Frecuencia Despachos'!6:6,0)+2</f>
        <v>146</v>
      </c>
      <c r="L4" s="225">
        <v>2</v>
      </c>
      <c r="M4" s="225" t="s">
        <v>82</v>
      </c>
      <c r="N4" s="109" t="s">
        <v>83</v>
      </c>
    </row>
    <row r="5" ht="19.5" customHeight="1" spans="12:14" x14ac:dyDescent="0.25">
      <c r="L5" s="292">
        <v>3</v>
      </c>
      <c r="M5" s="293" t="s">
        <v>85</v>
      </c>
      <c r="N5" s="109" t="s">
        <v>86</v>
      </c>
    </row>
    <row r="7" ht="32" customHeight="1" spans="3:5" x14ac:dyDescent="0.25">
      <c r="C7" s="294" t="s">
        <v>220</v>
      </c>
      <c r="D7" s="295" t="s">
        <v>243</v>
      </c>
      <c r="E7" s="295" t="s">
        <v>244</v>
      </c>
    </row>
    <row r="8" ht="15.5" customHeight="1" spans="3:15" x14ac:dyDescent="0.25">
      <c r="C8" s="320" t="s">
        <v>73</v>
      </c>
      <c r="D8" s="321">
        <f t="array" ref="D8">_xlfn.LET(
    _xlpm.Fila,$F8,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O8">
        <v>8</v>
      </c>
    </row>
    <row r="9" ht="24.5" customHeight="1" spans="3:15" x14ac:dyDescent="0.25">
      <c r="C9" s="322" t="s">
        <v>188</v>
      </c>
      <c r="D9" s="321">
        <f t="array" ref="D9">_xlfn.LET(
    _xlpm.Fila,$F9,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18</v>
      </c>
      <c r="O9">
        <v>14</v>
      </c>
    </row>
    <row r="10" ht="15.5" customHeight="1" spans="3:15" x14ac:dyDescent="0.25">
      <c r="C10" s="320" t="s">
        <v>191</v>
      </c>
      <c r="D10" s="321">
        <f t="array" ref="D10">_xlfn.LET(
    _xlpm.Fila,$F10,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21</v>
      </c>
      <c r="O10">
        <v>18</v>
      </c>
    </row>
    <row r="11" ht="32.5" customHeight="1" spans="3:15" x14ac:dyDescent="0.25">
      <c r="C11" s="299" t="s">
        <v>105</v>
      </c>
      <c r="D11" s="321">
        <f t="array" ref="D11">_xlfn.LET(
    _xlpm.Fila,$F11,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34</v>
      </c>
      <c r="O11">
        <v>30</v>
      </c>
    </row>
    <row r="12" ht="19.5" customHeight="1" spans="3:15" x14ac:dyDescent="0.25">
      <c r="C12" s="322" t="s">
        <v>111</v>
      </c>
      <c r="D12" s="321">
        <f t="array" ref="D12">_xlfn.LET(
    _xlpm.Fila,$F12,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40</v>
      </c>
      <c r="O12">
        <v>36</v>
      </c>
    </row>
    <row r="13" ht="31" customHeight="1" spans="3:15" x14ac:dyDescent="0.25">
      <c r="C13" s="322" t="s">
        <v>154</v>
      </c>
      <c r="D13" s="321">
        <f t="array" ref="D13">_xlfn.LET(
    _xlpm.Fila,$F13,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53</v>
      </c>
      <c r="O13">
        <v>47</v>
      </c>
    </row>
    <row r="14" ht="15.5" customHeight="1" spans="3:15" x14ac:dyDescent="0.25">
      <c r="C14" s="322" t="s">
        <v>214</v>
      </c>
      <c r="D14" s="321">
        <f t="array" ref="D14">_xlfn.LET(
    _xlpm.Fila,$F14,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60</v>
      </c>
      <c r="O14">
        <v>53</v>
      </c>
    </row>
    <row r="15" ht="15.5" customHeight="1" spans="3:15" x14ac:dyDescent="0.25">
      <c r="C15" s="299" t="s">
        <v>158</v>
      </c>
      <c r="D15" s="321">
        <f t="array" ref="D15">_xlfn.LET(
    _xlpm.Fila,$F15,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62</v>
      </c>
      <c r="O15">
        <v>55</v>
      </c>
    </row>
    <row r="16" ht="15.5" customHeight="1" spans="3:6" x14ac:dyDescent="0.25">
      <c r="C16" s="323" t="s">
        <v>130</v>
      </c>
      <c r="D16" s="321">
        <f t="array" ref="D16">_xlfn.LET(
    _xlpm.Fila,$F16,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65</v>
      </c>
    </row>
    <row r="20" ht="35" customHeight="1" spans="3:5" x14ac:dyDescent="0.25">
      <c r="C20" s="300" t="s">
        <v>251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36.5" customHeight="1" spans="3:6" x14ac:dyDescent="0.25">
      <c r="C22" s="324" t="s">
        <v>78</v>
      </c>
      <c r="D22" s="321">
        <f t="array" ref="D22">_xlfn.LET(
    _xlpm.Fila,$F22,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25" t="s">
        <v>135</v>
      </c>
      <c r="D23" s="321">
        <f t="array" ref="D23">_xlfn.LET(
    _xlpm.Fila,$F23,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25" t="s">
        <v>221</v>
      </c>
      <c r="D24" s="321">
        <f t="array" ref="D24">_xlfn.LET(
    _xlpm.Fila,$F24,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31.5" customHeight="1" spans="3:6" x14ac:dyDescent="0.25">
      <c r="C25" s="325" t="s">
        <v>137</v>
      </c>
      <c r="D25" s="321">
        <f t="array" ref="D25">_xlfn.LET(
    _xlpm.Fila,$F25,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26" t="s">
        <v>138</v>
      </c>
      <c r="D26" s="321">
        <f t="array" ref="D26">_xlfn.LET(
    _xlpm.Fila,$F26,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30" customHeight="1" spans="3:6" x14ac:dyDescent="0.25">
      <c r="C27" s="325" t="s">
        <v>84</v>
      </c>
      <c r="D27" s="321">
        <f t="array" ref="D27">_xlfn.LET(
    _xlpm.Fila,$F27,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7" s="328" t="str">
        <f t="array" ref="E27">_xlfn.IFS(D27&gt;=91.5%,"MENSUAL",D27&gt;=75%,"QUINCENAL",D27&lt;75%,"SEMANAL")</f>
        <v>SEMANAL</v>
      </c>
      <c r="F27">
        <v>14</v>
      </c>
    </row>
    <row r="28" ht="30" customHeight="1" spans="3:6" x14ac:dyDescent="0.25">
      <c r="C28" s="325" t="s">
        <v>222</v>
      </c>
      <c r="D28" s="321">
        <f t="array" ref="D28">_xlfn.LET(
    _xlpm.Fila,$F28,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8" s="328" t="str">
        <f t="array" ref="E28">_xlfn.IFS(D28&gt;=91.5%,"MENSUAL",D28&gt;=75%,"QUINCENAL",D28&lt;75%,"SEMANAL")</f>
        <v>SEMANAL</v>
      </c>
      <c r="F28">
        <v>15</v>
      </c>
    </row>
    <row r="29" ht="30" customHeight="1" spans="3:6" x14ac:dyDescent="0.25">
      <c r="C29" s="325" t="s">
        <v>218</v>
      </c>
      <c r="D29" s="321">
        <f t="array" ref="D29">_xlfn.LET(
    _xlpm.Fila,$F29,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29" s="328" t="str">
        <f t="array" ref="E29">_xlfn.IFS(D29&gt;=91.5%,"MENSUAL",D29&gt;=75%,"QUINCENAL",D29&lt;75%,"SEMANAL")</f>
        <v>SEMANAL</v>
      </c>
      <c r="F29">
        <v>16</v>
      </c>
    </row>
    <row r="30" ht="30" customHeight="1" spans="3:6" x14ac:dyDescent="0.25">
      <c r="C30" s="325" t="s">
        <v>223</v>
      </c>
      <c r="D30" s="321">
        <f t="array" ref="D30">_xlfn.LET(
    _xlpm.Fila,$F30,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0" s="328" t="str">
        <f t="array" ref="E30">_xlfn.IFS(D30&gt;=91.5%,"MENSUAL",D30&gt;=75%,"QUINCENAL",D30&lt;75%,"SEMANAL")</f>
        <v>SEMANAL</v>
      </c>
      <c r="F30">
        <v>17</v>
      </c>
    </row>
    <row r="31" ht="29.5" customHeight="1" spans="3:6" x14ac:dyDescent="0.25">
      <c r="C31" s="303" t="s">
        <v>188</v>
      </c>
      <c r="D31" s="304"/>
      <c r="E31" s="305"/>
      <c r="F31">
        <v>18</v>
      </c>
    </row>
    <row r="32" ht="56" customHeight="1" spans="3:6" x14ac:dyDescent="0.25">
      <c r="C32" s="318" t="s">
        <v>140</v>
      </c>
      <c r="D32" s="321">
        <f t="array" ref="D32">_xlfn.LET(
    _xlpm.Fila,$F32,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34.5" customHeight="1" spans="3:6" x14ac:dyDescent="0.25">
      <c r="C33" s="165" t="s">
        <v>224</v>
      </c>
      <c r="D33" s="321">
        <f t="array" ref="D33">_xlfn.LET(
    _xlpm.Fila,$F33,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25.5" customHeight="1" spans="3:6" x14ac:dyDescent="0.25">
      <c r="C34" s="329" t="s">
        <v>191</v>
      </c>
      <c r="D34" s="330"/>
      <c r="E34" s="331"/>
      <c r="F34">
        <v>21</v>
      </c>
    </row>
    <row r="35" ht="25.5" customHeight="1" spans="3:6" x14ac:dyDescent="0.25">
      <c r="C35" s="165" t="s">
        <v>94</v>
      </c>
      <c r="D35" s="321">
        <f t="array" ref="D35">_xlfn.LET(
    _xlpm.Fila,$F35,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25.5" customHeight="1" spans="3:6" x14ac:dyDescent="0.25">
      <c r="C36" s="165" t="s">
        <v>225</v>
      </c>
      <c r="D36" s="321">
        <f t="array" ref="D36">_xlfn.LET(
    _xlpm.Fila,$F36,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25.5" customHeight="1" spans="3:6" x14ac:dyDescent="0.25">
      <c r="C37" s="165" t="s">
        <v>143</v>
      </c>
      <c r="D37" s="321">
        <f t="array" ref="D37">_xlfn.LET(
    _xlpm.Fila,$F37,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25.5" customHeight="1" spans="3:6" x14ac:dyDescent="0.25">
      <c r="C38" s="165" t="s">
        <v>96</v>
      </c>
      <c r="D38" s="321">
        <f t="array" ref="D38">_xlfn.LET(
    _xlpm.Fila,$F38,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25.5" customHeight="1" spans="3:6" x14ac:dyDescent="0.25">
      <c r="C39" s="165" t="s">
        <v>97</v>
      </c>
      <c r="D39" s="321">
        <f t="array" ref="D39">_xlfn.LET(
    _xlpm.Fila,$F39,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26</v>
      </c>
    </row>
    <row r="40" ht="45.5" customHeight="1" spans="3:6" x14ac:dyDescent="0.25">
      <c r="C40" s="165" t="s">
        <v>226</v>
      </c>
      <c r="D40" s="321">
        <f t="array" ref="D40">_xlfn.LET(
    _xlpm.Fila,$F40,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47.5" customHeight="1" spans="3:6" x14ac:dyDescent="0.25">
      <c r="C41" s="165" t="s">
        <v>99</v>
      </c>
      <c r="D41" s="321">
        <f t="array" ref="D41">_xlfn.LET(
    _xlpm.Fila,$F41,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49.5" customHeight="1" spans="3:6" x14ac:dyDescent="0.25">
      <c r="C42" s="165" t="s">
        <v>100</v>
      </c>
      <c r="D42" s="321">
        <f t="array" ref="D42">_xlfn.LET(
    _xlpm.Fila,$F42,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33" customHeight="1" spans="3:6" x14ac:dyDescent="0.25">
      <c r="C43" s="165" t="s">
        <v>101</v>
      </c>
      <c r="D43" s="321">
        <f t="array" ref="D43">_xlfn.LET(
    _xlpm.Fila,$F43,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21.5" customHeight="1" spans="3:6" x14ac:dyDescent="0.25">
      <c r="C44" s="318" t="s">
        <v>102</v>
      </c>
      <c r="D44" s="321">
        <f t="array" ref="D44">_xlfn.LET(
    _xlpm.Fila,$F44,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21.5" customHeight="1" spans="3:6" x14ac:dyDescent="0.25">
      <c r="C45" s="318" t="s">
        <v>103</v>
      </c>
      <c r="D45" s="321">
        <f t="array" ref="D45">_xlfn.LET(
    _xlpm.Fila,$F45,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5" s="311" t="str">
        <f t="array" ref="E45">_xlfn.IFS(D45&gt;=91.5%,"MENSUAL",D45&gt;=75%,"QUINCENAL",D45&lt;75%,"SEMANAL")</f>
        <v>SEMANAL</v>
      </c>
      <c r="F45">
        <v>32</v>
      </c>
    </row>
    <row r="46" ht="31.5" customHeight="1" spans="3:6" x14ac:dyDescent="0.25">
      <c r="C46" s="318" t="s">
        <v>104</v>
      </c>
      <c r="D46" s="321">
        <f t="array" ref="D46">_xlfn.LET(
    _xlpm.Fila,$F46,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31.5" customHeight="1" spans="3:6" x14ac:dyDescent="0.25">
      <c r="C47" s="351" t="s">
        <v>105</v>
      </c>
      <c r="D47" s="351"/>
      <c r="E47" s="351"/>
      <c r="F47">
        <v>34</v>
      </c>
    </row>
    <row r="48" ht="32.5" customHeight="1" spans="3:6" x14ac:dyDescent="0.25">
      <c r="C48" s="318" t="s">
        <v>106</v>
      </c>
      <c r="D48" s="321">
        <f t="array" ref="D48">_xlfn.LET(
    _xlpm.Fila,$F48,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21.5" customHeight="1" spans="3:6" x14ac:dyDescent="0.25">
      <c r="C49" s="318" t="s">
        <v>145</v>
      </c>
      <c r="D49" s="321">
        <f t="array" ref="D49">_xlfn.LET(
    _xlpm.Fila,$F49,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49" s="311" t="str">
        <f t="array" ref="E49">_xlfn.IFS(D49&gt;=91.5%,"MENSUAL",D49&gt;=75%,"QUINCENAL",D49&lt;75%,"SEMANAL")</f>
        <v>SEMANAL</v>
      </c>
      <c r="F49">
        <v>36</v>
      </c>
    </row>
    <row r="50" ht="27.5" customHeight="1" spans="3:6" x14ac:dyDescent="0.25">
      <c r="C50" s="165" t="s">
        <v>107</v>
      </c>
      <c r="D50" s="321">
        <f t="array" ref="D50">_xlfn.LET(
    _xlpm.Fila,$F50,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37</v>
      </c>
    </row>
    <row r="51" ht="37.5" customHeight="1" spans="3:6" x14ac:dyDescent="0.25">
      <c r="C51" s="165" t="s">
        <v>108</v>
      </c>
      <c r="D51" s="321">
        <f t="array" ref="D51">_xlfn.LET(
    _xlpm.Fila,$F51,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31.5" customHeight="1" spans="3:6" x14ac:dyDescent="0.25">
      <c r="C52" s="318" t="s">
        <v>227</v>
      </c>
      <c r="D52" s="321">
        <f t="array" ref="D52">_xlfn.LET(
    _xlpm.Fila,$F52,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34.5" customHeight="1" spans="3:6" x14ac:dyDescent="0.25">
      <c r="C53" s="351" t="s">
        <v>111</v>
      </c>
      <c r="D53" s="351"/>
      <c r="E53" s="351"/>
      <c r="F53">
        <v>40</v>
      </c>
    </row>
    <row r="54" ht="50" customHeight="1" spans="3:6" x14ac:dyDescent="0.25">
      <c r="C54" s="165" t="s">
        <v>112</v>
      </c>
      <c r="D54" s="321">
        <f t="array" ref="D54">_xlfn.LET(
    _xlpm.Fila,$F54,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20" customHeight="1" spans="3:6" x14ac:dyDescent="0.25">
      <c r="C55" s="165" t="s">
        <v>133</v>
      </c>
      <c r="D55" s="321">
        <f t="array" ref="D55">_xlfn.LET(
    _xlpm.Fila,$F55,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1.5" customHeight="1" spans="3:6" x14ac:dyDescent="0.25">
      <c r="C56" s="318" t="s">
        <v>113</v>
      </c>
      <c r="D56" s="321">
        <f t="array" ref="D56">_xlfn.LET(
    _xlpm.Fila,$F56,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43</v>
      </c>
    </row>
    <row r="57" ht="30" customHeight="1" spans="3:6" x14ac:dyDescent="0.25">
      <c r="C57" s="165" t="s">
        <v>114</v>
      </c>
      <c r="D57" s="321">
        <f t="array" ref="D57">_xlfn.LET(
    _xlpm.Fila,$F57,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40" customHeight="1" spans="3:6" x14ac:dyDescent="0.25">
      <c r="C58" s="335" t="s">
        <v>228</v>
      </c>
      <c r="D58" s="321">
        <f t="array" ref="D58">_xlfn.LET(
    _xlpm.Fila,$F58,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25" customHeight="1" spans="3:6" x14ac:dyDescent="0.25">
      <c r="C59" s="335" t="s">
        <v>116</v>
      </c>
      <c r="D59" s="321">
        <f t="array" ref="D59">_xlfn.LET(
    _xlpm.Fila,$F59,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22.5" customHeight="1" spans="3:6" x14ac:dyDescent="0.25">
      <c r="C60" s="165" t="s">
        <v>229</v>
      </c>
      <c r="D60" s="321">
        <f t="array" ref="D60">_xlfn.LET(
    _xlpm.Fila,$F60,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22.5" customHeight="1" spans="3:6" x14ac:dyDescent="0.25">
      <c r="C61" s="165" t="s">
        <v>152</v>
      </c>
      <c r="D61" s="321">
        <f t="array" ref="D61">_xlfn.LET(
    _xlpm.Fila,$F61,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1" s="311" t="str">
        <f t="array" ref="E61">_xlfn.IFS(D61&gt;=91.5%,"MENSUAL",D61&gt;=75%,"QUINCENAL",D61&lt;75%,"SEMANAL")</f>
        <v>SEMANAL</v>
      </c>
      <c r="F61">
        <v>48</v>
      </c>
    </row>
    <row r="62" ht="25" customHeight="1" spans="3:6" x14ac:dyDescent="0.25">
      <c r="C62" s="165" t="s">
        <v>118</v>
      </c>
      <c r="D62" s="321">
        <f t="array" ref="D62">_xlfn.LET(
    _xlpm.Fila,$F62,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44.5" customHeight="1" spans="3:6" x14ac:dyDescent="0.25">
      <c r="C63" s="165" t="s">
        <v>120</v>
      </c>
      <c r="D63" s="321">
        <f t="array" ref="D63">_xlfn.LET(
    _xlpm.Fila,$F63,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20" customHeight="1" spans="3:6" x14ac:dyDescent="0.25">
      <c r="C64" s="165" t="s">
        <v>121</v>
      </c>
      <c r="D64" s="321">
        <f t="array" ref="D64">_xlfn.LET(
    _xlpm.Fila,$F64,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45" customHeight="1" spans="3:6" x14ac:dyDescent="0.25">
      <c r="C65" s="165" t="s">
        <v>153</v>
      </c>
      <c r="D65" s="321">
        <f t="array" ref="D65">_xlfn.LET(
    _xlpm.Fila,$F65,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20" customHeight="1" spans="3:6" x14ac:dyDescent="0.25">
      <c r="C66" s="351" t="s">
        <v>122</v>
      </c>
      <c r="D66" s="351"/>
      <c r="E66" s="351"/>
      <c r="F66">
        <v>53</v>
      </c>
    </row>
    <row r="67" ht="40" customHeight="1" spans="3:6" x14ac:dyDescent="0.25">
      <c r="C67" s="352" t="s">
        <v>123</v>
      </c>
      <c r="D67" s="321">
        <f t="array" ref="D67">_xlfn.LET(
    _xlpm.Fila,$F67,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20" customHeight="1" spans="3:6" x14ac:dyDescent="0.25">
      <c r="C68" s="165" t="s">
        <v>124</v>
      </c>
      <c r="D68" s="321">
        <f t="array" ref="D68">_xlfn.LET(
    _xlpm.Fila,$F68,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8" s="311" t="str">
        <f t="array" ref="E68">_xlfn.IFS(D68&gt;=91.5%,"MENSUAL",D68&gt;=75%,"QUINCENAL",D68&lt;75%,"SEMANAL")</f>
        <v>SEMANAL</v>
      </c>
      <c r="F68">
        <v>55</v>
      </c>
    </row>
    <row r="69" ht="20" customHeight="1" spans="3:6" x14ac:dyDescent="0.25">
      <c r="C69" s="165" t="s">
        <v>125</v>
      </c>
      <c r="D69" s="321">
        <f t="array" ref="D69">_xlfn.LET(
    _xlpm.Fila,$F69,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24.5" customHeight="1" spans="3:6" x14ac:dyDescent="0.25">
      <c r="C70" s="165" t="s">
        <v>155</v>
      </c>
      <c r="D70" s="321">
        <f t="array" ref="D70">_xlfn.LET(
    _xlpm.Fila,$F70,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57</v>
      </c>
    </row>
    <row r="71" ht="36.5" customHeight="1" spans="3:6" x14ac:dyDescent="0.25">
      <c r="C71" s="165" t="s">
        <v>126</v>
      </c>
      <c r="D71" s="321">
        <f t="array" ref="D71">_xlfn.LET(
    _xlpm.Fila,$F71,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1" s="311" t="str">
        <f t="array" ref="E71">_xlfn.IFS(D71&gt;=91.5%,"MENSUAL",D71&gt;=75%,"QUINCENAL",D71&lt;75%,"SEMANAL")</f>
        <v>SEMANAL</v>
      </c>
      <c r="F71">
        <v>58</v>
      </c>
    </row>
    <row r="72" ht="59" customHeight="1" spans="3:6" x14ac:dyDescent="0.25">
      <c r="C72" s="165" t="s">
        <v>127</v>
      </c>
      <c r="D72" s="321">
        <f t="array" ref="D72">_xlfn.LET(
    _xlpm.Fila,$F72,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59" customHeight="1" spans="3:6" x14ac:dyDescent="0.25">
      <c r="C73" s="351" t="s">
        <v>214</v>
      </c>
      <c r="D73" s="351"/>
      <c r="E73" s="351"/>
      <c r="F73">
        <v>60</v>
      </c>
    </row>
    <row r="74" ht="59" customHeight="1" spans="3:6" x14ac:dyDescent="0.25">
      <c r="C74" s="316" t="s">
        <v>157</v>
      </c>
      <c r="D74" s="321">
        <f t="array" ref="D74">_xlfn.LET(
    _xlpm.Fila,$F74,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  <row r="75" ht="59" customHeight="1" spans="3:6" x14ac:dyDescent="0.25">
      <c r="C75" s="351" t="s">
        <v>158</v>
      </c>
      <c r="D75" s="351"/>
      <c r="E75" s="351"/>
      <c r="F75">
        <v>62</v>
      </c>
    </row>
    <row r="76" ht="59" customHeight="1" spans="3:6" x14ac:dyDescent="0.25">
      <c r="C76" s="339" t="s">
        <v>230</v>
      </c>
      <c r="D76" s="321">
        <f t="array" ref="D76">_xlfn.LET(
    _xlpm.Fila,$F76,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6" s="311" t="str">
        <f t="array" ref="E76">_xlfn.IFS(D76&gt;=91.5%,"MENSUAL",D76&gt;=75%,"QUINCENAL",D76&lt;75%,"SEMANAL")</f>
        <v>SEMANAL</v>
      </c>
      <c r="F76">
        <v>63</v>
      </c>
    </row>
    <row r="77" ht="43.5" customHeight="1" spans="3:6" x14ac:dyDescent="0.25">
      <c r="C77" s="339" t="s">
        <v>231</v>
      </c>
      <c r="D77" s="321">
        <f t="array" ref="D77">_xlfn.LET(
    _xlpm.Fila,$F77,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7" s="311" t="str">
        <f t="array" ref="E77">_xlfn.IFS(D77&gt;=91.5%,"MENSUAL",D77&gt;=75%,"QUINCENAL",D77&lt;75%,"SEMANAL")</f>
        <v>SEMANAL</v>
      </c>
      <c r="F77">
        <v>64</v>
      </c>
    </row>
    <row r="78" ht="43.5" customHeight="1" spans="3:6" x14ac:dyDescent="0.25">
      <c r="C78" s="353" t="s">
        <v>130</v>
      </c>
      <c r="D78" s="353"/>
      <c r="E78" s="353"/>
      <c r="F78">
        <v>65</v>
      </c>
    </row>
    <row r="79" ht="43.5" customHeight="1" spans="3:6" x14ac:dyDescent="0.25">
      <c r="C79" s="339" t="s">
        <v>232</v>
      </c>
      <c r="D79" s="321">
        <f t="array" ref="D79">_xlfn.LET(
    _xlpm.Fila,$F79,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79" s="311" t="str">
        <f t="array" ref="E79">_xlfn.IFS(D79&gt;=91.5%,"MENSUAL",D79&gt;=75%,"QUINCENAL",D79&lt;75%,"SEMANAL")</f>
        <v>SEMANAL</v>
      </c>
      <c r="F79">
        <v>66</v>
      </c>
    </row>
    <row r="80" ht="43.5" customHeight="1" spans="3:6" x14ac:dyDescent="0.25">
      <c r="C80" s="339" t="s">
        <v>233</v>
      </c>
      <c r="D80" s="321">
        <f t="array" ref="D80">_xlfn.LET(
    _xlpm.Fila,$F80,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0" s="311" t="str">
        <f t="array" ref="E80">_xlfn.IFS(D80&gt;=91.5%,"MENSUAL",D80&gt;=75%,"QUINCENAL",D80&lt;75%,"SEMANAL")</f>
        <v>SEMANAL</v>
      </c>
      <c r="F80">
        <v>67</v>
      </c>
    </row>
    <row r="81" ht="15.5" customHeight="1" spans="3:6" x14ac:dyDescent="0.25">
      <c r="C81" s="339" t="s">
        <v>234</v>
      </c>
      <c r="D81" s="321">
        <f t="array" ref="D81">_xlfn.LET(
    _xlpm.Fila,$F81,
    _xlpm.ColIni,$G$4,
    _xlpm.ColFin,$H$4,
    _xlpm.Datos,INDEX('4. Prev_Frecuencia Despachos'!$A$1:$ER$68,_xlpm.Fila,_xlfn.SEQUENCE(1,(_xlpm.ColFin-_xlpm.ColIni)/3+1,_xlpm.ColIni,3)),
    IFERROR(AVERAGE(_xlfn._xlws.FILTER(_xlpm.Datos,(_xlpm.Datos&lt;&gt;"")*(_xlpm.Datos&lt;&gt;0))),0)
)</f>
        <v>0</v>
      </c>
      <c r="E81" s="311" t="str">
        <f t="array" ref="E81">_xlfn.IFS(D81&gt;=91.5%,"MENSUAL",D81&gt;=75%,"QUINCENAL",D81&lt;75%,"SEMANAL")</f>
        <v>SEMANAL</v>
      </c>
      <c r="F81">
        <v>68</v>
      </c>
    </row>
  </sheetData>
  <mergeCells count="10">
    <mergeCell ref="C20:E20"/>
    <mergeCell ref="C21:E21"/>
    <mergeCell ref="C31:E31"/>
    <mergeCell ref="C34:E34"/>
    <mergeCell ref="C47:E47"/>
    <mergeCell ref="C53:E53"/>
    <mergeCell ref="C66:E66"/>
    <mergeCell ref="C73:E73"/>
    <mergeCell ref="C75:E75"/>
    <mergeCell ref="C78:E78"/>
  </mergeCells>
  <conditionalFormatting sqref="E8:E16 E22:E30">
    <cfRule type="containsText" dxfId="127" priority="25">
      <formula>NOT(ISERROR(SEARCH("QUINCENAL",E8)))</formula>
    </cfRule>
    <cfRule type="containsText" dxfId="128" priority="26">
      <formula>NOT(ISERROR(SEARCH("MENSUAL",E8)))</formula>
    </cfRule>
    <cfRule type="containsText" dxfId="129" priority="27">
      <formula>NOT(ISERROR(SEARCH("SEMANAL",E8)))</formula>
    </cfRule>
  </conditionalFormatting>
  <conditionalFormatting sqref="E32:E33">
    <cfRule type="containsText" dxfId="130" priority="22">
      <formula>NOT(ISERROR(SEARCH("QUINCENAL",E32)))</formula>
    </cfRule>
    <cfRule type="containsText" dxfId="131" priority="23">
      <formula>NOT(ISERROR(SEARCH("MENSUAL",E32)))</formula>
    </cfRule>
    <cfRule type="containsText" dxfId="132" priority="24">
      <formula>NOT(ISERROR(SEARCH("SEMANAL",E32)))</formula>
    </cfRule>
  </conditionalFormatting>
  <conditionalFormatting sqref="E35:E46">
    <cfRule type="containsText" dxfId="133" priority="19">
      <formula>NOT(ISERROR(SEARCH("QUINCENAL",E35)))</formula>
    </cfRule>
    <cfRule type="containsText" dxfId="134" priority="20">
      <formula>NOT(ISERROR(SEARCH("MENSUAL",E35)))</formula>
    </cfRule>
    <cfRule type="containsText" dxfId="135" priority="21">
      <formula>NOT(ISERROR(SEARCH("SEMANAL",E35)))</formula>
    </cfRule>
  </conditionalFormatting>
  <conditionalFormatting sqref="E48:E52">
    <cfRule type="containsText" dxfId="136" priority="16">
      <formula>NOT(ISERROR(SEARCH("QUINCENAL",E48)))</formula>
    </cfRule>
    <cfRule type="containsText" dxfId="137" priority="17">
      <formula>NOT(ISERROR(SEARCH("MENSUAL",E48)))</formula>
    </cfRule>
    <cfRule type="containsText" dxfId="138" priority="18">
      <formula>NOT(ISERROR(SEARCH("SEMANAL",E48)))</formula>
    </cfRule>
  </conditionalFormatting>
  <conditionalFormatting sqref="E54:E65">
    <cfRule type="containsText" dxfId="139" priority="13">
      <formula>NOT(ISERROR(SEARCH("QUINCENAL",E54)))</formula>
    </cfRule>
    <cfRule type="containsText" dxfId="140" priority="14">
      <formula>NOT(ISERROR(SEARCH("MENSUAL",E54)))</formula>
    </cfRule>
    <cfRule type="containsText" dxfId="141" priority="15">
      <formula>NOT(ISERROR(SEARCH("SEMANAL",E54)))</formula>
    </cfRule>
  </conditionalFormatting>
  <conditionalFormatting sqref="E67:E72">
    <cfRule type="containsText" dxfId="142" priority="10">
      <formula>NOT(ISERROR(SEARCH("QUINCENAL",E67)))</formula>
    </cfRule>
    <cfRule type="containsText" dxfId="143" priority="11">
      <formula>NOT(ISERROR(SEARCH("MENSUAL",E67)))</formula>
    </cfRule>
    <cfRule type="containsText" dxfId="144" priority="12">
      <formula>NOT(ISERROR(SEARCH("SEMANAL",E67)))</formula>
    </cfRule>
  </conditionalFormatting>
  <conditionalFormatting sqref="E74">
    <cfRule type="containsText" dxfId="145" priority="1">
      <formula>NOT(ISERROR(SEARCH("QUINCENAL",E74)))</formula>
    </cfRule>
    <cfRule type="containsText" dxfId="146" priority="2">
      <formula>NOT(ISERROR(SEARCH("MENSUAL",E74)))</formula>
    </cfRule>
    <cfRule type="containsText" dxfId="147" priority="3">
      <formula>NOT(ISERROR(SEARCH("SEMANAL",E74)))</formula>
    </cfRule>
  </conditionalFormatting>
  <conditionalFormatting sqref="E76:E77">
    <cfRule type="containsText" dxfId="148" priority="7">
      <formula>NOT(ISERROR(SEARCH("QUINCENAL",E76)))</formula>
    </cfRule>
    <cfRule type="containsText" dxfId="149" priority="8">
      <formula>NOT(ISERROR(SEARCH("MENSUAL",E76)))</formula>
    </cfRule>
    <cfRule type="containsText" dxfId="150" priority="9">
      <formula>NOT(ISERROR(SEARCH("SEMANAL",E76)))</formula>
    </cfRule>
  </conditionalFormatting>
  <conditionalFormatting sqref="E79:E81">
    <cfRule type="containsText" dxfId="151" priority="4">
      <formula>NOT(ISERROR(SEARCH("QUINCENAL",E79)))</formula>
    </cfRule>
    <cfRule type="containsText" dxfId="152" priority="5">
      <formula>NOT(ISERROR(SEARCH("MENSUAL",E79)))</formula>
    </cfRule>
    <cfRule type="containsText" dxfId="153" priority="6">
      <formula>NOT(ISERROR(SEARCH("SEMANAL",E79)))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C1:P74"/>
  <sheetViews>
    <sheetView workbookViewId="0" showGridLines="0" zoomScale="60" zoomScaleNormal="60">
      <selection activeCell="J8" sqref="J8"/>
    </sheetView>
  </sheetViews>
  <sheetFormatPr defaultRowHeight="14.5" outlineLevelRow="0" outlineLevelCol="0" x14ac:dyDescent="0.35" customHeight="1"/>
  <cols>
    <col min="2" max="2" width="26.1796875" customWidth="1"/>
    <col min="3" max="3" width="40.6328125" customWidth="1"/>
    <col min="4" max="4" width="21.26953125" customWidth="1"/>
    <col min="5" max="5" width="23.453125" customWidth="1"/>
    <col min="6" max="6" width="10.90625" hidden="1" customWidth="1"/>
    <col min="7" max="7" width="15" hidden="1" customWidth="1"/>
    <col min="8" max="8" width="17" hidden="1" customWidth="1"/>
    <col min="13" max="13" width="25.6328125" customWidth="1"/>
    <col min="14" max="14" width="12.6328125" customWidth="1"/>
    <col min="15" max="15" width="16.453125" customWidth="1"/>
    <col min="16" max="16" width="10.90625" hidden="1" customWidth="1"/>
  </cols>
  <sheetData>
    <row r="1" ht="15" customHeight="1" spans="2:15" x14ac:dyDescent="0.25">
      <c r="B1" s="287" t="s">
        <v>240</v>
      </c>
      <c r="M1" s="220">
        <v>1</v>
      </c>
      <c r="N1" s="220" t="s">
        <v>79</v>
      </c>
      <c r="O1" s="99" t="s">
        <v>80</v>
      </c>
    </row>
    <row r="2" ht="15" customHeight="1" spans="7:15" x14ac:dyDescent="0.25">
      <c r="G2" t="s">
        <v>2</v>
      </c>
      <c r="H2" t="s">
        <v>2</v>
      </c>
      <c r="M2" s="225">
        <v>2</v>
      </c>
      <c r="N2" s="225" t="s">
        <v>82</v>
      </c>
      <c r="O2" s="109" t="s">
        <v>83</v>
      </c>
    </row>
    <row r="3" ht="21" customHeight="1" spans="4:15" x14ac:dyDescent="0.25">
      <c r="D3" s="288" t="s">
        <v>2</v>
      </c>
      <c r="E3" s="288" t="s">
        <v>3</v>
      </c>
      <c r="G3" s="289" t="s">
        <v>241</v>
      </c>
      <c r="H3" s="290" t="s">
        <v>242</v>
      </c>
      <c r="M3" s="292">
        <v>3</v>
      </c>
      <c r="N3" s="293" t="s">
        <v>85</v>
      </c>
      <c r="O3" s="109" t="s">
        <v>86</v>
      </c>
    </row>
    <row r="4" ht="15" customHeight="1" spans="7:8" x14ac:dyDescent="0.25">
      <c r="G4" s="291">
        <f>_xlfn.XMATCH($D$3,'5. Prev_Frecuencia Transportes'!6:6,0)+2</f>
        <v>5</v>
      </c>
      <c r="H4" s="319">
        <f>_xlfn.XMATCH($E$3,'5. Prev_Frecuencia Transportes'!6:6,0)+2</f>
        <v>146</v>
      </c>
    </row>
    <row r="5" ht="19.5" customHeight="1" x14ac:dyDescent="0.25"/>
    <row r="7" ht="32" customHeight="1" spans="3:5" x14ac:dyDescent="0.25">
      <c r="C7" s="294" t="s">
        <v>220</v>
      </c>
      <c r="D7" s="295" t="s">
        <v>243</v>
      </c>
      <c r="E7" s="295" t="s">
        <v>244</v>
      </c>
    </row>
    <row r="8" ht="15.5" customHeight="1" spans="3:16" x14ac:dyDescent="0.25">
      <c r="C8" s="320" t="s">
        <v>73</v>
      </c>
      <c r="D8" s="321">
        <f t="array" ref="D8">_xlfn.LET(
    _xlpm.Fila,$F8,
    _xlpm.ColIni,$G$4,
    _xlpm.ColFin,$H$4,
    _xlpm.Datos,INDEX('5. Prev_Frecuencia Transportes'!$A$1:$ER$61,_xlpm.Fila,_xlfn.SEQUENCE(1,(_xlpm.ColFin-_xlpm.ColIni)/3+1,_xlpm.ColIni,3)),
    IFERROR(AVERAGE(_xlfn._xlws.FILTER(_xlpm.Datos,(_xlpm.Datos&lt;&gt;"")*(_xlpm.Datos&lt;&gt;0))),0)
)</f>
        <v>0</v>
      </c>
      <c r="E8" s="298" t="str">
        <f t="array" ref="E8">_xlfn.IFS(D8&gt;=91.5%,"MENSUAL",D8&gt;=75%,"QUINCENAL",D8&lt;75%,"SEMANAL")</f>
        <v>SEMANAL</v>
      </c>
      <c r="F8">
        <v>8</v>
      </c>
      <c r="P8">
        <v>8</v>
      </c>
    </row>
    <row r="9" ht="24.5" customHeight="1" spans="3:16" x14ac:dyDescent="0.25">
      <c r="C9" s="322" t="s">
        <v>188</v>
      </c>
      <c r="D9" s="321">
        <f t="array" ref="D9">_xlfn.LET(
    _xlpm.Fila,$F9,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9" s="298" t="str">
        <f t="array" ref="E9">_xlfn.IFS(D9&gt;=91.5%,"MENSUAL",D9&gt;=75%,"QUINCENAL",D9&lt;75%,"SEMANAL")</f>
        <v>SEMANAL</v>
      </c>
      <c r="F9">
        <v>17</v>
      </c>
      <c r="P9">
        <v>14</v>
      </c>
    </row>
    <row r="10" ht="15.5" customHeight="1" spans="3:16" x14ac:dyDescent="0.25">
      <c r="C10" s="320" t="s">
        <v>191</v>
      </c>
      <c r="D10" s="321">
        <f t="array" ref="D10">_xlfn.LET(
    _xlpm.Fila,$F10,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0" s="298" t="str">
        <f t="array" ref="E10">_xlfn.IFS(D10&gt;=91.5%,"MENSUAL",D10&gt;=75%,"QUINCENAL",D10&lt;75%,"SEMANAL")</f>
        <v>SEMANAL</v>
      </c>
      <c r="F10">
        <v>21</v>
      </c>
      <c r="P10">
        <v>18</v>
      </c>
    </row>
    <row r="11" ht="32.5" customHeight="1" spans="3:16" x14ac:dyDescent="0.25">
      <c r="C11" s="299" t="s">
        <v>105</v>
      </c>
      <c r="D11" s="321">
        <f t="array" ref="D11">_xlfn.LET(
    _xlpm.Fila,$F11,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1" s="298" t="str">
        <f t="array" ref="E11">_xlfn.IFS(D11&gt;=91.5%,"MENSUAL",D11&gt;=75%,"QUINCENAL",D11&lt;75%,"SEMANAL")</f>
        <v>SEMANAL</v>
      </c>
      <c r="F11">
        <v>32</v>
      </c>
      <c r="P11">
        <v>30</v>
      </c>
    </row>
    <row r="12" ht="19.5" customHeight="1" spans="3:16" x14ac:dyDescent="0.25">
      <c r="C12" s="322" t="s">
        <v>111</v>
      </c>
      <c r="D12" s="321">
        <f t="array" ref="D12">_xlfn.LET(
    _xlpm.Fila,$F12,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2" s="298" t="str">
        <f t="array" ref="E12">_xlfn.IFS(D12&gt;=91.5%,"MENSUAL",D12&gt;=75%,"QUINCENAL",D12&lt;75%,"SEMANAL")</f>
        <v>SEMANAL</v>
      </c>
      <c r="F12">
        <v>36</v>
      </c>
      <c r="P12">
        <v>36</v>
      </c>
    </row>
    <row r="13" ht="31" customHeight="1" spans="3:16" x14ac:dyDescent="0.25">
      <c r="C13" s="322" t="s">
        <v>154</v>
      </c>
      <c r="D13" s="321">
        <f t="array" ref="D13">_xlfn.LET(
    _xlpm.Fila,$F13,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3" s="298" t="str">
        <f t="array" ref="E13">_xlfn.IFS(D13&gt;=91.5%,"MENSUAL",D13&gt;=75%,"QUINCENAL",D13&lt;75%,"SEMANAL")</f>
        <v>SEMANAL</v>
      </c>
      <c r="F13">
        <v>48</v>
      </c>
      <c r="P13">
        <v>47</v>
      </c>
    </row>
    <row r="14" ht="15.5" customHeight="1" spans="3:16" x14ac:dyDescent="0.25">
      <c r="C14" s="322" t="s">
        <v>214</v>
      </c>
      <c r="D14" s="321">
        <f t="array" ref="D14">_xlfn.LET(
    _xlpm.Fila,$F14,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4" s="298" t="str">
        <f t="array" ref="E14">_xlfn.IFS(D14&gt;=91.5%,"MENSUAL",D14&gt;=75%,"QUINCENAL",D14&lt;75%,"SEMANAL")</f>
        <v>SEMANAL</v>
      </c>
      <c r="F14">
        <v>53</v>
      </c>
      <c r="P14">
        <v>53</v>
      </c>
    </row>
    <row r="15" ht="15.5" customHeight="1" spans="3:16" x14ac:dyDescent="0.25">
      <c r="C15" s="299" t="s">
        <v>158</v>
      </c>
      <c r="D15" s="321">
        <f t="array" ref="D15">_xlfn.LET(
    _xlpm.Fila,$F15,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5" s="298" t="str">
        <f t="array" ref="E15">_xlfn.IFS(D15&gt;=91.5%,"MENSUAL",D15&gt;=75%,"QUINCENAL",D15&lt;75%,"SEMANAL")</f>
        <v>SEMANAL</v>
      </c>
      <c r="F15">
        <v>55</v>
      </c>
      <c r="P15">
        <v>55</v>
      </c>
    </row>
    <row r="16" ht="15.5" customHeight="1" spans="3:6" x14ac:dyDescent="0.25">
      <c r="C16" s="323" t="s">
        <v>130</v>
      </c>
      <c r="D16" s="321">
        <f t="array" ref="D16">_xlfn.LET(
    _xlpm.Fila,$F16,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16" s="298" t="str">
        <f t="array" ref="E16">_xlfn.IFS(D16&gt;=91.5%,"MENSUAL",D16&gt;=75%,"QUINCENAL",D16&lt;75%,"SEMANAL")</f>
        <v>SEMANAL</v>
      </c>
      <c r="F16">
        <v>58</v>
      </c>
    </row>
    <row r="20" ht="35" customHeight="1" spans="3:5" x14ac:dyDescent="0.25">
      <c r="C20" s="300" t="s">
        <v>251</v>
      </c>
      <c r="D20" s="301"/>
      <c r="E20" s="302"/>
    </row>
    <row r="21" ht="31" customHeight="1" spans="3:5" x14ac:dyDescent="0.25">
      <c r="C21" s="303" t="s">
        <v>73</v>
      </c>
      <c r="D21" s="304"/>
      <c r="E21" s="305"/>
    </row>
    <row r="22" ht="65" customHeight="1" spans="3:6" x14ac:dyDescent="0.25">
      <c r="C22" s="354" t="s">
        <v>78</v>
      </c>
      <c r="D22" s="321">
        <f t="array" ref="D22">_xlfn.LET(
    _xlpm.Fila,$F22,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2" s="306" t="str">
        <f t="array" ref="E22">_xlfn.IFS(D22&gt;=91.5%,"MENSUAL",D22&gt;=75%,"QUINCENAL",D22&lt;75%,"SEMANAL")</f>
        <v>SEMANAL</v>
      </c>
      <c r="F22">
        <v>9</v>
      </c>
    </row>
    <row r="23" ht="25.5" customHeight="1" spans="3:6" x14ac:dyDescent="0.25">
      <c r="C23" s="355" t="s">
        <v>135</v>
      </c>
      <c r="D23" s="321">
        <f t="array" ref="D23">_xlfn.LET(
    _xlpm.Fila,$F23,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3" s="306" t="str">
        <f t="array" ref="E23">_xlfn.IFS(D23&gt;=91.5%,"MENSUAL",D23&gt;=75%,"QUINCENAL",D23&lt;75%,"SEMANAL")</f>
        <v>SEMANAL</v>
      </c>
      <c r="F23">
        <v>10</v>
      </c>
    </row>
    <row r="24" ht="28" customHeight="1" spans="3:6" x14ac:dyDescent="0.25">
      <c r="C24" s="355" t="s">
        <v>136</v>
      </c>
      <c r="D24" s="321">
        <f t="array" ref="D24">_xlfn.LET(
    _xlpm.Fila,$F24,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4" s="306" t="str">
        <f t="array" ref="E24">_xlfn.IFS(D24&gt;=91.5%,"MENSUAL",D24&gt;=75%,"QUINCENAL",D24&lt;75%,"SEMANAL")</f>
        <v>SEMANAL</v>
      </c>
      <c r="F24">
        <v>11</v>
      </c>
    </row>
    <row r="25" ht="42.5" customHeight="1" spans="3:6" x14ac:dyDescent="0.25">
      <c r="C25" s="355" t="s">
        <v>137</v>
      </c>
      <c r="D25" s="321">
        <f t="array" ref="D25">_xlfn.LET(
    _xlpm.Fila,$F25,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5" s="306" t="str">
        <f t="array" ref="E25">_xlfn.IFS(D25&gt;=91.5%,"MENSUAL",D25&gt;=75%,"QUINCENAL",D25&lt;75%,"SEMANAL")</f>
        <v>SEMANAL</v>
      </c>
      <c r="F25">
        <v>12</v>
      </c>
    </row>
    <row r="26" ht="30" customHeight="1" spans="3:6" x14ac:dyDescent="0.25">
      <c r="C26" s="356" t="s">
        <v>138</v>
      </c>
      <c r="D26" s="321">
        <f t="array" ref="D26">_xlfn.LET(
    _xlpm.Fila,$F26,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6" s="327" t="str">
        <f t="array" ref="E26">_xlfn.IFS(D26&gt;=91.5%,"MENSUAL",D26&gt;=75%,"QUINCENAL",D26&lt;75%,"SEMANAL")</f>
        <v>SEMANAL</v>
      </c>
      <c r="F26">
        <v>13</v>
      </c>
    </row>
    <row r="27" ht="30" customHeight="1" spans="3:6" x14ac:dyDescent="0.25">
      <c r="C27" s="355" t="s">
        <v>84</v>
      </c>
      <c r="D27" s="321">
        <f t="array" ref="D27">_xlfn.LET(
    _xlpm.Fila,$F27,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7" s="328" t="str">
        <f t="array" ref="E27">_xlfn.IFS(D27&gt;=91.5%,"MENSUAL",D27&gt;=75%,"QUINCENAL",D27&lt;75%,"SEMANAL")</f>
        <v>SEMANAL</v>
      </c>
      <c r="F27">
        <v>14</v>
      </c>
    </row>
    <row r="28" ht="30" customHeight="1" spans="3:6" x14ac:dyDescent="0.25">
      <c r="C28" s="355" t="s">
        <v>87</v>
      </c>
      <c r="D28" s="321">
        <f t="array" ref="D28">_xlfn.LET(
    _xlpm.Fila,$F28,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8" s="328" t="str">
        <f t="array" ref="E28">_xlfn.IFS(D28&gt;=91.5%,"MENSUAL",D28&gt;=75%,"QUINCENAL",D28&lt;75%,"SEMANAL")</f>
        <v>SEMANAL</v>
      </c>
      <c r="F28">
        <v>15</v>
      </c>
    </row>
    <row r="29" ht="30" customHeight="1" spans="3:6" x14ac:dyDescent="0.25">
      <c r="C29" s="355" t="s">
        <v>218</v>
      </c>
      <c r="D29" s="321">
        <f t="array" ref="D29">_xlfn.LET(
    _xlpm.Fila,$F29,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29" s="328" t="str">
        <f t="array" ref="E29">_xlfn.IFS(D29&gt;=91.5%,"MENSUAL",D29&gt;=75%,"QUINCENAL",D29&lt;75%,"SEMANAL")</f>
        <v>SEMANAL</v>
      </c>
      <c r="F29">
        <v>16</v>
      </c>
    </row>
    <row r="30" ht="29.5" customHeight="1" spans="3:6" x14ac:dyDescent="0.25">
      <c r="C30" s="303" t="s">
        <v>188</v>
      </c>
      <c r="D30" s="304"/>
      <c r="E30" s="305"/>
      <c r="F30">
        <v>17</v>
      </c>
    </row>
    <row r="31" ht="56" customHeight="1" spans="3:6" x14ac:dyDescent="0.25">
      <c r="C31" s="357" t="s">
        <v>140</v>
      </c>
      <c r="D31" s="321">
        <f t="array" ref="D31">_xlfn.LET(
    _xlpm.Fila,$F31,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1" s="311" t="str">
        <f t="array" ref="E31">_xlfn.IFS(D31&gt;=91.5%,"MENSUAL",D31&gt;=75%,"QUINCENAL",D31&lt;75%,"SEMANAL")</f>
        <v>SEMANAL</v>
      </c>
      <c r="F31">
        <v>18</v>
      </c>
    </row>
    <row r="32" ht="34.5" customHeight="1" spans="3:6" x14ac:dyDescent="0.25">
      <c r="C32" s="358" t="s">
        <v>224</v>
      </c>
      <c r="D32" s="321">
        <f t="array" ref="D32">_xlfn.LET(
    _xlpm.Fila,$F32,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2" s="311" t="str">
        <f t="array" ref="E32">_xlfn.IFS(D32&gt;=91.5%,"MENSUAL",D32&gt;=75%,"QUINCENAL",D32&lt;75%,"SEMANAL")</f>
        <v>SEMANAL</v>
      </c>
      <c r="F32">
        <v>19</v>
      </c>
    </row>
    <row r="33" ht="34.5" customHeight="1" spans="3:6" x14ac:dyDescent="0.25">
      <c r="C33" s="358" t="s">
        <v>91</v>
      </c>
      <c r="D33" s="321">
        <f t="array" ref="D33">_xlfn.LET(
    _xlpm.Fila,$F33,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3" s="311" t="str">
        <f t="array" ref="E33">_xlfn.IFS(D33&gt;=91.5%,"MENSUAL",D33&gt;=75%,"QUINCENAL",D33&lt;75%,"SEMANAL")</f>
        <v>SEMANAL</v>
      </c>
      <c r="F33">
        <v>20</v>
      </c>
    </row>
    <row r="34" ht="25.5" customHeight="1" spans="3:6" x14ac:dyDescent="0.25">
      <c r="C34" s="329" t="s">
        <v>191</v>
      </c>
      <c r="D34" s="330"/>
      <c r="E34" s="331"/>
      <c r="F34">
        <v>21</v>
      </c>
    </row>
    <row r="35" ht="42" customHeight="1" spans="3:6" x14ac:dyDescent="0.25">
      <c r="C35" s="358" t="s">
        <v>94</v>
      </c>
      <c r="D35" s="321">
        <f t="array" ref="D35">_xlfn.LET(
    _xlpm.Fila,$F35,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5" s="311" t="str">
        <f t="array" ref="E35">_xlfn.IFS(D35&gt;=91.5%,"MENSUAL",D35&gt;=75%,"QUINCENAL",D35&lt;75%,"SEMANAL")</f>
        <v>SEMANAL</v>
      </c>
      <c r="F35">
        <v>22</v>
      </c>
    </row>
    <row r="36" ht="56" customHeight="1" spans="3:6" x14ac:dyDescent="0.25">
      <c r="C36" s="358" t="s">
        <v>225</v>
      </c>
      <c r="D36" s="321">
        <f t="array" ref="D36">_xlfn.LET(
    _xlpm.Fila,$F36,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6" s="311" t="str">
        <f t="array" ref="E36">_xlfn.IFS(D36&gt;=91.5%,"MENSUAL",D36&gt;=75%,"QUINCENAL",D36&lt;75%,"SEMANAL")</f>
        <v>SEMANAL</v>
      </c>
      <c r="F36">
        <v>23</v>
      </c>
    </row>
    <row r="37" ht="28" customHeight="1" spans="3:6" x14ac:dyDescent="0.25">
      <c r="C37" s="358" t="s">
        <v>143</v>
      </c>
      <c r="D37" s="321">
        <f t="array" ref="D37">_xlfn.LET(
    _xlpm.Fila,$F37,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7" s="311" t="str">
        <f t="array" ref="E37">_xlfn.IFS(D37&gt;=91.5%,"MENSUAL",D37&gt;=75%,"QUINCENAL",D37&lt;75%,"SEMANAL")</f>
        <v>SEMANAL</v>
      </c>
      <c r="F37">
        <v>24</v>
      </c>
    </row>
    <row r="38" ht="25.5" customHeight="1" spans="3:6" x14ac:dyDescent="0.25">
      <c r="C38" s="358" t="s">
        <v>96</v>
      </c>
      <c r="D38" s="321">
        <f t="array" ref="D38">_xlfn.LET(
    _xlpm.Fila,$F38,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8" s="311" t="str">
        <f t="array" ref="E38">_xlfn.IFS(D38&gt;=91.5%,"MENSUAL",D38&gt;=75%,"QUINCENAL",D38&lt;75%,"SEMANAL")</f>
        <v>SEMANAL</v>
      </c>
      <c r="F38">
        <v>25</v>
      </c>
    </row>
    <row r="39" ht="56" customHeight="1" spans="3:6" x14ac:dyDescent="0.25">
      <c r="C39" s="358" t="s">
        <v>97</v>
      </c>
      <c r="D39" s="321">
        <f t="array" ref="D39">_xlfn.LET(
    _xlpm.Fila,$F39,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39" s="311" t="str">
        <f t="array" ref="E39">_xlfn.IFS(D39&gt;=91.5%,"MENSUAL",D39&gt;=75%,"QUINCENAL",D39&lt;75%,"SEMANAL")</f>
        <v>SEMANAL</v>
      </c>
      <c r="F39">
        <v>26</v>
      </c>
    </row>
    <row r="40" ht="61.5" customHeight="1" spans="3:6" x14ac:dyDescent="0.25">
      <c r="C40" s="358" t="s">
        <v>226</v>
      </c>
      <c r="D40" s="321">
        <f t="array" ref="D40">_xlfn.LET(
    _xlpm.Fila,$F40,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0" s="311" t="str">
        <f t="array" ref="E40">_xlfn.IFS(D40&gt;=91.5%,"MENSUAL",D40&gt;=75%,"QUINCENAL",D40&lt;75%,"SEMANAL")</f>
        <v>SEMANAL</v>
      </c>
      <c r="F40">
        <v>27</v>
      </c>
    </row>
    <row r="41" ht="47.5" customHeight="1" spans="3:6" x14ac:dyDescent="0.25">
      <c r="C41" s="358" t="s">
        <v>99</v>
      </c>
      <c r="D41" s="321">
        <f t="array" ref="D41">_xlfn.LET(
    _xlpm.Fila,$F41,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1" s="311" t="str">
        <f t="array" ref="E41">_xlfn.IFS(D41&gt;=91.5%,"MENSUAL",D41&gt;=75%,"QUINCENAL",D41&lt;75%,"SEMANAL")</f>
        <v>SEMANAL</v>
      </c>
      <c r="F41">
        <v>28</v>
      </c>
    </row>
    <row r="42" ht="49.5" customHeight="1" spans="3:6" x14ac:dyDescent="0.25">
      <c r="C42" s="358" t="s">
        <v>100</v>
      </c>
      <c r="D42" s="321">
        <f t="array" ref="D42">_xlfn.LET(
    _xlpm.Fila,$F42,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2" s="311" t="str">
        <f t="array" ref="E42">_xlfn.IFS(D42&gt;=91.5%,"MENSUAL",D42&gt;=75%,"QUINCENAL",D42&lt;75%,"SEMANAL")</f>
        <v>SEMANAL</v>
      </c>
      <c r="F42">
        <v>29</v>
      </c>
    </row>
    <row r="43" ht="33" customHeight="1" spans="3:6" x14ac:dyDescent="0.25">
      <c r="C43" s="358" t="s">
        <v>101</v>
      </c>
      <c r="D43" s="321">
        <f t="array" ref="D43">_xlfn.LET(
    _xlpm.Fila,$F43,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3" s="311" t="str">
        <f t="array" ref="E43">_xlfn.IFS(D43&gt;=91.5%,"MENSUAL",D43&gt;=75%,"QUINCENAL",D43&lt;75%,"SEMANAL")</f>
        <v>SEMANAL</v>
      </c>
      <c r="F43">
        <v>30</v>
      </c>
    </row>
    <row r="44" ht="42.5" customHeight="1" spans="3:6" x14ac:dyDescent="0.25">
      <c r="C44" s="357" t="s">
        <v>102</v>
      </c>
      <c r="D44" s="321">
        <f t="array" ref="D44">_xlfn.LET(
    _xlpm.Fila,$F44,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4" s="311" t="str">
        <f t="array" ref="E44">_xlfn.IFS(D44&gt;=91.5%,"MENSUAL",D44&gt;=75%,"QUINCENAL",D44&lt;75%,"SEMANAL")</f>
        <v>SEMANAL</v>
      </c>
      <c r="F44">
        <v>31</v>
      </c>
    </row>
    <row r="45" ht="31.5" customHeight="1" spans="3:6" x14ac:dyDescent="0.25">
      <c r="C45" s="351" t="s">
        <v>105</v>
      </c>
      <c r="D45" s="351"/>
      <c r="E45" s="351"/>
      <c r="F45">
        <v>32</v>
      </c>
    </row>
    <row r="46" ht="32.5" customHeight="1" spans="3:6" x14ac:dyDescent="0.25">
      <c r="C46" s="357" t="s">
        <v>106</v>
      </c>
      <c r="D46" s="321">
        <f t="array" ref="D46">_xlfn.LET(
    _xlpm.Fila,$F46,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6" s="311" t="str">
        <f t="array" ref="E46">_xlfn.IFS(D46&gt;=91.5%,"MENSUAL",D46&gt;=75%,"QUINCENAL",D46&lt;75%,"SEMANAL")</f>
        <v>SEMANAL</v>
      </c>
      <c r="F46">
        <v>33</v>
      </c>
    </row>
    <row r="47" ht="28.5" customHeight="1" spans="3:6" x14ac:dyDescent="0.25">
      <c r="C47" s="357" t="s">
        <v>107</v>
      </c>
      <c r="D47" s="321">
        <f t="array" ref="D47">_xlfn.LET(
    _xlpm.Fila,$F47,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7" s="311" t="str">
        <f t="array" ref="E47">_xlfn.IFS(D47&gt;=91.5%,"MENSUAL",D47&gt;=75%,"QUINCENAL",D47&lt;75%,"SEMANAL")</f>
        <v>SEMANAL</v>
      </c>
      <c r="F47">
        <v>34</v>
      </c>
    </row>
    <row r="48" ht="27.5" customHeight="1" spans="3:6" x14ac:dyDescent="0.25">
      <c r="C48" s="358" t="s">
        <v>237</v>
      </c>
      <c r="D48" s="321">
        <f t="array" ref="D48">_xlfn.LET(
    _xlpm.Fila,$F48,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48" s="311" t="str">
        <f t="array" ref="E48">_xlfn.IFS(D48&gt;=91.5%,"MENSUAL",D48&gt;=75%,"QUINCENAL",D48&lt;75%,"SEMANAL")</f>
        <v>SEMANAL</v>
      </c>
      <c r="F48">
        <v>35</v>
      </c>
    </row>
    <row r="49" ht="34.5" customHeight="1" spans="3:6" x14ac:dyDescent="0.25">
      <c r="C49" s="351" t="s">
        <v>111</v>
      </c>
      <c r="D49" s="351"/>
      <c r="E49" s="351"/>
      <c r="F49">
        <v>36</v>
      </c>
    </row>
    <row r="50" ht="50" customHeight="1" spans="3:6" x14ac:dyDescent="0.25">
      <c r="C50" s="358" t="s">
        <v>112</v>
      </c>
      <c r="D50" s="321">
        <f t="array" ref="D50">_xlfn.LET(
    _xlpm.Fila,$F50,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0" s="311" t="str">
        <f t="array" ref="E50">_xlfn.IFS(D50&gt;=91.5%,"MENSUAL",D50&gt;=75%,"QUINCENAL",D50&lt;75%,"SEMANAL")</f>
        <v>SEMANAL</v>
      </c>
      <c r="F50">
        <v>37</v>
      </c>
    </row>
    <row r="51" ht="42" customHeight="1" spans="3:6" x14ac:dyDescent="0.25">
      <c r="C51" s="358" t="s">
        <v>133</v>
      </c>
      <c r="D51" s="321">
        <f t="array" ref="D51">_xlfn.LET(
    _xlpm.Fila,$F51,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1" s="311" t="str">
        <f t="array" ref="E51">_xlfn.IFS(D51&gt;=91.5%,"MENSUAL",D51&gt;=75%,"QUINCENAL",D51&lt;75%,"SEMANAL")</f>
        <v>SEMANAL</v>
      </c>
      <c r="F51">
        <v>38</v>
      </c>
    </row>
    <row r="52" ht="42.5" customHeight="1" spans="3:6" x14ac:dyDescent="0.25">
      <c r="C52" s="357" t="s">
        <v>113</v>
      </c>
      <c r="D52" s="321">
        <f t="array" ref="D52">_xlfn.LET(
    _xlpm.Fila,$F52,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2" s="311" t="str">
        <f t="array" ref="E52">_xlfn.IFS(D52&gt;=91.5%,"MENSUAL",D52&gt;=75%,"QUINCENAL",D52&lt;75%,"SEMANAL")</f>
        <v>SEMANAL</v>
      </c>
      <c r="F52">
        <v>39</v>
      </c>
    </row>
    <row r="53" ht="56" customHeight="1" spans="3:6" x14ac:dyDescent="0.25">
      <c r="C53" s="358" t="s">
        <v>119</v>
      </c>
      <c r="D53" s="321">
        <f t="array" ref="D53">_xlfn.LET(
    _xlpm.Fila,$F53,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3" s="311" t="str">
        <f t="array" ref="E53">_xlfn.IFS(D53&gt;=91.5%,"MENSUAL",D53&gt;=75%,"QUINCENAL",D53&lt;75%,"SEMANAL")</f>
        <v>SEMANAL</v>
      </c>
      <c r="F53">
        <v>40</v>
      </c>
    </row>
    <row r="54" ht="56" customHeight="1" spans="3:6" x14ac:dyDescent="0.25">
      <c r="C54" s="359" t="s">
        <v>114</v>
      </c>
      <c r="D54" s="321">
        <f t="array" ref="D54">_xlfn.LET(
    _xlpm.Fila,$F54,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4" s="311" t="str">
        <f t="array" ref="E54">_xlfn.IFS(D54&gt;=91.5%,"MENSUAL",D54&gt;=75%,"QUINCENAL",D54&lt;75%,"SEMANAL")</f>
        <v>SEMANAL</v>
      </c>
      <c r="F54">
        <v>41</v>
      </c>
    </row>
    <row r="55" ht="25" customHeight="1" spans="3:6" x14ac:dyDescent="0.25">
      <c r="C55" s="359" t="s">
        <v>116</v>
      </c>
      <c r="D55" s="321">
        <f t="array" ref="D55">_xlfn.LET(
    _xlpm.Fila,$F55,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5" s="311" t="str">
        <f t="array" ref="E55">_xlfn.IFS(D55&gt;=91.5%,"MENSUAL",D55&gt;=75%,"QUINCENAL",D55&lt;75%,"SEMANAL")</f>
        <v>SEMANAL</v>
      </c>
      <c r="F55">
        <v>42</v>
      </c>
    </row>
    <row r="56" ht="22.5" customHeight="1" spans="3:6" x14ac:dyDescent="0.25">
      <c r="C56" s="358" t="s">
        <v>229</v>
      </c>
      <c r="D56" s="321">
        <f t="array" ref="D56">_xlfn.LET(
    _xlpm.Fila,$F56,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6" s="311" t="str">
        <f t="array" ref="E56">_xlfn.IFS(D56&gt;=91.5%,"MENSUAL",D56&gt;=75%,"QUINCENAL",D56&lt;75%,"SEMANAL")</f>
        <v>SEMANAL</v>
      </c>
      <c r="F56">
        <v>43</v>
      </c>
    </row>
    <row r="57" ht="22.5" customHeight="1" spans="3:6" x14ac:dyDescent="0.25">
      <c r="C57" s="358" t="s">
        <v>152</v>
      </c>
      <c r="D57" s="321">
        <f t="array" ref="D57">_xlfn.LET(
    _xlpm.Fila,$F57,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7" s="311" t="str">
        <f t="array" ref="E57">_xlfn.IFS(D57&gt;=91.5%,"MENSUAL",D57&gt;=75%,"QUINCENAL",D57&lt;75%,"SEMANAL")</f>
        <v>SEMANAL</v>
      </c>
      <c r="F57">
        <v>44</v>
      </c>
    </row>
    <row r="58" ht="25" customHeight="1" spans="3:6" x14ac:dyDescent="0.25">
      <c r="C58" s="358" t="s">
        <v>118</v>
      </c>
      <c r="D58" s="321">
        <f t="array" ref="D58">_xlfn.LET(
    _xlpm.Fila,$F58,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8" s="311" t="str">
        <f t="array" ref="E58">_xlfn.IFS(D58&gt;=91.5%,"MENSUAL",D58&gt;=75%,"QUINCENAL",D58&lt;75%,"SEMANAL")</f>
        <v>SEMANAL</v>
      </c>
      <c r="F58">
        <v>45</v>
      </c>
    </row>
    <row r="59" ht="44.5" customHeight="1" spans="3:6" x14ac:dyDescent="0.25">
      <c r="C59" s="358" t="s">
        <v>120</v>
      </c>
      <c r="D59" s="321">
        <f t="array" ref="D59">_xlfn.LET(
    _xlpm.Fila,$F59,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59" s="311" t="str">
        <f t="array" ref="E59">_xlfn.IFS(D59&gt;=91.5%,"MENSUAL",D59&gt;=75%,"QUINCENAL",D59&lt;75%,"SEMANAL")</f>
        <v>SEMANAL</v>
      </c>
      <c r="F59">
        <v>46</v>
      </c>
    </row>
    <row r="60" ht="28" customHeight="1" spans="3:6" x14ac:dyDescent="0.25">
      <c r="C60" s="358" t="s">
        <v>121</v>
      </c>
      <c r="D60" s="321">
        <f t="array" ref="D60">_xlfn.LET(
    _xlpm.Fila,$F60,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0" s="311" t="str">
        <f t="array" ref="E60">_xlfn.IFS(D60&gt;=91.5%,"MENSUAL",D60&gt;=75%,"QUINCENAL",D60&lt;75%,"SEMANAL")</f>
        <v>SEMANAL</v>
      </c>
      <c r="F60">
        <v>47</v>
      </c>
    </row>
    <row r="61" ht="39" customHeight="1" spans="3:6" x14ac:dyDescent="0.25">
      <c r="C61" s="351" t="s">
        <v>122</v>
      </c>
      <c r="D61" s="351"/>
      <c r="E61" s="351"/>
      <c r="F61">
        <v>48</v>
      </c>
    </row>
    <row r="62" ht="28" customHeight="1" spans="3:6" x14ac:dyDescent="0.25">
      <c r="C62" s="360" t="s">
        <v>124</v>
      </c>
      <c r="D62" s="321">
        <f t="array" ref="D62">_xlfn.LET(
    _xlpm.Fila,$F62,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2" s="311" t="str">
        <f t="array" ref="E62">_xlfn.IFS(D62&gt;=91.5%,"MENSUAL",D62&gt;=75%,"QUINCENAL",D62&lt;75%,"SEMANAL")</f>
        <v>SEMANAL</v>
      </c>
      <c r="F62">
        <v>49</v>
      </c>
    </row>
    <row r="63" ht="70" customHeight="1" spans="3:6" x14ac:dyDescent="0.25">
      <c r="C63" s="358" t="s">
        <v>238</v>
      </c>
      <c r="D63" s="321">
        <f t="array" ref="D63">_xlfn.LET(
    _xlpm.Fila,$F63,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3" s="311" t="str">
        <f t="array" ref="E63">_xlfn.IFS(D63&gt;=91.5%,"MENSUAL",D63&gt;=75%,"QUINCENAL",D63&lt;75%,"SEMANAL")</f>
        <v>SEMANAL</v>
      </c>
      <c r="F63">
        <v>50</v>
      </c>
    </row>
    <row r="64" ht="28" customHeight="1" spans="3:6" x14ac:dyDescent="0.25">
      <c r="C64" s="358" t="s">
        <v>125</v>
      </c>
      <c r="D64" s="321">
        <f t="array" ref="D64">_xlfn.LET(
    _xlpm.Fila,$F64,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4" s="311" t="str">
        <f t="array" ref="E64">_xlfn.IFS(D64&gt;=91.5%,"MENSUAL",D64&gt;=75%,"QUINCENAL",D64&lt;75%,"SEMANAL")</f>
        <v>SEMANAL</v>
      </c>
      <c r="F64">
        <v>51</v>
      </c>
    </row>
    <row r="65" ht="24.5" customHeight="1" spans="3:6" x14ac:dyDescent="0.25">
      <c r="C65" s="358" t="s">
        <v>239</v>
      </c>
      <c r="D65" s="321">
        <f t="array" ref="D65">_xlfn.LET(
    _xlpm.Fila,$F65,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5" s="311" t="str">
        <f t="array" ref="E65">_xlfn.IFS(D65&gt;=91.5%,"MENSUAL",D65&gt;=75%,"QUINCENAL",D65&lt;75%,"SEMANAL")</f>
        <v>SEMANAL</v>
      </c>
      <c r="F65">
        <v>52</v>
      </c>
    </row>
    <row r="66" ht="59" customHeight="1" spans="3:6" x14ac:dyDescent="0.25">
      <c r="C66" s="351" t="s">
        <v>214</v>
      </c>
      <c r="D66" s="351"/>
      <c r="E66" s="351"/>
      <c r="F66">
        <v>53</v>
      </c>
    </row>
    <row r="67" ht="59" customHeight="1" spans="3:6" x14ac:dyDescent="0.25">
      <c r="C67" s="361" t="s">
        <v>157</v>
      </c>
      <c r="D67" s="321">
        <f t="array" ref="D67">_xlfn.LET(
    _xlpm.Fila,$F67,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7" s="311" t="str">
        <f t="array" ref="E67">_xlfn.IFS(D67&gt;=91.5%,"MENSUAL",D67&gt;=75%,"QUINCENAL",D67&lt;75%,"SEMANAL")</f>
        <v>SEMANAL</v>
      </c>
      <c r="F67">
        <v>54</v>
      </c>
    </row>
    <row r="68" ht="59" customHeight="1" spans="3:6" x14ac:dyDescent="0.25">
      <c r="C68" s="351" t="s">
        <v>158</v>
      </c>
      <c r="D68" s="351"/>
      <c r="E68" s="351"/>
      <c r="F68">
        <v>55</v>
      </c>
    </row>
    <row r="69" ht="59" customHeight="1" spans="3:6" x14ac:dyDescent="0.25">
      <c r="C69" s="362" t="s">
        <v>230</v>
      </c>
      <c r="D69" s="321">
        <f t="array" ref="D69">_xlfn.LET(
    _xlpm.Fila,$F69,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69" s="311" t="str">
        <f t="array" ref="E69">_xlfn.IFS(D69&gt;=91.5%,"MENSUAL",D69&gt;=75%,"QUINCENAL",D69&lt;75%,"SEMANAL")</f>
        <v>SEMANAL</v>
      </c>
      <c r="F69">
        <v>56</v>
      </c>
    </row>
    <row r="70" ht="43.5" customHeight="1" spans="3:6" x14ac:dyDescent="0.25">
      <c r="C70" s="362" t="s">
        <v>231</v>
      </c>
      <c r="D70" s="321">
        <f t="array" ref="D70">_xlfn.LET(
    _xlpm.Fila,$F70,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0" s="311" t="str">
        <f t="array" ref="E70">_xlfn.IFS(D70&gt;=91.5%,"MENSUAL",D70&gt;=75%,"QUINCENAL",D70&lt;75%,"SEMANAL")</f>
        <v>SEMANAL</v>
      </c>
      <c r="F70">
        <v>57</v>
      </c>
    </row>
    <row r="71" ht="43.5" customHeight="1" spans="3:6" x14ac:dyDescent="0.25">
      <c r="C71" s="353" t="s">
        <v>130</v>
      </c>
      <c r="D71" s="353"/>
      <c r="E71" s="353"/>
      <c r="F71">
        <v>58</v>
      </c>
    </row>
    <row r="72" ht="43.5" customHeight="1" spans="3:6" x14ac:dyDescent="0.25">
      <c r="C72" s="362" t="s">
        <v>232</v>
      </c>
      <c r="D72" s="321">
        <f t="array" ref="D72">_xlfn.LET(
    _xlpm.Fila,$F72,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2" s="311" t="str">
        <f t="array" ref="E72">_xlfn.IFS(D72&gt;=91.5%,"MENSUAL",D72&gt;=75%,"QUINCENAL",D72&lt;75%,"SEMANAL")</f>
        <v>SEMANAL</v>
      </c>
      <c r="F72">
        <v>59</v>
      </c>
    </row>
    <row r="73" ht="43.5" customHeight="1" spans="3:6" x14ac:dyDescent="0.25">
      <c r="C73" s="362" t="s">
        <v>233</v>
      </c>
      <c r="D73" s="321">
        <f t="array" ref="D73">_xlfn.LET(
    _xlpm.Fila,$F73,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3" s="311" t="str">
        <f t="array" ref="E73">_xlfn.IFS(D73&gt;=91.5%,"MENSUAL",D73&gt;=75%,"QUINCENAL",D73&lt;75%,"SEMANAL")</f>
        <v>SEMANAL</v>
      </c>
      <c r="F73">
        <v>60</v>
      </c>
    </row>
    <row r="74" ht="15.5" customHeight="1" spans="3:6" x14ac:dyDescent="0.25">
      <c r="C74" s="362" t="s">
        <v>234</v>
      </c>
      <c r="D74" s="321">
        <f t="array" ref="D74">_xlfn.LET(
    _xlpm.Fila,$F74,
    _xlpm.ColIni,$G$4,
    _xlpm.ColFin,$H$4,
    _xlpm.Datos,INDEX('[1]5. Prev_Frecuencia Transportes'!$A$1:$ER$61,_xlpm.Fila,_xlfn.SEQUENCE(1,(_xlpm.ColFin-_xlpm.ColIni)/3+1,_xlpm.ColIni,3)),
    IFERROR(AVERAGE(_xlfn._xlws.FILTER(_xlpm.Datos,(_xlpm.Datos&lt;&gt;"")*(_xlpm.Datos&lt;&gt;0))),0)
)</f>
        <v>0</v>
      </c>
      <c r="E74" s="311" t="str">
        <f t="array" ref="E74">_xlfn.IFS(D74&gt;=91.5%,"MENSUAL",D74&gt;=75%,"QUINCENAL",D74&lt;75%,"SEMANAL")</f>
        <v>SEMANAL</v>
      </c>
      <c r="F74">
        <v>61</v>
      </c>
    </row>
  </sheetData>
  <mergeCells count="10">
    <mergeCell ref="C20:E20"/>
    <mergeCell ref="C21:E21"/>
    <mergeCell ref="C30:E30"/>
    <mergeCell ref="C34:E34"/>
    <mergeCell ref="C45:E45"/>
    <mergeCell ref="C49:E49"/>
    <mergeCell ref="C61:E61"/>
    <mergeCell ref="C66:E66"/>
    <mergeCell ref="C68:E68"/>
    <mergeCell ref="C71:E71"/>
  </mergeCells>
  <conditionalFormatting sqref="E8:E16 E22:E29">
    <cfRule type="containsText" dxfId="154" priority="25">
      <formula>NOT(ISERROR(SEARCH("QUINCENAL",E8)))</formula>
    </cfRule>
    <cfRule type="containsText" dxfId="155" priority="26">
      <formula>NOT(ISERROR(SEARCH("MENSUAL",E8)))</formula>
    </cfRule>
    <cfRule type="containsText" dxfId="156" priority="27">
      <formula>NOT(ISERROR(SEARCH("SEMANAL",E8)))</formula>
    </cfRule>
  </conditionalFormatting>
  <conditionalFormatting sqref="E31:E33">
    <cfRule type="containsText" dxfId="157" priority="22">
      <formula>NOT(ISERROR(SEARCH("QUINCENAL",E31)))</formula>
    </cfRule>
    <cfRule type="containsText" dxfId="158" priority="23">
      <formula>NOT(ISERROR(SEARCH("MENSUAL",E31)))</formula>
    </cfRule>
    <cfRule type="containsText" dxfId="159" priority="24">
      <formula>NOT(ISERROR(SEARCH("SEMANAL",E31)))</formula>
    </cfRule>
  </conditionalFormatting>
  <conditionalFormatting sqref="E35:E44">
    <cfRule type="containsText" dxfId="160" priority="19">
      <formula>NOT(ISERROR(SEARCH("QUINCENAL",E35)))</formula>
    </cfRule>
    <cfRule type="containsText" dxfId="161" priority="20">
      <formula>NOT(ISERROR(SEARCH("MENSUAL",E35)))</formula>
    </cfRule>
    <cfRule type="containsText" dxfId="162" priority="21">
      <formula>NOT(ISERROR(SEARCH("SEMANAL",E35)))</formula>
    </cfRule>
  </conditionalFormatting>
  <conditionalFormatting sqref="E46:E48">
    <cfRule type="containsText" dxfId="163" priority="16">
      <formula>NOT(ISERROR(SEARCH("QUINCENAL",E46)))</formula>
    </cfRule>
    <cfRule type="containsText" dxfId="164" priority="17">
      <formula>NOT(ISERROR(SEARCH("MENSUAL",E46)))</formula>
    </cfRule>
    <cfRule type="containsText" dxfId="165" priority="18">
      <formula>NOT(ISERROR(SEARCH("SEMANAL",E46)))</formula>
    </cfRule>
  </conditionalFormatting>
  <conditionalFormatting sqref="E50:E60">
    <cfRule type="containsText" dxfId="166" priority="13">
      <formula>NOT(ISERROR(SEARCH("QUINCENAL",E50)))</formula>
    </cfRule>
    <cfRule type="containsText" dxfId="167" priority="14">
      <formula>NOT(ISERROR(SEARCH("MENSUAL",E50)))</formula>
    </cfRule>
    <cfRule type="containsText" dxfId="168" priority="15">
      <formula>NOT(ISERROR(SEARCH("SEMANAL",E50)))</formula>
    </cfRule>
  </conditionalFormatting>
  <conditionalFormatting sqref="E62:E65">
    <cfRule type="containsText" dxfId="169" priority="10">
      <formula>NOT(ISERROR(SEARCH("QUINCENAL",E62)))</formula>
    </cfRule>
    <cfRule type="containsText" dxfId="170" priority="11">
      <formula>NOT(ISERROR(SEARCH("MENSUAL",E62)))</formula>
    </cfRule>
    <cfRule type="containsText" dxfId="171" priority="12">
      <formula>NOT(ISERROR(SEARCH("SEMANAL",E62)))</formula>
    </cfRule>
  </conditionalFormatting>
  <conditionalFormatting sqref="E67">
    <cfRule type="containsText" dxfId="172" priority="1">
      <formula>NOT(ISERROR(SEARCH("QUINCENAL",E67)))</formula>
    </cfRule>
    <cfRule type="containsText" dxfId="173" priority="2">
      <formula>NOT(ISERROR(SEARCH("MENSUAL",E67)))</formula>
    </cfRule>
    <cfRule type="containsText" dxfId="174" priority="3">
      <formula>NOT(ISERROR(SEARCH("SEMANAL",E67)))</formula>
    </cfRule>
  </conditionalFormatting>
  <conditionalFormatting sqref="E69:E70">
    <cfRule type="containsText" dxfId="175" priority="7">
      <formula>NOT(ISERROR(SEARCH("QUINCENAL",E69)))</formula>
    </cfRule>
    <cfRule type="containsText" dxfId="176" priority="8">
      <formula>NOT(ISERROR(SEARCH("MENSUAL",E69)))</formula>
    </cfRule>
    <cfRule type="containsText" dxfId="177" priority="9">
      <formula>NOT(ISERROR(SEARCH("SEMANAL",E69)))</formula>
    </cfRule>
  </conditionalFormatting>
  <conditionalFormatting sqref="E72:E74">
    <cfRule type="containsText" dxfId="178" priority="4">
      <formula>NOT(ISERROR(SEARCH("QUINCENAL",E72)))</formula>
    </cfRule>
    <cfRule type="containsText" dxfId="179" priority="5">
      <formula>NOT(ISERROR(SEARCH("MENSUAL",E72)))</formula>
    </cfRule>
    <cfRule type="containsText" dxfId="180" priority="6">
      <formula>NOT(ISERROR(SEARCH("SEMANAL",E72)))</formula>
    </cfRule>
  </conditionalFormatting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5999938962981048"/>
  </sheetPr>
  <dimension ref="B1:L13"/>
  <sheetViews>
    <sheetView workbookViewId="0" showGridLines="0" zoomScale="40" zoomScaleNormal="40">
      <selection activeCell="C6" sqref="C6"/>
    </sheetView>
  </sheetViews>
  <sheetFormatPr defaultRowHeight="14.5" outlineLevelRow="0" outlineLevelCol="0" x14ac:dyDescent="0.35" customHeight="1"/>
  <cols>
    <col min="2" max="2" width="47" customWidth="1"/>
    <col min="3" max="3" width="21.7265625" customWidth="1"/>
    <col min="5" max="5" width="22.26953125" customWidth="1"/>
    <col min="6" max="6" width="22.453125" customWidth="1"/>
    <col min="7" max="7" width="24.54296875" customWidth="1"/>
    <col min="8" max="8" width="27.36328125" customWidth="1"/>
    <col min="9" max="9" width="10.90625" customWidth="1"/>
    <col min="10" max="10" width="22.08984375" customWidth="1"/>
    <col min="11" max="11" width="22.54296875" customWidth="1"/>
    <col min="12" max="12" width="26.90625" customWidth="1"/>
  </cols>
  <sheetData>
    <row r="1" ht="48" customHeight="1" spans="2:9" x14ac:dyDescent="0.25">
      <c r="B1" s="1" t="s">
        <v>0</v>
      </c>
      <c r="F1" s="2"/>
      <c r="G1" s="3"/>
      <c r="H1" s="3"/>
      <c r="I1" s="4"/>
    </row>
    <row r="2" ht="26.5" customHeight="1" spans="2:12" x14ac:dyDescent="0.25">
      <c r="B2" s="1" t="s">
        <v>1</v>
      </c>
      <c r="G2" s="5" t="s">
        <v>2</v>
      </c>
      <c r="H2" s="5" t="s">
        <v>3</v>
      </c>
      <c r="I2" s="4"/>
      <c r="K2" s="6" t="s">
        <v>4</v>
      </c>
      <c r="L2" s="7" t="s">
        <v>5</v>
      </c>
    </row>
    <row r="3" spans="2:12" x14ac:dyDescent="0.25">
      <c r="B3" s="1" t="s">
        <v>6</v>
      </c>
      <c r="G3" s="4"/>
      <c r="H3" s="4"/>
      <c r="I3" s="4"/>
      <c r="K3" s="6" t="s">
        <v>7</v>
      </c>
      <c r="L3" s="8" t="s">
        <v>8</v>
      </c>
    </row>
    <row r="4" ht="23" customHeight="1" spans="9:12" x14ac:dyDescent="0.25">
      <c r="I4" s="9"/>
      <c r="J4" s="9"/>
      <c r="K4" s="6" t="s">
        <v>9</v>
      </c>
      <c r="L4" s="10">
        <v>46213.670694444445</v>
      </c>
    </row>
    <row r="13" ht="54" customHeight="1" spans="7:7" x14ac:dyDescent="0.25">
      <c r="G13" s="11" t="s">
        <v>10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"/>
  <sheetViews>
    <sheetView workbookViewId="0" zoomScale="100" zoomScaleNormal="100">
      <selection activeCell="A9" sqref="A9"/>
    </sheetView>
  </sheetViews>
  <sheetFormatPr defaultRowHeight="14.5" outlineLevelRow="0" outlineLevelCol="0" x14ac:dyDescent="0.35" customHeight="1"/>
  <cols>
    <col min="1" max="1" width="22.632812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10</v>
      </c>
      <c r="B2" t="s">
        <v>13</v>
      </c>
    </row>
    <row r="3" spans="1:2" x14ac:dyDescent="0.25">
      <c r="A3" t="s">
        <v>14</v>
      </c>
      <c r="B3" t="s">
        <v>15</v>
      </c>
    </row>
    <row r="4" spans="1:2" x14ac:dyDescent="0.25">
      <c r="A4" t="s">
        <v>16</v>
      </c>
      <c r="B4" t="s">
        <v>17</v>
      </c>
    </row>
    <row r="5" spans="1:2" x14ac:dyDescent="0.25">
      <c r="A5" t="s">
        <v>8</v>
      </c>
      <c r="B5" t="s">
        <v>18</v>
      </c>
    </row>
    <row r="6" spans="1:2" x14ac:dyDescent="0.25">
      <c r="A6" t="s">
        <v>19</v>
      </c>
      <c r="B6" t="s">
        <v>20</v>
      </c>
    </row>
    <row r="7" spans="1:2" x14ac:dyDescent="0.25">
      <c r="A7" t="s">
        <v>21</v>
      </c>
      <c r="B7" t="s">
        <v>22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 tint="0.5999938962981048"/>
  </sheetPr>
  <dimension ref="A1:E308"/>
  <sheetViews>
    <sheetView workbookViewId="0" zoomScale="70" zoomScaleNormal="70">
      <selection activeCell="F8" sqref="F8"/>
    </sheetView>
  </sheetViews>
  <sheetFormatPr defaultRowHeight="14.5" outlineLevelRow="0" outlineLevelCol="0" x14ac:dyDescent="0.35" customHeight="1"/>
  <cols>
    <col min="1" max="1" width="25.26953125" customWidth="1"/>
    <col min="2" max="2" width="54.36328125" customWidth="1"/>
    <col min="3" max="3" width="89.81640625" customWidth="1"/>
    <col min="4" max="4" width="28.08984375" customWidth="1"/>
    <col min="5" max="5" width="15.453125" customWidth="1"/>
    <col min="6" max="6" width="22.6328125" customWidth="1"/>
  </cols>
  <sheetData>
    <row r="1" ht="15" customHeight="1" spans="1:5" x14ac:dyDescent="0.25">
      <c r="A1" s="364" t="s">
        <v>11</v>
      </c>
      <c r="B1" s="364" t="s">
        <v>253</v>
      </c>
      <c r="C1" s="364" t="s">
        <v>254</v>
      </c>
      <c r="D1" s="364" t="s">
        <v>12</v>
      </c>
      <c r="E1" s="364" t="s">
        <v>255</v>
      </c>
    </row>
    <row r="2" ht="37" customHeight="1" spans="1:5" x14ac:dyDescent="0.25">
      <c r="A2" s="365" t="s">
        <v>10</v>
      </c>
      <c r="B2" s="68" t="s">
        <v>73</v>
      </c>
      <c r="C2" s="88" t="s">
        <v>78</v>
      </c>
      <c r="D2" s="366" t="s">
        <v>13</v>
      </c>
      <c r="E2" s="367">
        <v>9</v>
      </c>
    </row>
    <row r="3" ht="15" customHeight="1" spans="1:5" x14ac:dyDescent="0.25">
      <c r="A3" s="368" t="s">
        <v>10</v>
      </c>
      <c r="B3" s="68" t="s">
        <v>73</v>
      </c>
      <c r="C3" s="100" t="s">
        <v>81</v>
      </c>
      <c r="D3" t="s">
        <v>13</v>
      </c>
      <c r="E3" s="369">
        <v>10</v>
      </c>
    </row>
    <row r="4" ht="22" customHeight="1" spans="1:5" x14ac:dyDescent="0.25">
      <c r="A4" s="368" t="s">
        <v>10</v>
      </c>
      <c r="B4" s="68" t="s">
        <v>73</v>
      </c>
      <c r="C4" s="100" t="s">
        <v>84</v>
      </c>
      <c r="D4" t="s">
        <v>13</v>
      </c>
      <c r="E4" s="369">
        <v>11</v>
      </c>
    </row>
    <row r="5" ht="15" customHeight="1" spans="1:5" x14ac:dyDescent="0.25">
      <c r="A5" s="368" t="s">
        <v>10</v>
      </c>
      <c r="B5" s="68" t="s">
        <v>73</v>
      </c>
      <c r="C5" s="100" t="s">
        <v>87</v>
      </c>
      <c r="D5" t="s">
        <v>13</v>
      </c>
      <c r="E5" s="369">
        <v>12</v>
      </c>
    </row>
    <row r="6" ht="22" customHeight="1" spans="1:5" x14ac:dyDescent="0.25">
      <c r="A6" s="368" t="s">
        <v>10</v>
      </c>
      <c r="B6" s="68" t="s">
        <v>73</v>
      </c>
      <c r="C6" s="115" t="s">
        <v>88</v>
      </c>
      <c r="D6" t="s">
        <v>13</v>
      </c>
      <c r="E6" s="369">
        <v>13</v>
      </c>
    </row>
    <row r="7" ht="15" customHeight="1" spans="1:5" x14ac:dyDescent="0.25">
      <c r="A7" s="368" t="s">
        <v>10</v>
      </c>
      <c r="B7" s="179" t="s">
        <v>89</v>
      </c>
      <c r="C7" s="100" t="s">
        <v>90</v>
      </c>
      <c r="D7" t="s">
        <v>13</v>
      </c>
      <c r="E7" s="369">
        <v>15</v>
      </c>
    </row>
    <row r="8" ht="15" customHeight="1" spans="1:5" x14ac:dyDescent="0.25">
      <c r="A8" s="368" t="s">
        <v>10</v>
      </c>
      <c r="B8" s="179" t="s">
        <v>89</v>
      </c>
      <c r="C8" s="100" t="s">
        <v>91</v>
      </c>
      <c r="D8" t="s">
        <v>13</v>
      </c>
      <c r="E8" s="369">
        <v>16</v>
      </c>
    </row>
    <row r="9" ht="15" customHeight="1" spans="1:5" x14ac:dyDescent="0.25">
      <c r="A9" s="368" t="s">
        <v>10</v>
      </c>
      <c r="B9" s="179" t="s">
        <v>89</v>
      </c>
      <c r="C9" s="134" t="s">
        <v>92</v>
      </c>
      <c r="D9" t="s">
        <v>13</v>
      </c>
      <c r="E9" s="369">
        <v>17</v>
      </c>
    </row>
    <row r="10" ht="15" customHeight="1" spans="1:5" x14ac:dyDescent="0.25">
      <c r="A10" s="368" t="s">
        <v>10</v>
      </c>
      <c r="B10" s="179" t="s">
        <v>93</v>
      </c>
      <c r="C10" s="88" t="s">
        <v>94</v>
      </c>
      <c r="D10" t="s">
        <v>13</v>
      </c>
      <c r="E10" s="369">
        <v>19</v>
      </c>
    </row>
    <row r="11" ht="15" customHeight="1" spans="1:5" x14ac:dyDescent="0.25">
      <c r="A11" s="368" t="s">
        <v>10</v>
      </c>
      <c r="B11" s="179" t="s">
        <v>93</v>
      </c>
      <c r="C11" s="100" t="s">
        <v>95</v>
      </c>
      <c r="D11" t="s">
        <v>13</v>
      </c>
      <c r="E11" s="369">
        <v>20</v>
      </c>
    </row>
    <row r="12" ht="15" customHeight="1" spans="1:5" x14ac:dyDescent="0.25">
      <c r="A12" s="368" t="s">
        <v>10</v>
      </c>
      <c r="B12" s="179" t="s">
        <v>93</v>
      </c>
      <c r="C12" s="100" t="s">
        <v>96</v>
      </c>
      <c r="D12" t="s">
        <v>13</v>
      </c>
      <c r="E12" s="369">
        <v>21</v>
      </c>
    </row>
    <row r="13" ht="15" customHeight="1" spans="1:5" x14ac:dyDescent="0.25">
      <c r="A13" s="368" t="s">
        <v>10</v>
      </c>
      <c r="B13" s="179" t="s">
        <v>93</v>
      </c>
      <c r="C13" s="100" t="s">
        <v>97</v>
      </c>
      <c r="D13" t="s">
        <v>13</v>
      </c>
      <c r="E13" s="369">
        <v>22</v>
      </c>
    </row>
    <row r="14" ht="15" customHeight="1" spans="1:5" x14ac:dyDescent="0.25">
      <c r="A14" s="368" t="s">
        <v>10</v>
      </c>
      <c r="B14" s="179" t="s">
        <v>93</v>
      </c>
      <c r="C14" s="100" t="s">
        <v>98</v>
      </c>
      <c r="D14" t="s">
        <v>13</v>
      </c>
      <c r="E14" s="369">
        <v>23</v>
      </c>
    </row>
    <row r="15" ht="15" customHeight="1" spans="1:5" x14ac:dyDescent="0.25">
      <c r="A15" s="368" t="s">
        <v>10</v>
      </c>
      <c r="B15" s="179" t="s">
        <v>93</v>
      </c>
      <c r="C15" s="100" t="s">
        <v>99</v>
      </c>
      <c r="D15" t="s">
        <v>13</v>
      </c>
      <c r="E15" s="369">
        <v>24</v>
      </c>
    </row>
    <row r="16" ht="15" customHeight="1" spans="1:5" x14ac:dyDescent="0.25">
      <c r="A16" s="368" t="s">
        <v>10</v>
      </c>
      <c r="B16" s="179" t="s">
        <v>93</v>
      </c>
      <c r="C16" s="100" t="s">
        <v>100</v>
      </c>
      <c r="D16" t="s">
        <v>13</v>
      </c>
      <c r="E16" s="369">
        <v>25</v>
      </c>
    </row>
    <row r="17" ht="15" customHeight="1" spans="1:5" x14ac:dyDescent="0.25">
      <c r="A17" s="368" t="s">
        <v>10</v>
      </c>
      <c r="B17" s="179" t="s">
        <v>93</v>
      </c>
      <c r="C17" s="100" t="s">
        <v>101</v>
      </c>
      <c r="D17" t="s">
        <v>13</v>
      </c>
      <c r="E17" s="369">
        <v>26</v>
      </c>
    </row>
    <row r="18" ht="15" customHeight="1" spans="1:5" x14ac:dyDescent="0.25">
      <c r="A18" s="368" t="s">
        <v>10</v>
      </c>
      <c r="B18" s="179" t="s">
        <v>93</v>
      </c>
      <c r="C18" s="100" t="s">
        <v>102</v>
      </c>
      <c r="D18" t="s">
        <v>13</v>
      </c>
      <c r="E18" s="369">
        <v>27</v>
      </c>
    </row>
    <row r="19" ht="15" customHeight="1" spans="1:5" x14ac:dyDescent="0.25">
      <c r="A19" s="368" t="s">
        <v>10</v>
      </c>
      <c r="B19" s="179" t="s">
        <v>93</v>
      </c>
      <c r="C19" s="100" t="s">
        <v>103</v>
      </c>
      <c r="D19" t="s">
        <v>13</v>
      </c>
      <c r="E19" s="369">
        <v>28</v>
      </c>
    </row>
    <row r="20" ht="15" customHeight="1" spans="1:5" x14ac:dyDescent="0.25">
      <c r="A20" s="368" t="s">
        <v>10</v>
      </c>
      <c r="B20" s="179" t="s">
        <v>93</v>
      </c>
      <c r="C20" s="115" t="s">
        <v>104</v>
      </c>
      <c r="D20" t="s">
        <v>13</v>
      </c>
      <c r="E20" s="369">
        <v>29</v>
      </c>
    </row>
    <row r="21" ht="15" customHeight="1" spans="1:5" x14ac:dyDescent="0.25">
      <c r="A21" s="368" t="s">
        <v>10</v>
      </c>
      <c r="B21" s="124" t="s">
        <v>105</v>
      </c>
      <c r="C21" s="88" t="s">
        <v>106</v>
      </c>
      <c r="D21" t="s">
        <v>13</v>
      </c>
      <c r="E21" s="369">
        <v>31</v>
      </c>
    </row>
    <row r="22" ht="15" customHeight="1" spans="1:5" x14ac:dyDescent="0.25">
      <c r="A22" s="368" t="s">
        <v>10</v>
      </c>
      <c r="B22" s="124" t="s">
        <v>105</v>
      </c>
      <c r="C22" s="100" t="s">
        <v>107</v>
      </c>
      <c r="D22" t="s">
        <v>13</v>
      </c>
      <c r="E22" s="369">
        <v>32</v>
      </c>
    </row>
    <row r="23" ht="15" customHeight="1" spans="1:5" x14ac:dyDescent="0.25">
      <c r="A23" s="368" t="s">
        <v>10</v>
      </c>
      <c r="B23" s="124" t="s">
        <v>105</v>
      </c>
      <c r="C23" s="100" t="s">
        <v>108</v>
      </c>
      <c r="D23" t="s">
        <v>13</v>
      </c>
      <c r="E23" s="369">
        <v>33</v>
      </c>
    </row>
    <row r="24" ht="15" customHeight="1" spans="1:5" x14ac:dyDescent="0.25">
      <c r="A24" s="368" t="s">
        <v>10</v>
      </c>
      <c r="B24" s="124" t="s">
        <v>105</v>
      </c>
      <c r="C24" s="100" t="s">
        <v>109</v>
      </c>
      <c r="D24" t="s">
        <v>13</v>
      </c>
      <c r="E24" s="369">
        <v>34</v>
      </c>
    </row>
    <row r="25" ht="15" customHeight="1" spans="1:5" x14ac:dyDescent="0.25">
      <c r="A25" s="368" t="s">
        <v>10</v>
      </c>
      <c r="B25" s="124" t="s">
        <v>105</v>
      </c>
      <c r="C25" s="143" t="s">
        <v>110</v>
      </c>
      <c r="D25" t="s">
        <v>13</v>
      </c>
      <c r="E25" s="369">
        <v>35</v>
      </c>
    </row>
    <row r="26" ht="15" customHeight="1" spans="1:5" x14ac:dyDescent="0.25">
      <c r="A26" s="368" t="s">
        <v>10</v>
      </c>
      <c r="B26" s="179" t="s">
        <v>111</v>
      </c>
      <c r="C26" s="139" t="s">
        <v>112</v>
      </c>
      <c r="D26" t="s">
        <v>13</v>
      </c>
      <c r="E26" s="369">
        <v>37</v>
      </c>
    </row>
    <row r="27" ht="15" customHeight="1" spans="1:5" x14ac:dyDescent="0.25">
      <c r="A27" s="368" t="s">
        <v>10</v>
      </c>
      <c r="B27" s="179" t="s">
        <v>111</v>
      </c>
      <c r="C27" s="100" t="s">
        <v>113</v>
      </c>
      <c r="D27" t="s">
        <v>13</v>
      </c>
      <c r="E27" s="369">
        <v>38</v>
      </c>
    </row>
    <row r="28" ht="15" customHeight="1" spans="1:5" x14ac:dyDescent="0.25">
      <c r="A28" s="368" t="s">
        <v>10</v>
      </c>
      <c r="B28" s="179" t="s">
        <v>111</v>
      </c>
      <c r="C28" s="140" t="s">
        <v>114</v>
      </c>
      <c r="D28" t="s">
        <v>13</v>
      </c>
      <c r="E28" s="369">
        <v>39</v>
      </c>
    </row>
    <row r="29" ht="15" customHeight="1" spans="1:5" x14ac:dyDescent="0.25">
      <c r="A29" s="368" t="s">
        <v>10</v>
      </c>
      <c r="B29" s="179" t="s">
        <v>111</v>
      </c>
      <c r="C29" s="100" t="s">
        <v>115</v>
      </c>
      <c r="D29" t="s">
        <v>13</v>
      </c>
      <c r="E29" s="369">
        <v>40</v>
      </c>
    </row>
    <row r="30" ht="15" customHeight="1" spans="1:5" x14ac:dyDescent="0.25">
      <c r="A30" s="368" t="s">
        <v>10</v>
      </c>
      <c r="B30" s="179" t="s">
        <v>111</v>
      </c>
      <c r="C30" s="100" t="s">
        <v>116</v>
      </c>
      <c r="D30" t="s">
        <v>13</v>
      </c>
      <c r="E30" s="369">
        <v>41</v>
      </c>
    </row>
    <row r="31" ht="15" customHeight="1" spans="1:5" x14ac:dyDescent="0.25">
      <c r="A31" s="368" t="s">
        <v>10</v>
      </c>
      <c r="B31" s="179" t="s">
        <v>111</v>
      </c>
      <c r="C31" s="140" t="s">
        <v>117</v>
      </c>
      <c r="D31" t="s">
        <v>13</v>
      </c>
      <c r="E31" s="369">
        <v>42</v>
      </c>
    </row>
    <row r="32" ht="15" customHeight="1" spans="1:5" x14ac:dyDescent="0.25">
      <c r="A32" s="368" t="s">
        <v>10</v>
      </c>
      <c r="B32" s="179" t="s">
        <v>111</v>
      </c>
      <c r="C32" s="100" t="s">
        <v>118</v>
      </c>
      <c r="D32" t="s">
        <v>13</v>
      </c>
      <c r="E32" s="369">
        <v>43</v>
      </c>
    </row>
    <row r="33" ht="15" customHeight="1" spans="1:5" x14ac:dyDescent="0.25">
      <c r="A33" s="368" t="s">
        <v>10</v>
      </c>
      <c r="B33" s="179" t="s">
        <v>111</v>
      </c>
      <c r="C33" s="141" t="s">
        <v>119</v>
      </c>
      <c r="D33" t="s">
        <v>13</v>
      </c>
      <c r="E33" s="369">
        <v>44</v>
      </c>
    </row>
    <row r="34" ht="15" customHeight="1" spans="1:5" x14ac:dyDescent="0.25">
      <c r="A34" s="368" t="s">
        <v>10</v>
      </c>
      <c r="B34" s="179" t="s">
        <v>111</v>
      </c>
      <c r="C34" s="100" t="s">
        <v>120</v>
      </c>
      <c r="D34" t="s">
        <v>13</v>
      </c>
      <c r="E34" s="369">
        <v>45</v>
      </c>
    </row>
    <row r="35" ht="15" customHeight="1" spans="1:5" x14ac:dyDescent="0.25">
      <c r="A35" s="368" t="s">
        <v>10</v>
      </c>
      <c r="B35" s="179" t="s">
        <v>111</v>
      </c>
      <c r="C35" s="100" t="s">
        <v>121</v>
      </c>
      <c r="D35" t="s">
        <v>13</v>
      </c>
      <c r="E35" s="369">
        <v>46</v>
      </c>
    </row>
    <row r="36" ht="22" customHeight="1" spans="1:5" x14ac:dyDescent="0.25">
      <c r="A36" s="368" t="s">
        <v>10</v>
      </c>
      <c r="B36" s="179" t="s">
        <v>122</v>
      </c>
      <c r="C36" s="142" t="s">
        <v>123</v>
      </c>
      <c r="D36" t="s">
        <v>13</v>
      </c>
      <c r="E36" s="369">
        <v>48</v>
      </c>
    </row>
    <row r="37" ht="15" customHeight="1" spans="1:5" x14ac:dyDescent="0.25">
      <c r="A37" s="368" t="s">
        <v>10</v>
      </c>
      <c r="B37" s="179" t="s">
        <v>122</v>
      </c>
      <c r="C37" s="100" t="s">
        <v>124</v>
      </c>
      <c r="D37" t="s">
        <v>13</v>
      </c>
      <c r="E37" s="369">
        <v>49</v>
      </c>
    </row>
    <row r="38" ht="15" customHeight="1" spans="1:5" x14ac:dyDescent="0.25">
      <c r="A38" s="368" t="s">
        <v>10</v>
      </c>
      <c r="B38" s="179" t="s">
        <v>122</v>
      </c>
      <c r="C38" s="100" t="s">
        <v>125</v>
      </c>
      <c r="D38" t="s">
        <v>13</v>
      </c>
      <c r="E38" s="369">
        <v>50</v>
      </c>
    </row>
    <row r="39" ht="15" customHeight="1" spans="1:5" x14ac:dyDescent="0.25">
      <c r="A39" s="368" t="s">
        <v>10</v>
      </c>
      <c r="B39" s="179" t="s">
        <v>122</v>
      </c>
      <c r="C39" s="100" t="s">
        <v>126</v>
      </c>
      <c r="D39" t="s">
        <v>13</v>
      </c>
      <c r="E39" s="369">
        <v>51</v>
      </c>
    </row>
    <row r="40" ht="15" customHeight="1" spans="1:5" x14ac:dyDescent="0.25">
      <c r="A40" s="368" t="s">
        <v>10</v>
      </c>
      <c r="B40" s="179" t="s">
        <v>122</v>
      </c>
      <c r="C40" s="143" t="s">
        <v>127</v>
      </c>
      <c r="D40" t="s">
        <v>13</v>
      </c>
      <c r="E40" s="369">
        <v>52</v>
      </c>
    </row>
    <row r="41" ht="15" customHeight="1" spans="1:5" x14ac:dyDescent="0.25">
      <c r="A41" s="368" t="s">
        <v>10</v>
      </c>
      <c r="B41" s="179" t="s">
        <v>128</v>
      </c>
      <c r="C41" s="144" t="s">
        <v>129</v>
      </c>
      <c r="D41" t="s">
        <v>13</v>
      </c>
      <c r="E41" s="369">
        <v>54</v>
      </c>
    </row>
    <row r="42" ht="15" customHeight="1" spans="1:5" x14ac:dyDescent="0.25">
      <c r="A42" s="368" t="s">
        <v>10</v>
      </c>
      <c r="B42" s="185" t="s">
        <v>130</v>
      </c>
      <c r="C42" s="147" t="s">
        <v>131</v>
      </c>
      <c r="D42" t="s">
        <v>13</v>
      </c>
      <c r="E42" s="369">
        <v>56</v>
      </c>
    </row>
    <row r="43" ht="15" customHeight="1" spans="1:5" x14ac:dyDescent="0.25">
      <c r="A43" s="368" t="s">
        <v>10</v>
      </c>
      <c r="B43" s="185" t="s">
        <v>130</v>
      </c>
      <c r="C43" s="148" t="s">
        <v>132</v>
      </c>
      <c r="D43" t="s">
        <v>13</v>
      </c>
      <c r="E43" s="369">
        <v>57</v>
      </c>
    </row>
    <row r="44" ht="15" customHeight="1" spans="1:5" x14ac:dyDescent="0.25">
      <c r="A44" s="370" t="s">
        <v>10</v>
      </c>
      <c r="B44" s="146" t="s">
        <v>130</v>
      </c>
      <c r="C44" s="115" t="s">
        <v>133</v>
      </c>
      <c r="D44" s="371" t="s">
        <v>13</v>
      </c>
      <c r="E44" s="372">
        <v>58</v>
      </c>
    </row>
    <row r="45" ht="21.5" customHeight="1" spans="1:5" x14ac:dyDescent="0.25">
      <c r="A45" s="365" t="s">
        <v>14</v>
      </c>
      <c r="B45" s="366" t="s">
        <v>73</v>
      </c>
      <c r="C45" s="88" t="s">
        <v>78</v>
      </c>
      <c r="D45" s="366" t="s">
        <v>15</v>
      </c>
      <c r="E45" s="367">
        <v>9</v>
      </c>
    </row>
    <row r="46" ht="21.5" customHeight="1" spans="1:5" x14ac:dyDescent="0.25">
      <c r="A46" s="368" t="s">
        <v>14</v>
      </c>
      <c r="B46" t="s">
        <v>73</v>
      </c>
      <c r="C46" s="100" t="s">
        <v>135</v>
      </c>
      <c r="D46" t="s">
        <v>15</v>
      </c>
      <c r="E46" s="369">
        <v>10</v>
      </c>
    </row>
    <row r="47" ht="21.5" customHeight="1" spans="1:5" x14ac:dyDescent="0.25">
      <c r="A47" s="368" t="s">
        <v>14</v>
      </c>
      <c r="B47" t="s">
        <v>73</v>
      </c>
      <c r="C47" s="100" t="s">
        <v>136</v>
      </c>
      <c r="D47" t="s">
        <v>15</v>
      </c>
      <c r="E47" s="369">
        <v>11</v>
      </c>
    </row>
    <row r="48" spans="1:5" x14ac:dyDescent="0.25">
      <c r="A48" s="368" t="s">
        <v>14</v>
      </c>
      <c r="B48" t="s">
        <v>73</v>
      </c>
      <c r="C48" s="100" t="s">
        <v>137</v>
      </c>
      <c r="D48" t="s">
        <v>15</v>
      </c>
      <c r="E48" s="369">
        <v>12</v>
      </c>
    </row>
    <row r="49" spans="1:5" x14ac:dyDescent="0.25">
      <c r="A49" s="368" t="s">
        <v>14</v>
      </c>
      <c r="B49" t="s">
        <v>73</v>
      </c>
      <c r="C49" s="100" t="s">
        <v>138</v>
      </c>
      <c r="D49" t="s">
        <v>15</v>
      </c>
      <c r="E49" s="369">
        <v>13</v>
      </c>
    </row>
    <row r="50" ht="21.5" customHeight="1" spans="1:5" x14ac:dyDescent="0.25">
      <c r="A50" s="368" t="s">
        <v>14</v>
      </c>
      <c r="B50" t="s">
        <v>73</v>
      </c>
      <c r="C50" s="100" t="s">
        <v>84</v>
      </c>
      <c r="D50" t="s">
        <v>15</v>
      </c>
      <c r="E50" s="369">
        <v>14</v>
      </c>
    </row>
    <row r="51" spans="1:5" x14ac:dyDescent="0.25">
      <c r="A51" s="368" t="s">
        <v>14</v>
      </c>
      <c r="B51" t="s">
        <v>73</v>
      </c>
      <c r="C51" s="100" t="s">
        <v>87</v>
      </c>
      <c r="D51" t="s">
        <v>15</v>
      </c>
      <c r="E51" s="369">
        <v>15</v>
      </c>
    </row>
    <row r="52" ht="15" customHeight="1" spans="1:5" x14ac:dyDescent="0.25">
      <c r="A52" s="368" t="s">
        <v>14</v>
      </c>
      <c r="B52" t="s">
        <v>73</v>
      </c>
      <c r="C52" s="115" t="s">
        <v>139</v>
      </c>
      <c r="D52" t="s">
        <v>15</v>
      </c>
      <c r="E52" s="369">
        <v>16</v>
      </c>
    </row>
    <row r="53" ht="15" customHeight="1" spans="1:5" x14ac:dyDescent="0.25">
      <c r="A53" s="368" t="s">
        <v>14</v>
      </c>
      <c r="B53" s="373" t="s">
        <v>89</v>
      </c>
      <c r="C53" s="164" t="s">
        <v>140</v>
      </c>
      <c r="D53" t="s">
        <v>15</v>
      </c>
      <c r="E53" s="369">
        <v>18</v>
      </c>
    </row>
    <row r="54" ht="20.5" customHeight="1" spans="1:5" x14ac:dyDescent="0.25">
      <c r="A54" s="368" t="s">
        <v>14</v>
      </c>
      <c r="B54" s="373" t="s">
        <v>89</v>
      </c>
      <c r="C54" s="165" t="s">
        <v>141</v>
      </c>
      <c r="D54" t="s">
        <v>15</v>
      </c>
      <c r="E54" s="369">
        <v>19</v>
      </c>
    </row>
    <row r="55" ht="15" customHeight="1" spans="1:5" x14ac:dyDescent="0.25">
      <c r="A55" s="368" t="s">
        <v>14</v>
      </c>
      <c r="B55" s="373" t="s">
        <v>89</v>
      </c>
      <c r="C55" s="167" t="s">
        <v>91</v>
      </c>
      <c r="D55" t="s">
        <v>15</v>
      </c>
      <c r="E55" s="369">
        <v>20</v>
      </c>
    </row>
    <row r="56" ht="15" customHeight="1" spans="1:5" x14ac:dyDescent="0.25">
      <c r="A56" s="368" t="s">
        <v>14</v>
      </c>
      <c r="B56" s="373" t="s">
        <v>93</v>
      </c>
      <c r="C56" s="168" t="s">
        <v>94</v>
      </c>
      <c r="D56" t="s">
        <v>15</v>
      </c>
      <c r="E56" s="369">
        <v>22</v>
      </c>
    </row>
    <row r="57" ht="15" customHeight="1" spans="1:5" x14ac:dyDescent="0.25">
      <c r="A57" s="368" t="s">
        <v>14</v>
      </c>
      <c r="B57" s="373" t="s">
        <v>93</v>
      </c>
      <c r="C57" s="169" t="s">
        <v>142</v>
      </c>
      <c r="D57" t="s">
        <v>15</v>
      </c>
      <c r="E57" s="369">
        <v>23</v>
      </c>
    </row>
    <row r="58" ht="15" customHeight="1" spans="1:5" x14ac:dyDescent="0.25">
      <c r="A58" s="368" t="s">
        <v>14</v>
      </c>
      <c r="B58" s="373" t="s">
        <v>93</v>
      </c>
      <c r="C58" s="169" t="s">
        <v>143</v>
      </c>
      <c r="D58" t="s">
        <v>15</v>
      </c>
      <c r="E58" s="369">
        <v>24</v>
      </c>
    </row>
    <row r="59" ht="15" customHeight="1" spans="1:5" x14ac:dyDescent="0.25">
      <c r="A59" s="368" t="s">
        <v>14</v>
      </c>
      <c r="B59" s="373" t="s">
        <v>93</v>
      </c>
      <c r="C59" s="169" t="s">
        <v>96</v>
      </c>
      <c r="D59" t="s">
        <v>15</v>
      </c>
      <c r="E59" s="369">
        <v>25</v>
      </c>
    </row>
    <row r="60" ht="15" customHeight="1" spans="1:5" x14ac:dyDescent="0.25">
      <c r="A60" s="368" t="s">
        <v>14</v>
      </c>
      <c r="B60" s="373" t="s">
        <v>93</v>
      </c>
      <c r="C60" s="169" t="s">
        <v>97</v>
      </c>
      <c r="D60" t="s">
        <v>15</v>
      </c>
      <c r="E60" s="369">
        <v>26</v>
      </c>
    </row>
    <row r="61" ht="15" customHeight="1" spans="1:5" x14ac:dyDescent="0.25">
      <c r="A61" s="368" t="s">
        <v>14</v>
      </c>
      <c r="B61" s="373" t="s">
        <v>93</v>
      </c>
      <c r="C61" s="169" t="s">
        <v>144</v>
      </c>
      <c r="D61" t="s">
        <v>15</v>
      </c>
      <c r="E61" s="369">
        <v>27</v>
      </c>
    </row>
    <row r="62" ht="15" customHeight="1" spans="1:5" x14ac:dyDescent="0.25">
      <c r="A62" s="368" t="s">
        <v>14</v>
      </c>
      <c r="B62" s="373" t="s">
        <v>93</v>
      </c>
      <c r="C62" s="169" t="s">
        <v>99</v>
      </c>
      <c r="D62" t="s">
        <v>15</v>
      </c>
      <c r="E62" s="369">
        <v>28</v>
      </c>
    </row>
    <row r="63" ht="15" customHeight="1" spans="1:5" x14ac:dyDescent="0.25">
      <c r="A63" s="368" t="s">
        <v>14</v>
      </c>
      <c r="B63" s="373" t="s">
        <v>93</v>
      </c>
      <c r="C63" s="169" t="s">
        <v>100</v>
      </c>
      <c r="D63" t="s">
        <v>15</v>
      </c>
      <c r="E63" s="369">
        <v>29</v>
      </c>
    </row>
    <row r="64" ht="15" customHeight="1" spans="1:5" x14ac:dyDescent="0.25">
      <c r="A64" s="368" t="s">
        <v>14</v>
      </c>
      <c r="B64" s="373" t="s">
        <v>93</v>
      </c>
      <c r="C64" s="169" t="s">
        <v>101</v>
      </c>
      <c r="D64" t="s">
        <v>15</v>
      </c>
      <c r="E64" s="369">
        <v>30</v>
      </c>
    </row>
    <row r="65" ht="15" customHeight="1" spans="1:5" x14ac:dyDescent="0.25">
      <c r="A65" s="368" t="s">
        <v>14</v>
      </c>
      <c r="B65" s="373" t="s">
        <v>93</v>
      </c>
      <c r="C65" s="170" t="s">
        <v>102</v>
      </c>
      <c r="D65" t="s">
        <v>15</v>
      </c>
      <c r="E65" s="369">
        <v>31</v>
      </c>
    </row>
    <row r="66" ht="15" customHeight="1" spans="1:5" x14ac:dyDescent="0.25">
      <c r="A66" s="368" t="s">
        <v>14</v>
      </c>
      <c r="B66" s="373" t="s">
        <v>93</v>
      </c>
      <c r="C66" s="171" t="s">
        <v>103</v>
      </c>
      <c r="D66" t="s">
        <v>15</v>
      </c>
      <c r="E66" s="369">
        <v>32</v>
      </c>
    </row>
    <row r="67" ht="15" customHeight="1" spans="1:5" x14ac:dyDescent="0.25">
      <c r="A67" s="368" t="s">
        <v>14</v>
      </c>
      <c r="B67" s="373" t="s">
        <v>93</v>
      </c>
      <c r="C67" s="170" t="s">
        <v>104</v>
      </c>
      <c r="D67" t="s">
        <v>15</v>
      </c>
      <c r="E67" s="369">
        <v>33</v>
      </c>
    </row>
    <row r="68" ht="15" customHeight="1" spans="1:5" x14ac:dyDescent="0.25">
      <c r="A68" s="368" t="s">
        <v>14</v>
      </c>
      <c r="B68" s="179" t="s">
        <v>105</v>
      </c>
      <c r="C68" s="168" t="s">
        <v>106</v>
      </c>
      <c r="D68" t="s">
        <v>15</v>
      </c>
      <c r="E68" s="369">
        <v>35</v>
      </c>
    </row>
    <row r="69" ht="15" customHeight="1" spans="1:5" x14ac:dyDescent="0.25">
      <c r="A69" s="368" t="s">
        <v>14</v>
      </c>
      <c r="B69" s="179" t="s">
        <v>105</v>
      </c>
      <c r="C69" s="169" t="s">
        <v>145</v>
      </c>
      <c r="D69" t="s">
        <v>15</v>
      </c>
      <c r="E69" s="369">
        <v>36</v>
      </c>
    </row>
    <row r="70" ht="15" customHeight="1" spans="1:5" x14ac:dyDescent="0.25">
      <c r="A70" s="368" t="s">
        <v>14</v>
      </c>
      <c r="B70" s="179" t="s">
        <v>105</v>
      </c>
      <c r="C70" s="169" t="s">
        <v>146</v>
      </c>
      <c r="D70" t="s">
        <v>15</v>
      </c>
      <c r="E70" s="369">
        <v>37</v>
      </c>
    </row>
    <row r="71" ht="15" customHeight="1" spans="1:5" x14ac:dyDescent="0.25">
      <c r="A71" s="368" t="s">
        <v>14</v>
      </c>
      <c r="B71" s="179" t="s">
        <v>105</v>
      </c>
      <c r="C71" s="169" t="s">
        <v>107</v>
      </c>
      <c r="D71" t="s">
        <v>15</v>
      </c>
      <c r="E71" s="369">
        <v>38</v>
      </c>
    </row>
    <row r="72" ht="15" customHeight="1" spans="1:5" x14ac:dyDescent="0.25">
      <c r="A72" s="368" t="s">
        <v>14</v>
      </c>
      <c r="B72" s="179" t="s">
        <v>105</v>
      </c>
      <c r="C72" s="169" t="s">
        <v>147</v>
      </c>
      <c r="D72" t="s">
        <v>15</v>
      </c>
      <c r="E72" s="369">
        <v>39</v>
      </c>
    </row>
    <row r="73" ht="15" customHeight="1" spans="1:5" x14ac:dyDescent="0.25">
      <c r="A73" s="368" t="s">
        <v>14</v>
      </c>
      <c r="B73" s="179" t="s">
        <v>105</v>
      </c>
      <c r="C73" s="169" t="s">
        <v>108</v>
      </c>
      <c r="D73" t="s">
        <v>15</v>
      </c>
      <c r="E73" s="369">
        <v>40</v>
      </c>
    </row>
    <row r="74" ht="15" customHeight="1" spans="1:5" x14ac:dyDescent="0.25">
      <c r="A74" s="368" t="s">
        <v>14</v>
      </c>
      <c r="B74" s="179" t="s">
        <v>105</v>
      </c>
      <c r="C74" s="169" t="s">
        <v>109</v>
      </c>
      <c r="D74" t="s">
        <v>15</v>
      </c>
      <c r="E74" s="369">
        <v>41</v>
      </c>
    </row>
    <row r="75" ht="15" customHeight="1" spans="1:5" x14ac:dyDescent="0.25">
      <c r="A75" s="368" t="s">
        <v>14</v>
      </c>
      <c r="B75" s="179" t="s">
        <v>105</v>
      </c>
      <c r="C75" s="172" t="s">
        <v>148</v>
      </c>
      <c r="D75" t="s">
        <v>15</v>
      </c>
      <c r="E75" s="369">
        <v>42</v>
      </c>
    </row>
    <row r="76" ht="15" customHeight="1" spans="1:5" x14ac:dyDescent="0.25">
      <c r="A76" s="368" t="s">
        <v>14</v>
      </c>
      <c r="B76" s="179" t="s">
        <v>111</v>
      </c>
      <c r="C76" s="173" t="s">
        <v>112</v>
      </c>
      <c r="D76" t="s">
        <v>15</v>
      </c>
      <c r="E76" s="369">
        <v>44</v>
      </c>
    </row>
    <row r="77" ht="15" customHeight="1" spans="1:5" x14ac:dyDescent="0.25">
      <c r="A77" s="368" t="s">
        <v>14</v>
      </c>
      <c r="B77" s="179" t="s">
        <v>111</v>
      </c>
      <c r="C77" s="174" t="s">
        <v>133</v>
      </c>
      <c r="D77" t="s">
        <v>15</v>
      </c>
      <c r="E77" s="369">
        <v>45</v>
      </c>
    </row>
    <row r="78" ht="15" customHeight="1" spans="1:5" x14ac:dyDescent="0.25">
      <c r="A78" s="368" t="s">
        <v>14</v>
      </c>
      <c r="B78" s="179" t="s">
        <v>111</v>
      </c>
      <c r="C78" s="171" t="s">
        <v>113</v>
      </c>
      <c r="D78" t="s">
        <v>15</v>
      </c>
      <c r="E78" s="369">
        <v>46</v>
      </c>
    </row>
    <row r="79" ht="20.5" customHeight="1" spans="1:5" x14ac:dyDescent="0.25">
      <c r="A79" s="368" t="s">
        <v>14</v>
      </c>
      <c r="B79" s="179" t="s">
        <v>111</v>
      </c>
      <c r="C79" s="174" t="s">
        <v>149</v>
      </c>
      <c r="D79" t="s">
        <v>15</v>
      </c>
      <c r="E79" s="369">
        <v>47</v>
      </c>
    </row>
    <row r="80" ht="15" customHeight="1" spans="1:5" x14ac:dyDescent="0.25">
      <c r="A80" s="368" t="s">
        <v>14</v>
      </c>
      <c r="B80" s="179" t="s">
        <v>111</v>
      </c>
      <c r="C80" s="175" t="s">
        <v>150</v>
      </c>
      <c r="D80" t="s">
        <v>15</v>
      </c>
      <c r="E80" s="369">
        <v>48</v>
      </c>
    </row>
    <row r="81" ht="15" customHeight="1" spans="1:5" x14ac:dyDescent="0.25">
      <c r="A81" s="368" t="s">
        <v>14</v>
      </c>
      <c r="B81" s="179" t="s">
        <v>111</v>
      </c>
      <c r="C81" s="175" t="s">
        <v>151</v>
      </c>
      <c r="D81" t="s">
        <v>15</v>
      </c>
      <c r="E81" s="369">
        <v>49</v>
      </c>
    </row>
    <row r="82" ht="15" customHeight="1" spans="1:5" x14ac:dyDescent="0.25">
      <c r="A82" s="368" t="s">
        <v>14</v>
      </c>
      <c r="B82" s="179" t="s">
        <v>111</v>
      </c>
      <c r="C82" s="174" t="s">
        <v>116</v>
      </c>
      <c r="D82" t="s">
        <v>15</v>
      </c>
      <c r="E82" s="369">
        <v>50</v>
      </c>
    </row>
    <row r="83" ht="15" customHeight="1" spans="1:5" x14ac:dyDescent="0.25">
      <c r="A83" s="368" t="s">
        <v>14</v>
      </c>
      <c r="B83" s="179" t="s">
        <v>111</v>
      </c>
      <c r="C83" s="174" t="s">
        <v>117</v>
      </c>
      <c r="D83" t="s">
        <v>15</v>
      </c>
      <c r="E83" s="369">
        <v>51</v>
      </c>
    </row>
    <row r="84" ht="15" customHeight="1" spans="1:5" x14ac:dyDescent="0.25">
      <c r="A84" s="368" t="s">
        <v>14</v>
      </c>
      <c r="B84" s="179" t="s">
        <v>111</v>
      </c>
      <c r="C84" s="174" t="s">
        <v>152</v>
      </c>
      <c r="D84" t="s">
        <v>15</v>
      </c>
      <c r="E84" s="369">
        <v>52</v>
      </c>
    </row>
    <row r="85" ht="15" customHeight="1" spans="1:5" x14ac:dyDescent="0.25">
      <c r="A85" s="368" t="s">
        <v>14</v>
      </c>
      <c r="B85" s="179" t="s">
        <v>111</v>
      </c>
      <c r="C85" s="174" t="s">
        <v>118</v>
      </c>
      <c r="D85" t="s">
        <v>15</v>
      </c>
      <c r="E85" s="369">
        <v>53</v>
      </c>
    </row>
    <row r="86" ht="15" customHeight="1" spans="1:5" x14ac:dyDescent="0.25">
      <c r="A86" s="368" t="s">
        <v>14</v>
      </c>
      <c r="B86" s="179" t="s">
        <v>111</v>
      </c>
      <c r="C86" s="174" t="s">
        <v>120</v>
      </c>
      <c r="D86" t="s">
        <v>15</v>
      </c>
      <c r="E86" s="369">
        <v>54</v>
      </c>
    </row>
    <row r="87" ht="15" customHeight="1" spans="1:5" x14ac:dyDescent="0.25">
      <c r="A87" s="368" t="s">
        <v>14</v>
      </c>
      <c r="B87" s="179" t="s">
        <v>111</v>
      </c>
      <c r="C87" s="174" t="s">
        <v>121</v>
      </c>
      <c r="D87" t="s">
        <v>15</v>
      </c>
      <c r="E87" s="369">
        <v>55</v>
      </c>
    </row>
    <row r="88" ht="15" customHeight="1" spans="1:5" x14ac:dyDescent="0.25">
      <c r="A88" s="368" t="s">
        <v>14</v>
      </c>
      <c r="B88" s="179" t="s">
        <v>111</v>
      </c>
      <c r="C88" s="176" t="s">
        <v>153</v>
      </c>
      <c r="D88" t="s">
        <v>15</v>
      </c>
      <c r="E88" s="369">
        <v>56</v>
      </c>
    </row>
    <row r="89" ht="20.5" customHeight="1" spans="1:5" x14ac:dyDescent="0.25">
      <c r="A89" s="368" t="s">
        <v>14</v>
      </c>
      <c r="B89" s="179" t="s">
        <v>154</v>
      </c>
      <c r="C89" s="177" t="s">
        <v>123</v>
      </c>
      <c r="D89" t="s">
        <v>15</v>
      </c>
      <c r="E89" s="369">
        <v>58</v>
      </c>
    </row>
    <row r="90" ht="15" customHeight="1" spans="1:5" x14ac:dyDescent="0.25">
      <c r="A90" s="368" t="s">
        <v>14</v>
      </c>
      <c r="B90" s="179" t="s">
        <v>154</v>
      </c>
      <c r="C90" s="169" t="s">
        <v>124</v>
      </c>
      <c r="D90" t="s">
        <v>15</v>
      </c>
      <c r="E90" s="369">
        <v>59</v>
      </c>
    </row>
    <row r="91" ht="15" customHeight="1" spans="1:5" x14ac:dyDescent="0.25">
      <c r="A91" s="368" t="s">
        <v>14</v>
      </c>
      <c r="B91" s="179" t="s">
        <v>154</v>
      </c>
      <c r="C91" s="169" t="s">
        <v>125</v>
      </c>
      <c r="D91" t="s">
        <v>15</v>
      </c>
      <c r="E91" s="369">
        <v>60</v>
      </c>
    </row>
    <row r="92" ht="15" customHeight="1" spans="1:5" x14ac:dyDescent="0.25">
      <c r="A92" s="368" t="s">
        <v>14</v>
      </c>
      <c r="B92" s="179" t="s">
        <v>154</v>
      </c>
      <c r="C92" s="169" t="s">
        <v>155</v>
      </c>
      <c r="D92" t="s">
        <v>15</v>
      </c>
      <c r="E92" s="369">
        <v>61</v>
      </c>
    </row>
    <row r="93" ht="15" customHeight="1" spans="1:5" x14ac:dyDescent="0.25">
      <c r="A93" s="368" t="s">
        <v>14</v>
      </c>
      <c r="B93" s="179" t="s">
        <v>154</v>
      </c>
      <c r="C93" s="169" t="s">
        <v>126</v>
      </c>
      <c r="D93" t="s">
        <v>15</v>
      </c>
      <c r="E93" s="369">
        <v>62</v>
      </c>
    </row>
    <row r="94" ht="15" customHeight="1" spans="1:5" x14ac:dyDescent="0.25">
      <c r="A94" s="368" t="s">
        <v>14</v>
      </c>
      <c r="B94" s="179" t="s">
        <v>154</v>
      </c>
      <c r="C94" s="169" t="s">
        <v>127</v>
      </c>
      <c r="D94" t="s">
        <v>15</v>
      </c>
      <c r="E94" s="369">
        <v>63</v>
      </c>
    </row>
    <row r="95" ht="15" customHeight="1" spans="1:5" x14ac:dyDescent="0.25">
      <c r="A95" s="368" t="s">
        <v>14</v>
      </c>
      <c r="B95" s="179" t="s">
        <v>154</v>
      </c>
      <c r="C95" s="172" t="s">
        <v>156</v>
      </c>
      <c r="D95" t="s">
        <v>15</v>
      </c>
      <c r="E95" s="369">
        <v>64</v>
      </c>
    </row>
    <row r="96" ht="15" customHeight="1" spans="1:5" x14ac:dyDescent="0.25">
      <c r="A96" s="368" t="s">
        <v>14</v>
      </c>
      <c r="B96" s="179" t="s">
        <v>128</v>
      </c>
      <c r="C96" s="144" t="s">
        <v>157</v>
      </c>
      <c r="D96" t="s">
        <v>15</v>
      </c>
      <c r="E96" s="369">
        <v>66</v>
      </c>
    </row>
    <row r="97" ht="15" customHeight="1" spans="1:5" x14ac:dyDescent="0.25">
      <c r="A97" s="368" t="s">
        <v>14</v>
      </c>
      <c r="B97" s="179" t="s">
        <v>158</v>
      </c>
      <c r="C97" s="181" t="s">
        <v>159</v>
      </c>
      <c r="D97" t="s">
        <v>15</v>
      </c>
      <c r="E97" s="369">
        <v>68</v>
      </c>
    </row>
    <row r="98" ht="15" customHeight="1" spans="1:5" x14ac:dyDescent="0.25">
      <c r="A98" s="368" t="s">
        <v>14</v>
      </c>
      <c r="B98" s="179" t="s">
        <v>158</v>
      </c>
      <c r="C98" s="183" t="s">
        <v>160</v>
      </c>
      <c r="D98" t="s">
        <v>15</v>
      </c>
      <c r="E98" s="369">
        <v>69</v>
      </c>
    </row>
    <row r="99" ht="15" customHeight="1" spans="1:5" x14ac:dyDescent="0.25">
      <c r="A99" s="368" t="s">
        <v>14</v>
      </c>
      <c r="B99" s="179" t="s">
        <v>158</v>
      </c>
      <c r="C99" s="183" t="s">
        <v>161</v>
      </c>
      <c r="D99" t="s">
        <v>15</v>
      </c>
      <c r="E99" s="369">
        <v>70</v>
      </c>
    </row>
    <row r="100" ht="15" customHeight="1" spans="1:5" x14ac:dyDescent="0.25">
      <c r="A100" s="368" t="s">
        <v>14</v>
      </c>
      <c r="B100" s="179" t="s">
        <v>158</v>
      </c>
      <c r="C100" s="183" t="s">
        <v>162</v>
      </c>
      <c r="D100" t="s">
        <v>15</v>
      </c>
      <c r="E100" s="369">
        <v>71</v>
      </c>
    </row>
    <row r="101" ht="15" customHeight="1" spans="1:5" x14ac:dyDescent="0.25">
      <c r="A101" s="368" t="s">
        <v>14</v>
      </c>
      <c r="B101" s="179" t="s">
        <v>158</v>
      </c>
      <c r="C101" s="183" t="s">
        <v>163</v>
      </c>
      <c r="D101" t="s">
        <v>15</v>
      </c>
      <c r="E101" s="369">
        <v>72</v>
      </c>
    </row>
    <row r="102" ht="15" customHeight="1" spans="1:5" x14ac:dyDescent="0.25">
      <c r="A102" s="368" t="s">
        <v>14</v>
      </c>
      <c r="B102" s="179" t="s">
        <v>158</v>
      </c>
      <c r="C102" s="183" t="s">
        <v>164</v>
      </c>
      <c r="D102" t="s">
        <v>15</v>
      </c>
      <c r="E102" s="369">
        <v>73</v>
      </c>
    </row>
    <row r="103" ht="15" customHeight="1" spans="1:5" x14ac:dyDescent="0.25">
      <c r="A103" s="368" t="s">
        <v>14</v>
      </c>
      <c r="B103" s="179" t="s">
        <v>158</v>
      </c>
      <c r="C103" s="183" t="s">
        <v>165</v>
      </c>
      <c r="D103" t="s">
        <v>15</v>
      </c>
      <c r="E103" s="369">
        <v>74</v>
      </c>
    </row>
    <row r="104" ht="15" customHeight="1" spans="1:5" x14ac:dyDescent="0.25">
      <c r="A104" s="368" t="s">
        <v>14</v>
      </c>
      <c r="B104" s="179" t="s">
        <v>158</v>
      </c>
      <c r="C104" s="183" t="s">
        <v>166</v>
      </c>
      <c r="D104" t="s">
        <v>15</v>
      </c>
      <c r="E104" s="369">
        <v>75</v>
      </c>
    </row>
    <row r="105" ht="15" customHeight="1" spans="1:5" x14ac:dyDescent="0.25">
      <c r="A105" s="368" t="s">
        <v>14</v>
      </c>
      <c r="B105" s="179" t="s">
        <v>158</v>
      </c>
      <c r="C105" s="183" t="s">
        <v>167</v>
      </c>
      <c r="D105" t="s">
        <v>15</v>
      </c>
      <c r="E105" s="369">
        <v>76</v>
      </c>
    </row>
    <row r="106" ht="15" customHeight="1" spans="1:5" x14ac:dyDescent="0.25">
      <c r="A106" s="368" t="s">
        <v>14</v>
      </c>
      <c r="B106" s="179" t="s">
        <v>158</v>
      </c>
      <c r="C106" s="184" t="s">
        <v>118</v>
      </c>
      <c r="D106" t="s">
        <v>15</v>
      </c>
      <c r="E106" s="369">
        <v>77</v>
      </c>
    </row>
    <row r="107" ht="15" customHeight="1" spans="1:5" x14ac:dyDescent="0.25">
      <c r="A107" s="368" t="s">
        <v>14</v>
      </c>
      <c r="B107" s="185" t="s">
        <v>130</v>
      </c>
      <c r="C107" s="181" t="s">
        <v>168</v>
      </c>
      <c r="D107" t="s">
        <v>15</v>
      </c>
      <c r="E107" s="369">
        <v>79</v>
      </c>
    </row>
    <row r="108" ht="15" customHeight="1" spans="1:5" x14ac:dyDescent="0.25">
      <c r="A108" s="368" t="s">
        <v>14</v>
      </c>
      <c r="B108" s="185" t="s">
        <v>130</v>
      </c>
      <c r="C108" s="183" t="s">
        <v>169</v>
      </c>
      <c r="D108" t="s">
        <v>15</v>
      </c>
      <c r="E108" s="369">
        <v>80</v>
      </c>
    </row>
    <row r="109" ht="15" customHeight="1" spans="1:5" x14ac:dyDescent="0.25">
      <c r="A109" s="368" t="s">
        <v>14</v>
      </c>
      <c r="B109" s="185" t="s">
        <v>130</v>
      </c>
      <c r="C109" s="183" t="s">
        <v>170</v>
      </c>
      <c r="D109" t="s">
        <v>15</v>
      </c>
      <c r="E109" s="369">
        <v>81</v>
      </c>
    </row>
    <row r="110" ht="15" customHeight="1" spans="1:5" x14ac:dyDescent="0.25">
      <c r="A110" s="368" t="s">
        <v>14</v>
      </c>
      <c r="B110" s="185" t="s">
        <v>130</v>
      </c>
      <c r="C110" s="183" t="s">
        <v>171</v>
      </c>
      <c r="D110" t="s">
        <v>15</v>
      </c>
      <c r="E110" s="369">
        <v>82</v>
      </c>
    </row>
    <row r="111" ht="15" customHeight="1" spans="1:5" x14ac:dyDescent="0.25">
      <c r="A111" s="368" t="s">
        <v>14</v>
      </c>
      <c r="B111" s="185" t="s">
        <v>130</v>
      </c>
      <c r="C111" s="183" t="s">
        <v>172</v>
      </c>
      <c r="D111" t="s">
        <v>15</v>
      </c>
      <c r="E111" s="369">
        <v>83</v>
      </c>
    </row>
    <row r="112" ht="15" customHeight="1" spans="1:5" x14ac:dyDescent="0.25">
      <c r="A112" s="368" t="s">
        <v>14</v>
      </c>
      <c r="B112" s="185" t="s">
        <v>130</v>
      </c>
      <c r="C112" s="183" t="s">
        <v>173</v>
      </c>
      <c r="D112" t="s">
        <v>15</v>
      </c>
      <c r="E112" s="369">
        <v>84</v>
      </c>
    </row>
    <row r="113" ht="15" customHeight="1" spans="1:5" x14ac:dyDescent="0.25">
      <c r="A113" s="368" t="s">
        <v>14</v>
      </c>
      <c r="B113" s="185" t="s">
        <v>130</v>
      </c>
      <c r="C113" s="183" t="s">
        <v>174</v>
      </c>
      <c r="D113" t="s">
        <v>15</v>
      </c>
      <c r="E113" s="369">
        <v>85</v>
      </c>
    </row>
    <row r="114" ht="21.5" customHeight="1" spans="1:5" x14ac:dyDescent="0.25">
      <c r="A114" s="370" t="s">
        <v>14</v>
      </c>
      <c r="B114" s="146" t="s">
        <v>130</v>
      </c>
      <c r="C114" s="184" t="s">
        <v>175</v>
      </c>
      <c r="D114" s="371" t="s">
        <v>15</v>
      </c>
      <c r="E114" s="372">
        <v>86</v>
      </c>
    </row>
    <row r="115" ht="22" customHeight="1" spans="1:5" x14ac:dyDescent="0.25">
      <c r="A115" s="365" t="s">
        <v>16</v>
      </c>
      <c r="B115" s="161" t="s">
        <v>73</v>
      </c>
      <c r="C115" s="88" t="s">
        <v>78</v>
      </c>
      <c r="D115" s="366" t="s">
        <v>17</v>
      </c>
      <c r="E115" s="367">
        <v>9</v>
      </c>
    </row>
    <row r="116" ht="22" customHeight="1" spans="1:5" x14ac:dyDescent="0.25">
      <c r="A116" s="368" t="s">
        <v>16</v>
      </c>
      <c r="B116" s="161" t="s">
        <v>73</v>
      </c>
      <c r="C116" s="100" t="s">
        <v>135</v>
      </c>
      <c r="D116" t="s">
        <v>17</v>
      </c>
      <c r="E116" s="369">
        <v>10</v>
      </c>
    </row>
    <row r="117" ht="22" customHeight="1" spans="1:5" x14ac:dyDescent="0.25">
      <c r="A117" s="368" t="s">
        <v>16</v>
      </c>
      <c r="B117" s="161" t="s">
        <v>73</v>
      </c>
      <c r="C117" s="100" t="s">
        <v>136</v>
      </c>
      <c r="D117" t="s">
        <v>17</v>
      </c>
      <c r="E117" s="369">
        <v>11</v>
      </c>
    </row>
    <row r="118" ht="15" customHeight="1" spans="1:5" x14ac:dyDescent="0.25">
      <c r="A118" s="368" t="s">
        <v>16</v>
      </c>
      <c r="B118" s="161" t="s">
        <v>73</v>
      </c>
      <c r="C118" s="100" t="s">
        <v>137</v>
      </c>
      <c r="D118" t="s">
        <v>17</v>
      </c>
      <c r="E118" s="369">
        <v>12</v>
      </c>
    </row>
    <row r="119" ht="15" customHeight="1" spans="1:5" x14ac:dyDescent="0.25">
      <c r="A119" s="368" t="s">
        <v>16</v>
      </c>
      <c r="B119" s="161" t="s">
        <v>73</v>
      </c>
      <c r="C119" s="100" t="s">
        <v>138</v>
      </c>
      <c r="D119" t="s">
        <v>17</v>
      </c>
      <c r="E119" s="369">
        <v>13</v>
      </c>
    </row>
    <row r="120" ht="15" customHeight="1" spans="1:5" x14ac:dyDescent="0.25">
      <c r="A120" s="368" t="s">
        <v>16</v>
      </c>
      <c r="B120" s="161" t="s">
        <v>73</v>
      </c>
      <c r="C120" s="100" t="s">
        <v>87</v>
      </c>
      <c r="D120" t="s">
        <v>17</v>
      </c>
      <c r="E120" s="369">
        <v>14</v>
      </c>
    </row>
    <row r="121" ht="15" customHeight="1" spans="1:5" x14ac:dyDescent="0.25">
      <c r="A121" s="368" t="s">
        <v>16</v>
      </c>
      <c r="B121" s="161" t="s">
        <v>73</v>
      </c>
      <c r="C121" s="100" t="s">
        <v>177</v>
      </c>
      <c r="D121" t="s">
        <v>17</v>
      </c>
      <c r="E121" s="369">
        <v>15</v>
      </c>
    </row>
    <row r="122" ht="15" customHeight="1" spans="1:5" x14ac:dyDescent="0.25">
      <c r="A122" s="368" t="s">
        <v>16</v>
      </c>
      <c r="B122" s="163" t="s">
        <v>89</v>
      </c>
      <c r="C122" s="170" t="s">
        <v>140</v>
      </c>
      <c r="D122" t="s">
        <v>17</v>
      </c>
      <c r="E122" s="369">
        <v>17</v>
      </c>
    </row>
    <row r="123" ht="20.5" customHeight="1" spans="1:5" x14ac:dyDescent="0.25">
      <c r="A123" s="368" t="s">
        <v>16</v>
      </c>
      <c r="B123" s="163" t="s">
        <v>89</v>
      </c>
      <c r="C123" s="169" t="s">
        <v>178</v>
      </c>
      <c r="D123" t="s">
        <v>17</v>
      </c>
      <c r="E123" s="369">
        <v>18</v>
      </c>
    </row>
    <row r="124" ht="15" customHeight="1" spans="1:5" x14ac:dyDescent="0.25">
      <c r="A124" s="368" t="s">
        <v>16</v>
      </c>
      <c r="B124" s="163" t="s">
        <v>89</v>
      </c>
      <c r="C124" s="192" t="s">
        <v>91</v>
      </c>
      <c r="D124" t="s">
        <v>17</v>
      </c>
      <c r="E124" s="369">
        <v>19</v>
      </c>
    </row>
    <row r="125" ht="15" customHeight="1" spans="1:5" x14ac:dyDescent="0.25">
      <c r="A125" s="368" t="s">
        <v>16</v>
      </c>
      <c r="B125" s="163" t="s">
        <v>93</v>
      </c>
      <c r="C125" s="194" t="s">
        <v>94</v>
      </c>
      <c r="D125" t="s">
        <v>17</v>
      </c>
      <c r="E125" s="369">
        <v>21</v>
      </c>
    </row>
    <row r="126" ht="15" customHeight="1" spans="1:5" x14ac:dyDescent="0.25">
      <c r="A126" s="368" t="s">
        <v>16</v>
      </c>
      <c r="B126" s="163" t="s">
        <v>93</v>
      </c>
      <c r="C126" s="195" t="s">
        <v>142</v>
      </c>
      <c r="D126" t="s">
        <v>17</v>
      </c>
      <c r="E126" s="369">
        <v>22</v>
      </c>
    </row>
    <row r="127" ht="15" customHeight="1" spans="1:5" x14ac:dyDescent="0.25">
      <c r="A127" s="368" t="s">
        <v>16</v>
      </c>
      <c r="B127" s="163" t="s">
        <v>93</v>
      </c>
      <c r="C127" s="195" t="s">
        <v>143</v>
      </c>
      <c r="D127" t="s">
        <v>17</v>
      </c>
      <c r="E127" s="369">
        <v>23</v>
      </c>
    </row>
    <row r="128" ht="15" customHeight="1" spans="1:5" x14ac:dyDescent="0.25">
      <c r="A128" s="368" t="s">
        <v>16</v>
      </c>
      <c r="B128" s="163" t="s">
        <v>93</v>
      </c>
      <c r="C128" s="195" t="s">
        <v>96</v>
      </c>
      <c r="D128" t="s">
        <v>17</v>
      </c>
      <c r="E128" s="369">
        <v>24</v>
      </c>
    </row>
    <row r="129" ht="15" customHeight="1" spans="1:5" x14ac:dyDescent="0.25">
      <c r="A129" s="368" t="s">
        <v>16</v>
      </c>
      <c r="B129" s="163" t="s">
        <v>93</v>
      </c>
      <c r="C129" s="195" t="s">
        <v>97</v>
      </c>
      <c r="D129" t="s">
        <v>17</v>
      </c>
      <c r="E129" s="369">
        <v>25</v>
      </c>
    </row>
    <row r="130" ht="15" customHeight="1" spans="1:5" x14ac:dyDescent="0.25">
      <c r="A130" s="368" t="s">
        <v>16</v>
      </c>
      <c r="B130" s="163" t="s">
        <v>93</v>
      </c>
      <c r="C130" s="195" t="s">
        <v>144</v>
      </c>
      <c r="D130" t="s">
        <v>17</v>
      </c>
      <c r="E130" s="369">
        <v>26</v>
      </c>
    </row>
    <row r="131" ht="15" customHeight="1" spans="1:5" x14ac:dyDescent="0.25">
      <c r="A131" s="368" t="s">
        <v>16</v>
      </c>
      <c r="B131" s="163" t="s">
        <v>93</v>
      </c>
      <c r="C131" s="195" t="s">
        <v>99</v>
      </c>
      <c r="D131" t="s">
        <v>17</v>
      </c>
      <c r="E131" s="369">
        <v>27</v>
      </c>
    </row>
    <row r="132" ht="15" customHeight="1" spans="1:5" x14ac:dyDescent="0.25">
      <c r="A132" s="368" t="s">
        <v>16</v>
      </c>
      <c r="B132" s="163" t="s">
        <v>93</v>
      </c>
      <c r="C132" s="195" t="s">
        <v>100</v>
      </c>
      <c r="D132" t="s">
        <v>17</v>
      </c>
      <c r="E132" s="369">
        <v>28</v>
      </c>
    </row>
    <row r="133" ht="15" customHeight="1" spans="1:5" x14ac:dyDescent="0.25">
      <c r="A133" s="368" t="s">
        <v>16</v>
      </c>
      <c r="B133" s="163" t="s">
        <v>93</v>
      </c>
      <c r="C133" s="195" t="s">
        <v>101</v>
      </c>
      <c r="D133" t="s">
        <v>17</v>
      </c>
      <c r="E133" s="369">
        <v>29</v>
      </c>
    </row>
    <row r="134" ht="15" customHeight="1" spans="1:5" x14ac:dyDescent="0.25">
      <c r="A134" s="368" t="s">
        <v>16</v>
      </c>
      <c r="B134" s="163" t="s">
        <v>93</v>
      </c>
      <c r="C134" s="139" t="s">
        <v>102</v>
      </c>
      <c r="D134" t="s">
        <v>17</v>
      </c>
      <c r="E134" s="369">
        <v>30</v>
      </c>
    </row>
    <row r="135" ht="15" customHeight="1" spans="1:5" x14ac:dyDescent="0.25">
      <c r="A135" s="368" t="s">
        <v>16</v>
      </c>
      <c r="B135" s="163" t="s">
        <v>93</v>
      </c>
      <c r="C135" s="100" t="s">
        <v>103</v>
      </c>
      <c r="D135" t="s">
        <v>17</v>
      </c>
      <c r="E135" s="369">
        <v>31</v>
      </c>
    </row>
    <row r="136" ht="15" customHeight="1" spans="1:5" x14ac:dyDescent="0.25">
      <c r="A136" s="368" t="s">
        <v>16</v>
      </c>
      <c r="B136" s="163" t="s">
        <v>93</v>
      </c>
      <c r="C136" s="196" t="s">
        <v>104</v>
      </c>
      <c r="D136" t="s">
        <v>17</v>
      </c>
      <c r="E136" s="369">
        <v>32</v>
      </c>
    </row>
    <row r="137" ht="15" customHeight="1" spans="1:5" x14ac:dyDescent="0.25">
      <c r="A137" s="368" t="s">
        <v>16</v>
      </c>
      <c r="B137" s="179" t="s">
        <v>105</v>
      </c>
      <c r="C137" s="194" t="s">
        <v>106</v>
      </c>
      <c r="D137" t="s">
        <v>17</v>
      </c>
      <c r="E137" s="369">
        <v>34</v>
      </c>
    </row>
    <row r="138" ht="15" customHeight="1" spans="1:5" x14ac:dyDescent="0.25">
      <c r="A138" s="368" t="s">
        <v>16</v>
      </c>
      <c r="B138" s="179" t="s">
        <v>105</v>
      </c>
      <c r="C138" s="195" t="s">
        <v>145</v>
      </c>
      <c r="D138" t="s">
        <v>17</v>
      </c>
      <c r="E138" s="369">
        <v>35</v>
      </c>
    </row>
    <row r="139" ht="15" customHeight="1" spans="1:5" x14ac:dyDescent="0.25">
      <c r="A139" s="368" t="s">
        <v>16</v>
      </c>
      <c r="B139" s="179" t="s">
        <v>105</v>
      </c>
      <c r="C139" s="195" t="s">
        <v>146</v>
      </c>
      <c r="D139" t="s">
        <v>17</v>
      </c>
      <c r="E139" s="369">
        <v>36</v>
      </c>
    </row>
    <row r="140" ht="15" customHeight="1" spans="1:5" x14ac:dyDescent="0.25">
      <c r="A140" s="368" t="s">
        <v>16</v>
      </c>
      <c r="B140" s="179" t="s">
        <v>105</v>
      </c>
      <c r="C140" s="195" t="s">
        <v>107</v>
      </c>
      <c r="D140" t="s">
        <v>17</v>
      </c>
      <c r="E140" s="369">
        <v>37</v>
      </c>
    </row>
    <row r="141" ht="15" customHeight="1" spans="1:5" x14ac:dyDescent="0.25">
      <c r="A141" s="368" t="s">
        <v>16</v>
      </c>
      <c r="B141" s="179" t="s">
        <v>105</v>
      </c>
      <c r="C141" s="195" t="s">
        <v>147</v>
      </c>
      <c r="D141" t="s">
        <v>17</v>
      </c>
      <c r="E141" s="369">
        <v>38</v>
      </c>
    </row>
    <row r="142" ht="15" customHeight="1" spans="1:5" x14ac:dyDescent="0.25">
      <c r="A142" s="368" t="s">
        <v>16</v>
      </c>
      <c r="B142" s="179" t="s">
        <v>105</v>
      </c>
      <c r="C142" s="195" t="s">
        <v>108</v>
      </c>
      <c r="D142" t="s">
        <v>17</v>
      </c>
      <c r="E142" s="369">
        <v>39</v>
      </c>
    </row>
    <row r="143" ht="15" customHeight="1" spans="1:5" x14ac:dyDescent="0.25">
      <c r="A143" s="368" t="s">
        <v>16</v>
      </c>
      <c r="B143" s="179" t="s">
        <v>105</v>
      </c>
      <c r="C143" s="195" t="s">
        <v>109</v>
      </c>
      <c r="D143" t="s">
        <v>17</v>
      </c>
      <c r="E143" s="369">
        <v>40</v>
      </c>
    </row>
    <row r="144" ht="15" customHeight="1" spans="1:5" x14ac:dyDescent="0.25">
      <c r="A144" s="368" t="s">
        <v>16</v>
      </c>
      <c r="B144" s="179" t="s">
        <v>105</v>
      </c>
      <c r="C144" s="197" t="s">
        <v>148</v>
      </c>
      <c r="D144" t="s">
        <v>17</v>
      </c>
      <c r="E144" s="369">
        <v>41</v>
      </c>
    </row>
    <row r="145" ht="15" customHeight="1" spans="1:5" x14ac:dyDescent="0.25">
      <c r="A145" s="368" t="s">
        <v>16</v>
      </c>
      <c r="B145" s="179" t="s">
        <v>111</v>
      </c>
      <c r="C145" s="194" t="s">
        <v>112</v>
      </c>
      <c r="D145" t="s">
        <v>17</v>
      </c>
      <c r="E145" s="369">
        <v>43</v>
      </c>
    </row>
    <row r="146" ht="15" customHeight="1" spans="1:5" x14ac:dyDescent="0.25">
      <c r="A146" s="368" t="s">
        <v>16</v>
      </c>
      <c r="B146" s="179" t="s">
        <v>111</v>
      </c>
      <c r="C146" s="195" t="s">
        <v>133</v>
      </c>
      <c r="D146" t="s">
        <v>17</v>
      </c>
      <c r="E146" s="369">
        <v>44</v>
      </c>
    </row>
    <row r="147" ht="15" customHeight="1" spans="1:5" x14ac:dyDescent="0.25">
      <c r="A147" s="368" t="s">
        <v>16</v>
      </c>
      <c r="B147" s="179" t="s">
        <v>111</v>
      </c>
      <c r="C147" s="100" t="s">
        <v>113</v>
      </c>
      <c r="D147" t="s">
        <v>17</v>
      </c>
      <c r="E147" s="369">
        <v>45</v>
      </c>
    </row>
    <row r="148" ht="20.5" customHeight="1" spans="1:5" x14ac:dyDescent="0.25">
      <c r="A148" s="368" t="s">
        <v>16</v>
      </c>
      <c r="B148" s="179" t="s">
        <v>111</v>
      </c>
      <c r="C148" s="194" t="s">
        <v>149</v>
      </c>
      <c r="D148" t="s">
        <v>17</v>
      </c>
      <c r="E148" s="369">
        <v>46</v>
      </c>
    </row>
    <row r="149" ht="15" customHeight="1" spans="1:5" x14ac:dyDescent="0.25">
      <c r="A149" s="368" t="s">
        <v>16</v>
      </c>
      <c r="B149" s="179" t="s">
        <v>111</v>
      </c>
      <c r="C149" s="198" t="s">
        <v>179</v>
      </c>
      <c r="D149" t="s">
        <v>17</v>
      </c>
      <c r="E149" s="369">
        <v>47</v>
      </c>
    </row>
    <row r="150" ht="15" customHeight="1" spans="1:5" x14ac:dyDescent="0.25">
      <c r="A150" s="368" t="s">
        <v>16</v>
      </c>
      <c r="B150" s="179" t="s">
        <v>111</v>
      </c>
      <c r="C150" s="198" t="s">
        <v>151</v>
      </c>
      <c r="D150" t="s">
        <v>17</v>
      </c>
      <c r="E150" s="369">
        <v>48</v>
      </c>
    </row>
    <row r="151" ht="15" customHeight="1" spans="1:5" x14ac:dyDescent="0.25">
      <c r="A151" s="368" t="s">
        <v>16</v>
      </c>
      <c r="B151" s="179" t="s">
        <v>111</v>
      </c>
      <c r="C151" s="195" t="s">
        <v>116</v>
      </c>
      <c r="D151" t="s">
        <v>17</v>
      </c>
      <c r="E151" s="369">
        <v>49</v>
      </c>
    </row>
    <row r="152" ht="15" customHeight="1" spans="1:5" x14ac:dyDescent="0.25">
      <c r="A152" s="368" t="s">
        <v>16</v>
      </c>
      <c r="B152" s="179" t="s">
        <v>111</v>
      </c>
      <c r="C152" s="195" t="s">
        <v>117</v>
      </c>
      <c r="D152" t="s">
        <v>17</v>
      </c>
      <c r="E152" s="369">
        <v>50</v>
      </c>
    </row>
    <row r="153" ht="15" customHeight="1" spans="1:5" x14ac:dyDescent="0.25">
      <c r="A153" s="368" t="s">
        <v>16</v>
      </c>
      <c r="B153" s="179" t="s">
        <v>111</v>
      </c>
      <c r="C153" s="195" t="s">
        <v>152</v>
      </c>
      <c r="D153" t="s">
        <v>17</v>
      </c>
      <c r="E153" s="369">
        <v>51</v>
      </c>
    </row>
    <row r="154" ht="15" customHeight="1" spans="1:5" x14ac:dyDescent="0.25">
      <c r="A154" s="368" t="s">
        <v>16</v>
      </c>
      <c r="B154" s="179" t="s">
        <v>111</v>
      </c>
      <c r="C154" s="195" t="s">
        <v>118</v>
      </c>
      <c r="D154" t="s">
        <v>17</v>
      </c>
      <c r="E154" s="369">
        <v>52</v>
      </c>
    </row>
    <row r="155" ht="15" customHeight="1" spans="1:5" x14ac:dyDescent="0.25">
      <c r="A155" s="368" t="s">
        <v>16</v>
      </c>
      <c r="B155" s="179" t="s">
        <v>111</v>
      </c>
      <c r="C155" s="195" t="s">
        <v>120</v>
      </c>
      <c r="D155" t="s">
        <v>17</v>
      </c>
      <c r="E155" s="369">
        <v>53</v>
      </c>
    </row>
    <row r="156" ht="15" customHeight="1" spans="1:5" x14ac:dyDescent="0.25">
      <c r="A156" s="368" t="s">
        <v>16</v>
      </c>
      <c r="B156" s="179" t="s">
        <v>111</v>
      </c>
      <c r="C156" s="195" t="s">
        <v>121</v>
      </c>
      <c r="D156" t="s">
        <v>17</v>
      </c>
      <c r="E156" s="369">
        <v>54</v>
      </c>
    </row>
    <row r="157" ht="15" customHeight="1" spans="1:5" x14ac:dyDescent="0.25">
      <c r="A157" s="368" t="s">
        <v>16</v>
      </c>
      <c r="B157" s="179" t="s">
        <v>111</v>
      </c>
      <c r="C157" s="197" t="s">
        <v>153</v>
      </c>
      <c r="D157" t="s">
        <v>17</v>
      </c>
      <c r="E157" s="369">
        <v>55</v>
      </c>
    </row>
    <row r="158" ht="20.5" customHeight="1" spans="1:5" x14ac:dyDescent="0.25">
      <c r="A158" s="368" t="s">
        <v>16</v>
      </c>
      <c r="B158" s="179" t="s">
        <v>154</v>
      </c>
      <c r="C158" s="177" t="s">
        <v>123</v>
      </c>
      <c r="D158" t="s">
        <v>17</v>
      </c>
      <c r="E158" s="369">
        <v>57</v>
      </c>
    </row>
    <row r="159" ht="15" customHeight="1" spans="1:5" x14ac:dyDescent="0.25">
      <c r="A159" s="368" t="s">
        <v>16</v>
      </c>
      <c r="B159" s="179" t="s">
        <v>154</v>
      </c>
      <c r="C159" s="169" t="s">
        <v>124</v>
      </c>
      <c r="D159" t="s">
        <v>17</v>
      </c>
      <c r="E159" s="369">
        <v>58</v>
      </c>
    </row>
    <row r="160" ht="15" customHeight="1" spans="1:5" x14ac:dyDescent="0.25">
      <c r="A160" s="368" t="s">
        <v>16</v>
      </c>
      <c r="B160" s="179" t="s">
        <v>154</v>
      </c>
      <c r="C160" s="169" t="s">
        <v>125</v>
      </c>
      <c r="D160" t="s">
        <v>17</v>
      </c>
      <c r="E160" s="369">
        <v>59</v>
      </c>
    </row>
    <row r="161" ht="15" customHeight="1" spans="1:5" x14ac:dyDescent="0.25">
      <c r="A161" s="368" t="s">
        <v>16</v>
      </c>
      <c r="B161" s="179" t="s">
        <v>154</v>
      </c>
      <c r="C161" s="169" t="s">
        <v>180</v>
      </c>
      <c r="D161" t="s">
        <v>17</v>
      </c>
      <c r="E161" s="369">
        <v>60</v>
      </c>
    </row>
    <row r="162" ht="15" customHeight="1" spans="1:5" x14ac:dyDescent="0.25">
      <c r="A162" s="368" t="s">
        <v>16</v>
      </c>
      <c r="B162" s="179" t="s">
        <v>154</v>
      </c>
      <c r="C162" s="169" t="s">
        <v>126</v>
      </c>
      <c r="D162" t="s">
        <v>17</v>
      </c>
      <c r="E162" s="369">
        <v>61</v>
      </c>
    </row>
    <row r="163" ht="15" customHeight="1" spans="1:5" x14ac:dyDescent="0.25">
      <c r="A163" s="368" t="s">
        <v>16</v>
      </c>
      <c r="B163" s="179" t="s">
        <v>154</v>
      </c>
      <c r="C163" s="169" t="s">
        <v>181</v>
      </c>
      <c r="D163" t="s">
        <v>17</v>
      </c>
      <c r="E163" s="369">
        <v>62</v>
      </c>
    </row>
    <row r="164" ht="15" customHeight="1" spans="1:5" x14ac:dyDescent="0.25">
      <c r="A164" s="368" t="s">
        <v>16</v>
      </c>
      <c r="B164" s="179" t="s">
        <v>154</v>
      </c>
      <c r="C164" s="172" t="s">
        <v>156</v>
      </c>
      <c r="D164" t="s">
        <v>17</v>
      </c>
      <c r="E164" s="369">
        <v>63</v>
      </c>
    </row>
    <row r="165" ht="15" customHeight="1" spans="1:5" x14ac:dyDescent="0.25">
      <c r="A165" s="370" t="s">
        <v>16</v>
      </c>
      <c r="B165" s="124" t="s">
        <v>128</v>
      </c>
      <c r="C165" s="199" t="s">
        <v>157</v>
      </c>
      <c r="D165" s="371" t="s">
        <v>17</v>
      </c>
      <c r="E165" s="372">
        <v>65</v>
      </c>
    </row>
    <row r="166" spans="1:5" x14ac:dyDescent="0.25">
      <c r="A166" s="365" t="s">
        <v>8</v>
      </c>
      <c r="B166" s="366" t="s">
        <v>73</v>
      </c>
      <c r="C166" s="271" t="s">
        <v>183</v>
      </c>
      <c r="D166" s="366" t="s">
        <v>18</v>
      </c>
      <c r="E166" s="367">
        <v>9</v>
      </c>
    </row>
    <row r="167" spans="1:5" x14ac:dyDescent="0.25">
      <c r="A167" s="368" t="s">
        <v>8</v>
      </c>
      <c r="B167" t="s">
        <v>73</v>
      </c>
      <c r="C167" s="1" t="s">
        <v>184</v>
      </c>
      <c r="D167" t="s">
        <v>18</v>
      </c>
      <c r="E167" s="369">
        <v>10</v>
      </c>
    </row>
    <row r="168" spans="1:5" x14ac:dyDescent="0.25">
      <c r="A168" s="368" t="s">
        <v>8</v>
      </c>
      <c r="B168" t="s">
        <v>73</v>
      </c>
      <c r="C168" s="1" t="s">
        <v>185</v>
      </c>
      <c r="D168" t="s">
        <v>18</v>
      </c>
      <c r="E168" s="369">
        <v>11</v>
      </c>
    </row>
    <row r="169" spans="1:5" x14ac:dyDescent="0.25">
      <c r="A169" s="368" t="s">
        <v>8</v>
      </c>
      <c r="B169" t="s">
        <v>73</v>
      </c>
      <c r="C169" s="1" t="s">
        <v>186</v>
      </c>
      <c r="D169" t="s">
        <v>18</v>
      </c>
      <c r="E169" s="369">
        <v>12</v>
      </c>
    </row>
    <row r="170" spans="1:5" x14ac:dyDescent="0.25">
      <c r="A170" s="368" t="s">
        <v>8</v>
      </c>
      <c r="B170" t="s">
        <v>73</v>
      </c>
      <c r="C170" s="1" t="s">
        <v>187</v>
      </c>
      <c r="D170" t="s">
        <v>18</v>
      </c>
      <c r="E170" s="369">
        <v>13</v>
      </c>
    </row>
    <row r="171" spans="1:5" x14ac:dyDescent="0.25">
      <c r="A171" s="368" t="s">
        <v>8</v>
      </c>
      <c r="B171" t="s">
        <v>188</v>
      </c>
      <c r="C171" s="374" t="s">
        <v>189</v>
      </c>
      <c r="D171" t="s">
        <v>18</v>
      </c>
      <c r="E171" s="369">
        <v>15</v>
      </c>
    </row>
    <row r="172" ht="21.5" customHeight="1" spans="1:5" x14ac:dyDescent="0.25">
      <c r="A172" s="368" t="s">
        <v>8</v>
      </c>
      <c r="B172" t="s">
        <v>188</v>
      </c>
      <c r="C172" s="171" t="s">
        <v>190</v>
      </c>
      <c r="D172" t="s">
        <v>18</v>
      </c>
      <c r="E172" s="369">
        <v>16</v>
      </c>
    </row>
    <row r="173" ht="15" customHeight="1" spans="1:5" x14ac:dyDescent="0.25">
      <c r="A173" s="368" t="s">
        <v>8</v>
      </c>
      <c r="B173" t="s">
        <v>188</v>
      </c>
      <c r="C173" s="234" t="s">
        <v>91</v>
      </c>
      <c r="D173" t="s">
        <v>18</v>
      </c>
      <c r="E173" s="369">
        <v>17</v>
      </c>
    </row>
    <row r="174" ht="21.5" customHeight="1" spans="1:5" x14ac:dyDescent="0.25">
      <c r="A174" s="368" t="s">
        <v>8</v>
      </c>
      <c r="B174" t="s">
        <v>191</v>
      </c>
      <c r="C174" s="227" t="s">
        <v>192</v>
      </c>
      <c r="D174" t="s">
        <v>18</v>
      </c>
      <c r="E174" s="369">
        <v>19</v>
      </c>
    </row>
    <row r="175" ht="21.5" customHeight="1" spans="1:5" x14ac:dyDescent="0.25">
      <c r="A175" s="368" t="s">
        <v>8</v>
      </c>
      <c r="B175" t="s">
        <v>191</v>
      </c>
      <c r="C175" s="171" t="s">
        <v>193</v>
      </c>
      <c r="D175" t="s">
        <v>18</v>
      </c>
      <c r="E175" s="369">
        <v>20</v>
      </c>
    </row>
    <row r="176" spans="1:5" x14ac:dyDescent="0.25">
      <c r="A176" s="368" t="s">
        <v>8</v>
      </c>
      <c r="B176" t="s">
        <v>191</v>
      </c>
      <c r="C176" s="171" t="s">
        <v>143</v>
      </c>
      <c r="D176" t="s">
        <v>18</v>
      </c>
      <c r="E176" s="369">
        <v>21</v>
      </c>
    </row>
    <row r="177" spans="1:5" x14ac:dyDescent="0.25">
      <c r="A177" s="368" t="s">
        <v>8</v>
      </c>
      <c r="B177" t="s">
        <v>191</v>
      </c>
      <c r="C177" s="171" t="s">
        <v>96</v>
      </c>
      <c r="D177" t="s">
        <v>18</v>
      </c>
      <c r="E177" s="369">
        <v>22</v>
      </c>
    </row>
    <row r="178" spans="1:5" x14ac:dyDescent="0.25">
      <c r="A178" s="368" t="s">
        <v>8</v>
      </c>
      <c r="B178" t="s">
        <v>191</v>
      </c>
      <c r="C178" s="171" t="s">
        <v>97</v>
      </c>
      <c r="D178" t="s">
        <v>18</v>
      </c>
      <c r="E178" s="369">
        <v>23</v>
      </c>
    </row>
    <row r="179" spans="1:5" x14ac:dyDescent="0.25">
      <c r="A179" s="368" t="s">
        <v>8</v>
      </c>
      <c r="B179" t="s">
        <v>191</v>
      </c>
      <c r="C179" s="171" t="s">
        <v>144</v>
      </c>
      <c r="D179" t="s">
        <v>18</v>
      </c>
      <c r="E179" s="369">
        <v>24</v>
      </c>
    </row>
    <row r="180" ht="15" customHeight="1" spans="1:5" x14ac:dyDescent="0.25">
      <c r="A180" s="368" t="s">
        <v>8</v>
      </c>
      <c r="B180" t="s">
        <v>191</v>
      </c>
      <c r="C180" s="238" t="s">
        <v>194</v>
      </c>
      <c r="D180" t="s">
        <v>18</v>
      </c>
      <c r="E180" s="369">
        <v>25</v>
      </c>
    </row>
    <row r="181" spans="1:5" x14ac:dyDescent="0.25">
      <c r="A181" s="368" t="s">
        <v>8</v>
      </c>
      <c r="B181" t="s">
        <v>105</v>
      </c>
      <c r="C181" s="227" t="s">
        <v>195</v>
      </c>
      <c r="D181" t="s">
        <v>18</v>
      </c>
      <c r="E181" s="369">
        <v>27</v>
      </c>
    </row>
    <row r="182" spans="1:5" x14ac:dyDescent="0.25">
      <c r="A182" s="368" t="s">
        <v>8</v>
      </c>
      <c r="B182" t="s">
        <v>105</v>
      </c>
      <c r="C182" s="171" t="s">
        <v>196</v>
      </c>
      <c r="D182" t="s">
        <v>18</v>
      </c>
      <c r="E182" s="369">
        <v>28</v>
      </c>
    </row>
    <row r="183" spans="1:5" x14ac:dyDescent="0.25">
      <c r="A183" s="368" t="s">
        <v>8</v>
      </c>
      <c r="B183" t="s">
        <v>105</v>
      </c>
      <c r="C183" s="174" t="s">
        <v>197</v>
      </c>
      <c r="D183" t="s">
        <v>18</v>
      </c>
      <c r="E183" s="369">
        <v>29</v>
      </c>
    </row>
    <row r="184" spans="1:5" x14ac:dyDescent="0.25">
      <c r="A184" s="368" t="s">
        <v>8</v>
      </c>
      <c r="B184" t="s">
        <v>105</v>
      </c>
      <c r="C184" s="174" t="s">
        <v>198</v>
      </c>
      <c r="D184" t="s">
        <v>18</v>
      </c>
      <c r="E184" s="369">
        <v>30</v>
      </c>
    </row>
    <row r="185" spans="1:5" x14ac:dyDescent="0.25">
      <c r="A185" s="368" t="s">
        <v>8</v>
      </c>
      <c r="B185" t="s">
        <v>105</v>
      </c>
      <c r="C185" s="171" t="s">
        <v>108</v>
      </c>
      <c r="D185" t="s">
        <v>18</v>
      </c>
      <c r="E185" s="369">
        <v>31</v>
      </c>
    </row>
    <row r="186" spans="1:5" x14ac:dyDescent="0.25">
      <c r="A186" s="368" t="s">
        <v>8</v>
      </c>
      <c r="B186" t="s">
        <v>105</v>
      </c>
      <c r="C186" s="171" t="s">
        <v>199</v>
      </c>
      <c r="D186" t="s">
        <v>18</v>
      </c>
      <c r="E186" s="369">
        <v>32</v>
      </c>
    </row>
    <row r="187" spans="1:5" x14ac:dyDescent="0.25">
      <c r="A187" s="368" t="s">
        <v>8</v>
      </c>
      <c r="B187" t="s">
        <v>105</v>
      </c>
      <c r="C187" s="171" t="s">
        <v>200</v>
      </c>
      <c r="D187" t="s">
        <v>18</v>
      </c>
      <c r="E187" s="369">
        <v>33</v>
      </c>
    </row>
    <row r="188" spans="1:5" x14ac:dyDescent="0.25">
      <c r="A188" s="368" t="s">
        <v>8</v>
      </c>
      <c r="B188" t="s">
        <v>105</v>
      </c>
      <c r="C188" s="171" t="s">
        <v>201</v>
      </c>
      <c r="D188" t="s">
        <v>18</v>
      </c>
      <c r="E188" s="369">
        <v>34</v>
      </c>
    </row>
    <row r="189" spans="1:5" x14ac:dyDescent="0.25">
      <c r="A189" s="368" t="s">
        <v>8</v>
      </c>
      <c r="B189" t="s">
        <v>105</v>
      </c>
      <c r="C189" s="240" t="s">
        <v>202</v>
      </c>
      <c r="D189" t="s">
        <v>18</v>
      </c>
      <c r="E189" s="369">
        <v>35</v>
      </c>
    </row>
    <row r="190" ht="15" customHeight="1" spans="1:5" x14ac:dyDescent="0.25">
      <c r="A190" s="368" t="s">
        <v>8</v>
      </c>
      <c r="B190" t="s">
        <v>105</v>
      </c>
      <c r="C190" s="241" t="s">
        <v>203</v>
      </c>
      <c r="D190" t="s">
        <v>18</v>
      </c>
      <c r="E190" s="369">
        <v>36</v>
      </c>
    </row>
    <row r="191" ht="21.5" customHeight="1" spans="1:5" x14ac:dyDescent="0.25">
      <c r="A191" s="368" t="s">
        <v>8</v>
      </c>
      <c r="B191" t="s">
        <v>111</v>
      </c>
      <c r="C191" s="227" t="s">
        <v>204</v>
      </c>
      <c r="D191" t="s">
        <v>18</v>
      </c>
      <c r="E191" s="369">
        <v>38</v>
      </c>
    </row>
    <row r="192" spans="1:5" x14ac:dyDescent="0.25">
      <c r="A192" s="368" t="s">
        <v>8</v>
      </c>
      <c r="B192" t="s">
        <v>111</v>
      </c>
      <c r="C192" s="171" t="s">
        <v>205</v>
      </c>
      <c r="D192" t="s">
        <v>18</v>
      </c>
      <c r="E192" s="369">
        <v>39</v>
      </c>
    </row>
    <row r="193" spans="1:5" x14ac:dyDescent="0.25">
      <c r="A193" s="368" t="s">
        <v>8</v>
      </c>
      <c r="B193" t="s">
        <v>111</v>
      </c>
      <c r="C193" s="171" t="s">
        <v>206</v>
      </c>
      <c r="D193" t="s">
        <v>18</v>
      </c>
      <c r="E193" s="369">
        <v>40</v>
      </c>
    </row>
    <row r="194" spans="1:5" x14ac:dyDescent="0.25">
      <c r="A194" s="368" t="s">
        <v>8</v>
      </c>
      <c r="B194" t="s">
        <v>111</v>
      </c>
      <c r="C194" s="171" t="s">
        <v>207</v>
      </c>
      <c r="D194" t="s">
        <v>18</v>
      </c>
      <c r="E194" s="369">
        <v>41</v>
      </c>
    </row>
    <row r="195" spans="1:5" x14ac:dyDescent="0.25">
      <c r="A195" s="368" t="s">
        <v>8</v>
      </c>
      <c r="B195" t="s">
        <v>111</v>
      </c>
      <c r="C195" s="240" t="s">
        <v>208</v>
      </c>
      <c r="D195" t="s">
        <v>18</v>
      </c>
      <c r="E195" s="369">
        <v>42</v>
      </c>
    </row>
    <row r="196" spans="1:5" x14ac:dyDescent="0.25">
      <c r="A196" s="368" t="s">
        <v>8</v>
      </c>
      <c r="B196" t="s">
        <v>111</v>
      </c>
      <c r="C196" s="171" t="s">
        <v>118</v>
      </c>
      <c r="D196" t="s">
        <v>18</v>
      </c>
      <c r="E196" s="369">
        <v>43</v>
      </c>
    </row>
    <row r="197" spans="1:5" x14ac:dyDescent="0.25">
      <c r="A197" s="368" t="s">
        <v>8</v>
      </c>
      <c r="B197" t="s">
        <v>111</v>
      </c>
      <c r="C197" s="171" t="s">
        <v>209</v>
      </c>
      <c r="D197" t="s">
        <v>18</v>
      </c>
      <c r="E197" s="369">
        <v>44</v>
      </c>
    </row>
    <row r="198" spans="1:5" x14ac:dyDescent="0.25">
      <c r="A198" s="368" t="s">
        <v>8</v>
      </c>
      <c r="B198" t="s">
        <v>111</v>
      </c>
      <c r="C198" s="171" t="s">
        <v>153</v>
      </c>
      <c r="D198" t="s">
        <v>18</v>
      </c>
      <c r="E198" s="369">
        <v>45</v>
      </c>
    </row>
    <row r="199" spans="1:5" x14ac:dyDescent="0.25">
      <c r="A199" s="368" t="s">
        <v>8</v>
      </c>
      <c r="B199" t="s">
        <v>111</v>
      </c>
      <c r="C199" s="240" t="s">
        <v>119</v>
      </c>
      <c r="D199" t="s">
        <v>18</v>
      </c>
      <c r="E199" s="369">
        <v>46</v>
      </c>
    </row>
    <row r="200" ht="15" customHeight="1" spans="1:5" x14ac:dyDescent="0.25">
      <c r="A200" s="368" t="s">
        <v>8</v>
      </c>
      <c r="B200" t="s">
        <v>111</v>
      </c>
      <c r="C200" s="244" t="s">
        <v>210</v>
      </c>
      <c r="D200" t="s">
        <v>18</v>
      </c>
      <c r="E200" s="369">
        <v>47</v>
      </c>
    </row>
    <row r="201" spans="1:5" x14ac:dyDescent="0.25">
      <c r="A201" s="368" t="s">
        <v>8</v>
      </c>
      <c r="B201" t="s">
        <v>122</v>
      </c>
      <c r="C201" s="232" t="s">
        <v>211</v>
      </c>
      <c r="D201" t="s">
        <v>18</v>
      </c>
      <c r="E201" s="369">
        <v>49</v>
      </c>
    </row>
    <row r="202" spans="1:5" x14ac:dyDescent="0.25">
      <c r="A202" s="368" t="s">
        <v>8</v>
      </c>
      <c r="B202" t="s">
        <v>122</v>
      </c>
      <c r="C202" s="171" t="s">
        <v>124</v>
      </c>
      <c r="D202" t="s">
        <v>18</v>
      </c>
      <c r="E202" s="369">
        <v>50</v>
      </c>
    </row>
    <row r="203" ht="21.5" customHeight="1" spans="1:5" x14ac:dyDescent="0.25">
      <c r="A203" s="368" t="s">
        <v>8</v>
      </c>
      <c r="B203" t="s">
        <v>122</v>
      </c>
      <c r="C203" s="171" t="s">
        <v>212</v>
      </c>
      <c r="D203" t="s">
        <v>18</v>
      </c>
      <c r="E203" s="369">
        <v>51</v>
      </c>
    </row>
    <row r="204" ht="22" customHeight="1" spans="1:5" x14ac:dyDescent="0.25">
      <c r="A204" s="368" t="s">
        <v>8</v>
      </c>
      <c r="B204" t="s">
        <v>122</v>
      </c>
      <c r="C204" s="238" t="s">
        <v>213</v>
      </c>
      <c r="D204" t="s">
        <v>18</v>
      </c>
      <c r="E204" s="369">
        <v>52</v>
      </c>
    </row>
    <row r="205" ht="15" customHeight="1" spans="1:5" x14ac:dyDescent="0.25">
      <c r="A205" s="368" t="s">
        <v>8</v>
      </c>
      <c r="B205" t="s">
        <v>214</v>
      </c>
      <c r="C205" s="251" t="s">
        <v>215</v>
      </c>
      <c r="D205" t="s">
        <v>18</v>
      </c>
      <c r="E205" s="369">
        <v>54</v>
      </c>
    </row>
    <row r="206" ht="20" customHeight="1" spans="1:5" x14ac:dyDescent="0.25">
      <c r="A206" s="368" t="s">
        <v>8</v>
      </c>
      <c r="B206" t="s">
        <v>158</v>
      </c>
      <c r="C206" s="252" t="s">
        <v>216</v>
      </c>
      <c r="D206" t="s">
        <v>18</v>
      </c>
      <c r="E206" s="369">
        <v>56</v>
      </c>
    </row>
    <row r="207" ht="22" customHeight="1" spans="1:5" x14ac:dyDescent="0.25">
      <c r="A207" s="368" t="s">
        <v>8</v>
      </c>
      <c r="B207" t="s">
        <v>158</v>
      </c>
      <c r="C207" s="238" t="s">
        <v>84</v>
      </c>
      <c r="D207" t="s">
        <v>18</v>
      </c>
      <c r="E207" s="369">
        <v>57</v>
      </c>
    </row>
    <row r="208" spans="1:5" x14ac:dyDescent="0.25">
      <c r="A208" s="368" t="s">
        <v>8</v>
      </c>
      <c r="B208" t="s">
        <v>217</v>
      </c>
      <c r="C208" s="263" t="s">
        <v>218</v>
      </c>
      <c r="D208" t="s">
        <v>18</v>
      </c>
      <c r="E208" s="369">
        <v>59</v>
      </c>
    </row>
    <row r="209" spans="1:5" x14ac:dyDescent="0.25">
      <c r="A209" s="368" t="s">
        <v>8</v>
      </c>
      <c r="B209" t="s">
        <v>217</v>
      </c>
      <c r="C209" s="100" t="s">
        <v>103</v>
      </c>
      <c r="D209" t="s">
        <v>18</v>
      </c>
      <c r="E209" s="369">
        <v>60</v>
      </c>
    </row>
    <row r="210" spans="1:5" x14ac:dyDescent="0.25">
      <c r="A210" s="368" t="s">
        <v>8</v>
      </c>
      <c r="B210" t="s">
        <v>217</v>
      </c>
      <c r="C210" s="100" t="s">
        <v>219</v>
      </c>
      <c r="D210" t="s">
        <v>18</v>
      </c>
      <c r="E210" s="369">
        <v>61</v>
      </c>
    </row>
    <row r="211" ht="15" customHeight="1" spans="1:5" x14ac:dyDescent="0.25">
      <c r="A211" s="368" t="s">
        <v>8</v>
      </c>
      <c r="B211" t="s">
        <v>217</v>
      </c>
      <c r="C211" s="143" t="s">
        <v>117</v>
      </c>
      <c r="D211" t="s">
        <v>18</v>
      </c>
      <c r="E211" s="369">
        <v>62</v>
      </c>
    </row>
    <row r="212" ht="22" customHeight="1" spans="1:5" x14ac:dyDescent="0.25">
      <c r="A212" s="365" t="s">
        <v>19</v>
      </c>
      <c r="B212" s="161" t="s">
        <v>73</v>
      </c>
      <c r="C212" s="88" t="s">
        <v>78</v>
      </c>
      <c r="D212" s="366" t="s">
        <v>20</v>
      </c>
      <c r="E212" s="367">
        <v>9</v>
      </c>
    </row>
    <row r="213" ht="22" customHeight="1" spans="1:5" x14ac:dyDescent="0.25">
      <c r="A213" s="368" t="s">
        <v>19</v>
      </c>
      <c r="B213" s="161" t="s">
        <v>73</v>
      </c>
      <c r="C213" s="100" t="s">
        <v>135</v>
      </c>
      <c r="D213" t="s">
        <v>20</v>
      </c>
      <c r="E213" s="369">
        <v>10</v>
      </c>
    </row>
    <row r="214" ht="22" customHeight="1" spans="1:5" x14ac:dyDescent="0.25">
      <c r="A214" s="368" t="s">
        <v>19</v>
      </c>
      <c r="B214" s="161" t="s">
        <v>73</v>
      </c>
      <c r="C214" s="100" t="s">
        <v>221</v>
      </c>
      <c r="D214" t="s">
        <v>20</v>
      </c>
      <c r="E214" s="369">
        <v>11</v>
      </c>
    </row>
    <row r="215" ht="15" customHeight="1" spans="1:5" x14ac:dyDescent="0.25">
      <c r="A215" s="368" t="s">
        <v>19</v>
      </c>
      <c r="B215" s="161" t="s">
        <v>73</v>
      </c>
      <c r="C215" s="100" t="s">
        <v>137</v>
      </c>
      <c r="D215" t="s">
        <v>20</v>
      </c>
      <c r="E215" s="369">
        <v>12</v>
      </c>
    </row>
    <row r="216" ht="15" customHeight="1" spans="1:5" x14ac:dyDescent="0.25">
      <c r="A216" s="368" t="s">
        <v>19</v>
      </c>
      <c r="B216" s="161" t="s">
        <v>73</v>
      </c>
      <c r="C216" s="100" t="s">
        <v>138</v>
      </c>
      <c r="D216" t="s">
        <v>20</v>
      </c>
      <c r="E216" s="369">
        <v>13</v>
      </c>
    </row>
    <row r="217" ht="22" customHeight="1" spans="1:5" x14ac:dyDescent="0.25">
      <c r="A217" s="368" t="s">
        <v>19</v>
      </c>
      <c r="B217" s="161" t="s">
        <v>73</v>
      </c>
      <c r="C217" s="100" t="s">
        <v>84</v>
      </c>
      <c r="D217" t="s">
        <v>20</v>
      </c>
      <c r="E217" s="369">
        <v>14</v>
      </c>
    </row>
    <row r="218" ht="15" customHeight="1" spans="1:5" x14ac:dyDescent="0.25">
      <c r="A218" s="368" t="s">
        <v>19</v>
      </c>
      <c r="B218" s="161" t="s">
        <v>73</v>
      </c>
      <c r="C218" s="100" t="s">
        <v>222</v>
      </c>
      <c r="D218" t="s">
        <v>20</v>
      </c>
      <c r="E218" s="369">
        <v>15</v>
      </c>
    </row>
    <row r="219" ht="15" customHeight="1" spans="1:5" x14ac:dyDescent="0.25">
      <c r="A219" s="368" t="s">
        <v>19</v>
      </c>
      <c r="B219" s="161" t="s">
        <v>73</v>
      </c>
      <c r="C219" s="100" t="s">
        <v>218</v>
      </c>
      <c r="D219" t="s">
        <v>20</v>
      </c>
      <c r="E219" s="369">
        <v>16</v>
      </c>
    </row>
    <row r="220" ht="15" customHeight="1" spans="1:5" x14ac:dyDescent="0.25">
      <c r="A220" s="368" t="s">
        <v>19</v>
      </c>
      <c r="B220" s="161" t="s">
        <v>73</v>
      </c>
      <c r="C220" s="115" t="s">
        <v>223</v>
      </c>
      <c r="D220" t="s">
        <v>20</v>
      </c>
      <c r="E220" s="369">
        <v>17</v>
      </c>
    </row>
    <row r="221" ht="15" customHeight="1" spans="1:5" x14ac:dyDescent="0.25">
      <c r="A221" s="368" t="s">
        <v>19</v>
      </c>
      <c r="B221" s="373" t="s">
        <v>89</v>
      </c>
      <c r="C221" s="164" t="s">
        <v>140</v>
      </c>
      <c r="D221" t="s">
        <v>20</v>
      </c>
      <c r="E221" s="369">
        <v>19</v>
      </c>
    </row>
    <row r="222" ht="15" customHeight="1" spans="1:5" x14ac:dyDescent="0.25">
      <c r="A222" s="368" t="s">
        <v>19</v>
      </c>
      <c r="B222" s="373" t="s">
        <v>89</v>
      </c>
      <c r="C222" s="165" t="s">
        <v>224</v>
      </c>
      <c r="D222" t="s">
        <v>20</v>
      </c>
      <c r="E222" s="369">
        <v>20</v>
      </c>
    </row>
    <row r="223" ht="15" customHeight="1" spans="1:5" x14ac:dyDescent="0.25">
      <c r="A223" s="368" t="s">
        <v>19</v>
      </c>
      <c r="B223" s="375" t="s">
        <v>93</v>
      </c>
      <c r="C223" s="88" t="s">
        <v>94</v>
      </c>
      <c r="D223" t="s">
        <v>20</v>
      </c>
      <c r="E223" s="369">
        <v>22</v>
      </c>
    </row>
    <row r="224" ht="15" customHeight="1" spans="1:5" x14ac:dyDescent="0.25">
      <c r="A224" s="368" t="s">
        <v>19</v>
      </c>
      <c r="B224" s="375" t="s">
        <v>93</v>
      </c>
      <c r="C224" s="100" t="s">
        <v>225</v>
      </c>
      <c r="D224" t="s">
        <v>20</v>
      </c>
      <c r="E224" s="369">
        <v>23</v>
      </c>
    </row>
    <row r="225" ht="15" customHeight="1" spans="1:5" x14ac:dyDescent="0.25">
      <c r="A225" s="368" t="s">
        <v>19</v>
      </c>
      <c r="B225" s="375" t="s">
        <v>93</v>
      </c>
      <c r="C225" s="100" t="s">
        <v>143</v>
      </c>
      <c r="D225" t="s">
        <v>20</v>
      </c>
      <c r="E225" s="369">
        <v>24</v>
      </c>
    </row>
    <row r="226" ht="15" customHeight="1" spans="1:5" x14ac:dyDescent="0.25">
      <c r="A226" s="368" t="s">
        <v>19</v>
      </c>
      <c r="B226" s="375" t="s">
        <v>93</v>
      </c>
      <c r="C226" s="100" t="s">
        <v>96</v>
      </c>
      <c r="D226" t="s">
        <v>20</v>
      </c>
      <c r="E226" s="369">
        <v>25</v>
      </c>
    </row>
    <row r="227" ht="15" customHeight="1" spans="1:5" x14ac:dyDescent="0.25">
      <c r="A227" s="368" t="s">
        <v>19</v>
      </c>
      <c r="B227" s="375" t="s">
        <v>93</v>
      </c>
      <c r="C227" s="100" t="s">
        <v>97</v>
      </c>
      <c r="D227" t="s">
        <v>20</v>
      </c>
      <c r="E227" s="369">
        <v>26</v>
      </c>
    </row>
    <row r="228" ht="15" customHeight="1" spans="1:5" x14ac:dyDescent="0.25">
      <c r="A228" s="368" t="s">
        <v>19</v>
      </c>
      <c r="B228" s="375" t="s">
        <v>93</v>
      </c>
      <c r="C228" s="100" t="s">
        <v>226</v>
      </c>
      <c r="D228" t="s">
        <v>20</v>
      </c>
      <c r="E228" s="369">
        <v>27</v>
      </c>
    </row>
    <row r="229" ht="15" customHeight="1" spans="1:5" x14ac:dyDescent="0.25">
      <c r="A229" s="368" t="s">
        <v>19</v>
      </c>
      <c r="B229" s="375" t="s">
        <v>93</v>
      </c>
      <c r="C229" s="100" t="s">
        <v>99</v>
      </c>
      <c r="D229" t="s">
        <v>20</v>
      </c>
      <c r="E229" s="369">
        <v>28</v>
      </c>
    </row>
    <row r="230" ht="15" customHeight="1" spans="1:5" x14ac:dyDescent="0.25">
      <c r="A230" s="368" t="s">
        <v>19</v>
      </c>
      <c r="B230" s="375" t="s">
        <v>93</v>
      </c>
      <c r="C230" s="100" t="s">
        <v>100</v>
      </c>
      <c r="D230" t="s">
        <v>20</v>
      </c>
      <c r="E230" s="369">
        <v>29</v>
      </c>
    </row>
    <row r="231" ht="15" customHeight="1" spans="1:5" x14ac:dyDescent="0.25">
      <c r="A231" s="368" t="s">
        <v>19</v>
      </c>
      <c r="B231" s="375" t="s">
        <v>93</v>
      </c>
      <c r="C231" s="100" t="s">
        <v>101</v>
      </c>
      <c r="D231" t="s">
        <v>20</v>
      </c>
      <c r="E231" s="369">
        <v>30</v>
      </c>
    </row>
    <row r="232" ht="15" customHeight="1" spans="1:5" x14ac:dyDescent="0.25">
      <c r="A232" s="368" t="s">
        <v>19</v>
      </c>
      <c r="B232" s="375" t="s">
        <v>93</v>
      </c>
      <c r="C232" s="100" t="s">
        <v>102</v>
      </c>
      <c r="D232" t="s">
        <v>20</v>
      </c>
      <c r="E232" s="369">
        <v>31</v>
      </c>
    </row>
    <row r="233" ht="15" customHeight="1" spans="1:5" x14ac:dyDescent="0.25">
      <c r="A233" s="368" t="s">
        <v>19</v>
      </c>
      <c r="B233" s="375" t="s">
        <v>93</v>
      </c>
      <c r="C233" s="100" t="s">
        <v>103</v>
      </c>
      <c r="D233" t="s">
        <v>20</v>
      </c>
      <c r="E233" s="369">
        <v>32</v>
      </c>
    </row>
    <row r="234" ht="15" customHeight="1" spans="1:5" x14ac:dyDescent="0.25">
      <c r="A234" s="368" t="s">
        <v>19</v>
      </c>
      <c r="B234" s="375" t="s">
        <v>93</v>
      </c>
      <c r="C234" s="115" t="s">
        <v>104</v>
      </c>
      <c r="D234" t="s">
        <v>20</v>
      </c>
      <c r="E234" s="369">
        <v>33</v>
      </c>
    </row>
    <row r="235" ht="15" customHeight="1" spans="1:5" x14ac:dyDescent="0.25">
      <c r="A235" s="368" t="s">
        <v>19</v>
      </c>
      <c r="B235" s="179" t="s">
        <v>105</v>
      </c>
      <c r="C235" s="168" t="s">
        <v>106</v>
      </c>
      <c r="D235" t="s">
        <v>20</v>
      </c>
      <c r="E235" s="369">
        <v>35</v>
      </c>
    </row>
    <row r="236" ht="15" customHeight="1" spans="1:5" x14ac:dyDescent="0.25">
      <c r="A236" s="368" t="s">
        <v>19</v>
      </c>
      <c r="B236" s="179" t="s">
        <v>105</v>
      </c>
      <c r="C236" s="169" t="s">
        <v>145</v>
      </c>
      <c r="D236" t="s">
        <v>20</v>
      </c>
      <c r="E236" s="369">
        <v>36</v>
      </c>
    </row>
    <row r="237" ht="15" customHeight="1" spans="1:5" x14ac:dyDescent="0.25">
      <c r="A237" s="368" t="s">
        <v>19</v>
      </c>
      <c r="B237" s="179" t="s">
        <v>105</v>
      </c>
      <c r="C237" s="169" t="s">
        <v>107</v>
      </c>
      <c r="D237" t="s">
        <v>20</v>
      </c>
      <c r="E237" s="369">
        <v>37</v>
      </c>
    </row>
    <row r="238" ht="15" customHeight="1" spans="1:5" x14ac:dyDescent="0.25">
      <c r="A238" s="368" t="s">
        <v>19</v>
      </c>
      <c r="B238" s="179" t="s">
        <v>105</v>
      </c>
      <c r="C238" s="169" t="s">
        <v>108</v>
      </c>
      <c r="D238" t="s">
        <v>20</v>
      </c>
      <c r="E238" s="369">
        <v>38</v>
      </c>
    </row>
    <row r="239" ht="15" customHeight="1" spans="1:5" x14ac:dyDescent="0.25">
      <c r="A239" s="368" t="s">
        <v>19</v>
      </c>
      <c r="B239" s="179" t="s">
        <v>105</v>
      </c>
      <c r="C239" s="169" t="s">
        <v>227</v>
      </c>
      <c r="D239" t="s">
        <v>20</v>
      </c>
      <c r="E239" s="369">
        <v>39</v>
      </c>
    </row>
    <row r="240" ht="15" customHeight="1" spans="1:5" x14ac:dyDescent="0.25">
      <c r="A240" s="368" t="s">
        <v>19</v>
      </c>
      <c r="B240" s="179" t="s">
        <v>111</v>
      </c>
      <c r="C240" s="88" t="s">
        <v>112</v>
      </c>
      <c r="D240" t="s">
        <v>20</v>
      </c>
      <c r="E240" s="369">
        <v>41</v>
      </c>
    </row>
    <row r="241" ht="15" customHeight="1" spans="1:5" x14ac:dyDescent="0.25">
      <c r="A241" s="368" t="s">
        <v>19</v>
      </c>
      <c r="B241" s="179" t="s">
        <v>111</v>
      </c>
      <c r="C241" s="100" t="s">
        <v>133</v>
      </c>
      <c r="D241" t="s">
        <v>20</v>
      </c>
      <c r="E241" s="369">
        <v>42</v>
      </c>
    </row>
    <row r="242" ht="15" customHeight="1" spans="1:5" x14ac:dyDescent="0.25">
      <c r="A242" s="368" t="s">
        <v>19</v>
      </c>
      <c r="B242" s="179" t="s">
        <v>111</v>
      </c>
      <c r="C242" s="100" t="s">
        <v>113</v>
      </c>
      <c r="D242" t="s">
        <v>20</v>
      </c>
      <c r="E242" s="369">
        <v>43</v>
      </c>
    </row>
    <row r="243" ht="15" customHeight="1" spans="1:5" x14ac:dyDescent="0.25">
      <c r="A243" s="368" t="s">
        <v>19</v>
      </c>
      <c r="B243" s="179" t="s">
        <v>111</v>
      </c>
      <c r="C243" s="100" t="s">
        <v>114</v>
      </c>
      <c r="D243" t="s">
        <v>20</v>
      </c>
      <c r="E243" s="369">
        <v>44</v>
      </c>
    </row>
    <row r="244" ht="22" customHeight="1" spans="1:5" x14ac:dyDescent="0.25">
      <c r="A244" s="368" t="s">
        <v>19</v>
      </c>
      <c r="B244" s="179" t="s">
        <v>111</v>
      </c>
      <c r="C244" s="279" t="s">
        <v>228</v>
      </c>
      <c r="D244" t="s">
        <v>20</v>
      </c>
      <c r="E244" s="369">
        <v>45</v>
      </c>
    </row>
    <row r="245" ht="15" customHeight="1" spans="1:5" x14ac:dyDescent="0.25">
      <c r="A245" s="368" t="s">
        <v>19</v>
      </c>
      <c r="B245" s="179" t="s">
        <v>111</v>
      </c>
      <c r="C245" s="280" t="s">
        <v>116</v>
      </c>
      <c r="D245" t="s">
        <v>20</v>
      </c>
      <c r="E245" s="369">
        <v>46</v>
      </c>
    </row>
    <row r="246" ht="15" customHeight="1" spans="1:5" x14ac:dyDescent="0.25">
      <c r="A246" s="368" t="s">
        <v>19</v>
      </c>
      <c r="B246" s="179" t="s">
        <v>111</v>
      </c>
      <c r="C246" s="100" t="s">
        <v>229</v>
      </c>
      <c r="D246" t="s">
        <v>20</v>
      </c>
      <c r="E246" s="369">
        <v>47</v>
      </c>
    </row>
    <row r="247" ht="15" customHeight="1" spans="1:5" x14ac:dyDescent="0.25">
      <c r="A247" s="368" t="s">
        <v>19</v>
      </c>
      <c r="B247" s="179" t="s">
        <v>111</v>
      </c>
      <c r="C247" s="100" t="s">
        <v>152</v>
      </c>
      <c r="D247" t="s">
        <v>20</v>
      </c>
      <c r="E247" s="369">
        <v>48</v>
      </c>
    </row>
    <row r="248" ht="15" customHeight="1" spans="1:5" x14ac:dyDescent="0.25">
      <c r="A248" s="368" t="s">
        <v>19</v>
      </c>
      <c r="B248" s="179" t="s">
        <v>111</v>
      </c>
      <c r="C248" s="100" t="s">
        <v>118</v>
      </c>
      <c r="D248" t="s">
        <v>20</v>
      </c>
      <c r="E248" s="369">
        <v>49</v>
      </c>
    </row>
    <row r="249" ht="15" customHeight="1" spans="1:5" x14ac:dyDescent="0.25">
      <c r="A249" s="368" t="s">
        <v>19</v>
      </c>
      <c r="B249" s="179" t="s">
        <v>111</v>
      </c>
      <c r="C249" s="100" t="s">
        <v>120</v>
      </c>
      <c r="D249" t="s">
        <v>20</v>
      </c>
      <c r="E249" s="369">
        <v>50</v>
      </c>
    </row>
    <row r="250" ht="15" customHeight="1" spans="1:5" x14ac:dyDescent="0.25">
      <c r="A250" s="368" t="s">
        <v>19</v>
      </c>
      <c r="B250" s="179" t="s">
        <v>111</v>
      </c>
      <c r="C250" s="100" t="s">
        <v>121</v>
      </c>
      <c r="D250" t="s">
        <v>20</v>
      </c>
      <c r="E250" s="369">
        <v>51</v>
      </c>
    </row>
    <row r="251" ht="15" customHeight="1" spans="1:5" x14ac:dyDescent="0.25">
      <c r="A251" s="368" t="s">
        <v>19</v>
      </c>
      <c r="B251" s="179" t="s">
        <v>111</v>
      </c>
      <c r="C251" s="115" t="s">
        <v>153</v>
      </c>
      <c r="D251" t="s">
        <v>20</v>
      </c>
      <c r="E251" s="369">
        <v>52</v>
      </c>
    </row>
    <row r="252" ht="20.5" customHeight="1" spans="1:5" x14ac:dyDescent="0.25">
      <c r="A252" s="368" t="s">
        <v>19</v>
      </c>
      <c r="B252" s="179" t="s">
        <v>154</v>
      </c>
      <c r="C252" s="177" t="s">
        <v>123</v>
      </c>
      <c r="D252" t="s">
        <v>20</v>
      </c>
      <c r="E252" s="369">
        <v>54</v>
      </c>
    </row>
    <row r="253" ht="15" customHeight="1" spans="1:5" x14ac:dyDescent="0.25">
      <c r="A253" s="368" t="s">
        <v>19</v>
      </c>
      <c r="B253" s="179" t="s">
        <v>154</v>
      </c>
      <c r="C253" s="169" t="s">
        <v>124</v>
      </c>
      <c r="D253" t="s">
        <v>20</v>
      </c>
      <c r="E253" s="369">
        <v>55</v>
      </c>
    </row>
    <row r="254" ht="15" customHeight="1" spans="1:5" x14ac:dyDescent="0.25">
      <c r="A254" s="368" t="s">
        <v>19</v>
      </c>
      <c r="B254" s="179" t="s">
        <v>154</v>
      </c>
      <c r="C254" s="169" t="s">
        <v>125</v>
      </c>
      <c r="D254" t="s">
        <v>20</v>
      </c>
      <c r="E254" s="369">
        <v>56</v>
      </c>
    </row>
    <row r="255" ht="15" customHeight="1" spans="1:5" x14ac:dyDescent="0.25">
      <c r="A255" s="368" t="s">
        <v>19</v>
      </c>
      <c r="B255" s="179" t="s">
        <v>154</v>
      </c>
      <c r="C255" s="169" t="s">
        <v>155</v>
      </c>
      <c r="D255" t="s">
        <v>20</v>
      </c>
      <c r="E255" s="369">
        <v>57</v>
      </c>
    </row>
    <row r="256" ht="15" customHeight="1" spans="1:5" x14ac:dyDescent="0.25">
      <c r="A256" s="368" t="s">
        <v>19</v>
      </c>
      <c r="B256" s="179" t="s">
        <v>154</v>
      </c>
      <c r="C256" s="169" t="s">
        <v>126</v>
      </c>
      <c r="D256" t="s">
        <v>20</v>
      </c>
      <c r="E256" s="369">
        <v>58</v>
      </c>
    </row>
    <row r="257" ht="15" customHeight="1" spans="1:5" x14ac:dyDescent="0.25">
      <c r="A257" s="368" t="s">
        <v>19</v>
      </c>
      <c r="B257" s="179" t="s">
        <v>154</v>
      </c>
      <c r="C257" s="169" t="s">
        <v>127</v>
      </c>
      <c r="D257" t="s">
        <v>20</v>
      </c>
      <c r="E257" s="369">
        <v>59</v>
      </c>
    </row>
    <row r="258" ht="15" customHeight="1" spans="1:5" x14ac:dyDescent="0.25">
      <c r="A258" s="368" t="s">
        <v>19</v>
      </c>
      <c r="B258" s="179" t="s">
        <v>128</v>
      </c>
      <c r="C258" s="144" t="s">
        <v>157</v>
      </c>
      <c r="D258" t="s">
        <v>20</v>
      </c>
      <c r="E258" s="369">
        <v>61</v>
      </c>
    </row>
    <row r="259" ht="15" customHeight="1" spans="1:5" x14ac:dyDescent="0.25">
      <c r="A259" s="368" t="s">
        <v>19</v>
      </c>
      <c r="B259" s="185" t="s">
        <v>158</v>
      </c>
      <c r="C259" s="376" t="s">
        <v>230</v>
      </c>
      <c r="D259" t="s">
        <v>20</v>
      </c>
      <c r="E259" s="369">
        <v>63</v>
      </c>
    </row>
    <row r="260" ht="15" customHeight="1" spans="1:5" x14ac:dyDescent="0.25">
      <c r="A260" s="368" t="s">
        <v>19</v>
      </c>
      <c r="B260" s="185" t="s">
        <v>158</v>
      </c>
      <c r="C260" s="376" t="s">
        <v>231</v>
      </c>
      <c r="D260" t="s">
        <v>20</v>
      </c>
      <c r="E260" s="369">
        <v>64</v>
      </c>
    </row>
    <row r="261" ht="15" customHeight="1" spans="1:5" x14ac:dyDescent="0.25">
      <c r="A261" s="368" t="s">
        <v>19</v>
      </c>
      <c r="B261" s="185" t="s">
        <v>130</v>
      </c>
      <c r="C261" s="181" t="s">
        <v>232</v>
      </c>
      <c r="D261" t="s">
        <v>20</v>
      </c>
      <c r="E261" s="369">
        <v>66</v>
      </c>
    </row>
    <row r="262" ht="15" customHeight="1" spans="1:5" x14ac:dyDescent="0.25">
      <c r="A262" s="368" t="s">
        <v>19</v>
      </c>
      <c r="B262" s="185" t="s">
        <v>130</v>
      </c>
      <c r="C262" s="183" t="s">
        <v>233</v>
      </c>
      <c r="D262" t="s">
        <v>20</v>
      </c>
      <c r="E262" s="369">
        <v>67</v>
      </c>
    </row>
    <row r="263" ht="15" customHeight="1" spans="1:5" x14ac:dyDescent="0.25">
      <c r="A263" s="368" t="s">
        <v>19</v>
      </c>
      <c r="B263" s="185" t="s">
        <v>130</v>
      </c>
      <c r="C263" s="281" t="s">
        <v>234</v>
      </c>
      <c r="D263" t="s">
        <v>20</v>
      </c>
      <c r="E263" s="369">
        <v>68</v>
      </c>
    </row>
    <row r="264" ht="22" customHeight="1" spans="1:5" x14ac:dyDescent="0.25">
      <c r="A264" s="365" t="s">
        <v>21</v>
      </c>
      <c r="B264" s="161" t="s">
        <v>73</v>
      </c>
      <c r="C264" s="88" t="s">
        <v>78</v>
      </c>
      <c r="D264" s="366" t="s">
        <v>22</v>
      </c>
      <c r="E264" s="367">
        <v>9</v>
      </c>
    </row>
    <row r="265" ht="22" customHeight="1" spans="1:5" x14ac:dyDescent="0.25">
      <c r="A265" s="368" t="s">
        <v>21</v>
      </c>
      <c r="B265" s="161" t="s">
        <v>73</v>
      </c>
      <c r="C265" s="100" t="s">
        <v>135</v>
      </c>
      <c r="D265" t="s">
        <v>22</v>
      </c>
      <c r="E265" s="369">
        <v>10</v>
      </c>
    </row>
    <row r="266" ht="22" customHeight="1" spans="1:5" x14ac:dyDescent="0.25">
      <c r="A266" s="368" t="s">
        <v>21</v>
      </c>
      <c r="B266" s="161" t="s">
        <v>73</v>
      </c>
      <c r="C266" s="100" t="s">
        <v>136</v>
      </c>
      <c r="D266" t="s">
        <v>22</v>
      </c>
      <c r="E266" s="369">
        <v>11</v>
      </c>
    </row>
    <row r="267" ht="15" customHeight="1" spans="1:5" x14ac:dyDescent="0.25">
      <c r="A267" s="368" t="s">
        <v>21</v>
      </c>
      <c r="B267" s="161" t="s">
        <v>73</v>
      </c>
      <c r="C267" s="100" t="s">
        <v>137</v>
      </c>
      <c r="D267" t="s">
        <v>22</v>
      </c>
      <c r="E267" s="369">
        <v>12</v>
      </c>
    </row>
    <row r="268" ht="15" customHeight="1" spans="1:5" x14ac:dyDescent="0.25">
      <c r="A268" s="368" t="s">
        <v>21</v>
      </c>
      <c r="B268" s="161" t="s">
        <v>73</v>
      </c>
      <c r="C268" s="100" t="s">
        <v>138</v>
      </c>
      <c r="D268" t="s">
        <v>22</v>
      </c>
      <c r="E268" s="369">
        <v>13</v>
      </c>
    </row>
    <row r="269" ht="22" customHeight="1" spans="1:5" x14ac:dyDescent="0.25">
      <c r="A269" s="368" t="s">
        <v>21</v>
      </c>
      <c r="B269" s="161" t="s">
        <v>73</v>
      </c>
      <c r="C269" s="100" t="s">
        <v>84</v>
      </c>
      <c r="D269" t="s">
        <v>22</v>
      </c>
      <c r="E269" s="369">
        <v>14</v>
      </c>
    </row>
    <row r="270" ht="15" customHeight="1" spans="1:5" x14ac:dyDescent="0.25">
      <c r="A270" s="368" t="s">
        <v>21</v>
      </c>
      <c r="B270" s="161" t="s">
        <v>73</v>
      </c>
      <c r="C270" s="100" t="s">
        <v>87</v>
      </c>
      <c r="D270" t="s">
        <v>22</v>
      </c>
      <c r="E270" s="369">
        <v>15</v>
      </c>
    </row>
    <row r="271" ht="15" customHeight="1" spans="1:5" x14ac:dyDescent="0.25">
      <c r="A271" s="368" t="s">
        <v>21</v>
      </c>
      <c r="B271" s="161" t="s">
        <v>73</v>
      </c>
      <c r="C271" s="100" t="s">
        <v>218</v>
      </c>
      <c r="D271" t="s">
        <v>22</v>
      </c>
      <c r="E271" s="369">
        <v>16</v>
      </c>
    </row>
    <row r="272" ht="15" customHeight="1" spans="1:5" x14ac:dyDescent="0.25">
      <c r="A272" s="368" t="s">
        <v>21</v>
      </c>
      <c r="B272" s="163" t="s">
        <v>89</v>
      </c>
      <c r="C272" s="282" t="s">
        <v>140</v>
      </c>
      <c r="D272" t="s">
        <v>22</v>
      </c>
      <c r="E272" s="369">
        <v>18</v>
      </c>
    </row>
    <row r="273" ht="15" customHeight="1" spans="1:5" x14ac:dyDescent="0.25">
      <c r="A273" s="368" t="s">
        <v>21</v>
      </c>
      <c r="B273" s="163" t="s">
        <v>89</v>
      </c>
      <c r="C273" s="171" t="s">
        <v>224</v>
      </c>
      <c r="D273" t="s">
        <v>22</v>
      </c>
      <c r="E273" s="369">
        <v>19</v>
      </c>
    </row>
    <row r="274" ht="15" customHeight="1" spans="1:5" x14ac:dyDescent="0.25">
      <c r="A274" s="368" t="s">
        <v>21</v>
      </c>
      <c r="B274" s="163" t="s">
        <v>89</v>
      </c>
      <c r="C274" s="176" t="s">
        <v>91</v>
      </c>
      <c r="D274" t="s">
        <v>22</v>
      </c>
      <c r="E274" s="369">
        <v>20</v>
      </c>
    </row>
    <row r="275" ht="15" customHeight="1" spans="1:5" x14ac:dyDescent="0.25">
      <c r="A275" s="368" t="s">
        <v>21</v>
      </c>
      <c r="B275" s="163" t="s">
        <v>93</v>
      </c>
      <c r="C275" s="227" t="s">
        <v>94</v>
      </c>
      <c r="D275" t="s">
        <v>22</v>
      </c>
      <c r="E275" s="369">
        <v>22</v>
      </c>
    </row>
    <row r="276" ht="15" customHeight="1" spans="1:5" x14ac:dyDescent="0.25">
      <c r="A276" s="368" t="s">
        <v>21</v>
      </c>
      <c r="B276" s="163" t="s">
        <v>93</v>
      </c>
      <c r="C276" s="171" t="s">
        <v>142</v>
      </c>
      <c r="D276" t="s">
        <v>22</v>
      </c>
      <c r="E276" s="369">
        <v>23</v>
      </c>
    </row>
    <row r="277" ht="15" customHeight="1" spans="1:5" x14ac:dyDescent="0.25">
      <c r="A277" s="368" t="s">
        <v>21</v>
      </c>
      <c r="B277" s="163" t="s">
        <v>93</v>
      </c>
      <c r="C277" s="171" t="s">
        <v>143</v>
      </c>
      <c r="D277" t="s">
        <v>22</v>
      </c>
      <c r="E277" s="369">
        <v>24</v>
      </c>
    </row>
    <row r="278" ht="15" customHeight="1" spans="1:5" x14ac:dyDescent="0.25">
      <c r="A278" s="368" t="s">
        <v>21</v>
      </c>
      <c r="B278" s="163" t="s">
        <v>93</v>
      </c>
      <c r="C278" s="171" t="s">
        <v>96</v>
      </c>
      <c r="D278" t="s">
        <v>22</v>
      </c>
      <c r="E278" s="369">
        <v>25</v>
      </c>
    </row>
    <row r="279" ht="15" customHeight="1" spans="1:5" x14ac:dyDescent="0.25">
      <c r="A279" s="368" t="s">
        <v>21</v>
      </c>
      <c r="B279" s="163" t="s">
        <v>93</v>
      </c>
      <c r="C279" s="171" t="s">
        <v>97</v>
      </c>
      <c r="D279" t="s">
        <v>22</v>
      </c>
      <c r="E279" s="369">
        <v>26</v>
      </c>
    </row>
    <row r="280" ht="15" customHeight="1" spans="1:5" x14ac:dyDescent="0.25">
      <c r="A280" s="368" t="s">
        <v>21</v>
      </c>
      <c r="B280" s="163" t="s">
        <v>93</v>
      </c>
      <c r="C280" s="171" t="s">
        <v>235</v>
      </c>
      <c r="D280" t="s">
        <v>22</v>
      </c>
      <c r="E280" s="369">
        <v>27</v>
      </c>
    </row>
    <row r="281" ht="15" customHeight="1" spans="1:5" x14ac:dyDescent="0.25">
      <c r="A281" s="368" t="s">
        <v>21</v>
      </c>
      <c r="B281" s="163" t="s">
        <v>93</v>
      </c>
      <c r="C281" s="171" t="s">
        <v>99</v>
      </c>
      <c r="D281" t="s">
        <v>22</v>
      </c>
      <c r="E281" s="369">
        <v>28</v>
      </c>
    </row>
    <row r="282" ht="15" customHeight="1" spans="1:5" x14ac:dyDescent="0.25">
      <c r="A282" s="368" t="s">
        <v>21</v>
      </c>
      <c r="B282" s="163" t="s">
        <v>93</v>
      </c>
      <c r="C282" s="171" t="s">
        <v>100</v>
      </c>
      <c r="D282" t="s">
        <v>22</v>
      </c>
      <c r="E282" s="369">
        <v>29</v>
      </c>
    </row>
    <row r="283" ht="15" customHeight="1" spans="1:5" x14ac:dyDescent="0.25">
      <c r="A283" s="368" t="s">
        <v>21</v>
      </c>
      <c r="B283" s="163" t="s">
        <v>93</v>
      </c>
      <c r="C283" s="171" t="s">
        <v>102</v>
      </c>
      <c r="D283" t="s">
        <v>22</v>
      </c>
      <c r="E283" s="369">
        <v>30</v>
      </c>
    </row>
    <row r="284" ht="15" customHeight="1" spans="1:5" x14ac:dyDescent="0.25">
      <c r="A284" s="368" t="s">
        <v>21</v>
      </c>
      <c r="B284" s="163" t="s">
        <v>93</v>
      </c>
      <c r="C284" s="283" t="s">
        <v>236</v>
      </c>
      <c r="D284" t="s">
        <v>22</v>
      </c>
      <c r="E284" s="369">
        <v>31</v>
      </c>
    </row>
    <row r="285" ht="15" customHeight="1" spans="1:5" x14ac:dyDescent="0.25">
      <c r="A285" s="368" t="s">
        <v>21</v>
      </c>
      <c r="B285" s="124" t="s">
        <v>105</v>
      </c>
      <c r="C285" s="168" t="s">
        <v>106</v>
      </c>
      <c r="D285" t="s">
        <v>22</v>
      </c>
      <c r="E285" s="369">
        <v>33</v>
      </c>
    </row>
    <row r="286" ht="15" customHeight="1" spans="1:5" x14ac:dyDescent="0.25">
      <c r="A286" s="368" t="s">
        <v>21</v>
      </c>
      <c r="B286" s="124" t="s">
        <v>105</v>
      </c>
      <c r="C286" s="169" t="s">
        <v>107</v>
      </c>
      <c r="D286" t="s">
        <v>22</v>
      </c>
      <c r="E286" s="369">
        <v>34</v>
      </c>
    </row>
    <row r="287" ht="15" customHeight="1" spans="1:5" x14ac:dyDescent="0.25">
      <c r="A287" s="368" t="s">
        <v>21</v>
      </c>
      <c r="B287" s="124" t="s">
        <v>105</v>
      </c>
      <c r="C287" s="169" t="s">
        <v>237</v>
      </c>
      <c r="D287" t="s">
        <v>22</v>
      </c>
      <c r="E287" s="369">
        <v>35</v>
      </c>
    </row>
    <row r="288" ht="15" customHeight="1" spans="1:5" x14ac:dyDescent="0.25">
      <c r="A288" s="368" t="s">
        <v>21</v>
      </c>
      <c r="B288" s="124" t="s">
        <v>111</v>
      </c>
      <c r="C288" s="88" t="s">
        <v>112</v>
      </c>
      <c r="D288" t="s">
        <v>22</v>
      </c>
      <c r="E288" s="369">
        <v>37</v>
      </c>
    </row>
    <row r="289" ht="15" customHeight="1" spans="1:5" x14ac:dyDescent="0.25">
      <c r="A289" s="368" t="s">
        <v>21</v>
      </c>
      <c r="B289" s="124" t="s">
        <v>111</v>
      </c>
      <c r="C289" s="100" t="s">
        <v>133</v>
      </c>
      <c r="D289" t="s">
        <v>22</v>
      </c>
      <c r="E289" s="369">
        <v>38</v>
      </c>
    </row>
    <row r="290" ht="15" customHeight="1" spans="1:5" x14ac:dyDescent="0.25">
      <c r="A290" s="368" t="s">
        <v>21</v>
      </c>
      <c r="B290" s="124" t="s">
        <v>111</v>
      </c>
      <c r="C290" s="100" t="s">
        <v>113</v>
      </c>
      <c r="D290" t="s">
        <v>22</v>
      </c>
      <c r="E290" s="369">
        <v>39</v>
      </c>
    </row>
    <row r="291" ht="15" customHeight="1" spans="1:5" x14ac:dyDescent="0.25">
      <c r="A291" s="368" t="s">
        <v>21</v>
      </c>
      <c r="B291" s="124" t="s">
        <v>111</v>
      </c>
      <c r="C291" s="100" t="s">
        <v>119</v>
      </c>
      <c r="D291" t="s">
        <v>22</v>
      </c>
      <c r="E291" s="369">
        <v>40</v>
      </c>
    </row>
    <row r="292" ht="15" customHeight="1" spans="1:5" x14ac:dyDescent="0.25">
      <c r="A292" s="368" t="s">
        <v>21</v>
      </c>
      <c r="B292" s="124" t="s">
        <v>111</v>
      </c>
      <c r="C292" s="279" t="s">
        <v>114</v>
      </c>
      <c r="D292" t="s">
        <v>22</v>
      </c>
      <c r="E292" s="369">
        <v>41</v>
      </c>
    </row>
    <row r="293" ht="15" customHeight="1" spans="1:5" x14ac:dyDescent="0.25">
      <c r="A293" s="368" t="s">
        <v>21</v>
      </c>
      <c r="B293" s="124" t="s">
        <v>111</v>
      </c>
      <c r="C293" s="280" t="s">
        <v>116</v>
      </c>
      <c r="D293" t="s">
        <v>22</v>
      </c>
      <c r="E293" s="369">
        <v>42</v>
      </c>
    </row>
    <row r="294" ht="15" customHeight="1" spans="1:5" x14ac:dyDescent="0.25">
      <c r="A294" s="368" t="s">
        <v>21</v>
      </c>
      <c r="B294" s="124" t="s">
        <v>111</v>
      </c>
      <c r="C294" s="100" t="s">
        <v>229</v>
      </c>
      <c r="D294" t="s">
        <v>22</v>
      </c>
      <c r="E294" s="369">
        <v>43</v>
      </c>
    </row>
    <row r="295" ht="15" customHeight="1" spans="1:5" x14ac:dyDescent="0.25">
      <c r="A295" s="368" t="s">
        <v>21</v>
      </c>
      <c r="B295" s="124" t="s">
        <v>111</v>
      </c>
      <c r="C295" s="100" t="s">
        <v>152</v>
      </c>
      <c r="D295" t="s">
        <v>22</v>
      </c>
      <c r="E295" s="369">
        <v>44</v>
      </c>
    </row>
    <row r="296" ht="15" customHeight="1" spans="1:5" x14ac:dyDescent="0.25">
      <c r="A296" s="368" t="s">
        <v>21</v>
      </c>
      <c r="B296" s="124" t="s">
        <v>111</v>
      </c>
      <c r="C296" s="100" t="s">
        <v>118</v>
      </c>
      <c r="D296" t="s">
        <v>22</v>
      </c>
      <c r="E296" s="369">
        <v>45</v>
      </c>
    </row>
    <row r="297" ht="15" customHeight="1" spans="1:5" x14ac:dyDescent="0.25">
      <c r="A297" s="368" t="s">
        <v>21</v>
      </c>
      <c r="B297" s="124" t="s">
        <v>111</v>
      </c>
      <c r="C297" s="100" t="s">
        <v>120</v>
      </c>
      <c r="D297" t="s">
        <v>22</v>
      </c>
      <c r="E297" s="369">
        <v>46</v>
      </c>
    </row>
    <row r="298" ht="15" customHeight="1" spans="1:5" x14ac:dyDescent="0.25">
      <c r="A298" s="368" t="s">
        <v>21</v>
      </c>
      <c r="B298" s="124" t="s">
        <v>111</v>
      </c>
      <c r="C298" s="100" t="s">
        <v>121</v>
      </c>
      <c r="D298" t="s">
        <v>22</v>
      </c>
      <c r="E298" s="369">
        <v>47</v>
      </c>
    </row>
    <row r="299" ht="15" customHeight="1" spans="1:5" x14ac:dyDescent="0.25">
      <c r="A299" s="368" t="s">
        <v>21</v>
      </c>
      <c r="B299" s="124" t="s">
        <v>154</v>
      </c>
      <c r="C299" s="282" t="s">
        <v>124</v>
      </c>
      <c r="D299" t="s">
        <v>22</v>
      </c>
      <c r="E299" s="369">
        <v>49</v>
      </c>
    </row>
    <row r="300" ht="22" customHeight="1" spans="1:5" x14ac:dyDescent="0.25">
      <c r="A300" s="368" t="s">
        <v>21</v>
      </c>
      <c r="B300" s="124" t="s">
        <v>154</v>
      </c>
      <c r="C300" s="284" t="s">
        <v>238</v>
      </c>
      <c r="D300" t="s">
        <v>22</v>
      </c>
      <c r="E300" s="369">
        <v>50</v>
      </c>
    </row>
    <row r="301" ht="15" customHeight="1" spans="1:5" x14ac:dyDescent="0.25">
      <c r="A301" s="368" t="s">
        <v>21</v>
      </c>
      <c r="B301" s="124" t="s">
        <v>154</v>
      </c>
      <c r="C301" s="285" t="s">
        <v>125</v>
      </c>
      <c r="D301" t="s">
        <v>22</v>
      </c>
      <c r="E301" s="369">
        <v>51</v>
      </c>
    </row>
    <row r="302" ht="15" customHeight="1" spans="1:5" x14ac:dyDescent="0.25">
      <c r="A302" s="368" t="s">
        <v>21</v>
      </c>
      <c r="B302" s="124" t="s">
        <v>154</v>
      </c>
      <c r="C302" s="171" t="s">
        <v>239</v>
      </c>
      <c r="D302" t="s">
        <v>22</v>
      </c>
      <c r="E302" s="369">
        <v>52</v>
      </c>
    </row>
    <row r="303" ht="15" customHeight="1" spans="1:5" x14ac:dyDescent="0.25">
      <c r="A303" s="368" t="s">
        <v>21</v>
      </c>
      <c r="B303" s="179" t="s">
        <v>128</v>
      </c>
      <c r="C303" s="144" t="s">
        <v>157</v>
      </c>
      <c r="D303" t="s">
        <v>22</v>
      </c>
      <c r="E303" s="369">
        <v>54</v>
      </c>
    </row>
    <row r="304" ht="15" customHeight="1" spans="1:5" x14ac:dyDescent="0.25">
      <c r="A304" s="368" t="s">
        <v>21</v>
      </c>
      <c r="B304" s="179" t="s">
        <v>158</v>
      </c>
      <c r="C304" s="181" t="s">
        <v>230</v>
      </c>
      <c r="D304" t="s">
        <v>22</v>
      </c>
      <c r="E304" s="369">
        <v>56</v>
      </c>
    </row>
    <row r="305" ht="15" customHeight="1" spans="1:5" x14ac:dyDescent="0.25">
      <c r="A305" s="368" t="s">
        <v>21</v>
      </c>
      <c r="B305" s="179" t="s">
        <v>158</v>
      </c>
      <c r="C305" s="281" t="s">
        <v>231</v>
      </c>
      <c r="D305" t="s">
        <v>22</v>
      </c>
      <c r="E305" s="369">
        <v>57</v>
      </c>
    </row>
    <row r="306" ht="15" customHeight="1" spans="1:5" x14ac:dyDescent="0.25">
      <c r="A306" s="368" t="s">
        <v>21</v>
      </c>
      <c r="B306" s="185" t="s">
        <v>130</v>
      </c>
      <c r="C306" s="181" t="s">
        <v>232</v>
      </c>
      <c r="D306" t="s">
        <v>22</v>
      </c>
      <c r="E306" s="369">
        <v>59</v>
      </c>
    </row>
    <row r="307" ht="15" customHeight="1" spans="1:5" x14ac:dyDescent="0.25">
      <c r="A307" s="368" t="s">
        <v>21</v>
      </c>
      <c r="B307" s="185" t="s">
        <v>130</v>
      </c>
      <c r="C307" s="183" t="s">
        <v>233</v>
      </c>
      <c r="D307" t="s">
        <v>22</v>
      </c>
      <c r="E307" s="369">
        <v>60</v>
      </c>
    </row>
    <row r="308" ht="15" customHeight="1" spans="1:5" x14ac:dyDescent="0.25">
      <c r="A308" s="370" t="s">
        <v>21</v>
      </c>
      <c r="B308" s="146" t="s">
        <v>130</v>
      </c>
      <c r="C308" s="184" t="s">
        <v>234</v>
      </c>
      <c r="D308" s="371" t="s">
        <v>22</v>
      </c>
      <c r="E308" s="372">
        <v>61</v>
      </c>
    </row>
  </sheetData>
  <pageMargins left="0.7" right="0.7" top="0.75" bottom="0.75" header="0.3" footer="0.3"/>
  <pageSetup paperSize="9" orientation="portrait" horizontalDpi="4294967295" verticalDpi="4294967295" scale="100" fitToWidth="1" fitToHeight="1" firstPageNumber="1" useFirstPageNumber="1" copies="1"/>
  <tableParts count="1">
    <tablePart r:id="rId3"/>
  </tableParts>
  <legacy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0.3999755851924192"/>
  </sheetPr>
  <dimension ref="A1:EZ77"/>
  <sheetViews>
    <sheetView workbookViewId="0" zoomScale="60" zoomScaleNormal="60">
      <pane xSplit="1" topLeftCell="B1" activePane="topRight" state="frozen"/>
      <selection pane="topRight" activeCell="F13" sqref="F13"/>
    </sheetView>
  </sheetViews>
  <sheetFormatPr defaultRowHeight="14.5" outlineLevelRow="0" outlineLevelCol="0" x14ac:dyDescent="0.35" customHeight="1"/>
  <cols>
    <col min="1" max="1" width="53.08984375" customWidth="1"/>
    <col min="2" max="2" width="4.54296875" customWidth="1"/>
    <col min="3" max="3" width="10.90625" customWidth="1"/>
    <col min="6" max="6" width="10.90625" customWidth="1"/>
    <col min="9" max="9" width="9.36328125" customWidth="1"/>
    <col min="12" max="12" width="9.36328125" customWidth="1"/>
    <col min="15" max="15" width="9.36328125" customWidth="1"/>
    <col min="18" max="18" width="9.36328125" customWidth="1"/>
    <col min="21" max="21" width="9.36328125" customWidth="1"/>
    <col min="24" max="24" width="9.36328125" customWidth="1"/>
    <col min="27" max="27" width="9.36328125" customWidth="1"/>
    <col min="30" max="30" width="9.36328125" customWidth="1"/>
    <col min="33" max="33" width="9.36328125" customWidth="1"/>
    <col min="36" max="36" width="9.36328125" customWidth="1"/>
    <col min="48" max="48" width="9.6328125" customWidth="1"/>
    <col min="50" max="50" width="12.6328125" customWidth="1"/>
    <col min="51" max="52" width="9" style="12" customWidth="1"/>
    <col min="55" max="55" width="9" style="12" customWidth="1"/>
    <col min="58" max="58" width="9" style="12" customWidth="1"/>
    <col min="61" max="61" width="9" style="12" customWidth="1"/>
    <col min="63" max="63" width="10.54296875" customWidth="1"/>
    <col min="66" max="66" width="13" customWidth="1"/>
    <col min="67" max="67" width="10" customWidth="1"/>
    <col min="68" max="68" width="9" style="12" customWidth="1"/>
    <col min="70" max="70" width="10" customWidth="1"/>
    <col min="73" max="73" width="10.36328125" customWidth="1"/>
    <col min="74" max="74" width="9" style="12" customWidth="1"/>
    <col min="76" max="76" width="10.54296875" customWidth="1"/>
    <col min="79" max="79" width="10.08984375" customWidth="1"/>
    <col min="80" max="80" width="9" style="12" customWidth="1"/>
    <col min="82" max="82" width="10.54296875" customWidth="1"/>
    <col min="85" max="85" width="10.08984375" customWidth="1"/>
    <col min="86" max="86" width="9" style="12" customWidth="1"/>
    <col min="88" max="88" width="10.36328125" customWidth="1"/>
    <col min="91" max="91" width="9.90625" customWidth="1"/>
    <col min="92" max="92" width="9" style="12" customWidth="1"/>
    <col min="94" max="94" width="10.08984375" customWidth="1"/>
    <col min="97" max="97" width="10" customWidth="1"/>
    <col min="100" max="100" width="10.36328125" customWidth="1"/>
    <col min="103" max="103" width="13.54296875" customWidth="1"/>
    <col min="105" max="134" width="9" style="12" customWidth="1"/>
    <col min="135" max="135" width="13.54296875" customWidth="1"/>
    <col min="137" max="146" width="9" style="12" customWidth="1"/>
    <col min="147" max="147" width="10.08984375" style="12" customWidth="1"/>
    <col min="148" max="148" width="15.81640625" style="12" customWidth="1"/>
    <col min="149" max="153" width="3.54296875" customWidth="1"/>
    <col min="156" max="156" width="26.1796875" customWidth="1"/>
  </cols>
  <sheetData>
    <row r="1" ht="16" customHeight="1" spans="1:1" x14ac:dyDescent="0.25">
      <c r="A1" s="13" t="s">
        <v>21</v>
      </c>
    </row>
    <row r="2" ht="16" customHeight="1" spans="1:148" x14ac:dyDescent="0.25">
      <c r="A2" s="14" t="s">
        <v>24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  <c r="AV2" s="15"/>
      <c r="AW2" s="15"/>
      <c r="AX2" s="15"/>
      <c r="AY2" s="16"/>
      <c r="AZ2" s="16"/>
      <c r="BA2" s="15"/>
      <c r="BB2" s="15"/>
      <c r="BC2" s="16"/>
      <c r="BD2" s="15"/>
      <c r="BE2" s="15"/>
      <c r="BF2" s="16"/>
      <c r="BG2" s="15"/>
      <c r="BH2" s="15"/>
      <c r="BI2" s="16"/>
      <c r="BJ2" s="15"/>
      <c r="BK2" s="15"/>
      <c r="BL2" s="15"/>
      <c r="BM2" s="15"/>
      <c r="BN2" s="15"/>
      <c r="BO2" s="15"/>
      <c r="BP2" s="16"/>
      <c r="BQ2" s="15"/>
      <c r="BR2" s="15"/>
      <c r="BS2" s="15"/>
      <c r="BT2" s="15"/>
      <c r="BU2" s="15"/>
      <c r="BV2" s="16"/>
      <c r="BW2" s="15"/>
      <c r="BX2" s="15"/>
      <c r="BY2" s="15"/>
      <c r="BZ2" s="15"/>
      <c r="CA2" s="15"/>
      <c r="CB2" s="16"/>
      <c r="CC2" s="15"/>
      <c r="CD2" s="15"/>
      <c r="CE2" s="15"/>
      <c r="CF2" s="15"/>
      <c r="CG2" s="15"/>
      <c r="CH2" s="16"/>
      <c r="CI2" s="15"/>
      <c r="CJ2" s="15"/>
      <c r="CK2" s="15"/>
      <c r="CL2" s="15"/>
      <c r="CM2" s="15"/>
      <c r="CN2" s="16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  <c r="CZ2" s="17"/>
      <c r="DA2" s="16"/>
      <c r="DB2" s="16"/>
      <c r="DC2" s="16"/>
      <c r="DD2" s="16"/>
      <c r="DE2" s="16"/>
      <c r="DF2" s="16"/>
      <c r="DG2" s="16"/>
      <c r="DH2" s="16"/>
      <c r="DI2" s="16"/>
      <c r="DJ2" s="16"/>
      <c r="DK2" s="16"/>
      <c r="DL2" s="16"/>
      <c r="DM2" s="16"/>
      <c r="DN2" s="16"/>
      <c r="DO2" s="16"/>
      <c r="DP2" s="16"/>
      <c r="DQ2" s="16"/>
      <c r="DR2" s="16"/>
      <c r="DS2" s="16"/>
      <c r="DT2" s="16"/>
      <c r="DU2" s="16"/>
      <c r="DV2" s="16"/>
      <c r="DW2" s="16"/>
      <c r="DX2" s="16"/>
      <c r="DY2" s="16"/>
      <c r="DZ2" s="16"/>
      <c r="EA2" s="16"/>
      <c r="EB2" s="16"/>
      <c r="EC2" s="16"/>
      <c r="ED2" s="16"/>
      <c r="EE2" s="15"/>
      <c r="EF2" s="18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</row>
    <row r="3" ht="16" customHeight="1" spans="1:148" x14ac:dyDescent="0.25">
      <c r="A3" s="20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  <c r="AY3" s="22"/>
      <c r="AZ3" s="22"/>
      <c r="BA3" s="21"/>
      <c r="BB3" s="21"/>
      <c r="BC3" s="22"/>
      <c r="BD3" s="21"/>
      <c r="BE3" s="21"/>
      <c r="BF3" s="22"/>
      <c r="BG3" s="21"/>
      <c r="BH3" s="21"/>
      <c r="BI3" s="22"/>
      <c r="BJ3" s="21"/>
      <c r="BK3" s="21"/>
      <c r="BL3" s="21"/>
      <c r="BM3" s="21"/>
      <c r="BN3" s="21"/>
      <c r="BO3" s="21"/>
      <c r="BP3" s="22"/>
      <c r="BQ3" s="21"/>
      <c r="BR3" s="21"/>
      <c r="BS3" s="21"/>
      <c r="BT3" s="21"/>
      <c r="BU3" s="21"/>
      <c r="BV3" s="22"/>
      <c r="BW3" s="21"/>
      <c r="BX3" s="21"/>
      <c r="BY3" s="21"/>
      <c r="BZ3" s="21"/>
      <c r="CA3" s="21"/>
      <c r="CB3" s="22"/>
      <c r="CC3" s="21"/>
      <c r="CD3" s="21"/>
      <c r="CE3" s="21"/>
      <c r="CF3" s="21"/>
      <c r="CG3" s="21"/>
      <c r="CH3" s="22"/>
      <c r="CI3" s="21"/>
      <c r="CJ3" s="21"/>
      <c r="CK3" s="21"/>
      <c r="CL3" s="21"/>
      <c r="CM3" s="21"/>
      <c r="CN3" s="22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3"/>
      <c r="DA3" s="22"/>
      <c r="DB3" s="22"/>
      <c r="DC3" s="22"/>
      <c r="DD3" s="22"/>
      <c r="DE3" s="22"/>
      <c r="DF3" s="22"/>
      <c r="DG3" s="22"/>
      <c r="DH3" s="22"/>
      <c r="DI3" s="22"/>
      <c r="DJ3" s="22"/>
      <c r="DK3" s="22"/>
      <c r="DL3" s="22"/>
      <c r="DM3" s="22"/>
      <c r="DN3" s="22"/>
      <c r="DO3" s="22"/>
      <c r="DP3" s="22"/>
      <c r="DQ3" s="22"/>
      <c r="DR3" s="22"/>
      <c r="DS3" s="22"/>
      <c r="DT3" s="22"/>
      <c r="DU3" s="22"/>
      <c r="DV3" s="22"/>
      <c r="DW3" s="22"/>
      <c r="DX3" s="22"/>
      <c r="DY3" s="22"/>
      <c r="DZ3" s="22"/>
      <c r="EA3" s="22"/>
      <c r="EB3" s="22"/>
      <c r="EC3" s="22"/>
      <c r="ED3" s="22"/>
      <c r="EE3" s="21"/>
      <c r="EF3" s="24"/>
      <c r="EG3" s="25"/>
      <c r="EH3" s="25"/>
      <c r="EI3" s="25"/>
      <c r="EJ3" s="25"/>
      <c r="EK3" s="25"/>
      <c r="EL3" s="25"/>
      <c r="EM3" s="25"/>
      <c r="EN3" s="25"/>
      <c r="EO3" s="25"/>
      <c r="EP3" s="25"/>
      <c r="EQ3" s="25"/>
      <c r="ER3" s="25"/>
    </row>
    <row r="4" ht="16" customHeight="1" spans="1:148" x14ac:dyDescent="0.25">
      <c r="A4" s="26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16"/>
      <c r="BA4" s="15"/>
      <c r="BB4" s="15"/>
      <c r="BC4" s="16"/>
      <c r="BD4" s="15"/>
      <c r="BE4" s="15"/>
      <c r="BF4" s="16"/>
      <c r="BG4" s="15"/>
      <c r="BH4" s="15"/>
      <c r="BI4" s="16"/>
      <c r="BJ4" s="15"/>
      <c r="BK4" s="15"/>
      <c r="BL4" s="15"/>
      <c r="BM4" s="15"/>
      <c r="BN4" s="15"/>
      <c r="BO4" s="15"/>
      <c r="BP4" s="16"/>
      <c r="BQ4" s="15"/>
      <c r="BR4" s="15"/>
      <c r="BS4" s="15"/>
      <c r="BT4" s="15"/>
      <c r="BU4" s="15"/>
      <c r="BV4" s="16"/>
      <c r="BW4" s="15"/>
      <c r="BX4" s="15"/>
      <c r="BY4" s="15"/>
      <c r="BZ4" s="15"/>
      <c r="CA4" s="15"/>
      <c r="CB4" s="16"/>
      <c r="CC4" s="15"/>
      <c r="CD4" s="15"/>
      <c r="CE4" s="15"/>
      <c r="CF4" s="15"/>
      <c r="CG4" s="15"/>
      <c r="CH4" s="16"/>
      <c r="CI4" s="15"/>
      <c r="CJ4" s="15"/>
      <c r="CK4" s="15"/>
      <c r="CL4" s="15"/>
      <c r="CM4" s="15"/>
      <c r="CN4" s="16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7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5"/>
      <c r="EF4" s="18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</row>
    <row r="5" ht="18" customHeight="1" spans="1:1" x14ac:dyDescent="0.25">
      <c r="A5" s="27"/>
    </row>
    <row r="6" ht="15.75" customHeight="1" spans="1:148" x14ac:dyDescent="0.25">
      <c r="A6" s="28"/>
      <c r="B6" s="29"/>
      <c r="C6" s="30" t="s">
        <v>2</v>
      </c>
      <c r="D6" s="31"/>
      <c r="E6" s="32"/>
      <c r="F6" s="33" t="s">
        <v>25</v>
      </c>
      <c r="G6" s="34"/>
      <c r="H6" s="35"/>
      <c r="I6" s="33" t="s">
        <v>26</v>
      </c>
      <c r="J6" s="34"/>
      <c r="K6" s="35"/>
      <c r="L6" s="33" t="s">
        <v>27</v>
      </c>
      <c r="M6" s="34"/>
      <c r="N6" s="35"/>
      <c r="O6" s="36" t="s">
        <v>28</v>
      </c>
      <c r="P6" s="37"/>
      <c r="Q6" s="38"/>
      <c r="R6" s="36" t="s">
        <v>29</v>
      </c>
      <c r="S6" s="37"/>
      <c r="T6" s="38"/>
      <c r="U6" s="36" t="s">
        <v>30</v>
      </c>
      <c r="V6" s="37"/>
      <c r="W6" s="38"/>
      <c r="X6" s="36" t="s">
        <v>31</v>
      </c>
      <c r="Y6" s="37"/>
      <c r="Z6" s="38"/>
      <c r="AA6" s="39" t="s">
        <v>32</v>
      </c>
      <c r="AB6" s="40"/>
      <c r="AC6" s="41"/>
      <c r="AD6" s="39" t="s">
        <v>33</v>
      </c>
      <c r="AE6" s="40"/>
      <c r="AF6" s="41"/>
      <c r="AG6" s="39" t="s">
        <v>34</v>
      </c>
      <c r="AH6" s="40"/>
      <c r="AI6" s="41"/>
      <c r="AJ6" s="39" t="s">
        <v>35</v>
      </c>
      <c r="AK6" s="40"/>
      <c r="AL6" s="41"/>
      <c r="AM6" s="42" t="s">
        <v>36</v>
      </c>
      <c r="AN6" s="43"/>
      <c r="AO6" s="44"/>
      <c r="AP6" s="42" t="s">
        <v>37</v>
      </c>
      <c r="AQ6" s="43"/>
      <c r="AR6" s="44"/>
      <c r="AS6" s="42" t="s">
        <v>38</v>
      </c>
      <c r="AT6" s="43"/>
      <c r="AU6" s="44"/>
      <c r="AV6" s="42" t="s">
        <v>39</v>
      </c>
      <c r="AW6" s="43"/>
      <c r="AX6" s="44"/>
      <c r="AY6" s="45" t="s">
        <v>40</v>
      </c>
      <c r="AZ6" s="46"/>
      <c r="BA6" s="47"/>
      <c r="BB6" s="45" t="s">
        <v>41</v>
      </c>
      <c r="BC6" s="46"/>
      <c r="BD6" s="47"/>
      <c r="BE6" s="45" t="s">
        <v>42</v>
      </c>
      <c r="BF6" s="46"/>
      <c r="BG6" s="47"/>
      <c r="BH6" s="45" t="s">
        <v>43</v>
      </c>
      <c r="BI6" s="46"/>
      <c r="BJ6" s="47"/>
      <c r="BK6" s="48" t="s">
        <v>44</v>
      </c>
      <c r="BL6" s="49"/>
      <c r="BM6" s="50"/>
      <c r="BN6" s="48" t="s">
        <v>45</v>
      </c>
      <c r="BO6" s="49"/>
      <c r="BP6" s="50"/>
      <c r="BQ6" s="48" t="s">
        <v>46</v>
      </c>
      <c r="BR6" s="49"/>
      <c r="BS6" s="50"/>
      <c r="BT6" s="48" t="s">
        <v>47</v>
      </c>
      <c r="BU6" s="49"/>
      <c r="BV6" s="50"/>
      <c r="BW6" s="45" t="s">
        <v>48</v>
      </c>
      <c r="BX6" s="46"/>
      <c r="BY6" s="46"/>
      <c r="BZ6" s="45" t="s">
        <v>49</v>
      </c>
      <c r="CA6" s="46"/>
      <c r="CB6" s="47"/>
      <c r="CC6" s="46" t="s">
        <v>50</v>
      </c>
      <c r="CD6" s="46"/>
      <c r="CE6" s="47"/>
      <c r="CF6" s="45" t="s">
        <v>51</v>
      </c>
      <c r="CG6" s="46"/>
      <c r="CH6" s="47"/>
      <c r="CI6" s="51" t="s">
        <v>52</v>
      </c>
      <c r="CJ6" s="52"/>
      <c r="CK6" s="53"/>
      <c r="CL6" s="51" t="s">
        <v>53</v>
      </c>
      <c r="CM6" s="52"/>
      <c r="CN6" s="53"/>
      <c r="CO6" s="51" t="s">
        <v>54</v>
      </c>
      <c r="CP6" s="52"/>
      <c r="CQ6" s="53"/>
      <c r="CR6" s="51" t="s">
        <v>55</v>
      </c>
      <c r="CS6" s="52"/>
      <c r="CT6" s="53"/>
      <c r="CU6" s="54" t="s">
        <v>56</v>
      </c>
      <c r="CV6" s="55"/>
      <c r="CW6" s="56"/>
      <c r="CX6" s="54" t="s">
        <v>57</v>
      </c>
      <c r="CY6" s="55"/>
      <c r="CZ6" s="56"/>
      <c r="DA6" s="54" t="s">
        <v>58</v>
      </c>
      <c r="DB6" s="55"/>
      <c r="DC6" s="56"/>
      <c r="DD6" s="54" t="s">
        <v>59</v>
      </c>
      <c r="DE6" s="55"/>
      <c r="DF6" s="56"/>
      <c r="DG6" s="57" t="s">
        <v>60</v>
      </c>
      <c r="DH6" s="58"/>
      <c r="DI6" s="59"/>
      <c r="DJ6" s="57" t="s">
        <v>61</v>
      </c>
      <c r="DK6" s="58"/>
      <c r="DL6" s="59"/>
      <c r="DM6" s="57" t="s">
        <v>62</v>
      </c>
      <c r="DN6" s="58"/>
      <c r="DO6" s="59"/>
      <c r="DP6" s="57" t="s">
        <v>63</v>
      </c>
      <c r="DQ6" s="58"/>
      <c r="DR6" s="59"/>
      <c r="DS6" s="60" t="s">
        <v>64</v>
      </c>
      <c r="DT6" s="61"/>
      <c r="DU6" s="62"/>
      <c r="DV6" s="60" t="s">
        <v>65</v>
      </c>
      <c r="DW6" s="61"/>
      <c r="DX6" s="62"/>
      <c r="DY6" s="60" t="s">
        <v>66</v>
      </c>
      <c r="DZ6" s="61"/>
      <c r="EA6" s="62"/>
      <c r="EB6" s="60" t="s">
        <v>67</v>
      </c>
      <c r="EC6" s="61"/>
      <c r="ED6" s="62"/>
      <c r="EE6" s="63" t="s">
        <v>68</v>
      </c>
      <c r="EF6" s="64"/>
      <c r="EG6" s="65"/>
      <c r="EH6" s="63" t="s">
        <v>69</v>
      </c>
      <c r="EI6" s="64"/>
      <c r="EJ6" s="65"/>
      <c r="EK6" s="63" t="s">
        <v>70</v>
      </c>
      <c r="EL6" s="64"/>
      <c r="EM6" s="65"/>
      <c r="EN6" s="63" t="s">
        <v>3</v>
      </c>
      <c r="EO6" s="64"/>
      <c r="EP6" s="65"/>
      <c r="EQ6" s="66" t="s">
        <v>71</v>
      </c>
      <c r="ER6" s="67" t="s">
        <v>72</v>
      </c>
    </row>
    <row r="7" ht="23" customHeight="1" spans="1:156" x14ac:dyDescent="0.25">
      <c r="A7" s="161" t="s">
        <v>73</v>
      </c>
      <c r="B7" s="69"/>
      <c r="C7" s="70" t="s">
        <v>74</v>
      </c>
      <c r="D7" s="71" t="s">
        <v>75</v>
      </c>
      <c r="E7" s="72" t="s">
        <v>76</v>
      </c>
      <c r="F7" s="73" t="s">
        <v>74</v>
      </c>
      <c r="G7" s="71" t="s">
        <v>75</v>
      </c>
      <c r="H7" s="72" t="s">
        <v>76</v>
      </c>
      <c r="I7" s="70" t="s">
        <v>74</v>
      </c>
      <c r="J7" s="71" t="s">
        <v>75</v>
      </c>
      <c r="K7" s="72" t="s">
        <v>76</v>
      </c>
      <c r="L7" s="70" t="s">
        <v>74</v>
      </c>
      <c r="M7" s="71" t="s">
        <v>75</v>
      </c>
      <c r="N7" s="72" t="s">
        <v>76</v>
      </c>
      <c r="O7" s="70" t="s">
        <v>74</v>
      </c>
      <c r="P7" s="71" t="s">
        <v>75</v>
      </c>
      <c r="Q7" s="72" t="s">
        <v>76</v>
      </c>
      <c r="R7" s="70" t="s">
        <v>74</v>
      </c>
      <c r="S7" s="71" t="s">
        <v>75</v>
      </c>
      <c r="T7" s="72" t="s">
        <v>76</v>
      </c>
      <c r="U7" s="70" t="s">
        <v>74</v>
      </c>
      <c r="V7" s="71" t="s">
        <v>75</v>
      </c>
      <c r="W7" s="72" t="s">
        <v>76</v>
      </c>
      <c r="X7" s="70" t="s">
        <v>74</v>
      </c>
      <c r="Y7" s="71" t="s">
        <v>75</v>
      </c>
      <c r="Z7" s="72" t="s">
        <v>76</v>
      </c>
      <c r="AA7" s="70" t="s">
        <v>74</v>
      </c>
      <c r="AB7" s="71" t="s">
        <v>75</v>
      </c>
      <c r="AC7" s="72" t="s">
        <v>76</v>
      </c>
      <c r="AD7" s="70" t="s">
        <v>74</v>
      </c>
      <c r="AE7" s="71" t="s">
        <v>75</v>
      </c>
      <c r="AF7" s="72" t="s">
        <v>76</v>
      </c>
      <c r="AG7" s="70" t="s">
        <v>74</v>
      </c>
      <c r="AH7" s="71" t="s">
        <v>75</v>
      </c>
      <c r="AI7" s="74" t="s">
        <v>76</v>
      </c>
      <c r="AJ7" s="70" t="s">
        <v>74</v>
      </c>
      <c r="AK7" s="71" t="s">
        <v>75</v>
      </c>
      <c r="AL7" s="74" t="s">
        <v>76</v>
      </c>
      <c r="AM7" s="70" t="s">
        <v>74</v>
      </c>
      <c r="AN7" s="71" t="s">
        <v>75</v>
      </c>
      <c r="AO7" s="72" t="s">
        <v>76</v>
      </c>
      <c r="AP7" s="70" t="s">
        <v>74</v>
      </c>
      <c r="AQ7" s="71" t="s">
        <v>75</v>
      </c>
      <c r="AR7" s="72" t="s">
        <v>76</v>
      </c>
      <c r="AS7" s="70" t="s">
        <v>74</v>
      </c>
      <c r="AT7" s="71" t="s">
        <v>75</v>
      </c>
      <c r="AU7" s="72" t="s">
        <v>76</v>
      </c>
      <c r="AV7" s="70" t="s">
        <v>74</v>
      </c>
      <c r="AW7" s="71" t="s">
        <v>75</v>
      </c>
      <c r="AX7" s="74" t="s">
        <v>76</v>
      </c>
      <c r="AY7" s="70" t="s">
        <v>74</v>
      </c>
      <c r="AZ7" s="71" t="s">
        <v>75</v>
      </c>
      <c r="BA7" s="72" t="s">
        <v>76</v>
      </c>
      <c r="BB7" s="70" t="s">
        <v>74</v>
      </c>
      <c r="BC7" s="71" t="s">
        <v>75</v>
      </c>
      <c r="BD7" s="72" t="s">
        <v>76</v>
      </c>
      <c r="BE7" s="70" t="s">
        <v>74</v>
      </c>
      <c r="BF7" s="71" t="s">
        <v>75</v>
      </c>
      <c r="BG7" s="72" t="s">
        <v>76</v>
      </c>
      <c r="BH7" s="70" t="s">
        <v>74</v>
      </c>
      <c r="BI7" s="71" t="s">
        <v>75</v>
      </c>
      <c r="BJ7" s="72" t="s">
        <v>76</v>
      </c>
      <c r="BK7" s="70" t="s">
        <v>74</v>
      </c>
      <c r="BL7" s="71" t="s">
        <v>75</v>
      </c>
      <c r="BM7" s="72" t="s">
        <v>76</v>
      </c>
      <c r="BN7" s="70" t="s">
        <v>74</v>
      </c>
      <c r="BO7" s="71" t="s">
        <v>75</v>
      </c>
      <c r="BP7" s="72" t="s">
        <v>76</v>
      </c>
      <c r="BQ7" s="70" t="s">
        <v>74</v>
      </c>
      <c r="BR7" s="71" t="s">
        <v>75</v>
      </c>
      <c r="BS7" s="72" t="s">
        <v>76</v>
      </c>
      <c r="BT7" s="70" t="s">
        <v>74</v>
      </c>
      <c r="BU7" s="71" t="s">
        <v>75</v>
      </c>
      <c r="BV7" s="72" t="s">
        <v>76</v>
      </c>
      <c r="BW7" s="70" t="s">
        <v>74</v>
      </c>
      <c r="BX7" s="71" t="s">
        <v>75</v>
      </c>
      <c r="BY7" s="72" t="s">
        <v>76</v>
      </c>
      <c r="BZ7" s="70" t="s">
        <v>74</v>
      </c>
      <c r="CA7" s="71" t="s">
        <v>75</v>
      </c>
      <c r="CB7" s="72" t="s">
        <v>76</v>
      </c>
      <c r="CC7" s="70" t="s">
        <v>74</v>
      </c>
      <c r="CD7" s="71" t="s">
        <v>75</v>
      </c>
      <c r="CE7" s="72" t="s">
        <v>76</v>
      </c>
      <c r="CF7" s="70" t="s">
        <v>74</v>
      </c>
      <c r="CG7" s="71" t="s">
        <v>75</v>
      </c>
      <c r="CH7" s="74" t="s">
        <v>76</v>
      </c>
      <c r="CI7" s="70" t="s">
        <v>74</v>
      </c>
      <c r="CJ7" s="71" t="s">
        <v>75</v>
      </c>
      <c r="CK7" s="72" t="s">
        <v>76</v>
      </c>
      <c r="CL7" s="70" t="s">
        <v>74</v>
      </c>
      <c r="CM7" s="71" t="s">
        <v>75</v>
      </c>
      <c r="CN7" s="72" t="s">
        <v>76</v>
      </c>
      <c r="CO7" s="70" t="s">
        <v>74</v>
      </c>
      <c r="CP7" s="71" t="s">
        <v>75</v>
      </c>
      <c r="CQ7" s="72" t="s">
        <v>76</v>
      </c>
      <c r="CR7" s="70" t="s">
        <v>74</v>
      </c>
      <c r="CS7" s="71" t="s">
        <v>75</v>
      </c>
      <c r="CT7" s="74" t="s">
        <v>76</v>
      </c>
      <c r="CU7" s="70" t="s">
        <v>74</v>
      </c>
      <c r="CV7" s="71" t="s">
        <v>75</v>
      </c>
      <c r="CW7" s="72" t="s">
        <v>76</v>
      </c>
      <c r="CX7" s="70" t="s">
        <v>74</v>
      </c>
      <c r="CY7" s="71" t="s">
        <v>75</v>
      </c>
      <c r="CZ7" s="72" t="s">
        <v>76</v>
      </c>
      <c r="DA7" s="70" t="s">
        <v>74</v>
      </c>
      <c r="DB7" s="71" t="s">
        <v>75</v>
      </c>
      <c r="DC7" s="72" t="s">
        <v>76</v>
      </c>
      <c r="DD7" s="70" t="s">
        <v>74</v>
      </c>
      <c r="DE7" s="71" t="s">
        <v>75</v>
      </c>
      <c r="DF7" s="74" t="s">
        <v>76</v>
      </c>
      <c r="DG7" s="70" t="s">
        <v>74</v>
      </c>
      <c r="DH7" s="71" t="s">
        <v>75</v>
      </c>
      <c r="DI7" s="72" t="s">
        <v>76</v>
      </c>
      <c r="DJ7" s="70" t="s">
        <v>74</v>
      </c>
      <c r="DK7" s="71" t="s">
        <v>75</v>
      </c>
      <c r="DL7" s="72" t="s">
        <v>76</v>
      </c>
      <c r="DM7" s="70" t="s">
        <v>74</v>
      </c>
      <c r="DN7" s="71" t="s">
        <v>75</v>
      </c>
      <c r="DO7" s="72" t="s">
        <v>76</v>
      </c>
      <c r="DP7" s="70" t="s">
        <v>74</v>
      </c>
      <c r="DQ7" s="71" t="s">
        <v>75</v>
      </c>
      <c r="DR7" s="72" t="s">
        <v>76</v>
      </c>
      <c r="DS7" s="70" t="s">
        <v>74</v>
      </c>
      <c r="DT7" s="71" t="s">
        <v>75</v>
      </c>
      <c r="DU7" s="72" t="s">
        <v>76</v>
      </c>
      <c r="DV7" s="70" t="s">
        <v>74</v>
      </c>
      <c r="DW7" s="71" t="s">
        <v>75</v>
      </c>
      <c r="DX7" s="72" t="s">
        <v>76</v>
      </c>
      <c r="DY7" s="70" t="s">
        <v>74</v>
      </c>
      <c r="DZ7" s="71" t="s">
        <v>75</v>
      </c>
      <c r="EA7" s="72" t="s">
        <v>76</v>
      </c>
      <c r="EB7" s="70" t="s">
        <v>74</v>
      </c>
      <c r="EC7" s="71" t="s">
        <v>75</v>
      </c>
      <c r="ED7" s="72" t="s">
        <v>76</v>
      </c>
      <c r="EE7" s="70" t="s">
        <v>74</v>
      </c>
      <c r="EF7" s="71" t="s">
        <v>75</v>
      </c>
      <c r="EG7" s="72" t="s">
        <v>76</v>
      </c>
      <c r="EH7" s="70" t="s">
        <v>74</v>
      </c>
      <c r="EI7" s="71" t="s">
        <v>75</v>
      </c>
      <c r="EJ7" s="72" t="s">
        <v>76</v>
      </c>
      <c r="EK7" s="70" t="s">
        <v>74</v>
      </c>
      <c r="EL7" s="71" t="s">
        <v>75</v>
      </c>
      <c r="EM7" s="72" t="s">
        <v>76</v>
      </c>
      <c r="EN7" s="70" t="s">
        <v>74</v>
      </c>
      <c r="EO7" s="71" t="s">
        <v>75</v>
      </c>
      <c r="EP7" s="72" t="s">
        <v>76</v>
      </c>
      <c r="EQ7" s="75"/>
      <c r="ER7" s="76"/>
      <c r="EX7" s="77" t="s">
        <v>77</v>
      </c>
      <c r="EY7" s="77"/>
      <c r="EZ7" s="77"/>
    </row>
    <row r="8" ht="18" customHeight="1" spans="1:156" x14ac:dyDescent="0.25">
      <c r="A8" s="78"/>
      <c r="B8" s="79"/>
      <c r="C8" s="80"/>
      <c r="D8" s="81"/>
      <c r="E8" s="82">
        <f>AVERAGE(E9:E16)</f>
        <v>0</v>
      </c>
      <c r="F8" s="80"/>
      <c r="G8" s="83"/>
      <c r="H8" s="82">
        <f>AVERAGE(H9:H16)</f>
        <v>0</v>
      </c>
      <c r="I8" s="80"/>
      <c r="J8" s="83"/>
      <c r="K8" s="82">
        <f>AVERAGE(K9:K16)</f>
        <v>0</v>
      </c>
      <c r="L8" s="80"/>
      <c r="M8" s="83"/>
      <c r="N8" s="82">
        <f>AVERAGE(N9:N16)</f>
        <v>0</v>
      </c>
      <c r="O8" s="80"/>
      <c r="P8" s="83"/>
      <c r="Q8" s="82">
        <f>AVERAGE(Q9:Q16)</f>
        <v>0</v>
      </c>
      <c r="R8" s="80"/>
      <c r="S8" s="83"/>
      <c r="T8" s="82">
        <f>AVERAGE(T9:T16)</f>
        <v>0</v>
      </c>
      <c r="U8" s="80"/>
      <c r="V8" s="83"/>
      <c r="W8" s="82">
        <f>AVERAGE(W9:W16)</f>
        <v>0</v>
      </c>
      <c r="X8" s="80"/>
      <c r="Y8" s="83"/>
      <c r="Z8" s="82">
        <f>AVERAGE(Z9:Z16)</f>
        <v>0</v>
      </c>
      <c r="AA8" s="80"/>
      <c r="AB8" s="83"/>
      <c r="AC8" s="82">
        <f>AVERAGE(AC9:AC16)</f>
        <v>0</v>
      </c>
      <c r="AD8" s="80"/>
      <c r="AE8" s="83"/>
      <c r="AF8" s="82">
        <f>AVERAGE(AF9:AF16)</f>
        <v>0</v>
      </c>
      <c r="AG8" s="80"/>
      <c r="AH8" s="83"/>
      <c r="AI8" s="82">
        <f>AVERAGE(AI9:AI16)</f>
        <v>0</v>
      </c>
      <c r="AJ8" s="80"/>
      <c r="AK8" s="83"/>
      <c r="AL8" s="82">
        <f>AVERAGE(AL9:AL16)</f>
        <v>0</v>
      </c>
      <c r="AM8" s="80"/>
      <c r="AN8" s="83"/>
      <c r="AO8" s="82">
        <f>AVERAGE(AO9:AO16)</f>
        <v>0</v>
      </c>
      <c r="AP8" s="80"/>
      <c r="AQ8" s="83"/>
      <c r="AR8" s="82">
        <f>AVERAGE(AR9:AR16)</f>
        <v>0</v>
      </c>
      <c r="AS8" s="80"/>
      <c r="AT8" s="83"/>
      <c r="AU8" s="82">
        <f>AVERAGE(AU9:AU16)</f>
        <v>0</v>
      </c>
      <c r="AV8" s="80"/>
      <c r="AW8" s="83"/>
      <c r="AX8" s="82">
        <f>AVERAGE(AX9:AX16)</f>
        <v>0</v>
      </c>
      <c r="AY8" s="80"/>
      <c r="AZ8" s="83"/>
      <c r="BA8" s="82">
        <f>AVERAGE(BA9:BA16)</f>
        <v>0</v>
      </c>
      <c r="BB8" s="80"/>
      <c r="BC8" s="83"/>
      <c r="BD8" s="82">
        <f>AVERAGE(BD9:BD16)</f>
        <v>0</v>
      </c>
      <c r="BE8" s="80"/>
      <c r="BF8" s="83"/>
      <c r="BG8" s="82">
        <f>AVERAGE(BG9:BG16)</f>
        <v>0</v>
      </c>
      <c r="BH8" s="80"/>
      <c r="BI8" s="83"/>
      <c r="BJ8" s="82">
        <f>AVERAGE(BJ9:BJ16)</f>
        <v>0</v>
      </c>
      <c r="BK8" s="80"/>
      <c r="BL8" s="83"/>
      <c r="BM8" s="82">
        <f>AVERAGE(BM9:BM16)</f>
        <v>0</v>
      </c>
      <c r="BN8" s="80"/>
      <c r="BO8" s="83"/>
      <c r="BP8" s="82">
        <f>AVERAGE(BP9:BP16)</f>
        <v>0</v>
      </c>
      <c r="BQ8" s="80"/>
      <c r="BR8" s="83"/>
      <c r="BS8" s="82">
        <f>AVERAGE(BS9:BS16)</f>
        <v>0</v>
      </c>
      <c r="BT8" s="80"/>
      <c r="BU8" s="83"/>
      <c r="BV8" s="82">
        <f>AVERAGE(BV9:BV16)</f>
        <v>0</v>
      </c>
      <c r="BW8" s="80"/>
      <c r="BX8" s="83"/>
      <c r="BY8" s="82">
        <f>AVERAGE(BY9:BY16)</f>
        <v>0</v>
      </c>
      <c r="BZ8" s="80"/>
      <c r="CA8" s="83"/>
      <c r="CB8" s="82">
        <f>AVERAGE(CB9:CB16)</f>
        <v>0</v>
      </c>
      <c r="CC8" s="80"/>
      <c r="CD8" s="83"/>
      <c r="CE8" s="82">
        <f>AVERAGE(CE9:CE16)</f>
        <v>0</v>
      </c>
      <c r="CF8" s="80"/>
      <c r="CG8" s="83"/>
      <c r="CH8" s="82">
        <f>AVERAGE(CH9:CH16)</f>
        <v>0</v>
      </c>
      <c r="CI8" s="80"/>
      <c r="CJ8" s="83"/>
      <c r="CK8" s="82">
        <f>AVERAGE(CK9:CK16)</f>
        <v>0</v>
      </c>
      <c r="CL8" s="80"/>
      <c r="CM8" s="83"/>
      <c r="CN8" s="82">
        <f>AVERAGE(CN9:CN16)</f>
        <v>0</v>
      </c>
      <c r="CO8" s="80"/>
      <c r="CP8" s="83"/>
      <c r="CQ8" s="82">
        <f>AVERAGE(CQ9:CQ16)</f>
        <v>0</v>
      </c>
      <c r="CR8" s="80"/>
      <c r="CS8" s="83"/>
      <c r="CT8" s="82">
        <f>AVERAGE(CT9:CT16)</f>
        <v>0</v>
      </c>
      <c r="CU8" s="80"/>
      <c r="CV8" s="83"/>
      <c r="CW8" s="82">
        <f>AVERAGE(CW9:CW16)</f>
        <v>0</v>
      </c>
      <c r="CX8" s="80"/>
      <c r="CY8" s="83"/>
      <c r="CZ8" s="82">
        <f>AVERAGE(CZ9:CZ16)</f>
        <v>0</v>
      </c>
      <c r="DA8" s="80"/>
      <c r="DB8" s="83"/>
      <c r="DC8" s="82">
        <f>AVERAGE(DC9:DC16)</f>
        <v>0</v>
      </c>
      <c r="DD8" s="80"/>
      <c r="DE8" s="83"/>
      <c r="DF8" s="82">
        <f>AVERAGE(DF9:DF16)</f>
        <v>0</v>
      </c>
      <c r="DG8" s="80"/>
      <c r="DH8" s="83"/>
      <c r="DI8" s="82">
        <f>AVERAGE(DI9:DI16)</f>
        <v>0</v>
      </c>
      <c r="DJ8" s="80"/>
      <c r="DK8" s="83"/>
      <c r="DL8" s="82">
        <f>AVERAGE(DL9:DL16)</f>
        <v>0</v>
      </c>
      <c r="DM8" s="80"/>
      <c r="DN8" s="83"/>
      <c r="DO8" s="82">
        <f>AVERAGE(DO9:DO16)</f>
        <v>0</v>
      </c>
      <c r="DP8" s="80"/>
      <c r="DQ8" s="83"/>
      <c r="DR8" s="82">
        <f>AVERAGE(DR9:DR16)</f>
        <v>0</v>
      </c>
      <c r="DS8" s="80"/>
      <c r="DT8" s="83"/>
      <c r="DU8" s="82">
        <f>AVERAGE(DU9:DU16)</f>
        <v>0</v>
      </c>
      <c r="DV8" s="80"/>
      <c r="DW8" s="83"/>
      <c r="DX8" s="82">
        <f>AVERAGE(DX9:DX16)</f>
        <v>0</v>
      </c>
      <c r="DY8" s="80"/>
      <c r="DZ8" s="83"/>
      <c r="EA8" s="82">
        <f>AVERAGE(EA9:EA16)</f>
        <v>0</v>
      </c>
      <c r="EB8" s="80"/>
      <c r="EC8" s="83"/>
      <c r="ED8" s="82">
        <f>AVERAGE(ED9:ED16)</f>
        <v>0</v>
      </c>
      <c r="EE8" s="80"/>
      <c r="EF8" s="83"/>
      <c r="EG8" s="82">
        <f>AVERAGE(EG9:EG16)</f>
        <v>0</v>
      </c>
      <c r="EH8" s="80"/>
      <c r="EI8" s="83"/>
      <c r="EJ8" s="82">
        <f>AVERAGE(EJ9:EJ16)</f>
        <v>0</v>
      </c>
      <c r="EK8" s="80"/>
      <c r="EL8" s="83"/>
      <c r="EM8" s="82">
        <f>AVERAGE(EM9:EM16)</f>
        <v>0</v>
      </c>
      <c r="EN8" s="80"/>
      <c r="EO8" s="83"/>
      <c r="EP8" s="82">
        <f>AVERAGE(EP9:EP16)</f>
        <v>0</v>
      </c>
      <c r="EQ8" s="85">
        <f t="array" ref="EQ8">IFERROR(_xlfn.LET(
_xlpm.datos,CHOOSE({1;2;3;4;5;6;7;8;9;10;11;12;13;13;14;15;16;17;18;19;20;21;22;23;23;24;25;26;27;28;29;30;31;32;33;34;35;36;37;38;39;40;41;42;43;44;45;46;47},E8,H8,K8,N8,Q8,T8,W8,Z8,AC8,AF8,AI8,AL8,AO8,AR8,AU8,AX8,BA8,BD8,BG8,BJ8,BP8,BS8,BV8,BY8,CB8,CE8,CH8,CK8,CN8,CQ8,CT8,CW8,CZ8,DC8,DF8,DI8,DL8,DO8,DR8,DU8,DX8,EA8,ED8,EG8,EJ8,EM8,EP8),
AVERAGE(_xlfn._xlws.FILTER(_xlpm.datos,(_xlpm.datos&lt;&gt;0)*(_xlpm.datos&lt;&gt;"")))
),0)</f>
        <v>0</v>
      </c>
      <c r="ER8" s="162" t="str">
        <f t="array" ref="ER8">_xlfn.IFS(EQ8&gt;=91.5%,"MENSUAL",EQ8&gt;=75%,"QUINCENAL",EQ8&lt;75%,"SEMANAL")</f>
        <v>SEMANAL</v>
      </c>
      <c r="EX8" s="87"/>
      <c r="EY8" s="87"/>
      <c r="EZ8" s="87"/>
    </row>
    <row r="9" ht="41.25" customHeight="1" spans="1:156" x14ac:dyDescent="0.25">
      <c r="A9" s="88" t="s">
        <v>78</v>
      </c>
      <c r="B9" s="89"/>
      <c r="C9" s="102"/>
      <c r="D9" s="103">
        <v>5</v>
      </c>
      <c r="E9" s="104">
        <f t="shared" ref="E9:E16" si="0">C9/D9</f>
        <v>0</v>
      </c>
      <c r="F9" s="102"/>
      <c r="G9" s="103">
        <v>5</v>
      </c>
      <c r="H9" s="104">
        <f t="shared" ref="H9:H16" si="1">F9/G9</f>
        <v>0</v>
      </c>
      <c r="I9" s="105"/>
      <c r="J9" s="103">
        <v>5</v>
      </c>
      <c r="K9" s="104">
        <f t="shared" ref="K9:K16" si="2">I9/J9</f>
        <v>0</v>
      </c>
      <c r="L9" s="105"/>
      <c r="M9" s="103">
        <v>5</v>
      </c>
      <c r="N9" s="104">
        <f t="shared" ref="N9:N16" si="3">L9/M9</f>
        <v>0</v>
      </c>
      <c r="O9" s="106"/>
      <c r="P9" s="107">
        <v>5</v>
      </c>
      <c r="Q9" s="104">
        <f t="shared" ref="Q9:Q16" si="4">O9/P9</f>
        <v>0</v>
      </c>
      <c r="R9" s="102"/>
      <c r="S9" s="107">
        <v>5</v>
      </c>
      <c r="T9" s="104">
        <f t="shared" ref="T9:T16" si="5">R9/S9</f>
        <v>0</v>
      </c>
      <c r="U9" s="102"/>
      <c r="V9" s="107">
        <v>5</v>
      </c>
      <c r="W9" s="104">
        <f t="shared" ref="W9:W16" si="6">U9/V9</f>
        <v>0</v>
      </c>
      <c r="X9" s="102"/>
      <c r="Y9" s="107">
        <v>5</v>
      </c>
      <c r="Z9" s="104">
        <f t="shared" ref="Z9:Z16" si="7">X9/Y9</f>
        <v>0</v>
      </c>
      <c r="AA9" s="106"/>
      <c r="AB9" s="107">
        <v>5</v>
      </c>
      <c r="AC9" s="104">
        <f t="shared" ref="AC9:AC16" si="8">AA9/AB9</f>
        <v>0</v>
      </c>
      <c r="AD9" s="106"/>
      <c r="AE9" s="107">
        <v>5</v>
      </c>
      <c r="AF9" s="104">
        <f t="shared" ref="AF9:AF16" si="9">AD9/AE9</f>
        <v>0</v>
      </c>
      <c r="AG9" s="106"/>
      <c r="AH9" s="107">
        <v>5</v>
      </c>
      <c r="AI9" s="104">
        <f t="shared" ref="AI9:AI16" si="10">AG9/AH9</f>
        <v>0</v>
      </c>
      <c r="AJ9" s="106"/>
      <c r="AK9" s="107">
        <v>5</v>
      </c>
      <c r="AL9" s="104">
        <f t="shared" ref="AL9:AL16" si="11">AJ9/AK9</f>
        <v>0</v>
      </c>
      <c r="AM9" s="102"/>
      <c r="AN9" s="1">
        <v>5</v>
      </c>
      <c r="AO9" s="104">
        <f t="shared" ref="AO9:AO16" si="12">AM9/AN9</f>
        <v>0</v>
      </c>
      <c r="AP9" s="102"/>
      <c r="AQ9" s="1">
        <v>5</v>
      </c>
      <c r="AR9" s="104">
        <f t="shared" ref="AR9:AR16" si="13">AP9/AQ9</f>
        <v>0</v>
      </c>
      <c r="AS9" s="102"/>
      <c r="AT9" s="1">
        <v>5</v>
      </c>
      <c r="AU9" s="104">
        <f t="shared" ref="AU9:AU16" si="14">AS9/AT9</f>
        <v>0</v>
      </c>
      <c r="AV9" s="102"/>
      <c r="AW9" s="1">
        <v>5</v>
      </c>
      <c r="AX9" s="104">
        <f t="shared" ref="AX9:AX16" si="15">AV9/AW9</f>
        <v>0</v>
      </c>
      <c r="AY9" s="102"/>
      <c r="AZ9" s="1">
        <v>5</v>
      </c>
      <c r="BA9" s="104">
        <f t="shared" ref="BA9:BA16" si="16">AY9/AZ9</f>
        <v>0</v>
      </c>
      <c r="BB9" s="102"/>
      <c r="BC9" s="1">
        <v>5</v>
      </c>
      <c r="BD9" s="104">
        <f t="shared" ref="BD9:BD16" si="17">BB9/BC9</f>
        <v>0</v>
      </c>
      <c r="BE9" s="102"/>
      <c r="BF9" s="1">
        <v>5</v>
      </c>
      <c r="BG9" s="104">
        <f t="shared" ref="BG9:BG16" si="18">BE9/BF9</f>
        <v>0</v>
      </c>
      <c r="BH9" s="102"/>
      <c r="BI9" s="1">
        <v>5</v>
      </c>
      <c r="BJ9" s="104">
        <f t="shared" ref="BJ9:BJ16" si="19">BH9/BI9</f>
        <v>0</v>
      </c>
      <c r="BK9" s="102"/>
      <c r="BL9" s="1">
        <v>5</v>
      </c>
      <c r="BM9" s="104">
        <f t="shared" ref="BM9:BM16" si="20">BK9/BL9</f>
        <v>0</v>
      </c>
      <c r="BN9" s="102"/>
      <c r="BO9" s="1">
        <v>5</v>
      </c>
      <c r="BP9" s="104">
        <f t="shared" ref="BP9:BP16" si="21">BN9/BO9</f>
        <v>0</v>
      </c>
      <c r="BQ9" s="102"/>
      <c r="BR9" s="1">
        <v>5</v>
      </c>
      <c r="BS9" s="104">
        <f t="shared" ref="BS9:BS16" si="22">BQ9/BR9</f>
        <v>0</v>
      </c>
      <c r="BT9" s="102"/>
      <c r="BU9" s="1">
        <v>5</v>
      </c>
      <c r="BV9" s="104">
        <f t="shared" ref="BV9:BV16" si="23">BT9/BU9</f>
        <v>0</v>
      </c>
      <c r="BW9" s="102"/>
      <c r="BX9" s="1">
        <v>5</v>
      </c>
      <c r="BY9" s="104">
        <f t="shared" ref="BY9:BY16" si="24">BW9/BX9</f>
        <v>0</v>
      </c>
      <c r="BZ9" s="102"/>
      <c r="CA9" s="1">
        <v>5</v>
      </c>
      <c r="CB9" s="104">
        <f t="shared" ref="CB9:CB16" si="25">BZ9/CA9</f>
        <v>0</v>
      </c>
      <c r="CC9" s="102"/>
      <c r="CD9" s="1">
        <v>5</v>
      </c>
      <c r="CE9" s="104">
        <f t="shared" ref="CE9:CE16" si="26">CC9/CD9</f>
        <v>0</v>
      </c>
      <c r="CF9" s="102"/>
      <c r="CG9" s="1">
        <v>5</v>
      </c>
      <c r="CH9" s="104">
        <f t="shared" ref="CH9:CH16" si="27">CF9/CG9</f>
        <v>0</v>
      </c>
      <c r="CI9" s="102"/>
      <c r="CJ9" s="1">
        <v>5</v>
      </c>
      <c r="CK9" s="104">
        <f t="shared" ref="CK9:CK16" si="28">CI9/CJ9</f>
        <v>0</v>
      </c>
      <c r="CL9" s="102"/>
      <c r="CM9" s="1">
        <v>5</v>
      </c>
      <c r="CN9" s="104">
        <f t="shared" ref="CN9:CN16" si="29">CL9/CM9</f>
        <v>0</v>
      </c>
      <c r="CO9" s="102"/>
      <c r="CP9" s="1">
        <v>5</v>
      </c>
      <c r="CQ9" s="104">
        <f t="shared" ref="CQ9:CQ16" si="30">CO9/CP9</f>
        <v>0</v>
      </c>
      <c r="CR9" s="102"/>
      <c r="CS9" s="1">
        <v>5</v>
      </c>
      <c r="CT9" s="104">
        <f t="shared" ref="CT9:CT16" si="31">CR9/CS9</f>
        <v>0</v>
      </c>
      <c r="CU9" s="102"/>
      <c r="CV9" s="1">
        <v>5</v>
      </c>
      <c r="CW9" s="104">
        <f t="shared" ref="CW9:CW16" si="32">CU9/CV9</f>
        <v>0</v>
      </c>
      <c r="CX9" s="102"/>
      <c r="CY9" s="1">
        <v>5</v>
      </c>
      <c r="CZ9" s="104">
        <f t="shared" ref="CZ9:CZ16" si="33">CX9/CY9</f>
        <v>0</v>
      </c>
      <c r="DA9" s="102"/>
      <c r="DB9" s="1">
        <v>5</v>
      </c>
      <c r="DC9" s="104">
        <f t="shared" ref="DC9:DC16" si="34">DA9/DB9</f>
        <v>0</v>
      </c>
      <c r="DD9" s="102"/>
      <c r="DE9" s="1">
        <v>5</v>
      </c>
      <c r="DF9" s="104">
        <f t="shared" ref="DF9:DF16" si="35">DD9/DE9</f>
        <v>0</v>
      </c>
      <c r="DG9" s="102"/>
      <c r="DH9" s="1">
        <v>5</v>
      </c>
      <c r="DI9" s="104">
        <f t="shared" ref="DI9:DI16" si="36">DG9/DH9</f>
        <v>0</v>
      </c>
      <c r="DJ9" s="102"/>
      <c r="DK9" s="1">
        <v>5</v>
      </c>
      <c r="DL9" s="104">
        <f t="shared" ref="DL9:DL16" si="37">DJ9/DK9</f>
        <v>0</v>
      </c>
      <c r="DM9" s="102"/>
      <c r="DN9" s="1">
        <v>5</v>
      </c>
      <c r="DO9" s="104">
        <f t="shared" ref="DO9:DO16" si="38">DM9/DN9</f>
        <v>0</v>
      </c>
      <c r="DP9" s="102"/>
      <c r="DQ9" s="1">
        <v>5</v>
      </c>
      <c r="DR9" s="104">
        <f t="shared" ref="DR9:DR16" si="39">DP9/DQ9</f>
        <v>0</v>
      </c>
      <c r="DS9" s="102"/>
      <c r="DT9" s="1">
        <v>5</v>
      </c>
      <c r="DU9" s="104">
        <f t="shared" ref="DU9:DU16" si="40">DS9/DT9</f>
        <v>0</v>
      </c>
      <c r="DV9" s="102"/>
      <c r="DW9" s="1">
        <v>5</v>
      </c>
      <c r="DX9" s="104">
        <f t="shared" ref="DX9:DX16" si="41">DV9/DW9</f>
        <v>0</v>
      </c>
      <c r="DY9" s="102"/>
      <c r="DZ9" s="1">
        <v>5</v>
      </c>
      <c r="EA9" s="104">
        <f t="shared" ref="EA9:EA16" si="42">DY9/DZ9</f>
        <v>0</v>
      </c>
      <c r="EB9" s="102"/>
      <c r="EC9" s="1">
        <v>5</v>
      </c>
      <c r="ED9" s="104">
        <f t="shared" ref="ED9:ED16" si="43">EB9/EC9</f>
        <v>0</v>
      </c>
      <c r="EE9" s="102"/>
      <c r="EF9" s="1">
        <v>5</v>
      </c>
      <c r="EG9" s="104">
        <f t="shared" ref="EG9:EG16" si="44">EE9/EF9</f>
        <v>0</v>
      </c>
      <c r="EH9" s="102"/>
      <c r="EI9" s="1">
        <v>5</v>
      </c>
      <c r="EJ9" s="104">
        <f t="shared" ref="EJ9:EJ16" si="45">EH9/EI9</f>
        <v>0</v>
      </c>
      <c r="EK9" s="102"/>
      <c r="EL9" s="1">
        <v>5</v>
      </c>
      <c r="EM9" s="104">
        <f t="shared" ref="EM9:EM16" si="46">EK9/EL9</f>
        <v>0</v>
      </c>
      <c r="EN9" s="102"/>
      <c r="EO9" s="1">
        <v>5</v>
      </c>
      <c r="EP9" s="104">
        <f t="shared" ref="EP9:EP16" si="47">EN9/EO9</f>
        <v>0</v>
      </c>
      <c r="EQ9" s="85">
        <f t="array" ref="EQ9">IFERROR(_xlfn.LET(
_xlpm.datos,CHOOSE({1;2;3;4;5;6;7;8;9;10;11;12;13;13;14;15;16;17;18;19;20;21;22;23;23;24;25;26;27;28;29;30;31;32;33;34;35;36;37;38;39;40;41;42;43;44;45;46;47},E9,H9,K9,N9,Q9,T9,W9,Z9,AC9,AF9,AI9,AL9,AO9,AR9,AU9,AX9,BA9,BD9,BG9,BJ9,BP9,BS9,BV9,BY9,CB9,CE9,CH9,CK9,CN9,CQ9,CT9,CW9,CZ9,DC9,DF9,DI9,DL9,DO9,DR9,DU9,DX9,EA9,ED9,EG9,EJ9,EM9,EP9),
AVERAGE(_xlfn._xlws.FILTER(_xlpm.datos,(_xlpm.datos&lt;&gt;0)*(_xlpm.datos&lt;&gt;"")))
),0)</f>
        <v>0</v>
      </c>
      <c r="ER9" s="162" t="str">
        <f t="array" ref="ER9">_xlfn.IFS(EQ9&gt;=91.5%,"MENSUAL",EQ9&gt;=75%,"QUINCENAL",EQ9&lt;75%,"SEMANAL")</f>
        <v>SEMANAL</v>
      </c>
      <c r="EX9" s="98">
        <v>1</v>
      </c>
      <c r="EY9" s="98" t="s">
        <v>79</v>
      </c>
      <c r="EZ9" s="99" t="s">
        <v>80</v>
      </c>
    </row>
    <row r="10" ht="30" customHeight="1" spans="1:156" x14ac:dyDescent="0.25">
      <c r="A10" s="100" t="s">
        <v>135</v>
      </c>
      <c r="B10" s="101"/>
      <c r="C10" s="102"/>
      <c r="D10" s="103">
        <v>5</v>
      </c>
      <c r="E10" s="104">
        <f t="shared" si="0"/>
        <v>0</v>
      </c>
      <c r="F10" s="102"/>
      <c r="G10" s="103">
        <v>5</v>
      </c>
      <c r="H10" s="104">
        <f t="shared" si="1"/>
        <v>0</v>
      </c>
      <c r="I10" s="105"/>
      <c r="J10" s="103">
        <v>5</v>
      </c>
      <c r="K10" s="104">
        <f t="shared" si="2"/>
        <v>0</v>
      </c>
      <c r="L10" s="105"/>
      <c r="M10" s="103">
        <v>5</v>
      </c>
      <c r="N10" s="104">
        <f t="shared" si="3"/>
        <v>0</v>
      </c>
      <c r="O10" s="106"/>
      <c r="P10" s="107">
        <v>5</v>
      </c>
      <c r="Q10" s="104">
        <f t="shared" si="4"/>
        <v>0</v>
      </c>
      <c r="R10" s="102"/>
      <c r="S10" s="107">
        <v>5</v>
      </c>
      <c r="T10" s="104">
        <f t="shared" si="5"/>
        <v>0</v>
      </c>
      <c r="U10" s="102"/>
      <c r="V10" s="107">
        <v>5</v>
      </c>
      <c r="W10" s="104">
        <f t="shared" si="6"/>
        <v>0</v>
      </c>
      <c r="X10" s="102"/>
      <c r="Y10" s="107">
        <v>5</v>
      </c>
      <c r="Z10" s="104">
        <f t="shared" si="7"/>
        <v>0</v>
      </c>
      <c r="AA10" s="106"/>
      <c r="AB10" s="107">
        <v>5</v>
      </c>
      <c r="AC10" s="104">
        <f t="shared" si="8"/>
        <v>0</v>
      </c>
      <c r="AD10" s="106"/>
      <c r="AE10" s="107">
        <v>5</v>
      </c>
      <c r="AF10" s="104">
        <f t="shared" si="9"/>
        <v>0</v>
      </c>
      <c r="AG10" s="106"/>
      <c r="AH10" s="107">
        <v>5</v>
      </c>
      <c r="AI10" s="104">
        <f t="shared" si="10"/>
        <v>0</v>
      </c>
      <c r="AJ10" s="106"/>
      <c r="AK10" s="107">
        <v>5</v>
      </c>
      <c r="AL10" s="104">
        <f t="shared" si="11"/>
        <v>0</v>
      </c>
      <c r="AM10" s="102"/>
      <c r="AN10" s="1">
        <v>5</v>
      </c>
      <c r="AO10" s="104">
        <f t="shared" si="12"/>
        <v>0</v>
      </c>
      <c r="AP10" s="102"/>
      <c r="AQ10" s="1">
        <v>5</v>
      </c>
      <c r="AR10" s="104">
        <f t="shared" si="13"/>
        <v>0</v>
      </c>
      <c r="AS10" s="102"/>
      <c r="AT10" s="1">
        <v>5</v>
      </c>
      <c r="AU10" s="104">
        <f t="shared" si="14"/>
        <v>0</v>
      </c>
      <c r="AV10" s="102"/>
      <c r="AW10" s="1">
        <v>5</v>
      </c>
      <c r="AX10" s="104">
        <f t="shared" si="15"/>
        <v>0</v>
      </c>
      <c r="AY10" s="102"/>
      <c r="AZ10" s="1">
        <v>5</v>
      </c>
      <c r="BA10" s="104">
        <f t="shared" si="16"/>
        <v>0</v>
      </c>
      <c r="BB10" s="102"/>
      <c r="BC10" s="1">
        <v>5</v>
      </c>
      <c r="BD10" s="104">
        <f t="shared" si="17"/>
        <v>0</v>
      </c>
      <c r="BE10" s="102"/>
      <c r="BF10" s="1">
        <v>5</v>
      </c>
      <c r="BG10" s="104">
        <f t="shared" si="18"/>
        <v>0</v>
      </c>
      <c r="BH10" s="102"/>
      <c r="BI10" s="1">
        <v>5</v>
      </c>
      <c r="BJ10" s="104">
        <f t="shared" si="19"/>
        <v>0</v>
      </c>
      <c r="BK10" s="102"/>
      <c r="BL10" s="1">
        <v>5</v>
      </c>
      <c r="BM10" s="104">
        <f t="shared" si="20"/>
        <v>0</v>
      </c>
      <c r="BN10" s="102"/>
      <c r="BO10" s="1">
        <v>5</v>
      </c>
      <c r="BP10" s="104">
        <f t="shared" si="21"/>
        <v>0</v>
      </c>
      <c r="BQ10" s="102"/>
      <c r="BR10" s="1">
        <v>5</v>
      </c>
      <c r="BS10" s="104">
        <f t="shared" si="22"/>
        <v>0</v>
      </c>
      <c r="BT10" s="102"/>
      <c r="BU10" s="1">
        <v>5</v>
      </c>
      <c r="BV10" s="104">
        <f t="shared" si="23"/>
        <v>0</v>
      </c>
      <c r="BW10" s="102"/>
      <c r="BX10" s="1">
        <v>5</v>
      </c>
      <c r="BY10" s="104">
        <f t="shared" si="24"/>
        <v>0</v>
      </c>
      <c r="BZ10" s="102"/>
      <c r="CA10" s="1">
        <v>5</v>
      </c>
      <c r="CB10" s="104">
        <f t="shared" si="25"/>
        <v>0</v>
      </c>
      <c r="CC10" s="102"/>
      <c r="CD10" s="1">
        <v>5</v>
      </c>
      <c r="CE10" s="104">
        <f t="shared" si="26"/>
        <v>0</v>
      </c>
      <c r="CF10" s="102"/>
      <c r="CG10" s="1">
        <v>5</v>
      </c>
      <c r="CH10" s="104">
        <f t="shared" si="27"/>
        <v>0</v>
      </c>
      <c r="CI10" s="102"/>
      <c r="CJ10" s="1">
        <v>5</v>
      </c>
      <c r="CK10" s="104">
        <f t="shared" si="28"/>
        <v>0</v>
      </c>
      <c r="CL10" s="102"/>
      <c r="CM10" s="1">
        <v>5</v>
      </c>
      <c r="CN10" s="104">
        <f t="shared" si="29"/>
        <v>0</v>
      </c>
      <c r="CO10" s="102"/>
      <c r="CP10" s="1">
        <v>5</v>
      </c>
      <c r="CQ10" s="104">
        <f t="shared" si="30"/>
        <v>0</v>
      </c>
      <c r="CR10" s="102"/>
      <c r="CS10" s="1">
        <v>5</v>
      </c>
      <c r="CT10" s="104">
        <f t="shared" si="31"/>
        <v>0</v>
      </c>
      <c r="CU10" s="102"/>
      <c r="CV10" s="1">
        <v>5</v>
      </c>
      <c r="CW10" s="104">
        <f t="shared" si="32"/>
        <v>0</v>
      </c>
      <c r="CX10" s="102"/>
      <c r="CY10" s="1">
        <v>5</v>
      </c>
      <c r="CZ10" s="104">
        <f t="shared" si="33"/>
        <v>0</v>
      </c>
      <c r="DA10" s="102"/>
      <c r="DB10" s="1">
        <v>5</v>
      </c>
      <c r="DC10" s="104">
        <f t="shared" si="34"/>
        <v>0</v>
      </c>
      <c r="DD10" s="102"/>
      <c r="DE10" s="1">
        <v>5</v>
      </c>
      <c r="DF10" s="104">
        <f t="shared" si="35"/>
        <v>0</v>
      </c>
      <c r="DG10" s="102"/>
      <c r="DH10" s="1">
        <v>5</v>
      </c>
      <c r="DI10" s="104">
        <f t="shared" si="36"/>
        <v>0</v>
      </c>
      <c r="DJ10" s="102"/>
      <c r="DK10" s="1">
        <v>5</v>
      </c>
      <c r="DL10" s="104">
        <f t="shared" si="37"/>
        <v>0</v>
      </c>
      <c r="DM10" s="102"/>
      <c r="DN10" s="1">
        <v>5</v>
      </c>
      <c r="DO10" s="104">
        <f t="shared" si="38"/>
        <v>0</v>
      </c>
      <c r="DP10" s="102"/>
      <c r="DQ10" s="1">
        <v>5</v>
      </c>
      <c r="DR10" s="104">
        <f t="shared" si="39"/>
        <v>0</v>
      </c>
      <c r="DS10" s="102"/>
      <c r="DT10" s="1">
        <v>5</v>
      </c>
      <c r="DU10" s="104">
        <f t="shared" si="40"/>
        <v>0</v>
      </c>
      <c r="DV10" s="102"/>
      <c r="DW10" s="1">
        <v>5</v>
      </c>
      <c r="DX10" s="104">
        <f t="shared" si="41"/>
        <v>0</v>
      </c>
      <c r="DY10" s="102"/>
      <c r="DZ10" s="1">
        <v>5</v>
      </c>
      <c r="EA10" s="104">
        <f t="shared" si="42"/>
        <v>0</v>
      </c>
      <c r="EB10" s="102"/>
      <c r="EC10" s="1">
        <v>5</v>
      </c>
      <c r="ED10" s="104">
        <f t="shared" si="43"/>
        <v>0</v>
      </c>
      <c r="EE10" s="102"/>
      <c r="EF10" s="1">
        <v>5</v>
      </c>
      <c r="EG10" s="104">
        <f t="shared" si="44"/>
        <v>0</v>
      </c>
      <c r="EH10" s="102"/>
      <c r="EI10" s="1">
        <v>5</v>
      </c>
      <c r="EJ10" s="104">
        <f t="shared" si="45"/>
        <v>0</v>
      </c>
      <c r="EK10" s="102"/>
      <c r="EL10" s="1">
        <v>5</v>
      </c>
      <c r="EM10" s="104">
        <f t="shared" si="46"/>
        <v>0</v>
      </c>
      <c r="EN10" s="102"/>
      <c r="EO10" s="1">
        <v>5</v>
      </c>
      <c r="EP10" s="104">
        <f t="shared" si="47"/>
        <v>0</v>
      </c>
      <c r="EQ10" s="85">
        <f t="array" ref="EQ10">IFERROR(_xlfn.LET(
_xlpm.datos,CHOOSE({1;2;3;4;5;6;7;8;9;10;11;12;13;13;14;15;16;17;18;19;20;21;22;23;23;24;25;26;27;28;29;30;31;32;33;34;35;36;37;38;39;40;41;42;43;44;45;46;47},E10,H10,K10,N10,Q10,T10,W10,Z10,AC10,AF10,AI10,AL10,AO10,AR10,AU10,AX10,BA10,BD10,BG10,BJ10,BP10,BS10,BV10,BY10,CB10,CE10,CH10,CK10,CN10,CQ10,CT10,CW10,CZ10,DC10,DF10,DI10,DL10,DO10,DR10,DU10,DX10,EA10,ED10,EG10,EJ10,EM10,EP10),
AVERAGE(_xlfn._xlws.FILTER(_xlpm.datos,(_xlpm.datos&lt;&gt;0)*(_xlpm.datos&lt;&gt;"")))
),0)</f>
        <v>0</v>
      </c>
      <c r="ER10" s="162" t="str">
        <f t="array" ref="ER10">_xlfn.IFS(EQ10&gt;=91.5%,"MENSUAL",EQ10&gt;=75%,"QUINCENAL",EQ10&lt;75%,"SEMANAL")</f>
        <v>SEMANAL</v>
      </c>
      <c r="EX10" s="86">
        <v>2</v>
      </c>
      <c r="EY10" s="86" t="s">
        <v>82</v>
      </c>
      <c r="EZ10" s="109" t="s">
        <v>83</v>
      </c>
    </row>
    <row r="11" ht="37" customHeight="1" spans="1:156" x14ac:dyDescent="0.25">
      <c r="A11" s="100" t="s">
        <v>136</v>
      </c>
      <c r="B11" s="101"/>
      <c r="C11" s="102"/>
      <c r="D11" s="103">
        <v>5</v>
      </c>
      <c r="E11" s="104">
        <f t="shared" si="0"/>
        <v>0</v>
      </c>
      <c r="F11" s="102"/>
      <c r="G11" s="103">
        <v>5</v>
      </c>
      <c r="H11" s="104">
        <f t="shared" si="1"/>
        <v>0</v>
      </c>
      <c r="I11" s="105"/>
      <c r="J11" s="103">
        <v>5</v>
      </c>
      <c r="K11" s="104">
        <f t="shared" si="2"/>
        <v>0</v>
      </c>
      <c r="L11" s="105"/>
      <c r="M11" s="103">
        <v>5</v>
      </c>
      <c r="N11" s="104">
        <f t="shared" si="3"/>
        <v>0</v>
      </c>
      <c r="O11" s="106"/>
      <c r="P11" s="107">
        <v>5</v>
      </c>
      <c r="Q11" s="104">
        <f t="shared" si="4"/>
        <v>0</v>
      </c>
      <c r="R11" s="102"/>
      <c r="S11" s="107">
        <v>5</v>
      </c>
      <c r="T11" s="104">
        <f t="shared" si="5"/>
        <v>0</v>
      </c>
      <c r="U11" s="102"/>
      <c r="V11" s="107">
        <v>5</v>
      </c>
      <c r="W11" s="104">
        <f t="shared" si="6"/>
        <v>0</v>
      </c>
      <c r="X11" s="102"/>
      <c r="Y11" s="107">
        <v>5</v>
      </c>
      <c r="Z11" s="104">
        <f t="shared" si="7"/>
        <v>0</v>
      </c>
      <c r="AA11" s="106"/>
      <c r="AB11" s="107">
        <v>5</v>
      </c>
      <c r="AC11" s="104">
        <f t="shared" si="8"/>
        <v>0</v>
      </c>
      <c r="AD11" s="106"/>
      <c r="AE11" s="107">
        <v>5</v>
      </c>
      <c r="AF11" s="104">
        <f t="shared" si="9"/>
        <v>0</v>
      </c>
      <c r="AG11" s="106"/>
      <c r="AH11" s="107">
        <v>5</v>
      </c>
      <c r="AI11" s="104">
        <f t="shared" si="10"/>
        <v>0</v>
      </c>
      <c r="AJ11" s="106"/>
      <c r="AK11" s="107">
        <v>5</v>
      </c>
      <c r="AL11" s="104">
        <f t="shared" si="11"/>
        <v>0</v>
      </c>
      <c r="AM11" s="102"/>
      <c r="AN11" s="1">
        <v>5</v>
      </c>
      <c r="AO11" s="104">
        <f t="shared" si="12"/>
        <v>0</v>
      </c>
      <c r="AP11" s="102"/>
      <c r="AQ11" s="1">
        <v>5</v>
      </c>
      <c r="AR11" s="104">
        <f t="shared" si="13"/>
        <v>0</v>
      </c>
      <c r="AS11" s="102"/>
      <c r="AT11" s="1">
        <v>5</v>
      </c>
      <c r="AU11" s="104">
        <f t="shared" si="14"/>
        <v>0</v>
      </c>
      <c r="AV11" s="102"/>
      <c r="AW11" s="1">
        <v>5</v>
      </c>
      <c r="AX11" s="104">
        <f t="shared" si="15"/>
        <v>0</v>
      </c>
      <c r="AY11" s="102"/>
      <c r="AZ11" s="1">
        <v>5</v>
      </c>
      <c r="BA11" s="104">
        <f t="shared" si="16"/>
        <v>0</v>
      </c>
      <c r="BB11" s="102"/>
      <c r="BC11" s="1">
        <v>5</v>
      </c>
      <c r="BD11" s="104">
        <f t="shared" si="17"/>
        <v>0</v>
      </c>
      <c r="BE11" s="102"/>
      <c r="BF11" s="1">
        <v>5</v>
      </c>
      <c r="BG11" s="104">
        <f t="shared" si="18"/>
        <v>0</v>
      </c>
      <c r="BH11" s="102"/>
      <c r="BI11" s="1">
        <v>5</v>
      </c>
      <c r="BJ11" s="104">
        <f t="shared" si="19"/>
        <v>0</v>
      </c>
      <c r="BK11" s="102"/>
      <c r="BL11" s="1">
        <v>5</v>
      </c>
      <c r="BM11" s="104">
        <f t="shared" si="20"/>
        <v>0</v>
      </c>
      <c r="BN11" s="102"/>
      <c r="BO11" s="1">
        <v>5</v>
      </c>
      <c r="BP11" s="104">
        <f t="shared" si="21"/>
        <v>0</v>
      </c>
      <c r="BQ11" s="102"/>
      <c r="BR11" s="1">
        <v>5</v>
      </c>
      <c r="BS11" s="104">
        <f t="shared" si="22"/>
        <v>0</v>
      </c>
      <c r="BT11" s="102"/>
      <c r="BU11" s="1">
        <v>5</v>
      </c>
      <c r="BV11" s="104">
        <f t="shared" si="23"/>
        <v>0</v>
      </c>
      <c r="BW11" s="102"/>
      <c r="BX11" s="1">
        <v>5</v>
      </c>
      <c r="BY11" s="104">
        <f t="shared" si="24"/>
        <v>0</v>
      </c>
      <c r="BZ11" s="102"/>
      <c r="CA11" s="1">
        <v>5</v>
      </c>
      <c r="CB11" s="104">
        <f t="shared" si="25"/>
        <v>0</v>
      </c>
      <c r="CC11" s="102"/>
      <c r="CD11" s="1">
        <v>5</v>
      </c>
      <c r="CE11" s="104">
        <f t="shared" si="26"/>
        <v>0</v>
      </c>
      <c r="CF11" s="102"/>
      <c r="CG11" s="1">
        <v>5</v>
      </c>
      <c r="CH11" s="104">
        <f t="shared" si="27"/>
        <v>0</v>
      </c>
      <c r="CI11" s="102"/>
      <c r="CJ11" s="1">
        <v>5</v>
      </c>
      <c r="CK11" s="104">
        <f t="shared" si="28"/>
        <v>0</v>
      </c>
      <c r="CL11" s="102"/>
      <c r="CM11" s="1">
        <v>5</v>
      </c>
      <c r="CN11" s="104">
        <f t="shared" si="29"/>
        <v>0</v>
      </c>
      <c r="CO11" s="102"/>
      <c r="CP11" s="1">
        <v>5</v>
      </c>
      <c r="CQ11" s="104">
        <f t="shared" si="30"/>
        <v>0</v>
      </c>
      <c r="CR11" s="102"/>
      <c r="CS11" s="1">
        <v>5</v>
      </c>
      <c r="CT11" s="104">
        <f t="shared" si="31"/>
        <v>0</v>
      </c>
      <c r="CU11" s="102"/>
      <c r="CV11" s="1">
        <v>5</v>
      </c>
      <c r="CW11" s="104">
        <f t="shared" si="32"/>
        <v>0</v>
      </c>
      <c r="CX11" s="102"/>
      <c r="CY11" s="1">
        <v>5</v>
      </c>
      <c r="CZ11" s="104">
        <f t="shared" si="33"/>
        <v>0</v>
      </c>
      <c r="DA11" s="102"/>
      <c r="DB11" s="1">
        <v>5</v>
      </c>
      <c r="DC11" s="104">
        <f t="shared" si="34"/>
        <v>0</v>
      </c>
      <c r="DD11" s="102"/>
      <c r="DE11" s="1">
        <v>5</v>
      </c>
      <c r="DF11" s="104">
        <f t="shared" si="35"/>
        <v>0</v>
      </c>
      <c r="DG11" s="102"/>
      <c r="DH11" s="1">
        <v>5</v>
      </c>
      <c r="DI11" s="104">
        <f t="shared" si="36"/>
        <v>0</v>
      </c>
      <c r="DJ11" s="102"/>
      <c r="DK11" s="1">
        <v>5</v>
      </c>
      <c r="DL11" s="104">
        <f t="shared" si="37"/>
        <v>0</v>
      </c>
      <c r="DM11" s="102"/>
      <c r="DN11" s="1">
        <v>5</v>
      </c>
      <c r="DO11" s="104">
        <f t="shared" si="38"/>
        <v>0</v>
      </c>
      <c r="DP11" s="102"/>
      <c r="DQ11" s="1">
        <v>5</v>
      </c>
      <c r="DR11" s="104">
        <f t="shared" si="39"/>
        <v>0</v>
      </c>
      <c r="DS11" s="102"/>
      <c r="DT11" s="1">
        <v>5</v>
      </c>
      <c r="DU11" s="104">
        <f t="shared" si="40"/>
        <v>0</v>
      </c>
      <c r="DV11" s="102"/>
      <c r="DW11" s="1">
        <v>5</v>
      </c>
      <c r="DX11" s="104">
        <f t="shared" si="41"/>
        <v>0</v>
      </c>
      <c r="DY11" s="102"/>
      <c r="DZ11" s="1">
        <v>5</v>
      </c>
      <c r="EA11" s="104">
        <f t="shared" si="42"/>
        <v>0</v>
      </c>
      <c r="EB11" s="102"/>
      <c r="EC11" s="1">
        <v>5</v>
      </c>
      <c r="ED11" s="104">
        <f t="shared" si="43"/>
        <v>0</v>
      </c>
      <c r="EE11" s="102"/>
      <c r="EF11" s="1">
        <v>5</v>
      </c>
      <c r="EG11" s="104">
        <f t="shared" si="44"/>
        <v>0</v>
      </c>
      <c r="EH11" s="102"/>
      <c r="EI11" s="1">
        <v>5</v>
      </c>
      <c r="EJ11" s="104">
        <f t="shared" si="45"/>
        <v>0</v>
      </c>
      <c r="EK11" s="102"/>
      <c r="EL11" s="1">
        <v>5</v>
      </c>
      <c r="EM11" s="104">
        <f t="shared" si="46"/>
        <v>0</v>
      </c>
      <c r="EN11" s="102"/>
      <c r="EO11" s="1">
        <v>5</v>
      </c>
      <c r="EP11" s="104">
        <f t="shared" si="47"/>
        <v>0</v>
      </c>
      <c r="EQ11" s="85">
        <f t="array" ref="EQ11">IFERROR(_xlfn.LET(
_xlpm.datos,CHOOSE({1;2;3;4;5;6;7;8;9;10;11;12;13;13;14;15;16;17;18;19;20;21;22;23;23;24;25;26;27;28;29;30;31;32;33;34;35;36;37;38;39;40;41;42;43;44;45;46;47},E11,H11,K11,N11,Q11,T11,W11,Z11,AC11,AF11,AI11,AL11,AO11,AR11,AU11,AX11,BA11,BD11,BG11,BJ11,BP11,BS11,BV11,BY11,CB11,CE11,CH11,CK11,CN11,CQ11,CT11,CW11,CZ11,DC11,DF11,DI11,DL11,DO11,DR11,DU11,DX11,EA11,ED11,EG11,EJ11,EM11,EP11),
AVERAGE(_xlfn._xlws.FILTER(_xlpm.datos,(_xlpm.datos&lt;&gt;0)*(_xlpm.datos&lt;&gt;"")))
),0)</f>
        <v>0</v>
      </c>
      <c r="ER11" s="162" t="str">
        <f t="array" ref="ER11">_xlfn.IFS(EQ11&gt;=91.5%,"MENSUAL",EQ11&gt;=75%,"QUINCENAL",EQ11&lt;75%,"SEMANAL")</f>
        <v>SEMANAL</v>
      </c>
      <c r="EX11" s="114">
        <v>3</v>
      </c>
      <c r="EY11" s="114" t="s">
        <v>85</v>
      </c>
      <c r="EZ11" s="109" t="s">
        <v>86</v>
      </c>
    </row>
    <row r="12" ht="27" customHeight="1" spans="1:148" x14ac:dyDescent="0.25">
      <c r="A12" s="100" t="s">
        <v>137</v>
      </c>
      <c r="B12" s="101"/>
      <c r="C12" s="102"/>
      <c r="D12" s="103">
        <v>5</v>
      </c>
      <c r="E12" s="104">
        <f t="shared" si="0"/>
        <v>0</v>
      </c>
      <c r="F12" s="102"/>
      <c r="G12" s="103">
        <v>5</v>
      </c>
      <c r="H12" s="104">
        <f t="shared" si="1"/>
        <v>0</v>
      </c>
      <c r="I12" s="105"/>
      <c r="J12" s="103">
        <v>5</v>
      </c>
      <c r="K12" s="104">
        <f t="shared" si="2"/>
        <v>0</v>
      </c>
      <c r="L12" s="105"/>
      <c r="M12" s="103">
        <v>5</v>
      </c>
      <c r="N12" s="104">
        <f t="shared" si="3"/>
        <v>0</v>
      </c>
      <c r="O12" s="106"/>
      <c r="P12" s="107">
        <v>5</v>
      </c>
      <c r="Q12" s="104">
        <f t="shared" si="4"/>
        <v>0</v>
      </c>
      <c r="R12" s="102"/>
      <c r="S12" s="107">
        <v>5</v>
      </c>
      <c r="T12" s="104">
        <f t="shared" si="5"/>
        <v>0</v>
      </c>
      <c r="U12" s="102"/>
      <c r="V12" s="107">
        <v>5</v>
      </c>
      <c r="W12" s="104">
        <f t="shared" si="6"/>
        <v>0</v>
      </c>
      <c r="X12" s="102"/>
      <c r="Y12" s="107">
        <v>5</v>
      </c>
      <c r="Z12" s="104">
        <f t="shared" si="7"/>
        <v>0</v>
      </c>
      <c r="AA12" s="106"/>
      <c r="AB12" s="107">
        <v>5</v>
      </c>
      <c r="AC12" s="104">
        <f t="shared" si="8"/>
        <v>0</v>
      </c>
      <c r="AD12" s="106"/>
      <c r="AE12" s="107">
        <v>5</v>
      </c>
      <c r="AF12" s="104">
        <f t="shared" si="9"/>
        <v>0</v>
      </c>
      <c r="AG12" s="106"/>
      <c r="AH12" s="107">
        <v>5</v>
      </c>
      <c r="AI12" s="104">
        <f t="shared" si="10"/>
        <v>0</v>
      </c>
      <c r="AJ12" s="106"/>
      <c r="AK12" s="107">
        <v>5</v>
      </c>
      <c r="AL12" s="104">
        <f t="shared" si="11"/>
        <v>0</v>
      </c>
      <c r="AM12" s="102"/>
      <c r="AN12" s="1">
        <v>5</v>
      </c>
      <c r="AO12" s="104">
        <f t="shared" si="12"/>
        <v>0</v>
      </c>
      <c r="AP12" s="102"/>
      <c r="AQ12" s="1">
        <v>5</v>
      </c>
      <c r="AR12" s="104">
        <f t="shared" si="13"/>
        <v>0</v>
      </c>
      <c r="AS12" s="102"/>
      <c r="AT12" s="1">
        <v>5</v>
      </c>
      <c r="AU12" s="104">
        <f t="shared" si="14"/>
        <v>0</v>
      </c>
      <c r="AV12" s="102"/>
      <c r="AW12" s="1">
        <v>5</v>
      </c>
      <c r="AX12" s="104">
        <f t="shared" si="15"/>
        <v>0</v>
      </c>
      <c r="AY12" s="102"/>
      <c r="AZ12" s="1">
        <v>5</v>
      </c>
      <c r="BA12" s="104">
        <f t="shared" si="16"/>
        <v>0</v>
      </c>
      <c r="BB12" s="102"/>
      <c r="BC12" s="1">
        <v>5</v>
      </c>
      <c r="BD12" s="104">
        <f t="shared" si="17"/>
        <v>0</v>
      </c>
      <c r="BE12" s="102"/>
      <c r="BF12" s="1">
        <v>5</v>
      </c>
      <c r="BG12" s="104">
        <f t="shared" si="18"/>
        <v>0</v>
      </c>
      <c r="BH12" s="102"/>
      <c r="BI12" s="1">
        <v>5</v>
      </c>
      <c r="BJ12" s="104">
        <f t="shared" si="19"/>
        <v>0</v>
      </c>
      <c r="BK12" s="102"/>
      <c r="BL12" s="1">
        <v>5</v>
      </c>
      <c r="BM12" s="104">
        <f t="shared" si="20"/>
        <v>0</v>
      </c>
      <c r="BN12" s="102"/>
      <c r="BO12" s="1">
        <v>5</v>
      </c>
      <c r="BP12" s="104">
        <f t="shared" si="21"/>
        <v>0</v>
      </c>
      <c r="BQ12" s="102"/>
      <c r="BR12" s="1">
        <v>5</v>
      </c>
      <c r="BS12" s="104">
        <f t="shared" si="22"/>
        <v>0</v>
      </c>
      <c r="BT12" s="102"/>
      <c r="BU12" s="1">
        <v>5</v>
      </c>
      <c r="BV12" s="104">
        <f t="shared" si="23"/>
        <v>0</v>
      </c>
      <c r="BW12" s="102"/>
      <c r="BX12" s="1">
        <v>5</v>
      </c>
      <c r="BY12" s="104">
        <f t="shared" si="24"/>
        <v>0</v>
      </c>
      <c r="BZ12" s="102"/>
      <c r="CA12" s="1">
        <v>5</v>
      </c>
      <c r="CB12" s="104">
        <f t="shared" si="25"/>
        <v>0</v>
      </c>
      <c r="CC12" s="102"/>
      <c r="CD12" s="1">
        <v>5</v>
      </c>
      <c r="CE12" s="104">
        <f t="shared" si="26"/>
        <v>0</v>
      </c>
      <c r="CF12" s="102"/>
      <c r="CG12" s="1">
        <v>5</v>
      </c>
      <c r="CH12" s="104">
        <f t="shared" si="27"/>
        <v>0</v>
      </c>
      <c r="CI12" s="102"/>
      <c r="CJ12" s="1">
        <v>5</v>
      </c>
      <c r="CK12" s="104">
        <f t="shared" si="28"/>
        <v>0</v>
      </c>
      <c r="CL12" s="102"/>
      <c r="CM12" s="1">
        <v>5</v>
      </c>
      <c r="CN12" s="104">
        <f t="shared" si="29"/>
        <v>0</v>
      </c>
      <c r="CO12" s="102"/>
      <c r="CP12" s="1">
        <v>5</v>
      </c>
      <c r="CQ12" s="104">
        <f t="shared" si="30"/>
        <v>0</v>
      </c>
      <c r="CR12" s="102"/>
      <c r="CS12" s="1">
        <v>5</v>
      </c>
      <c r="CT12" s="104">
        <f t="shared" si="31"/>
        <v>0</v>
      </c>
      <c r="CU12" s="102"/>
      <c r="CV12" s="1">
        <v>5</v>
      </c>
      <c r="CW12" s="104">
        <f t="shared" si="32"/>
        <v>0</v>
      </c>
      <c r="CX12" s="102"/>
      <c r="CY12" s="1">
        <v>5</v>
      </c>
      <c r="CZ12" s="104">
        <f t="shared" si="33"/>
        <v>0</v>
      </c>
      <c r="DA12" s="102"/>
      <c r="DB12" s="1">
        <v>5</v>
      </c>
      <c r="DC12" s="104">
        <f t="shared" si="34"/>
        <v>0</v>
      </c>
      <c r="DD12" s="102"/>
      <c r="DE12" s="1">
        <v>5</v>
      </c>
      <c r="DF12" s="104">
        <f t="shared" si="35"/>
        <v>0</v>
      </c>
      <c r="DG12" s="102"/>
      <c r="DH12" s="1">
        <v>5</v>
      </c>
      <c r="DI12" s="104">
        <f t="shared" si="36"/>
        <v>0</v>
      </c>
      <c r="DJ12" s="102"/>
      <c r="DK12" s="1">
        <v>5</v>
      </c>
      <c r="DL12" s="104">
        <f t="shared" si="37"/>
        <v>0</v>
      </c>
      <c r="DM12" s="102"/>
      <c r="DN12" s="1">
        <v>5</v>
      </c>
      <c r="DO12" s="104">
        <f t="shared" si="38"/>
        <v>0</v>
      </c>
      <c r="DP12" s="102"/>
      <c r="DQ12" s="1">
        <v>5</v>
      </c>
      <c r="DR12" s="104">
        <f t="shared" si="39"/>
        <v>0</v>
      </c>
      <c r="DS12" s="102"/>
      <c r="DT12" s="1">
        <v>5</v>
      </c>
      <c r="DU12" s="104">
        <f t="shared" si="40"/>
        <v>0</v>
      </c>
      <c r="DV12" s="102"/>
      <c r="DW12" s="1">
        <v>5</v>
      </c>
      <c r="DX12" s="104">
        <f t="shared" si="41"/>
        <v>0</v>
      </c>
      <c r="DY12" s="102"/>
      <c r="DZ12" s="1">
        <v>5</v>
      </c>
      <c r="EA12" s="104">
        <f t="shared" si="42"/>
        <v>0</v>
      </c>
      <c r="EB12" s="102"/>
      <c r="EC12" s="1">
        <v>5</v>
      </c>
      <c r="ED12" s="104">
        <f t="shared" si="43"/>
        <v>0</v>
      </c>
      <c r="EE12" s="102"/>
      <c r="EF12" s="1">
        <v>5</v>
      </c>
      <c r="EG12" s="104">
        <f t="shared" si="44"/>
        <v>0</v>
      </c>
      <c r="EH12" s="102"/>
      <c r="EI12" s="1">
        <v>5</v>
      </c>
      <c r="EJ12" s="104">
        <f t="shared" si="45"/>
        <v>0</v>
      </c>
      <c r="EK12" s="102"/>
      <c r="EL12" s="1">
        <v>5</v>
      </c>
      <c r="EM12" s="104">
        <f t="shared" si="46"/>
        <v>0</v>
      </c>
      <c r="EN12" s="102"/>
      <c r="EO12" s="1">
        <v>5</v>
      </c>
      <c r="EP12" s="104">
        <f t="shared" si="47"/>
        <v>0</v>
      </c>
      <c r="EQ12" s="85">
        <f t="array" ref="EQ12">IFERROR(_xlfn.LET(
_xlpm.datos,CHOOSE({1;2;3;4;5;6;7;8;9;10;11;12;13;13;14;15;16;17;18;19;20;21;22;23;23;24;25;26;27;28;29;30;31;32;33;34;35;36;37;38;39;40;41;42;43;44;45;46;47},E12,H12,K12,N12,Q12,T12,W12,Z12,AC12,AF12,AI12,AL12,AO12,AR12,AU12,AX12,BA12,BD12,BG12,BJ12,BP12,BS12,BV12,BY12,CB12,CE12,CH12,CK12,CN12,CQ12,CT12,CW12,CZ12,DC12,DF12,DI12,DL12,DO12,DR12,DU12,DX12,EA12,ED12,EG12,EJ12,EM12,EP12),
AVERAGE(_xlfn._xlws.FILTER(_xlpm.datos,(_xlpm.datos&lt;&gt;0)*(_xlpm.datos&lt;&gt;"")))
),0)</f>
        <v>0</v>
      </c>
      <c r="ER12" s="162" t="str">
        <f t="array" ref="ER12">_xlfn.IFS(EQ12&gt;=91.5%,"MENSUAL",EQ12&gt;=75%,"QUINCENAL",EQ12&lt;75%,"SEMANAL")</f>
        <v>SEMANAL</v>
      </c>
    </row>
    <row r="13" ht="29" customHeight="1" spans="1:148" x14ac:dyDescent="0.25">
      <c r="A13" s="100" t="s">
        <v>138</v>
      </c>
      <c r="B13" s="101"/>
      <c r="C13" s="102"/>
      <c r="D13" s="103">
        <v>5</v>
      </c>
      <c r="E13" s="104">
        <f t="shared" si="0"/>
        <v>0</v>
      </c>
      <c r="F13" s="102"/>
      <c r="G13" s="103">
        <v>5</v>
      </c>
      <c r="H13" s="104">
        <f t="shared" si="1"/>
        <v>0</v>
      </c>
      <c r="I13" s="105"/>
      <c r="J13" s="103">
        <v>5</v>
      </c>
      <c r="K13" s="104">
        <f t="shared" si="2"/>
        <v>0</v>
      </c>
      <c r="L13" s="105"/>
      <c r="M13" s="103">
        <v>5</v>
      </c>
      <c r="N13" s="104">
        <f t="shared" si="3"/>
        <v>0</v>
      </c>
      <c r="O13" s="106"/>
      <c r="P13" s="107">
        <v>5</v>
      </c>
      <c r="Q13" s="104">
        <f t="shared" si="4"/>
        <v>0</v>
      </c>
      <c r="R13" s="102"/>
      <c r="S13" s="107">
        <v>5</v>
      </c>
      <c r="T13" s="104">
        <f t="shared" si="5"/>
        <v>0</v>
      </c>
      <c r="U13" s="102"/>
      <c r="V13" s="107">
        <v>5</v>
      </c>
      <c r="W13" s="104">
        <f t="shared" si="6"/>
        <v>0</v>
      </c>
      <c r="X13" s="102"/>
      <c r="Y13" s="107">
        <v>5</v>
      </c>
      <c r="Z13" s="104">
        <f t="shared" si="7"/>
        <v>0</v>
      </c>
      <c r="AA13" s="106"/>
      <c r="AB13" s="107">
        <v>5</v>
      </c>
      <c r="AC13" s="104">
        <f t="shared" si="8"/>
        <v>0</v>
      </c>
      <c r="AD13" s="106"/>
      <c r="AE13" s="107">
        <v>5</v>
      </c>
      <c r="AF13" s="104">
        <f t="shared" si="9"/>
        <v>0</v>
      </c>
      <c r="AG13" s="106"/>
      <c r="AH13" s="107">
        <v>5</v>
      </c>
      <c r="AI13" s="104">
        <f t="shared" si="10"/>
        <v>0</v>
      </c>
      <c r="AJ13" s="106"/>
      <c r="AK13" s="107">
        <v>5</v>
      </c>
      <c r="AL13" s="104">
        <f t="shared" si="11"/>
        <v>0</v>
      </c>
      <c r="AM13" s="102"/>
      <c r="AN13" s="1">
        <v>5</v>
      </c>
      <c r="AO13" s="104">
        <f t="shared" si="12"/>
        <v>0</v>
      </c>
      <c r="AP13" s="102"/>
      <c r="AQ13" s="1">
        <v>5</v>
      </c>
      <c r="AR13" s="104">
        <f t="shared" si="13"/>
        <v>0</v>
      </c>
      <c r="AS13" s="102"/>
      <c r="AT13" s="1">
        <v>5</v>
      </c>
      <c r="AU13" s="104">
        <f t="shared" si="14"/>
        <v>0</v>
      </c>
      <c r="AV13" s="102"/>
      <c r="AW13" s="1">
        <v>5</v>
      </c>
      <c r="AX13" s="104">
        <f t="shared" si="15"/>
        <v>0</v>
      </c>
      <c r="AY13" s="102"/>
      <c r="AZ13" s="1">
        <v>5</v>
      </c>
      <c r="BA13" s="104">
        <f t="shared" si="16"/>
        <v>0</v>
      </c>
      <c r="BB13" s="102"/>
      <c r="BC13" s="1">
        <v>5</v>
      </c>
      <c r="BD13" s="104">
        <f t="shared" si="17"/>
        <v>0</v>
      </c>
      <c r="BE13" s="102"/>
      <c r="BF13" s="1">
        <v>5</v>
      </c>
      <c r="BG13" s="104">
        <f t="shared" si="18"/>
        <v>0</v>
      </c>
      <c r="BH13" s="102"/>
      <c r="BI13" s="1">
        <v>5</v>
      </c>
      <c r="BJ13" s="104">
        <f t="shared" si="19"/>
        <v>0</v>
      </c>
      <c r="BK13" s="102"/>
      <c r="BL13" s="1">
        <v>5</v>
      </c>
      <c r="BM13" s="104">
        <f t="shared" si="20"/>
        <v>0</v>
      </c>
      <c r="BN13" s="102"/>
      <c r="BO13" s="1">
        <v>5</v>
      </c>
      <c r="BP13" s="104">
        <f t="shared" si="21"/>
        <v>0</v>
      </c>
      <c r="BQ13" s="102"/>
      <c r="BR13" s="1">
        <v>5</v>
      </c>
      <c r="BS13" s="104">
        <f t="shared" si="22"/>
        <v>0</v>
      </c>
      <c r="BT13" s="102"/>
      <c r="BU13" s="1">
        <v>5</v>
      </c>
      <c r="BV13" s="104">
        <f t="shared" si="23"/>
        <v>0</v>
      </c>
      <c r="BW13" s="102"/>
      <c r="BX13" s="1">
        <v>5</v>
      </c>
      <c r="BY13" s="104">
        <f t="shared" si="24"/>
        <v>0</v>
      </c>
      <c r="BZ13" s="102"/>
      <c r="CA13" s="1">
        <v>5</v>
      </c>
      <c r="CB13" s="104">
        <f t="shared" si="25"/>
        <v>0</v>
      </c>
      <c r="CC13" s="102"/>
      <c r="CD13" s="1">
        <v>5</v>
      </c>
      <c r="CE13" s="104">
        <f t="shared" si="26"/>
        <v>0</v>
      </c>
      <c r="CF13" s="102"/>
      <c r="CG13" s="1">
        <v>5</v>
      </c>
      <c r="CH13" s="104">
        <f t="shared" si="27"/>
        <v>0</v>
      </c>
      <c r="CI13" s="102"/>
      <c r="CJ13" s="1">
        <v>5</v>
      </c>
      <c r="CK13" s="104">
        <f t="shared" si="28"/>
        <v>0</v>
      </c>
      <c r="CL13" s="102"/>
      <c r="CM13" s="1">
        <v>5</v>
      </c>
      <c r="CN13" s="104">
        <f t="shared" si="29"/>
        <v>0</v>
      </c>
      <c r="CO13" s="102"/>
      <c r="CP13" s="1">
        <v>5</v>
      </c>
      <c r="CQ13" s="104">
        <f t="shared" si="30"/>
        <v>0</v>
      </c>
      <c r="CR13" s="102"/>
      <c r="CS13" s="1">
        <v>5</v>
      </c>
      <c r="CT13" s="104">
        <f t="shared" si="31"/>
        <v>0</v>
      </c>
      <c r="CU13" s="102"/>
      <c r="CV13" s="1">
        <v>5</v>
      </c>
      <c r="CW13" s="104">
        <f t="shared" si="32"/>
        <v>0</v>
      </c>
      <c r="CX13" s="102"/>
      <c r="CY13" s="1">
        <v>5</v>
      </c>
      <c r="CZ13" s="104">
        <f t="shared" si="33"/>
        <v>0</v>
      </c>
      <c r="DA13" s="102"/>
      <c r="DB13" s="1">
        <v>5</v>
      </c>
      <c r="DC13" s="104">
        <f t="shared" si="34"/>
        <v>0</v>
      </c>
      <c r="DD13" s="102"/>
      <c r="DE13" s="1">
        <v>5</v>
      </c>
      <c r="DF13" s="104">
        <f t="shared" si="35"/>
        <v>0</v>
      </c>
      <c r="DG13" s="102"/>
      <c r="DH13" s="1">
        <v>5</v>
      </c>
      <c r="DI13" s="104">
        <f t="shared" si="36"/>
        <v>0</v>
      </c>
      <c r="DJ13" s="102"/>
      <c r="DK13" s="1">
        <v>5</v>
      </c>
      <c r="DL13" s="104">
        <f t="shared" si="37"/>
        <v>0</v>
      </c>
      <c r="DM13" s="102"/>
      <c r="DN13" s="1">
        <v>5</v>
      </c>
      <c r="DO13" s="104">
        <f t="shared" si="38"/>
        <v>0</v>
      </c>
      <c r="DP13" s="102"/>
      <c r="DQ13" s="1">
        <v>5</v>
      </c>
      <c r="DR13" s="104">
        <f t="shared" si="39"/>
        <v>0</v>
      </c>
      <c r="DS13" s="102"/>
      <c r="DT13" s="1">
        <v>5</v>
      </c>
      <c r="DU13" s="104">
        <f t="shared" si="40"/>
        <v>0</v>
      </c>
      <c r="DV13" s="102"/>
      <c r="DW13" s="1">
        <v>5</v>
      </c>
      <c r="DX13" s="104">
        <f t="shared" si="41"/>
        <v>0</v>
      </c>
      <c r="DY13" s="102"/>
      <c r="DZ13" s="1">
        <v>5</v>
      </c>
      <c r="EA13" s="104">
        <f t="shared" si="42"/>
        <v>0</v>
      </c>
      <c r="EB13" s="102"/>
      <c r="EC13" s="1">
        <v>5</v>
      </c>
      <c r="ED13" s="104">
        <f t="shared" si="43"/>
        <v>0</v>
      </c>
      <c r="EE13" s="102"/>
      <c r="EF13" s="1">
        <v>5</v>
      </c>
      <c r="EG13" s="104">
        <f t="shared" si="44"/>
        <v>0</v>
      </c>
      <c r="EH13" s="102"/>
      <c r="EI13" s="1">
        <v>5</v>
      </c>
      <c r="EJ13" s="104">
        <f t="shared" si="45"/>
        <v>0</v>
      </c>
      <c r="EK13" s="102"/>
      <c r="EL13" s="1">
        <v>5</v>
      </c>
      <c r="EM13" s="104">
        <f t="shared" si="46"/>
        <v>0</v>
      </c>
      <c r="EN13" s="102"/>
      <c r="EO13" s="1">
        <v>5</v>
      </c>
      <c r="EP13" s="104">
        <f t="shared" si="47"/>
        <v>0</v>
      </c>
      <c r="EQ13" s="85">
        <f t="array" ref="EQ13">IFERROR(_xlfn.LET(
_xlpm.datos,CHOOSE({1;2;3;4;5;6;7;8;9;10;11;12;13;13;14;15;16;17;18;19;20;21;22;23;23;24;25;26;27;28;29;30;31;32;33;34;35;36;37;38;39;40;41;42;43;44;45;46;47},E13,H13,K13,N13,Q13,T13,W13,Z13,AC13,AF13,AI13,AL13,AO13,AR13,AU13,AX13,BA13,BD13,BG13,BJ13,BP13,BS13,BV13,BY13,CB13,CE13,CH13,CK13,CN13,CQ13,CT13,CW13,CZ13,DC13,DF13,DI13,DL13,DO13,DR13,DU13,DX13,EA13,ED13,EG13,EJ13,EM13,EP13),
AVERAGE(_xlfn._xlws.FILTER(_xlpm.datos,(_xlpm.datos&lt;&gt;0)*(_xlpm.datos&lt;&gt;"")))
),0)</f>
        <v>0</v>
      </c>
      <c r="ER13" s="162" t="str">
        <f t="array" ref="ER13">_xlfn.IFS(EQ13&gt;=91.5%,"MENSUAL",EQ13&gt;=75%,"QUINCENAL",EQ13&lt;75%,"SEMANAL")</f>
        <v>SEMANAL</v>
      </c>
    </row>
    <row r="14" ht="38.5" customHeight="1" spans="1:148" x14ac:dyDescent="0.25">
      <c r="A14" s="100" t="s">
        <v>84</v>
      </c>
      <c r="B14" s="101"/>
      <c r="C14" s="102"/>
      <c r="D14" s="103">
        <v>5</v>
      </c>
      <c r="E14" s="104">
        <f t="shared" si="0"/>
        <v>0</v>
      </c>
      <c r="F14" s="102"/>
      <c r="G14" s="103">
        <v>5</v>
      </c>
      <c r="H14" s="104">
        <f t="shared" si="1"/>
        <v>0</v>
      </c>
      <c r="I14" s="105"/>
      <c r="J14" s="103">
        <v>5</v>
      </c>
      <c r="K14" s="104">
        <f t="shared" si="2"/>
        <v>0</v>
      </c>
      <c r="L14" s="105"/>
      <c r="M14" s="103">
        <v>5</v>
      </c>
      <c r="N14" s="104">
        <f t="shared" si="3"/>
        <v>0</v>
      </c>
      <c r="O14" s="106"/>
      <c r="P14" s="107">
        <v>5</v>
      </c>
      <c r="Q14" s="104">
        <f t="shared" si="4"/>
        <v>0</v>
      </c>
      <c r="R14" s="102"/>
      <c r="S14" s="107">
        <v>5</v>
      </c>
      <c r="T14" s="104">
        <f t="shared" si="5"/>
        <v>0</v>
      </c>
      <c r="U14" s="102"/>
      <c r="V14" s="107">
        <v>5</v>
      </c>
      <c r="W14" s="104">
        <f t="shared" si="6"/>
        <v>0</v>
      </c>
      <c r="X14" s="102"/>
      <c r="Y14" s="107">
        <v>5</v>
      </c>
      <c r="Z14" s="104">
        <f t="shared" si="7"/>
        <v>0</v>
      </c>
      <c r="AA14" s="106"/>
      <c r="AB14" s="107">
        <v>5</v>
      </c>
      <c r="AC14" s="104">
        <f t="shared" si="8"/>
        <v>0</v>
      </c>
      <c r="AD14" s="106"/>
      <c r="AE14" s="107">
        <v>5</v>
      </c>
      <c r="AF14" s="104">
        <f t="shared" si="9"/>
        <v>0</v>
      </c>
      <c r="AG14" s="106"/>
      <c r="AH14" s="107">
        <v>5</v>
      </c>
      <c r="AI14" s="104">
        <f t="shared" si="10"/>
        <v>0</v>
      </c>
      <c r="AJ14" s="106"/>
      <c r="AK14" s="107">
        <v>5</v>
      </c>
      <c r="AL14" s="104">
        <f t="shared" si="11"/>
        <v>0</v>
      </c>
      <c r="AM14" s="102"/>
      <c r="AN14" s="1">
        <v>5</v>
      </c>
      <c r="AO14" s="104">
        <f t="shared" si="12"/>
        <v>0</v>
      </c>
      <c r="AP14" s="102"/>
      <c r="AQ14" s="1">
        <v>5</v>
      </c>
      <c r="AR14" s="104">
        <f t="shared" si="13"/>
        <v>0</v>
      </c>
      <c r="AS14" s="102"/>
      <c r="AT14" s="1">
        <v>5</v>
      </c>
      <c r="AU14" s="104">
        <f t="shared" si="14"/>
        <v>0</v>
      </c>
      <c r="AV14" s="102"/>
      <c r="AW14" s="1">
        <v>5</v>
      </c>
      <c r="AX14" s="104">
        <f t="shared" si="15"/>
        <v>0</v>
      </c>
      <c r="AY14" s="102"/>
      <c r="AZ14" s="1">
        <v>5</v>
      </c>
      <c r="BA14" s="104">
        <f t="shared" si="16"/>
        <v>0</v>
      </c>
      <c r="BB14" s="102"/>
      <c r="BC14" s="1">
        <v>5</v>
      </c>
      <c r="BD14" s="104">
        <f t="shared" si="17"/>
        <v>0</v>
      </c>
      <c r="BE14" s="102"/>
      <c r="BF14" s="1">
        <v>5</v>
      </c>
      <c r="BG14" s="104">
        <f t="shared" si="18"/>
        <v>0</v>
      </c>
      <c r="BH14" s="102"/>
      <c r="BI14" s="1">
        <v>5</v>
      </c>
      <c r="BJ14" s="104">
        <f t="shared" si="19"/>
        <v>0</v>
      </c>
      <c r="BK14" s="102"/>
      <c r="BL14" s="1">
        <v>5</v>
      </c>
      <c r="BM14" s="104">
        <f t="shared" si="20"/>
        <v>0</v>
      </c>
      <c r="BN14" s="102"/>
      <c r="BO14" s="1">
        <v>5</v>
      </c>
      <c r="BP14" s="104">
        <f t="shared" si="21"/>
        <v>0</v>
      </c>
      <c r="BQ14" s="102"/>
      <c r="BR14" s="1">
        <v>5</v>
      </c>
      <c r="BS14" s="104">
        <f t="shared" si="22"/>
        <v>0</v>
      </c>
      <c r="BT14" s="102"/>
      <c r="BU14" s="1">
        <v>5</v>
      </c>
      <c r="BV14" s="104">
        <f t="shared" si="23"/>
        <v>0</v>
      </c>
      <c r="BW14" s="102"/>
      <c r="BX14" s="1">
        <v>5</v>
      </c>
      <c r="BY14" s="104">
        <f t="shared" si="24"/>
        <v>0</v>
      </c>
      <c r="BZ14" s="102"/>
      <c r="CA14" s="1">
        <v>5</v>
      </c>
      <c r="CB14" s="104">
        <f t="shared" si="25"/>
        <v>0</v>
      </c>
      <c r="CC14" s="102"/>
      <c r="CD14" s="1">
        <v>5</v>
      </c>
      <c r="CE14" s="104">
        <f t="shared" si="26"/>
        <v>0</v>
      </c>
      <c r="CF14" s="102"/>
      <c r="CG14" s="1">
        <v>5</v>
      </c>
      <c r="CH14" s="104">
        <f t="shared" si="27"/>
        <v>0</v>
      </c>
      <c r="CI14" s="102"/>
      <c r="CJ14" s="1">
        <v>5</v>
      </c>
      <c r="CK14" s="104">
        <f t="shared" si="28"/>
        <v>0</v>
      </c>
      <c r="CL14" s="102"/>
      <c r="CM14" s="1">
        <v>5</v>
      </c>
      <c r="CN14" s="104">
        <f t="shared" si="29"/>
        <v>0</v>
      </c>
      <c r="CO14" s="102"/>
      <c r="CP14" s="1">
        <v>5</v>
      </c>
      <c r="CQ14" s="104">
        <f t="shared" si="30"/>
        <v>0</v>
      </c>
      <c r="CR14" s="102"/>
      <c r="CS14" s="1">
        <v>5</v>
      </c>
      <c r="CT14" s="104">
        <f t="shared" si="31"/>
        <v>0</v>
      </c>
      <c r="CU14" s="102"/>
      <c r="CV14" s="1">
        <v>5</v>
      </c>
      <c r="CW14" s="104">
        <f t="shared" si="32"/>
        <v>0</v>
      </c>
      <c r="CX14" s="102"/>
      <c r="CY14" s="1">
        <v>5</v>
      </c>
      <c r="CZ14" s="104">
        <f t="shared" si="33"/>
        <v>0</v>
      </c>
      <c r="DA14" s="102"/>
      <c r="DB14" s="1">
        <v>5</v>
      </c>
      <c r="DC14" s="104">
        <f t="shared" si="34"/>
        <v>0</v>
      </c>
      <c r="DD14" s="102"/>
      <c r="DE14" s="1">
        <v>5</v>
      </c>
      <c r="DF14" s="104">
        <f t="shared" si="35"/>
        <v>0</v>
      </c>
      <c r="DG14" s="102"/>
      <c r="DH14" s="1">
        <v>5</v>
      </c>
      <c r="DI14" s="104">
        <f t="shared" si="36"/>
        <v>0</v>
      </c>
      <c r="DJ14" s="102"/>
      <c r="DK14" s="1">
        <v>5</v>
      </c>
      <c r="DL14" s="104">
        <f t="shared" si="37"/>
        <v>0</v>
      </c>
      <c r="DM14" s="102"/>
      <c r="DN14" s="1">
        <v>5</v>
      </c>
      <c r="DO14" s="104">
        <f t="shared" si="38"/>
        <v>0</v>
      </c>
      <c r="DP14" s="102"/>
      <c r="DQ14" s="1">
        <v>5</v>
      </c>
      <c r="DR14" s="104">
        <f t="shared" si="39"/>
        <v>0</v>
      </c>
      <c r="DS14" s="102"/>
      <c r="DT14" s="1">
        <v>5</v>
      </c>
      <c r="DU14" s="104">
        <f t="shared" si="40"/>
        <v>0</v>
      </c>
      <c r="DV14" s="102"/>
      <c r="DW14" s="1">
        <v>5</v>
      </c>
      <c r="DX14" s="104">
        <f t="shared" si="41"/>
        <v>0</v>
      </c>
      <c r="DY14" s="102"/>
      <c r="DZ14" s="1">
        <v>5</v>
      </c>
      <c r="EA14" s="104">
        <f t="shared" si="42"/>
        <v>0</v>
      </c>
      <c r="EB14" s="102"/>
      <c r="EC14" s="1">
        <v>5</v>
      </c>
      <c r="ED14" s="104">
        <f t="shared" si="43"/>
        <v>0</v>
      </c>
      <c r="EE14" s="102"/>
      <c r="EF14" s="1">
        <v>5</v>
      </c>
      <c r="EG14" s="104">
        <f t="shared" si="44"/>
        <v>0</v>
      </c>
      <c r="EH14" s="102"/>
      <c r="EI14" s="1">
        <v>5</v>
      </c>
      <c r="EJ14" s="104">
        <f t="shared" si="45"/>
        <v>0</v>
      </c>
      <c r="EK14" s="102"/>
      <c r="EL14" s="1">
        <v>5</v>
      </c>
      <c r="EM14" s="104">
        <f t="shared" si="46"/>
        <v>0</v>
      </c>
      <c r="EN14" s="102"/>
      <c r="EO14" s="1">
        <v>5</v>
      </c>
      <c r="EP14" s="104">
        <f t="shared" si="47"/>
        <v>0</v>
      </c>
      <c r="EQ14" s="85">
        <f t="array" ref="EQ14">IFERROR(_xlfn.LET(
_xlpm.datos,CHOOSE({1;2;3;4;5;6;7;8;9;10;11;12;13;13;14;15;16;17;18;19;20;21;22;23;23;24;25;26;27;28;29;30;31;32;33;34;35;36;37;38;39;40;41;42;43;44;45;46;47},E14,H14,K14,N14,Q14,T14,W14,Z14,AC14,AF14,AI14,AL14,AO14,AR14,AU14,AX14,BA14,BD14,BG14,BJ14,BP14,BS14,BV14,BY14,CB14,CE14,CH14,CK14,CN14,CQ14,CT14,CW14,CZ14,DC14,DF14,DI14,DL14,DO14,DR14,DU14,DX14,EA14,ED14,EG14,EJ14,EM14,EP14),
AVERAGE(_xlfn._xlws.FILTER(_xlpm.datos,(_xlpm.datos&lt;&gt;0)*(_xlpm.datos&lt;&gt;"")))
),0)</f>
        <v>0</v>
      </c>
      <c r="ER14" s="162" t="str">
        <f t="array" ref="ER14">_xlfn.IFS(EQ14&gt;=91.5%,"MENSUAL",EQ14&gt;=75%,"QUINCENAL",EQ14&lt;75%,"SEMANAL")</f>
        <v>SEMANAL</v>
      </c>
    </row>
    <row r="15" ht="38.5" customHeight="1" spans="1:148" x14ac:dyDescent="0.25">
      <c r="A15" s="100" t="s">
        <v>87</v>
      </c>
      <c r="B15" s="101"/>
      <c r="C15" s="102"/>
      <c r="D15" s="103">
        <v>5</v>
      </c>
      <c r="E15" s="104">
        <f t="shared" si="0"/>
        <v>0</v>
      </c>
      <c r="F15" s="102"/>
      <c r="G15" s="103">
        <v>5</v>
      </c>
      <c r="H15" s="104">
        <f t="shared" si="1"/>
        <v>0</v>
      </c>
      <c r="I15" s="105"/>
      <c r="J15" s="103">
        <v>5</v>
      </c>
      <c r="K15" s="104">
        <f t="shared" si="2"/>
        <v>0</v>
      </c>
      <c r="L15" s="105"/>
      <c r="M15" s="103">
        <v>5</v>
      </c>
      <c r="N15" s="104">
        <f t="shared" si="3"/>
        <v>0</v>
      </c>
      <c r="O15" s="106"/>
      <c r="P15" s="107">
        <v>5</v>
      </c>
      <c r="Q15" s="104">
        <f t="shared" si="4"/>
        <v>0</v>
      </c>
      <c r="R15" s="102"/>
      <c r="S15" s="107">
        <v>5</v>
      </c>
      <c r="T15" s="104">
        <f t="shared" si="5"/>
        <v>0</v>
      </c>
      <c r="U15" s="102"/>
      <c r="V15" s="107">
        <v>5</v>
      </c>
      <c r="W15" s="104">
        <f t="shared" si="6"/>
        <v>0</v>
      </c>
      <c r="X15" s="102"/>
      <c r="Y15" s="107">
        <v>5</v>
      </c>
      <c r="Z15" s="104">
        <f t="shared" si="7"/>
        <v>0</v>
      </c>
      <c r="AA15" s="106"/>
      <c r="AB15" s="107">
        <v>5</v>
      </c>
      <c r="AC15" s="104">
        <f t="shared" si="8"/>
        <v>0</v>
      </c>
      <c r="AD15" s="106"/>
      <c r="AE15" s="107">
        <v>5</v>
      </c>
      <c r="AF15" s="104">
        <f t="shared" si="9"/>
        <v>0</v>
      </c>
      <c r="AG15" s="106"/>
      <c r="AH15" s="107">
        <v>5</v>
      </c>
      <c r="AI15" s="104">
        <f t="shared" si="10"/>
        <v>0</v>
      </c>
      <c r="AJ15" s="106"/>
      <c r="AK15" s="107">
        <v>5</v>
      </c>
      <c r="AL15" s="104">
        <f t="shared" si="11"/>
        <v>0</v>
      </c>
      <c r="AM15" s="102"/>
      <c r="AN15" s="1">
        <v>5</v>
      </c>
      <c r="AO15" s="104">
        <f t="shared" si="12"/>
        <v>0</v>
      </c>
      <c r="AP15" s="102"/>
      <c r="AQ15" s="1">
        <v>5</v>
      </c>
      <c r="AR15" s="104">
        <f t="shared" si="13"/>
        <v>0</v>
      </c>
      <c r="AS15" s="102"/>
      <c r="AT15" s="1">
        <v>5</v>
      </c>
      <c r="AU15" s="104">
        <f t="shared" si="14"/>
        <v>0</v>
      </c>
      <c r="AV15" s="102"/>
      <c r="AW15" s="1">
        <v>5</v>
      </c>
      <c r="AX15" s="104">
        <f t="shared" si="15"/>
        <v>0</v>
      </c>
      <c r="AY15" s="102"/>
      <c r="AZ15" s="1">
        <v>5</v>
      </c>
      <c r="BA15" s="104">
        <f t="shared" si="16"/>
        <v>0</v>
      </c>
      <c r="BB15" s="102"/>
      <c r="BC15" s="1">
        <v>5</v>
      </c>
      <c r="BD15" s="104">
        <f t="shared" si="17"/>
        <v>0</v>
      </c>
      <c r="BE15" s="102"/>
      <c r="BF15" s="1">
        <v>5</v>
      </c>
      <c r="BG15" s="104">
        <f t="shared" si="18"/>
        <v>0</v>
      </c>
      <c r="BH15" s="102"/>
      <c r="BI15" s="1">
        <v>5</v>
      </c>
      <c r="BJ15" s="104">
        <f t="shared" si="19"/>
        <v>0</v>
      </c>
      <c r="BK15" s="102"/>
      <c r="BL15" s="1">
        <v>5</v>
      </c>
      <c r="BM15" s="104">
        <f t="shared" si="20"/>
        <v>0</v>
      </c>
      <c r="BN15" s="102"/>
      <c r="BO15" s="1">
        <v>5</v>
      </c>
      <c r="BP15" s="104">
        <f t="shared" si="21"/>
        <v>0</v>
      </c>
      <c r="BQ15" s="102"/>
      <c r="BR15" s="1">
        <v>5</v>
      </c>
      <c r="BS15" s="104">
        <f t="shared" si="22"/>
        <v>0</v>
      </c>
      <c r="BT15" s="102"/>
      <c r="BU15" s="1">
        <v>5</v>
      </c>
      <c r="BV15" s="104">
        <f t="shared" si="23"/>
        <v>0</v>
      </c>
      <c r="BW15" s="102"/>
      <c r="BX15" s="1">
        <v>5</v>
      </c>
      <c r="BY15" s="104">
        <f t="shared" si="24"/>
        <v>0</v>
      </c>
      <c r="BZ15" s="102"/>
      <c r="CA15" s="1">
        <v>5</v>
      </c>
      <c r="CB15" s="104">
        <f t="shared" si="25"/>
        <v>0</v>
      </c>
      <c r="CC15" s="102"/>
      <c r="CD15" s="1">
        <v>5</v>
      </c>
      <c r="CE15" s="104">
        <f t="shared" si="26"/>
        <v>0</v>
      </c>
      <c r="CF15" s="102"/>
      <c r="CG15" s="1">
        <v>5</v>
      </c>
      <c r="CH15" s="104">
        <f t="shared" si="27"/>
        <v>0</v>
      </c>
      <c r="CI15" s="102"/>
      <c r="CJ15" s="1">
        <v>5</v>
      </c>
      <c r="CK15" s="104">
        <f t="shared" si="28"/>
        <v>0</v>
      </c>
      <c r="CL15" s="102"/>
      <c r="CM15" s="1">
        <v>5</v>
      </c>
      <c r="CN15" s="104">
        <f t="shared" si="29"/>
        <v>0</v>
      </c>
      <c r="CO15" s="102"/>
      <c r="CP15" s="1">
        <v>5</v>
      </c>
      <c r="CQ15" s="104">
        <f t="shared" si="30"/>
        <v>0</v>
      </c>
      <c r="CR15" s="102"/>
      <c r="CS15" s="1">
        <v>5</v>
      </c>
      <c r="CT15" s="104">
        <f t="shared" si="31"/>
        <v>0</v>
      </c>
      <c r="CU15" s="102"/>
      <c r="CV15" s="1">
        <v>5</v>
      </c>
      <c r="CW15" s="104">
        <f t="shared" si="32"/>
        <v>0</v>
      </c>
      <c r="CX15" s="102"/>
      <c r="CY15" s="1">
        <v>5</v>
      </c>
      <c r="CZ15" s="104">
        <f t="shared" si="33"/>
        <v>0</v>
      </c>
      <c r="DA15" s="102"/>
      <c r="DB15" s="1">
        <v>5</v>
      </c>
      <c r="DC15" s="104">
        <f t="shared" si="34"/>
        <v>0</v>
      </c>
      <c r="DD15" s="102"/>
      <c r="DE15" s="1">
        <v>5</v>
      </c>
      <c r="DF15" s="104">
        <f t="shared" si="35"/>
        <v>0</v>
      </c>
      <c r="DG15" s="102"/>
      <c r="DH15" s="1">
        <v>5</v>
      </c>
      <c r="DI15" s="104">
        <f t="shared" si="36"/>
        <v>0</v>
      </c>
      <c r="DJ15" s="102"/>
      <c r="DK15" s="1">
        <v>5</v>
      </c>
      <c r="DL15" s="104">
        <f t="shared" si="37"/>
        <v>0</v>
      </c>
      <c r="DM15" s="102"/>
      <c r="DN15" s="1">
        <v>5</v>
      </c>
      <c r="DO15" s="104">
        <f t="shared" si="38"/>
        <v>0</v>
      </c>
      <c r="DP15" s="102"/>
      <c r="DQ15" s="1">
        <v>5</v>
      </c>
      <c r="DR15" s="104">
        <f t="shared" si="39"/>
        <v>0</v>
      </c>
      <c r="DS15" s="102"/>
      <c r="DT15" s="1">
        <v>5</v>
      </c>
      <c r="DU15" s="104">
        <f t="shared" si="40"/>
        <v>0</v>
      </c>
      <c r="DV15" s="102"/>
      <c r="DW15" s="1">
        <v>5</v>
      </c>
      <c r="DX15" s="104">
        <f t="shared" si="41"/>
        <v>0</v>
      </c>
      <c r="DY15" s="102"/>
      <c r="DZ15" s="1">
        <v>5</v>
      </c>
      <c r="EA15" s="104">
        <f t="shared" si="42"/>
        <v>0</v>
      </c>
      <c r="EB15" s="102"/>
      <c r="EC15" s="1">
        <v>5</v>
      </c>
      <c r="ED15" s="104">
        <f t="shared" si="43"/>
        <v>0</v>
      </c>
      <c r="EE15" s="102"/>
      <c r="EF15" s="1">
        <v>5</v>
      </c>
      <c r="EG15" s="104">
        <f t="shared" si="44"/>
        <v>0</v>
      </c>
      <c r="EH15" s="102"/>
      <c r="EI15" s="1">
        <v>5</v>
      </c>
      <c r="EJ15" s="104">
        <f t="shared" si="45"/>
        <v>0</v>
      </c>
      <c r="EK15" s="102"/>
      <c r="EL15" s="1">
        <v>5</v>
      </c>
      <c r="EM15" s="104">
        <f t="shared" si="46"/>
        <v>0</v>
      </c>
      <c r="EN15" s="102"/>
      <c r="EO15" s="1">
        <v>5</v>
      </c>
      <c r="EP15" s="104">
        <f t="shared" si="47"/>
        <v>0</v>
      </c>
      <c r="EQ15" s="85">
        <f t="array" ref="EQ15">IFERROR(_xlfn.LET(
_xlpm.datos,CHOOSE({1;2;3;4;5;6;7;8;9;10;11;12;13;13;14;15;16;17;18;19;20;21;22;23;23;24;25;26;27;28;29;30;31;32;33;34;35;36;37;38;39;40;41;42;43;44;45;46;47},E15,H15,K15,N15,Q15,T15,W15,Z15,AC15,AF15,AI15,AL15,AO15,AR15,AU15,AX15,BA15,BD15,BG15,BJ15,BP15,BS15,BV15,BY15,CB15,CE15,CH15,CK15,CN15,CQ15,CT15,CW15,CZ15,DC15,DF15,DI15,DL15,DO15,DR15,DU15,DX15,EA15,ED15,EG15,EJ15,EM15,EP15),
AVERAGE(_xlfn._xlws.FILTER(_xlpm.datos,(_xlpm.datos&lt;&gt;0)*(_xlpm.datos&lt;&gt;"")))
),0)</f>
        <v>0</v>
      </c>
      <c r="ER15" s="162" t="str">
        <f t="array" ref="ER15">_xlfn.IFS(EQ15&gt;=91.5%,"MENSUAL",EQ15&gt;=75%,"QUINCENAL",EQ15&lt;75%,"SEMANAL")</f>
        <v>SEMANAL</v>
      </c>
    </row>
    <row r="16" ht="46" customHeight="1" spans="1:148" x14ac:dyDescent="0.25">
      <c r="A16" s="100" t="s">
        <v>218</v>
      </c>
      <c r="B16" s="101"/>
      <c r="C16" s="102"/>
      <c r="D16" s="103">
        <v>5</v>
      </c>
      <c r="E16" s="104">
        <f t="shared" si="0"/>
        <v>0</v>
      </c>
      <c r="F16" s="102"/>
      <c r="G16" s="103">
        <v>5</v>
      </c>
      <c r="H16" s="104">
        <f t="shared" si="1"/>
        <v>0</v>
      </c>
      <c r="I16" s="105"/>
      <c r="J16" s="103">
        <v>5</v>
      </c>
      <c r="K16" s="104">
        <f t="shared" si="2"/>
        <v>0</v>
      </c>
      <c r="L16" s="105"/>
      <c r="M16" s="103">
        <v>5</v>
      </c>
      <c r="N16" s="104">
        <f t="shared" si="3"/>
        <v>0</v>
      </c>
      <c r="O16" s="106"/>
      <c r="P16" s="107">
        <v>5</v>
      </c>
      <c r="Q16" s="104">
        <f t="shared" si="4"/>
        <v>0</v>
      </c>
      <c r="R16" s="102"/>
      <c r="S16" s="107">
        <v>5</v>
      </c>
      <c r="T16" s="104">
        <f t="shared" si="5"/>
        <v>0</v>
      </c>
      <c r="U16" s="102"/>
      <c r="V16" s="107">
        <v>5</v>
      </c>
      <c r="W16" s="104">
        <f t="shared" si="6"/>
        <v>0</v>
      </c>
      <c r="X16" s="102"/>
      <c r="Y16" s="107">
        <v>5</v>
      </c>
      <c r="Z16" s="104">
        <f t="shared" si="7"/>
        <v>0</v>
      </c>
      <c r="AA16" s="106"/>
      <c r="AB16" s="107">
        <v>5</v>
      </c>
      <c r="AC16" s="104">
        <f t="shared" si="8"/>
        <v>0</v>
      </c>
      <c r="AD16" s="106"/>
      <c r="AE16" s="107">
        <v>5</v>
      </c>
      <c r="AF16" s="104">
        <f t="shared" si="9"/>
        <v>0</v>
      </c>
      <c r="AG16" s="106"/>
      <c r="AH16" s="107">
        <v>5</v>
      </c>
      <c r="AI16" s="104">
        <f t="shared" si="10"/>
        <v>0</v>
      </c>
      <c r="AJ16" s="106"/>
      <c r="AK16" s="107">
        <v>5</v>
      </c>
      <c r="AL16" s="104">
        <f t="shared" si="11"/>
        <v>0</v>
      </c>
      <c r="AM16" s="102"/>
      <c r="AN16" s="1">
        <v>5</v>
      </c>
      <c r="AO16" s="104">
        <f t="shared" si="12"/>
        <v>0</v>
      </c>
      <c r="AP16" s="102"/>
      <c r="AQ16" s="1">
        <v>5</v>
      </c>
      <c r="AR16" s="104">
        <f t="shared" si="13"/>
        <v>0</v>
      </c>
      <c r="AS16" s="102"/>
      <c r="AT16" s="1">
        <v>5</v>
      </c>
      <c r="AU16" s="104">
        <f t="shared" si="14"/>
        <v>0</v>
      </c>
      <c r="AV16" s="102"/>
      <c r="AW16" s="1">
        <v>5</v>
      </c>
      <c r="AX16" s="104">
        <f t="shared" si="15"/>
        <v>0</v>
      </c>
      <c r="AY16" s="102"/>
      <c r="AZ16" s="1">
        <v>5</v>
      </c>
      <c r="BA16" s="104">
        <f t="shared" si="16"/>
        <v>0</v>
      </c>
      <c r="BB16" s="102"/>
      <c r="BC16" s="1">
        <v>5</v>
      </c>
      <c r="BD16" s="104">
        <f t="shared" si="17"/>
        <v>0</v>
      </c>
      <c r="BE16" s="102"/>
      <c r="BF16" s="1">
        <v>5</v>
      </c>
      <c r="BG16" s="104">
        <f t="shared" si="18"/>
        <v>0</v>
      </c>
      <c r="BH16" s="102"/>
      <c r="BI16" s="1">
        <v>5</v>
      </c>
      <c r="BJ16" s="104">
        <f t="shared" si="19"/>
        <v>0</v>
      </c>
      <c r="BK16" s="102"/>
      <c r="BL16" s="1">
        <v>5</v>
      </c>
      <c r="BM16" s="104">
        <f t="shared" si="20"/>
        <v>0</v>
      </c>
      <c r="BN16" s="102"/>
      <c r="BO16" s="1">
        <v>5</v>
      </c>
      <c r="BP16" s="104">
        <f t="shared" si="21"/>
        <v>0</v>
      </c>
      <c r="BQ16" s="102"/>
      <c r="BR16" s="1">
        <v>5</v>
      </c>
      <c r="BS16" s="104">
        <f t="shared" si="22"/>
        <v>0</v>
      </c>
      <c r="BT16" s="102"/>
      <c r="BU16" s="1">
        <v>5</v>
      </c>
      <c r="BV16" s="104">
        <f t="shared" si="23"/>
        <v>0</v>
      </c>
      <c r="BW16" s="102"/>
      <c r="BX16" s="1">
        <v>5</v>
      </c>
      <c r="BY16" s="104">
        <f t="shared" si="24"/>
        <v>0</v>
      </c>
      <c r="BZ16" s="102"/>
      <c r="CA16" s="1">
        <v>5</v>
      </c>
      <c r="CB16" s="104">
        <f t="shared" si="25"/>
        <v>0</v>
      </c>
      <c r="CC16" s="102"/>
      <c r="CD16" s="1">
        <v>5</v>
      </c>
      <c r="CE16" s="104">
        <f t="shared" si="26"/>
        <v>0</v>
      </c>
      <c r="CF16" s="102"/>
      <c r="CG16" s="1">
        <v>5</v>
      </c>
      <c r="CH16" s="104">
        <f t="shared" si="27"/>
        <v>0</v>
      </c>
      <c r="CI16" s="102"/>
      <c r="CJ16" s="1">
        <v>5</v>
      </c>
      <c r="CK16" s="104">
        <f t="shared" si="28"/>
        <v>0</v>
      </c>
      <c r="CL16" s="102"/>
      <c r="CM16" s="1">
        <v>5</v>
      </c>
      <c r="CN16" s="104">
        <f t="shared" si="29"/>
        <v>0</v>
      </c>
      <c r="CO16" s="102"/>
      <c r="CP16" s="1">
        <v>5</v>
      </c>
      <c r="CQ16" s="104">
        <f t="shared" si="30"/>
        <v>0</v>
      </c>
      <c r="CR16" s="102"/>
      <c r="CS16" s="1">
        <v>5</v>
      </c>
      <c r="CT16" s="104">
        <f t="shared" si="31"/>
        <v>0</v>
      </c>
      <c r="CU16" s="102"/>
      <c r="CV16" s="1">
        <v>5</v>
      </c>
      <c r="CW16" s="104">
        <f t="shared" si="32"/>
        <v>0</v>
      </c>
      <c r="CX16" s="102"/>
      <c r="CY16" s="1">
        <v>5</v>
      </c>
      <c r="CZ16" s="104">
        <f t="shared" si="33"/>
        <v>0</v>
      </c>
      <c r="DA16" s="102"/>
      <c r="DB16" s="1">
        <v>5</v>
      </c>
      <c r="DC16" s="104">
        <f t="shared" si="34"/>
        <v>0</v>
      </c>
      <c r="DD16" s="102"/>
      <c r="DE16" s="1">
        <v>5</v>
      </c>
      <c r="DF16" s="104">
        <f t="shared" si="35"/>
        <v>0</v>
      </c>
      <c r="DG16" s="102"/>
      <c r="DH16" s="1">
        <v>5</v>
      </c>
      <c r="DI16" s="104">
        <f t="shared" si="36"/>
        <v>0</v>
      </c>
      <c r="DJ16" s="102"/>
      <c r="DK16" s="1">
        <v>5</v>
      </c>
      <c r="DL16" s="104">
        <f t="shared" si="37"/>
        <v>0</v>
      </c>
      <c r="DM16" s="102"/>
      <c r="DN16" s="1">
        <v>5</v>
      </c>
      <c r="DO16" s="104">
        <f t="shared" si="38"/>
        <v>0</v>
      </c>
      <c r="DP16" s="102"/>
      <c r="DQ16" s="1">
        <v>5</v>
      </c>
      <c r="DR16" s="104">
        <f t="shared" si="39"/>
        <v>0</v>
      </c>
      <c r="DS16" s="102"/>
      <c r="DT16" s="1">
        <v>5</v>
      </c>
      <c r="DU16" s="104">
        <f t="shared" si="40"/>
        <v>0</v>
      </c>
      <c r="DV16" s="102"/>
      <c r="DW16" s="1">
        <v>5</v>
      </c>
      <c r="DX16" s="104">
        <f t="shared" si="41"/>
        <v>0</v>
      </c>
      <c r="DY16" s="102"/>
      <c r="DZ16" s="1">
        <v>5</v>
      </c>
      <c r="EA16" s="104">
        <f t="shared" si="42"/>
        <v>0</v>
      </c>
      <c r="EB16" s="102"/>
      <c r="EC16" s="1">
        <v>5</v>
      </c>
      <c r="ED16" s="104">
        <f t="shared" si="43"/>
        <v>0</v>
      </c>
      <c r="EE16" s="102"/>
      <c r="EF16" s="1">
        <v>5</v>
      </c>
      <c r="EG16" s="104">
        <f t="shared" si="44"/>
        <v>0</v>
      </c>
      <c r="EH16" s="102"/>
      <c r="EI16" s="1">
        <v>5</v>
      </c>
      <c r="EJ16" s="104">
        <f t="shared" si="45"/>
        <v>0</v>
      </c>
      <c r="EK16" s="102"/>
      <c r="EL16" s="1">
        <v>5</v>
      </c>
      <c r="EM16" s="104">
        <f t="shared" si="46"/>
        <v>0</v>
      </c>
      <c r="EN16" s="102"/>
      <c r="EO16" s="1">
        <v>5</v>
      </c>
      <c r="EP16" s="104">
        <f t="shared" si="47"/>
        <v>0</v>
      </c>
      <c r="EQ16" s="85">
        <f t="array" ref="EQ16">IFERROR(_xlfn.LET(
_xlpm.datos,CHOOSE({1;2;3;4;5;6;7;8;9;10;11;12;13;13;14;15;16;17;18;19;20;21;22;23;23;24;25;26;27;28;29;30;31;32;33;34;35;36;37;38;39;40;41;42;43;44;45;46;47},E16,H16,K16,N16,Q16,T16,W16,Z16,AC16,AF16,AI16,AL16,AO16,AR16,AU16,AX16,BA16,BD16,BG16,BJ16,BP16,BS16,BV16,BY16,CB16,CE16,CH16,CK16,CN16,CQ16,CT16,CW16,CZ16,DC16,DF16,DI16,DL16,DO16,DR16,DU16,DX16,EA16,ED16,EG16,EJ16,EM16,EP16),
AVERAGE(_xlfn._xlws.FILTER(_xlpm.datos,(_xlpm.datos&lt;&gt;0)*(_xlpm.datos&lt;&gt;"")))
),0)</f>
        <v>0</v>
      </c>
      <c r="ER16" s="162" t="str">
        <f t="array" ref="ER16">_xlfn.IFS(EQ16&gt;=91.5%,"MENSUAL",EQ16&gt;=75%,"QUINCENAL",EQ16&lt;75%,"SEMANAL")</f>
        <v>SEMANAL</v>
      </c>
    </row>
    <row r="17" ht="16" customHeight="1" spans="1:148" x14ac:dyDescent="0.25">
      <c r="A17" s="163" t="s">
        <v>89</v>
      </c>
      <c r="B17" s="125"/>
      <c r="C17" s="126"/>
      <c r="D17" s="127"/>
      <c r="E17" s="82">
        <f>AVERAGE(E18:E20)</f>
        <v>0</v>
      </c>
      <c r="F17" s="126"/>
      <c r="G17" s="127"/>
      <c r="H17" s="82">
        <f>AVERAGE(H18:H20)</f>
        <v>0</v>
      </c>
      <c r="I17" s="126"/>
      <c r="J17" s="127"/>
      <c r="K17" s="82">
        <f>AVERAGE(K18:K20)</f>
        <v>0</v>
      </c>
      <c r="L17" s="126"/>
      <c r="M17" s="127"/>
      <c r="N17" s="82">
        <f>AVERAGE(N18:N20)</f>
        <v>0</v>
      </c>
      <c r="O17" s="126"/>
      <c r="P17" s="127"/>
      <c r="Q17" s="82">
        <f>AVERAGE(Q18:Q20)</f>
        <v>0</v>
      </c>
      <c r="R17" s="126"/>
      <c r="S17" s="127"/>
      <c r="T17" s="82">
        <f>AVERAGE(T18:T20)</f>
        <v>0</v>
      </c>
      <c r="U17" s="126"/>
      <c r="V17" s="127"/>
      <c r="W17" s="82">
        <f>AVERAGE(W18:W20)</f>
        <v>0</v>
      </c>
      <c r="X17" s="126"/>
      <c r="Y17" s="127"/>
      <c r="Z17" s="82">
        <f>AVERAGE(Z18:Z20)</f>
        <v>0</v>
      </c>
      <c r="AA17" s="126"/>
      <c r="AB17" s="127"/>
      <c r="AC17" s="82">
        <f>AVERAGE(AC18:AC20)</f>
        <v>0</v>
      </c>
      <c r="AD17" s="126"/>
      <c r="AE17" s="127"/>
      <c r="AF17" s="82">
        <f>AVERAGE(AF18:AF20)</f>
        <v>0</v>
      </c>
      <c r="AG17" s="126"/>
      <c r="AH17" s="127"/>
      <c r="AI17" s="82">
        <f>AVERAGE(AI18:AI20)</f>
        <v>0</v>
      </c>
      <c r="AJ17" s="126"/>
      <c r="AK17" s="127"/>
      <c r="AL17" s="82">
        <f>AVERAGE(AL18:AL20)</f>
        <v>0</v>
      </c>
      <c r="AM17" s="128"/>
      <c r="AN17" s="127"/>
      <c r="AO17" s="82">
        <f>AVERAGE(AO18:AO20)</f>
        <v>0</v>
      </c>
      <c r="AP17" s="128"/>
      <c r="AQ17" s="129"/>
      <c r="AR17" s="82">
        <f>AVERAGE(AR18:AR20)</f>
        <v>0</v>
      </c>
      <c r="AS17" s="130"/>
      <c r="AT17" s="129"/>
      <c r="AU17" s="82">
        <f>AVERAGE(AU18:AU20)</f>
        <v>0</v>
      </c>
      <c r="AV17" s="128"/>
      <c r="AW17" s="127"/>
      <c r="AX17" s="82">
        <f>AVERAGE(AX18:AX20)</f>
        <v>0</v>
      </c>
      <c r="AY17" s="131"/>
      <c r="AZ17" s="132"/>
      <c r="BA17" s="82">
        <f>AVERAGE(BA18:BA20)</f>
        <v>0</v>
      </c>
      <c r="BB17" s="128"/>
      <c r="BC17" s="132"/>
      <c r="BD17" s="82">
        <f>AVERAGE(BD18:BD20)</f>
        <v>0</v>
      </c>
      <c r="BE17" s="128"/>
      <c r="BF17" s="132"/>
      <c r="BG17" s="82">
        <f>AVERAGE(BG18:BG20)</f>
        <v>0</v>
      </c>
      <c r="BH17" s="128"/>
      <c r="BI17" s="132"/>
      <c r="BJ17" s="82">
        <f>AVERAGE(BJ18:BJ20)</f>
        <v>0</v>
      </c>
      <c r="BK17" s="128"/>
      <c r="BL17" s="132"/>
      <c r="BM17" s="82">
        <f>AVERAGE(BM18:BM20)</f>
        <v>0</v>
      </c>
      <c r="BN17" s="128"/>
      <c r="BO17" s="132"/>
      <c r="BP17" s="82">
        <f>AVERAGE(BP18:BP20)</f>
        <v>0</v>
      </c>
      <c r="BQ17" s="128"/>
      <c r="BR17" s="132"/>
      <c r="BS17" s="82">
        <f>AVERAGE(BS18:BS20)</f>
        <v>0</v>
      </c>
      <c r="BT17" s="128"/>
      <c r="BU17" s="132"/>
      <c r="BV17" s="82">
        <f>AVERAGE(BV18:BV20)</f>
        <v>0</v>
      </c>
      <c r="BW17" s="128"/>
      <c r="BX17" s="132"/>
      <c r="BY17" s="82">
        <f>AVERAGE(BY18:BY20)</f>
        <v>0</v>
      </c>
      <c r="BZ17" s="126"/>
      <c r="CA17" s="127"/>
      <c r="CB17" s="82">
        <f>AVERAGE(CB18:CB20)</f>
        <v>0</v>
      </c>
      <c r="CC17" s="126"/>
      <c r="CD17" s="127"/>
      <c r="CE17" s="82">
        <f>AVERAGE(CE18:CE20)</f>
        <v>0</v>
      </c>
      <c r="CF17" s="126"/>
      <c r="CG17" s="127"/>
      <c r="CH17" s="82">
        <f>AVERAGE(CH18:CH20)</f>
        <v>0</v>
      </c>
      <c r="CI17" s="126"/>
      <c r="CJ17" s="127"/>
      <c r="CK17" s="82">
        <f>AVERAGE(CK18:CK20)</f>
        <v>0</v>
      </c>
      <c r="CL17" s="126"/>
      <c r="CM17" s="127"/>
      <c r="CN17" s="82">
        <f>AVERAGE(CN18:CN20)</f>
        <v>0</v>
      </c>
      <c r="CO17" s="126"/>
      <c r="CP17" s="127"/>
      <c r="CQ17" s="82">
        <f>AVERAGE(CQ18:CQ20)</f>
        <v>0</v>
      </c>
      <c r="CR17" s="126"/>
      <c r="CS17" s="127"/>
      <c r="CT17" s="82">
        <f>AVERAGE(CT18:CT20)</f>
        <v>0</v>
      </c>
      <c r="CU17" s="126"/>
      <c r="CV17" s="127"/>
      <c r="CW17" s="82">
        <f>AVERAGE(CW18:CW20)</f>
        <v>0</v>
      </c>
      <c r="CX17" s="126"/>
      <c r="CY17" s="127"/>
      <c r="CZ17" s="82">
        <f>AVERAGE(CZ18:CZ20)</f>
        <v>0</v>
      </c>
      <c r="DA17" s="126"/>
      <c r="DB17" s="127"/>
      <c r="DC17" s="82">
        <f>AVERAGE(DC18:DC20)</f>
        <v>0</v>
      </c>
      <c r="DD17" s="126"/>
      <c r="DE17" s="127"/>
      <c r="DF17" s="82">
        <f>AVERAGE(DF18:DF20)</f>
        <v>0</v>
      </c>
      <c r="DG17" s="126"/>
      <c r="DH17" s="127"/>
      <c r="DI17" s="82">
        <f>AVERAGE(DI18:DI20)</f>
        <v>0</v>
      </c>
      <c r="DJ17" s="126"/>
      <c r="DK17" s="127"/>
      <c r="DL17" s="82">
        <f>AVERAGE(DL18:DL20)</f>
        <v>0</v>
      </c>
      <c r="DM17" s="126"/>
      <c r="DN17" s="127"/>
      <c r="DO17" s="82">
        <f>AVERAGE(DO18:DO20)</f>
        <v>0</v>
      </c>
      <c r="DP17" s="126"/>
      <c r="DQ17" s="127"/>
      <c r="DR17" s="82">
        <f>AVERAGE(DR18:DR20)</f>
        <v>0</v>
      </c>
      <c r="DS17" s="126"/>
      <c r="DT17" s="127"/>
      <c r="DU17" s="82">
        <f>AVERAGE(DU18:DU20)</f>
        <v>0</v>
      </c>
      <c r="DV17" s="126"/>
      <c r="DW17" s="127"/>
      <c r="DX17" s="82">
        <f>AVERAGE(DX18:DX20)</f>
        <v>0</v>
      </c>
      <c r="DY17" s="126"/>
      <c r="DZ17" s="127"/>
      <c r="EA17" s="82">
        <f>AVERAGE(EA18:EA20)</f>
        <v>0</v>
      </c>
      <c r="EB17" s="126"/>
      <c r="EC17" s="127"/>
      <c r="ED17" s="82">
        <f>AVERAGE(ED18:ED20)</f>
        <v>0</v>
      </c>
      <c r="EE17" s="126"/>
      <c r="EF17" s="127"/>
      <c r="EG17" s="82">
        <f>AVERAGE(EG18:EG20)</f>
        <v>0</v>
      </c>
      <c r="EH17" s="126"/>
      <c r="EI17" s="127"/>
      <c r="EJ17" s="82">
        <f>AVERAGE(EJ18:EJ20)</f>
        <v>0</v>
      </c>
      <c r="EK17" s="126"/>
      <c r="EL17" s="127"/>
      <c r="EM17" s="82">
        <f>AVERAGE(EM18:EM20)</f>
        <v>0</v>
      </c>
      <c r="EN17" s="126"/>
      <c r="EO17" s="127"/>
      <c r="EP17" s="82">
        <f>AVERAGE(EP18:EP20)</f>
        <v>0</v>
      </c>
      <c r="EQ17" s="85">
        <f t="array" ref="EQ17">IFERROR(_xlfn.LET(
_xlpm.datos,CHOOSE({1;2;3;4;5;6;7;8;9;10;11;12;13;13;14;15;16;17;18;19;20;21;22;23;23;24;25;26;27;28;29;30;31;32;33;34;35;36;37;38;39;40;41;42;43;44;45;46;47},E17,H17,K17,N17,Q17,T17,W17,Z17,AC17,AF17,AI17,AL17,AO17,AR17,AU17,AX17,BA17,BD17,BG17,BJ17,BP17,BS17,BV17,BY17,CB17,CE17,CH17,CK17,CN17,CQ17,CT17,CW17,CZ17,DC17,DF17,DI17,DL17,DO17,DR17,DU17,DX17,EA17,ED17,EG17,EJ17,EM17,EP17),
AVERAGE(_xlfn._xlws.FILTER(_xlpm.datos,(_xlpm.datos&lt;&gt;0)*(_xlpm.datos&lt;&gt;"")))
),0)</f>
        <v>0</v>
      </c>
      <c r="ER17" s="162" t="str">
        <f t="array" ref="ER17">_xlfn.IFS(EQ17&gt;=91.5%,"MENSUAL",EQ17&gt;=75%,"QUINCENAL",EQ17&lt;75%,"SEMANAL")</f>
        <v>SEMANAL</v>
      </c>
    </row>
    <row r="18" ht="27" customHeight="1" spans="1:148" x14ac:dyDescent="0.25">
      <c r="A18" s="282" t="s">
        <v>140</v>
      </c>
      <c r="B18" s="182"/>
      <c r="C18" s="102"/>
      <c r="D18" s="103">
        <v>5</v>
      </c>
      <c r="E18" s="104">
        <f t="shared" ref="E18:E20" si="48">C18/D18</f>
        <v>0</v>
      </c>
      <c r="F18" s="102"/>
      <c r="G18" s="103">
        <v>5</v>
      </c>
      <c r="H18" s="104">
        <f t="shared" ref="H18:H20" si="49">F18/G18</f>
        <v>0</v>
      </c>
      <c r="I18" s="105"/>
      <c r="J18" s="103">
        <v>5</v>
      </c>
      <c r="K18" s="104">
        <f t="shared" ref="K18:K20" si="50">I18/J18</f>
        <v>0</v>
      </c>
      <c r="L18" s="105"/>
      <c r="M18" s="103">
        <v>5</v>
      </c>
      <c r="N18" s="104">
        <f t="shared" ref="N18:N20" si="51">L18/M18</f>
        <v>0</v>
      </c>
      <c r="O18" s="106"/>
      <c r="P18" s="107">
        <v>5</v>
      </c>
      <c r="Q18" s="104">
        <f t="shared" ref="Q18:Q20" si="52">O18/P18</f>
        <v>0</v>
      </c>
      <c r="R18" s="102"/>
      <c r="S18" s="107">
        <v>5</v>
      </c>
      <c r="T18" s="104">
        <f t="shared" ref="T18:T20" si="53">R18/S18</f>
        <v>0</v>
      </c>
      <c r="U18" s="102"/>
      <c r="V18" s="107">
        <v>5</v>
      </c>
      <c r="W18" s="104">
        <f t="shared" ref="W18:W20" si="54">U18/V18</f>
        <v>0</v>
      </c>
      <c r="X18" s="102"/>
      <c r="Y18" s="107">
        <v>5</v>
      </c>
      <c r="Z18" s="104">
        <f t="shared" ref="Z18:Z20" si="55">X18/Y18</f>
        <v>0</v>
      </c>
      <c r="AA18" s="106"/>
      <c r="AB18" s="107">
        <v>5</v>
      </c>
      <c r="AC18" s="104">
        <f t="shared" ref="AC18:AC20" si="56">AA18/AB18</f>
        <v>0</v>
      </c>
      <c r="AD18" s="106"/>
      <c r="AE18" s="107">
        <v>5</v>
      </c>
      <c r="AF18" s="104">
        <f t="shared" ref="AF18:AF20" si="57">AD18/AE18</f>
        <v>0</v>
      </c>
      <c r="AG18" s="106"/>
      <c r="AH18" s="107">
        <v>5</v>
      </c>
      <c r="AI18" s="104">
        <f t="shared" ref="AI18:AI20" si="58">AG18/AH18</f>
        <v>0</v>
      </c>
      <c r="AJ18" s="106"/>
      <c r="AK18" s="107">
        <v>5</v>
      </c>
      <c r="AL18" s="104">
        <f t="shared" ref="AL18:AL20" si="59">AJ18/AK18</f>
        <v>0</v>
      </c>
      <c r="AM18" s="102"/>
      <c r="AN18" s="1">
        <v>5</v>
      </c>
      <c r="AO18" s="104">
        <f t="shared" ref="AO18:AO20" si="60">AM18/AN18</f>
        <v>0</v>
      </c>
      <c r="AP18" s="102"/>
      <c r="AQ18" s="1">
        <v>5</v>
      </c>
      <c r="AR18" s="104">
        <f t="shared" ref="AR18:AR20" si="61">AP18/AQ18</f>
        <v>0</v>
      </c>
      <c r="AS18" s="102"/>
      <c r="AT18" s="1">
        <v>5</v>
      </c>
      <c r="AU18" s="104">
        <f t="shared" ref="AU18:AU20" si="62">AS18/AT18</f>
        <v>0</v>
      </c>
      <c r="AV18" s="102"/>
      <c r="AW18" s="1">
        <v>5</v>
      </c>
      <c r="AX18" s="104">
        <f t="shared" ref="AX18:AX20" si="63">AV18/AW18</f>
        <v>0</v>
      </c>
      <c r="AY18" s="102"/>
      <c r="AZ18" s="1">
        <v>5</v>
      </c>
      <c r="BA18" s="104">
        <f t="shared" ref="BA18:BA20" si="64">AY18/AZ18</f>
        <v>0</v>
      </c>
      <c r="BB18" s="102"/>
      <c r="BC18" s="1">
        <v>5</v>
      </c>
      <c r="BD18" s="104">
        <f t="shared" ref="BD18:BD20" si="65">BB18/BC18</f>
        <v>0</v>
      </c>
      <c r="BE18" s="102"/>
      <c r="BF18" s="1">
        <v>5</v>
      </c>
      <c r="BG18" s="104">
        <f t="shared" ref="BG18:BG20" si="66">BE18/BF18</f>
        <v>0</v>
      </c>
      <c r="BH18" s="102"/>
      <c r="BI18" s="1">
        <v>5</v>
      </c>
      <c r="BJ18" s="104">
        <f t="shared" ref="BJ18:BJ20" si="67">BH18/BI18</f>
        <v>0</v>
      </c>
      <c r="BK18" s="102"/>
      <c r="BL18" s="1">
        <v>5</v>
      </c>
      <c r="BM18" s="104">
        <f t="shared" ref="BM18:BM20" si="68">BK18/BL18</f>
        <v>0</v>
      </c>
      <c r="BN18" s="102"/>
      <c r="BO18" s="1">
        <v>5</v>
      </c>
      <c r="BP18" s="104">
        <f t="shared" ref="BP18:BP20" si="69">BN18/BO18</f>
        <v>0</v>
      </c>
      <c r="BQ18" s="102"/>
      <c r="BR18" s="1">
        <v>5</v>
      </c>
      <c r="BS18" s="104">
        <f t="shared" ref="BS18:BS20" si="70">BQ18/BR18</f>
        <v>0</v>
      </c>
      <c r="BT18" s="102"/>
      <c r="BU18" s="1">
        <v>5</v>
      </c>
      <c r="BV18" s="104">
        <f t="shared" ref="BV18:BV20" si="71">BT18/BU18</f>
        <v>0</v>
      </c>
      <c r="BW18" s="102"/>
      <c r="BX18" s="1">
        <v>5</v>
      </c>
      <c r="BY18" s="104">
        <f t="shared" ref="BY18:BY20" si="72">BW18/BX18</f>
        <v>0</v>
      </c>
      <c r="BZ18" s="102"/>
      <c r="CA18" s="1">
        <v>5</v>
      </c>
      <c r="CB18" s="104">
        <f t="shared" ref="CB18:CB20" si="73">BZ18/CA18</f>
        <v>0</v>
      </c>
      <c r="CC18" s="102"/>
      <c r="CD18" s="1">
        <v>5</v>
      </c>
      <c r="CE18" s="104">
        <f t="shared" ref="CE18:CE20" si="74">CC18/CD18</f>
        <v>0</v>
      </c>
      <c r="CF18" s="102"/>
      <c r="CG18" s="1">
        <v>5</v>
      </c>
      <c r="CH18" s="104">
        <f t="shared" ref="CH18:CH20" si="75">CF18/CG18</f>
        <v>0</v>
      </c>
      <c r="CI18" s="102"/>
      <c r="CJ18" s="1">
        <v>5</v>
      </c>
      <c r="CK18" s="104">
        <f t="shared" ref="CK18:CK20" si="76">CI18/CJ18</f>
        <v>0</v>
      </c>
      <c r="CL18" s="102"/>
      <c r="CM18" s="1">
        <v>5</v>
      </c>
      <c r="CN18" s="104">
        <f t="shared" ref="CN18:CN20" si="77">CL18/CM18</f>
        <v>0</v>
      </c>
      <c r="CO18" s="102"/>
      <c r="CP18" s="1">
        <v>5</v>
      </c>
      <c r="CQ18" s="104">
        <f t="shared" ref="CQ18:CQ20" si="78">CO18/CP18</f>
        <v>0</v>
      </c>
      <c r="CR18" s="102"/>
      <c r="CS18" s="1">
        <v>5</v>
      </c>
      <c r="CT18" s="104">
        <f t="shared" ref="CT18:CT20" si="79">CR18/CS18</f>
        <v>0</v>
      </c>
      <c r="CU18" s="102"/>
      <c r="CV18" s="1">
        <v>5</v>
      </c>
      <c r="CW18" s="104">
        <f t="shared" ref="CW18:CW20" si="80">CU18/CV18</f>
        <v>0</v>
      </c>
      <c r="CX18" s="102"/>
      <c r="CY18" s="1">
        <v>5</v>
      </c>
      <c r="CZ18" s="104">
        <f t="shared" ref="CZ18:CZ20" si="81">CX18/CY18</f>
        <v>0</v>
      </c>
      <c r="DA18" s="102"/>
      <c r="DB18" s="1">
        <v>5</v>
      </c>
      <c r="DC18" s="104">
        <f t="shared" ref="DC18:DC20" si="82">DA18/DB18</f>
        <v>0</v>
      </c>
      <c r="DD18" s="102"/>
      <c r="DE18" s="1">
        <v>5</v>
      </c>
      <c r="DF18" s="104">
        <f t="shared" ref="DF18:DF20" si="83">DD18/DE18</f>
        <v>0</v>
      </c>
      <c r="DG18" s="102"/>
      <c r="DH18" s="1">
        <v>5</v>
      </c>
      <c r="DI18" s="104">
        <f t="shared" ref="DI18:DI20" si="84">DG18/DH18</f>
        <v>0</v>
      </c>
      <c r="DJ18" s="102"/>
      <c r="DK18" s="1">
        <v>5</v>
      </c>
      <c r="DL18" s="104">
        <f t="shared" ref="DL18:DL20" si="85">DJ18/DK18</f>
        <v>0</v>
      </c>
      <c r="DM18" s="102"/>
      <c r="DN18" s="1">
        <v>5</v>
      </c>
      <c r="DO18" s="104">
        <f t="shared" ref="DO18:DO20" si="86">DM18/DN18</f>
        <v>0</v>
      </c>
      <c r="DP18" s="102"/>
      <c r="DQ18" s="1">
        <v>5</v>
      </c>
      <c r="DR18" s="104">
        <f t="shared" ref="DR18:DR20" si="87">DP18/DQ18</f>
        <v>0</v>
      </c>
      <c r="DS18" s="102"/>
      <c r="DT18" s="1">
        <v>5</v>
      </c>
      <c r="DU18" s="104">
        <f t="shared" ref="DU18:DU20" si="88">DS18/DT18</f>
        <v>0</v>
      </c>
      <c r="DV18" s="102"/>
      <c r="DW18" s="1">
        <v>5</v>
      </c>
      <c r="DX18" s="104">
        <f t="shared" ref="DX18:DX20" si="89">DV18/DW18</f>
        <v>0</v>
      </c>
      <c r="DY18" s="102"/>
      <c r="DZ18" s="1">
        <v>5</v>
      </c>
      <c r="EA18" s="104">
        <f t="shared" ref="EA18:EA20" si="90">DY18/DZ18</f>
        <v>0</v>
      </c>
      <c r="EB18" s="102"/>
      <c r="EC18" s="1">
        <v>5</v>
      </c>
      <c r="ED18" s="104">
        <f t="shared" ref="ED18:ED20" si="91">EB18/EC18</f>
        <v>0</v>
      </c>
      <c r="EE18" s="102"/>
      <c r="EF18" s="1">
        <v>5</v>
      </c>
      <c r="EG18" s="104">
        <f t="shared" ref="EG18:EG20" si="92">EE18/EF18</f>
        <v>0</v>
      </c>
      <c r="EH18" s="102"/>
      <c r="EI18" s="1">
        <v>5</v>
      </c>
      <c r="EJ18" s="104">
        <f t="shared" ref="EJ18:EJ20" si="93">EH18/EI18</f>
        <v>0</v>
      </c>
      <c r="EK18" s="102"/>
      <c r="EL18" s="1">
        <v>5</v>
      </c>
      <c r="EM18" s="104">
        <f t="shared" ref="EM18:EM20" si="94">EK18/EL18</f>
        <v>0</v>
      </c>
      <c r="EN18" s="102"/>
      <c r="EO18" s="1">
        <v>5</v>
      </c>
      <c r="EP18" s="104">
        <f t="shared" ref="EP18:EP20" si="95">EN18/EO18</f>
        <v>0</v>
      </c>
      <c r="EQ18" s="85">
        <f t="array" ref="EQ18">IFERROR(_xlfn.LET(
_xlpm.datos,CHOOSE({1;2;3;4;5;6;7;8;9;10;11;12;13;13;14;15;16;17;18;19;20;21;22;23;23;24;25;26;27;28;29;30;31;32;33;34;35;36;37;38;39;40;41;42;43;44;45;46;47},E18,H18,K18,N18,Q18,T18,W18,Z18,AC18,AF18,AI18,AL18,AO18,AR18,AU18,AX18,BA18,BD18,BG18,BJ18,BP18,BS18,BV18,BY18,CB18,CE18,CH18,CK18,CN18,CQ18,CT18,CW18,CZ18,DC18,DF18,DI18,DL18,DO18,DR18,DU18,DX18,EA18,ED18,EG18,EJ18,EM18,EP18),
AVERAGE(_xlfn._xlws.FILTER(_xlpm.datos,(_xlpm.datos&lt;&gt;0)*(_xlpm.datos&lt;&gt;"")))
),0)</f>
        <v>0</v>
      </c>
      <c r="ER18" s="162" t="str">
        <f t="array" ref="ER18">_xlfn.IFS(EQ18&gt;=91.5%,"MENSUAL",EQ18&gt;=75%,"QUINCENAL",EQ18&lt;75%,"SEMANAL")</f>
        <v>SEMANAL</v>
      </c>
    </row>
    <row r="19" ht="27" customHeight="1" spans="1:148" x14ac:dyDescent="0.25">
      <c r="A19" s="171" t="s">
        <v>224</v>
      </c>
      <c r="B19" s="166"/>
      <c r="C19" s="102"/>
      <c r="D19" s="103">
        <v>5</v>
      </c>
      <c r="E19" s="104">
        <f t="shared" si="48"/>
        <v>0</v>
      </c>
      <c r="F19" s="102"/>
      <c r="G19" s="103">
        <v>5</v>
      </c>
      <c r="H19" s="104">
        <f t="shared" si="49"/>
        <v>0</v>
      </c>
      <c r="I19" s="105"/>
      <c r="J19" s="103">
        <v>5</v>
      </c>
      <c r="K19" s="104">
        <f t="shared" si="50"/>
        <v>0</v>
      </c>
      <c r="L19" s="105"/>
      <c r="M19" s="103">
        <v>5</v>
      </c>
      <c r="N19" s="104">
        <f t="shared" si="51"/>
        <v>0</v>
      </c>
      <c r="O19" s="106"/>
      <c r="P19" s="107">
        <v>5</v>
      </c>
      <c r="Q19" s="104">
        <f t="shared" si="52"/>
        <v>0</v>
      </c>
      <c r="R19" s="102"/>
      <c r="S19" s="107">
        <v>5</v>
      </c>
      <c r="T19" s="104">
        <f t="shared" si="53"/>
        <v>0</v>
      </c>
      <c r="U19" s="102"/>
      <c r="V19" s="107">
        <v>5</v>
      </c>
      <c r="W19" s="104">
        <f t="shared" si="54"/>
        <v>0</v>
      </c>
      <c r="X19" s="102"/>
      <c r="Y19" s="107">
        <v>5</v>
      </c>
      <c r="Z19" s="104">
        <f t="shared" si="55"/>
        <v>0</v>
      </c>
      <c r="AA19" s="106"/>
      <c r="AB19" s="107">
        <v>5</v>
      </c>
      <c r="AC19" s="104">
        <f t="shared" si="56"/>
        <v>0</v>
      </c>
      <c r="AD19" s="106"/>
      <c r="AE19" s="107">
        <v>5</v>
      </c>
      <c r="AF19" s="104">
        <f t="shared" si="57"/>
        <v>0</v>
      </c>
      <c r="AG19" s="106"/>
      <c r="AH19" s="107">
        <v>5</v>
      </c>
      <c r="AI19" s="104">
        <f t="shared" si="58"/>
        <v>0</v>
      </c>
      <c r="AJ19" s="106"/>
      <c r="AK19" s="107">
        <v>5</v>
      </c>
      <c r="AL19" s="104">
        <f t="shared" si="59"/>
        <v>0</v>
      </c>
      <c r="AM19" s="102"/>
      <c r="AN19" s="1">
        <v>5</v>
      </c>
      <c r="AO19" s="104">
        <f t="shared" si="60"/>
        <v>0</v>
      </c>
      <c r="AP19" s="102"/>
      <c r="AQ19" s="1">
        <v>5</v>
      </c>
      <c r="AR19" s="104">
        <f t="shared" si="61"/>
        <v>0</v>
      </c>
      <c r="AS19" s="102"/>
      <c r="AT19" s="1">
        <v>5</v>
      </c>
      <c r="AU19" s="104">
        <f t="shared" si="62"/>
        <v>0</v>
      </c>
      <c r="AV19" s="102"/>
      <c r="AW19" s="1">
        <v>5</v>
      </c>
      <c r="AX19" s="104">
        <f t="shared" si="63"/>
        <v>0</v>
      </c>
      <c r="AY19" s="102"/>
      <c r="AZ19" s="1">
        <v>5</v>
      </c>
      <c r="BA19" s="104">
        <f t="shared" si="64"/>
        <v>0</v>
      </c>
      <c r="BB19" s="102"/>
      <c r="BC19" s="1">
        <v>5</v>
      </c>
      <c r="BD19" s="104">
        <f t="shared" si="65"/>
        <v>0</v>
      </c>
      <c r="BE19" s="102"/>
      <c r="BF19" s="1">
        <v>5</v>
      </c>
      <c r="BG19" s="104">
        <f t="shared" si="66"/>
        <v>0</v>
      </c>
      <c r="BH19" s="102"/>
      <c r="BI19" s="1">
        <v>5</v>
      </c>
      <c r="BJ19" s="104">
        <f t="shared" si="67"/>
        <v>0</v>
      </c>
      <c r="BK19" s="102"/>
      <c r="BL19" s="1">
        <v>5</v>
      </c>
      <c r="BM19" s="104">
        <f t="shared" si="68"/>
        <v>0</v>
      </c>
      <c r="BN19" s="102"/>
      <c r="BO19" s="1">
        <v>5</v>
      </c>
      <c r="BP19" s="104">
        <f t="shared" si="69"/>
        <v>0</v>
      </c>
      <c r="BQ19" s="102"/>
      <c r="BR19" s="1">
        <v>5</v>
      </c>
      <c r="BS19" s="104">
        <f t="shared" si="70"/>
        <v>0</v>
      </c>
      <c r="BT19" s="102"/>
      <c r="BU19" s="1">
        <v>5</v>
      </c>
      <c r="BV19" s="104">
        <f t="shared" si="71"/>
        <v>0</v>
      </c>
      <c r="BW19" s="102"/>
      <c r="BX19" s="1">
        <v>5</v>
      </c>
      <c r="BY19" s="104">
        <f t="shared" si="72"/>
        <v>0</v>
      </c>
      <c r="BZ19" s="102"/>
      <c r="CA19" s="1">
        <v>5</v>
      </c>
      <c r="CB19" s="104">
        <f t="shared" si="73"/>
        <v>0</v>
      </c>
      <c r="CC19" s="102"/>
      <c r="CD19" s="1">
        <v>5</v>
      </c>
      <c r="CE19" s="104">
        <f t="shared" si="74"/>
        <v>0</v>
      </c>
      <c r="CF19" s="102"/>
      <c r="CG19" s="1">
        <v>5</v>
      </c>
      <c r="CH19" s="104">
        <f t="shared" si="75"/>
        <v>0</v>
      </c>
      <c r="CI19" s="102"/>
      <c r="CJ19" s="1">
        <v>5</v>
      </c>
      <c r="CK19" s="104">
        <f t="shared" si="76"/>
        <v>0</v>
      </c>
      <c r="CL19" s="102"/>
      <c r="CM19" s="1">
        <v>5</v>
      </c>
      <c r="CN19" s="104">
        <f t="shared" si="77"/>
        <v>0</v>
      </c>
      <c r="CO19" s="102"/>
      <c r="CP19" s="1">
        <v>5</v>
      </c>
      <c r="CQ19" s="104">
        <f t="shared" si="78"/>
        <v>0</v>
      </c>
      <c r="CR19" s="102"/>
      <c r="CS19" s="1">
        <v>5</v>
      </c>
      <c r="CT19" s="104">
        <f t="shared" si="79"/>
        <v>0</v>
      </c>
      <c r="CU19" s="102"/>
      <c r="CV19" s="1">
        <v>5</v>
      </c>
      <c r="CW19" s="104">
        <f t="shared" si="80"/>
        <v>0</v>
      </c>
      <c r="CX19" s="102"/>
      <c r="CY19" s="1">
        <v>5</v>
      </c>
      <c r="CZ19" s="104">
        <f t="shared" si="81"/>
        <v>0</v>
      </c>
      <c r="DA19" s="102"/>
      <c r="DB19" s="1">
        <v>5</v>
      </c>
      <c r="DC19" s="104">
        <f t="shared" si="82"/>
        <v>0</v>
      </c>
      <c r="DD19" s="102"/>
      <c r="DE19" s="1">
        <v>5</v>
      </c>
      <c r="DF19" s="104">
        <f t="shared" si="83"/>
        <v>0</v>
      </c>
      <c r="DG19" s="102"/>
      <c r="DH19" s="1">
        <v>5</v>
      </c>
      <c r="DI19" s="104">
        <f t="shared" si="84"/>
        <v>0</v>
      </c>
      <c r="DJ19" s="102"/>
      <c r="DK19" s="1">
        <v>5</v>
      </c>
      <c r="DL19" s="104">
        <f t="shared" si="85"/>
        <v>0</v>
      </c>
      <c r="DM19" s="102"/>
      <c r="DN19" s="1">
        <v>5</v>
      </c>
      <c r="DO19" s="104">
        <f t="shared" si="86"/>
        <v>0</v>
      </c>
      <c r="DP19" s="102"/>
      <c r="DQ19" s="1">
        <v>5</v>
      </c>
      <c r="DR19" s="104">
        <f t="shared" si="87"/>
        <v>0</v>
      </c>
      <c r="DS19" s="102"/>
      <c r="DT19" s="1">
        <v>5</v>
      </c>
      <c r="DU19" s="104">
        <f t="shared" si="88"/>
        <v>0</v>
      </c>
      <c r="DV19" s="102"/>
      <c r="DW19" s="1">
        <v>5</v>
      </c>
      <c r="DX19" s="104">
        <f t="shared" si="89"/>
        <v>0</v>
      </c>
      <c r="DY19" s="102"/>
      <c r="DZ19" s="1">
        <v>5</v>
      </c>
      <c r="EA19" s="104">
        <f t="shared" si="90"/>
        <v>0</v>
      </c>
      <c r="EB19" s="102"/>
      <c r="EC19" s="1">
        <v>5</v>
      </c>
      <c r="ED19" s="104">
        <f t="shared" si="91"/>
        <v>0</v>
      </c>
      <c r="EE19" s="102"/>
      <c r="EF19" s="1">
        <v>5</v>
      </c>
      <c r="EG19" s="104">
        <f t="shared" si="92"/>
        <v>0</v>
      </c>
      <c r="EH19" s="102"/>
      <c r="EI19" s="1">
        <v>5</v>
      </c>
      <c r="EJ19" s="104">
        <f t="shared" si="93"/>
        <v>0</v>
      </c>
      <c r="EK19" s="102"/>
      <c r="EL19" s="1">
        <v>5</v>
      </c>
      <c r="EM19" s="104">
        <f t="shared" si="94"/>
        <v>0</v>
      </c>
      <c r="EN19" s="102"/>
      <c r="EO19" s="1">
        <v>5</v>
      </c>
      <c r="EP19" s="104">
        <f t="shared" si="95"/>
        <v>0</v>
      </c>
      <c r="EQ19" s="85">
        <f t="array" ref="EQ19">IFERROR(_xlfn.LET(
_xlpm.datos,CHOOSE({1;2;3;4;5;6;7;8;9;10;11;12;13;13;14;15;16;17;18;19;20;21;22;23;23;24;25;26;27;28;29;30;31;32;33;34;35;36;37;38;39;40;41;42;43;44;45;46;47},E19,H19,K19,N19,Q19,T19,W19,Z19,AC19,AF19,AI19,AL19,AO19,AR19,AU19,AX19,BA19,BD19,BG19,BJ19,BP19,BS19,BV19,BY19,CB19,CE19,CH19,CK19,CN19,CQ19,CT19,CW19,CZ19,DC19,DF19,DI19,DL19,DO19,DR19,DU19,DX19,EA19,ED19,EG19,EJ19,EM19,EP19),
AVERAGE(_xlfn._xlws.FILTER(_xlpm.datos,(_xlpm.datos&lt;&gt;0)*(_xlpm.datos&lt;&gt;"")))
),0)</f>
        <v>0</v>
      </c>
      <c r="ER19" s="162" t="str">
        <f t="array" ref="ER19">_xlfn.IFS(EQ19&gt;=91.5%,"MENSUAL",EQ19&gt;=75%,"QUINCENAL",EQ19&lt;75%,"SEMANAL")</f>
        <v>SEMANAL</v>
      </c>
    </row>
    <row r="20" ht="40.5" customHeight="1" spans="1:148" x14ac:dyDescent="0.25">
      <c r="A20" s="176" t="s">
        <v>91</v>
      </c>
      <c r="B20" s="166"/>
      <c r="C20" s="102"/>
      <c r="D20" s="103">
        <v>5</v>
      </c>
      <c r="E20" s="104">
        <f t="shared" si="48"/>
        <v>0</v>
      </c>
      <c r="F20" s="102"/>
      <c r="G20" s="103">
        <v>5</v>
      </c>
      <c r="H20" s="104">
        <f t="shared" si="49"/>
        <v>0</v>
      </c>
      <c r="I20" s="105"/>
      <c r="J20" s="103">
        <v>5</v>
      </c>
      <c r="K20" s="104">
        <f t="shared" si="50"/>
        <v>0</v>
      </c>
      <c r="L20" s="105"/>
      <c r="M20" s="103">
        <v>5</v>
      </c>
      <c r="N20" s="104">
        <f t="shared" si="51"/>
        <v>0</v>
      </c>
      <c r="O20" s="106"/>
      <c r="P20" s="107">
        <v>5</v>
      </c>
      <c r="Q20" s="104">
        <f t="shared" si="52"/>
        <v>0</v>
      </c>
      <c r="R20" s="102"/>
      <c r="S20" s="107">
        <v>5</v>
      </c>
      <c r="T20" s="104">
        <f t="shared" si="53"/>
        <v>0</v>
      </c>
      <c r="U20" s="102"/>
      <c r="V20" s="107">
        <v>5</v>
      </c>
      <c r="W20" s="104">
        <f t="shared" si="54"/>
        <v>0</v>
      </c>
      <c r="X20" s="102"/>
      <c r="Y20" s="107">
        <v>5</v>
      </c>
      <c r="Z20" s="104">
        <f t="shared" si="55"/>
        <v>0</v>
      </c>
      <c r="AA20" s="106"/>
      <c r="AB20" s="107">
        <v>5</v>
      </c>
      <c r="AC20" s="104">
        <f t="shared" si="56"/>
        <v>0</v>
      </c>
      <c r="AD20" s="106"/>
      <c r="AE20" s="107">
        <v>5</v>
      </c>
      <c r="AF20" s="104">
        <f t="shared" si="57"/>
        <v>0</v>
      </c>
      <c r="AG20" s="106"/>
      <c r="AH20" s="107">
        <v>5</v>
      </c>
      <c r="AI20" s="104">
        <f t="shared" si="58"/>
        <v>0</v>
      </c>
      <c r="AJ20" s="106"/>
      <c r="AK20" s="107">
        <v>5</v>
      </c>
      <c r="AL20" s="104">
        <f t="shared" si="59"/>
        <v>0</v>
      </c>
      <c r="AM20" s="102"/>
      <c r="AN20" s="1">
        <v>5</v>
      </c>
      <c r="AO20" s="104">
        <f t="shared" si="60"/>
        <v>0</v>
      </c>
      <c r="AP20" s="102"/>
      <c r="AQ20" s="1">
        <v>5</v>
      </c>
      <c r="AR20" s="104">
        <f t="shared" si="61"/>
        <v>0</v>
      </c>
      <c r="AS20" s="102"/>
      <c r="AT20" s="1">
        <v>5</v>
      </c>
      <c r="AU20" s="104">
        <f t="shared" si="62"/>
        <v>0</v>
      </c>
      <c r="AV20" s="102"/>
      <c r="AW20" s="1">
        <v>5</v>
      </c>
      <c r="AX20" s="104">
        <f t="shared" si="63"/>
        <v>0</v>
      </c>
      <c r="AY20" s="102"/>
      <c r="AZ20" s="1">
        <v>5</v>
      </c>
      <c r="BA20" s="104">
        <f t="shared" si="64"/>
        <v>0</v>
      </c>
      <c r="BB20" s="102"/>
      <c r="BC20" s="1">
        <v>5</v>
      </c>
      <c r="BD20" s="104">
        <f t="shared" si="65"/>
        <v>0</v>
      </c>
      <c r="BE20" s="102"/>
      <c r="BF20" s="1">
        <v>5</v>
      </c>
      <c r="BG20" s="104">
        <f t="shared" si="66"/>
        <v>0</v>
      </c>
      <c r="BH20" s="102"/>
      <c r="BI20" s="1">
        <v>5</v>
      </c>
      <c r="BJ20" s="104">
        <f t="shared" si="67"/>
        <v>0</v>
      </c>
      <c r="BK20" s="102"/>
      <c r="BL20" s="1">
        <v>5</v>
      </c>
      <c r="BM20" s="104">
        <f t="shared" si="68"/>
        <v>0</v>
      </c>
      <c r="BN20" s="102"/>
      <c r="BO20" s="1">
        <v>5</v>
      </c>
      <c r="BP20" s="104">
        <f t="shared" si="69"/>
        <v>0</v>
      </c>
      <c r="BQ20" s="102"/>
      <c r="BR20" s="1">
        <v>5</v>
      </c>
      <c r="BS20" s="104">
        <f t="shared" si="70"/>
        <v>0</v>
      </c>
      <c r="BT20" s="102"/>
      <c r="BU20" s="1">
        <v>5</v>
      </c>
      <c r="BV20" s="104">
        <f t="shared" si="71"/>
        <v>0</v>
      </c>
      <c r="BW20" s="102"/>
      <c r="BX20" s="1">
        <v>5</v>
      </c>
      <c r="BY20" s="104">
        <f t="shared" si="72"/>
        <v>0</v>
      </c>
      <c r="BZ20" s="102"/>
      <c r="CA20" s="1">
        <v>5</v>
      </c>
      <c r="CB20" s="104">
        <f t="shared" si="73"/>
        <v>0</v>
      </c>
      <c r="CC20" s="102"/>
      <c r="CD20" s="1">
        <v>5</v>
      </c>
      <c r="CE20" s="104">
        <f t="shared" si="74"/>
        <v>0</v>
      </c>
      <c r="CF20" s="102"/>
      <c r="CG20" s="1">
        <v>5</v>
      </c>
      <c r="CH20" s="104">
        <f t="shared" si="75"/>
        <v>0</v>
      </c>
      <c r="CI20" s="102"/>
      <c r="CJ20" s="1">
        <v>5</v>
      </c>
      <c r="CK20" s="104">
        <f t="shared" si="76"/>
        <v>0</v>
      </c>
      <c r="CL20" s="102"/>
      <c r="CM20" s="1">
        <v>5</v>
      </c>
      <c r="CN20" s="104">
        <f t="shared" si="77"/>
        <v>0</v>
      </c>
      <c r="CO20" s="102"/>
      <c r="CP20" s="1">
        <v>5</v>
      </c>
      <c r="CQ20" s="104">
        <f t="shared" si="78"/>
        <v>0</v>
      </c>
      <c r="CR20" s="102"/>
      <c r="CS20" s="1">
        <v>5</v>
      </c>
      <c r="CT20" s="104">
        <f t="shared" si="79"/>
        <v>0</v>
      </c>
      <c r="CU20" s="102"/>
      <c r="CV20" s="1">
        <v>5</v>
      </c>
      <c r="CW20" s="104">
        <f t="shared" si="80"/>
        <v>0</v>
      </c>
      <c r="CX20" s="102"/>
      <c r="CY20" s="1">
        <v>5</v>
      </c>
      <c r="CZ20" s="104">
        <f t="shared" si="81"/>
        <v>0</v>
      </c>
      <c r="DA20" s="102"/>
      <c r="DB20" s="1">
        <v>5</v>
      </c>
      <c r="DC20" s="104">
        <f t="shared" si="82"/>
        <v>0</v>
      </c>
      <c r="DD20" s="102"/>
      <c r="DE20" s="1">
        <v>5</v>
      </c>
      <c r="DF20" s="104">
        <f t="shared" si="83"/>
        <v>0</v>
      </c>
      <c r="DG20" s="102"/>
      <c r="DH20" s="1">
        <v>5</v>
      </c>
      <c r="DI20" s="104">
        <f t="shared" si="84"/>
        <v>0</v>
      </c>
      <c r="DJ20" s="102"/>
      <c r="DK20" s="1">
        <v>5</v>
      </c>
      <c r="DL20" s="104">
        <f t="shared" si="85"/>
        <v>0</v>
      </c>
      <c r="DM20" s="102"/>
      <c r="DN20" s="1">
        <v>5</v>
      </c>
      <c r="DO20" s="104">
        <f t="shared" si="86"/>
        <v>0</v>
      </c>
      <c r="DP20" s="102"/>
      <c r="DQ20" s="1">
        <v>5</v>
      </c>
      <c r="DR20" s="104">
        <f t="shared" si="87"/>
        <v>0</v>
      </c>
      <c r="DS20" s="102"/>
      <c r="DT20" s="1">
        <v>5</v>
      </c>
      <c r="DU20" s="104">
        <f t="shared" si="88"/>
        <v>0</v>
      </c>
      <c r="DV20" s="102"/>
      <c r="DW20" s="1">
        <v>5</v>
      </c>
      <c r="DX20" s="104">
        <f t="shared" si="89"/>
        <v>0</v>
      </c>
      <c r="DY20" s="102"/>
      <c r="DZ20" s="1">
        <v>5</v>
      </c>
      <c r="EA20" s="104">
        <f t="shared" si="90"/>
        <v>0</v>
      </c>
      <c r="EB20" s="102"/>
      <c r="EC20" s="1">
        <v>5</v>
      </c>
      <c r="ED20" s="104">
        <f t="shared" si="91"/>
        <v>0</v>
      </c>
      <c r="EE20" s="102"/>
      <c r="EF20" s="1">
        <v>5</v>
      </c>
      <c r="EG20" s="104">
        <f t="shared" si="92"/>
        <v>0</v>
      </c>
      <c r="EH20" s="102"/>
      <c r="EI20" s="1">
        <v>5</v>
      </c>
      <c r="EJ20" s="104">
        <f t="shared" si="93"/>
        <v>0</v>
      </c>
      <c r="EK20" s="102"/>
      <c r="EL20" s="1">
        <v>5</v>
      </c>
      <c r="EM20" s="104">
        <f t="shared" si="94"/>
        <v>0</v>
      </c>
      <c r="EN20" s="102"/>
      <c r="EO20" s="1">
        <v>5</v>
      </c>
      <c r="EP20" s="104">
        <f t="shared" si="95"/>
        <v>0</v>
      </c>
      <c r="EQ20" s="85">
        <f t="array" ref="EQ20">IFERROR(_xlfn.LET(
_xlpm.datos,CHOOSE({1;2;3;4;5;6;7;8;9;10;11;12;13;13;14;15;16;17;18;19;20;21;22;23;23;24;25;26;27;28;29;30;31;32;33;34;35;36;37;38;39;40;41;42;43;44;45;46;47},E20,H20,K20,N20,Q20,T20,W20,Z20,AC20,AF20,AI20,AL20,AO20,AR20,AU20,AX20,BA20,BD20,BG20,BJ20,BP20,BS20,BV20,BY20,CB20,CE20,CH20,CK20,CN20,CQ20,CT20,CW20,CZ20,DC20,DF20,DI20,DL20,DO20,DR20,DU20,DX20,EA20,ED20,EG20,EJ20,EM20,EP20),
AVERAGE(_xlfn._xlws.FILTER(_xlpm.datos,(_xlpm.datos&lt;&gt;0)*(_xlpm.datos&lt;&gt;"")))
),0)</f>
        <v>0</v>
      </c>
      <c r="ER20" s="162" t="str">
        <f t="array" ref="ER20">_xlfn.IFS(EQ20&gt;=91.5%,"MENSUAL",EQ20&gt;=75%,"QUINCENAL",EQ20&lt;75%,"SEMANAL")</f>
        <v>SEMANAL</v>
      </c>
    </row>
    <row r="21" ht="16" customHeight="1" spans="1:148" x14ac:dyDescent="0.25">
      <c r="A21" s="163" t="s">
        <v>93</v>
      </c>
      <c r="B21" s="125"/>
      <c r="C21" s="126"/>
      <c r="D21" s="127"/>
      <c r="E21" s="82">
        <f>AVERAGE(E22:E31)</f>
        <v>0</v>
      </c>
      <c r="F21" s="126"/>
      <c r="G21" s="127"/>
      <c r="H21" s="82">
        <f>AVERAGE(H22:H31)</f>
        <v>0</v>
      </c>
      <c r="I21" s="126"/>
      <c r="J21" s="127"/>
      <c r="K21" s="82">
        <f>AVERAGE(K22:K31)</f>
        <v>0</v>
      </c>
      <c r="L21" s="126"/>
      <c r="M21" s="127"/>
      <c r="N21" s="82">
        <f>AVERAGE(N22:N31)</f>
        <v>0</v>
      </c>
      <c r="O21" s="126"/>
      <c r="P21" s="127"/>
      <c r="Q21" s="82">
        <f>AVERAGE(Q22:Q31)</f>
        <v>0</v>
      </c>
      <c r="R21" s="126"/>
      <c r="S21" s="127"/>
      <c r="T21" s="82">
        <f>AVERAGE(T22:T31)</f>
        <v>0</v>
      </c>
      <c r="U21" s="126"/>
      <c r="V21" s="127"/>
      <c r="W21" s="82">
        <f>AVERAGE(W22:W31)</f>
        <v>0</v>
      </c>
      <c r="X21" s="126"/>
      <c r="Y21" s="127"/>
      <c r="Z21" s="82">
        <f>AVERAGE(Z22:Z31)</f>
        <v>0</v>
      </c>
      <c r="AA21" s="126"/>
      <c r="AB21" s="127"/>
      <c r="AC21" s="82">
        <f>AVERAGE(AC22:AC31)</f>
        <v>0</v>
      </c>
      <c r="AD21" s="126"/>
      <c r="AE21" s="127"/>
      <c r="AF21" s="82">
        <f>AVERAGE(AF22:AF31)</f>
        <v>0</v>
      </c>
      <c r="AG21" s="126"/>
      <c r="AH21" s="127"/>
      <c r="AI21" s="82">
        <f>AVERAGE(AI22:AI31)</f>
        <v>0</v>
      </c>
      <c r="AJ21" s="126"/>
      <c r="AK21" s="127"/>
      <c r="AL21" s="82">
        <f>AVERAGE(AL22:AL31)</f>
        <v>0</v>
      </c>
      <c r="AM21" s="128"/>
      <c r="AN21" s="127"/>
      <c r="AO21" s="82">
        <f>AVERAGE(AO22:AO31)</f>
        <v>0</v>
      </c>
      <c r="AP21" s="128"/>
      <c r="AQ21" s="129"/>
      <c r="AR21" s="82">
        <f>AVERAGE(AR22:AR31)</f>
        <v>0</v>
      </c>
      <c r="AS21" s="130"/>
      <c r="AT21" s="129"/>
      <c r="AU21" s="82">
        <f>AVERAGE(AU22:AU31)</f>
        <v>0</v>
      </c>
      <c r="AV21" s="128"/>
      <c r="AW21" s="127"/>
      <c r="AX21" s="82">
        <f>AVERAGE(AX22:AX31)</f>
        <v>0</v>
      </c>
      <c r="AY21" s="131"/>
      <c r="AZ21" s="132"/>
      <c r="BA21" s="82">
        <f>AVERAGE(BA22:BA31)</f>
        <v>0</v>
      </c>
      <c r="BB21" s="128"/>
      <c r="BC21" s="132"/>
      <c r="BD21" s="82">
        <f>AVERAGE(BD22:BD31)</f>
        <v>0</v>
      </c>
      <c r="BE21" s="128"/>
      <c r="BF21" s="132"/>
      <c r="BG21" s="82">
        <f>AVERAGE(BG22:BG31)</f>
        <v>0</v>
      </c>
      <c r="BH21" s="128"/>
      <c r="BI21" s="132"/>
      <c r="BJ21" s="82">
        <f>AVERAGE(BJ22:BJ31)</f>
        <v>0</v>
      </c>
      <c r="BK21" s="128"/>
      <c r="BL21" s="132"/>
      <c r="BM21" s="82">
        <f>AVERAGE(BM22:BM31)</f>
        <v>0</v>
      </c>
      <c r="BN21" s="128"/>
      <c r="BO21" s="132"/>
      <c r="BP21" s="82">
        <f>AVERAGE(BP22:BP31)</f>
        <v>0</v>
      </c>
      <c r="BQ21" s="128"/>
      <c r="BR21" s="132"/>
      <c r="BS21" s="82">
        <f>AVERAGE(BS22:BS31)</f>
        <v>0</v>
      </c>
      <c r="BT21" s="128"/>
      <c r="BU21" s="132"/>
      <c r="BV21" s="82">
        <f>AVERAGE(BV22:BV31)</f>
        <v>0</v>
      </c>
      <c r="BW21" s="128"/>
      <c r="BX21" s="132"/>
      <c r="BY21" s="82">
        <f>AVERAGE(BY22:BY31)</f>
        <v>0</v>
      </c>
      <c r="BZ21" s="126"/>
      <c r="CA21" s="127"/>
      <c r="CB21" s="82">
        <f>AVERAGE(CB22:CB31)</f>
        <v>0</v>
      </c>
      <c r="CC21" s="126"/>
      <c r="CD21" s="127"/>
      <c r="CE21" s="82">
        <f>AVERAGE(CE22:CE31)</f>
        <v>0</v>
      </c>
      <c r="CF21" s="126"/>
      <c r="CG21" s="127"/>
      <c r="CH21" s="82">
        <f>AVERAGE(CH22:CH31)</f>
        <v>0</v>
      </c>
      <c r="CI21" s="126"/>
      <c r="CJ21" s="127"/>
      <c r="CK21" s="82">
        <f>AVERAGE(CK22:CK31)</f>
        <v>0</v>
      </c>
      <c r="CL21" s="126"/>
      <c r="CM21" s="127"/>
      <c r="CN21" s="82">
        <f>AVERAGE(CN22:CN31)</f>
        <v>0</v>
      </c>
      <c r="CO21" s="126"/>
      <c r="CP21" s="127"/>
      <c r="CQ21" s="82">
        <f>AVERAGE(CQ22:CQ31)</f>
        <v>0</v>
      </c>
      <c r="CR21" s="126"/>
      <c r="CS21" s="127"/>
      <c r="CT21" s="82">
        <f>AVERAGE(CT22:CT31)</f>
        <v>0</v>
      </c>
      <c r="CU21" s="126"/>
      <c r="CV21" s="127"/>
      <c r="CW21" s="82">
        <f>AVERAGE(CW22:CW31)</f>
        <v>0</v>
      </c>
      <c r="CX21" s="126"/>
      <c r="CY21" s="127"/>
      <c r="CZ21" s="82">
        <f>AVERAGE(CZ22:CZ31)</f>
        <v>0</v>
      </c>
      <c r="DA21" s="126"/>
      <c r="DB21" s="127"/>
      <c r="DC21" s="82">
        <f>AVERAGE(DC22:DC31)</f>
        <v>0</v>
      </c>
      <c r="DD21" s="126"/>
      <c r="DE21" s="127"/>
      <c r="DF21" s="82">
        <f>AVERAGE(DF22:DF31)</f>
        <v>0</v>
      </c>
      <c r="DG21" s="126"/>
      <c r="DH21" s="127"/>
      <c r="DI21" s="82">
        <f>AVERAGE(DI22:DI31)</f>
        <v>0</v>
      </c>
      <c r="DJ21" s="126"/>
      <c r="DK21" s="127"/>
      <c r="DL21" s="82">
        <f>AVERAGE(DL22:DL31)</f>
        <v>0</v>
      </c>
      <c r="DM21" s="126"/>
      <c r="DN21" s="127"/>
      <c r="DO21" s="82">
        <f>AVERAGE(DO22:DO31)</f>
        <v>0</v>
      </c>
      <c r="DP21" s="126"/>
      <c r="DQ21" s="127"/>
      <c r="DR21" s="82">
        <f>AVERAGE(DR22:DR31)</f>
        <v>0</v>
      </c>
      <c r="DS21" s="126"/>
      <c r="DT21" s="127"/>
      <c r="DU21" s="82">
        <f>AVERAGE(DU22:DU31)</f>
        <v>0</v>
      </c>
      <c r="DV21" s="126"/>
      <c r="DW21" s="127"/>
      <c r="DX21" s="82">
        <f>AVERAGE(DX22:DX31)</f>
        <v>0</v>
      </c>
      <c r="DY21" s="126"/>
      <c r="DZ21" s="127"/>
      <c r="EA21" s="82">
        <f>AVERAGE(EA22:EA31)</f>
        <v>0</v>
      </c>
      <c r="EB21" s="126"/>
      <c r="EC21" s="127"/>
      <c r="ED21" s="82">
        <f>AVERAGE(ED22:ED31)</f>
        <v>0</v>
      </c>
      <c r="EE21" s="126"/>
      <c r="EF21" s="127"/>
      <c r="EG21" s="82">
        <f>AVERAGE(EG22:EG31)</f>
        <v>0</v>
      </c>
      <c r="EH21" s="126"/>
      <c r="EI21" s="127"/>
      <c r="EJ21" s="82">
        <f>AVERAGE(EJ22:EJ31)</f>
        <v>0</v>
      </c>
      <c r="EK21" s="126"/>
      <c r="EL21" s="127"/>
      <c r="EM21" s="82">
        <f>AVERAGE(EM22:EM31)</f>
        <v>0</v>
      </c>
      <c r="EN21" s="126"/>
      <c r="EO21" s="127"/>
      <c r="EP21" s="82">
        <f>AVERAGE(EP22:EP31)</f>
        <v>0</v>
      </c>
      <c r="EQ21" s="85">
        <f t="array" ref="EQ21">IFERROR(_xlfn.LET(
_xlpm.datos,CHOOSE({1;2;3;4;5;6;7;8;9;10;11;12;13;13;14;15;16;17;18;19;20;21;22;23;23;24;25;26;27;28;29;30;31;32;33;34;35;36;37;38;39;40;41;42;43;44;45;46;47},E21,H21,K21,N21,Q21,T21,W21,Z21,AC21,AF21,AI21,AL21,AO21,AR21,AU21,AX21,BA21,BD21,BG21,BJ21,BP21,BS21,BV21,BY21,CB21,CE21,CH21,CK21,CN21,CQ21,CT21,CW21,CZ21,DC21,DF21,DI21,DL21,DO21,DR21,DU21,DX21,EA21,ED21,EG21,EJ21,EM21,EP21),
AVERAGE(_xlfn._xlws.FILTER(_xlpm.datos,(_xlpm.datos&lt;&gt;0)*(_xlpm.datos&lt;&gt;"")))
),0)</f>
        <v>0</v>
      </c>
      <c r="ER21" s="162" t="str">
        <f t="array" ref="ER21">_xlfn.IFS(EQ21&gt;=91.5%,"MENSUAL",EQ21&gt;=75%,"QUINCENAL",EQ21&lt;75%,"SEMANAL")</f>
        <v>SEMANAL</v>
      </c>
    </row>
    <row r="22" ht="29.5" customHeight="1" spans="1:148" x14ac:dyDescent="0.25">
      <c r="A22" s="227" t="s">
        <v>94</v>
      </c>
      <c r="B22" s="101"/>
      <c r="C22" s="102"/>
      <c r="D22" s="103">
        <v>5</v>
      </c>
      <c r="E22" s="104">
        <f t="shared" ref="E22:E31" si="96">C22/D22</f>
        <v>0</v>
      </c>
      <c r="F22" s="102"/>
      <c r="G22" s="103">
        <v>5</v>
      </c>
      <c r="H22" s="104">
        <f t="shared" ref="H22:H31" si="97">F22/G22</f>
        <v>0</v>
      </c>
      <c r="I22" s="105"/>
      <c r="J22" s="103">
        <v>5</v>
      </c>
      <c r="K22" s="104">
        <f t="shared" ref="K22:K31" si="98">I22/J22</f>
        <v>0</v>
      </c>
      <c r="L22" s="105"/>
      <c r="M22" s="103">
        <v>5</v>
      </c>
      <c r="N22" s="104">
        <f t="shared" ref="N22:N31" si="99">L22/M22</f>
        <v>0</v>
      </c>
      <c r="O22" s="106"/>
      <c r="P22" s="107">
        <v>5</v>
      </c>
      <c r="Q22" s="104">
        <f t="shared" ref="Q22:Q31" si="100">O22/P22</f>
        <v>0</v>
      </c>
      <c r="R22" s="102"/>
      <c r="S22" s="107">
        <v>5</v>
      </c>
      <c r="T22" s="104">
        <f t="shared" ref="T22:T31" si="101">R22/S22</f>
        <v>0</v>
      </c>
      <c r="U22" s="102"/>
      <c r="V22" s="107">
        <v>5</v>
      </c>
      <c r="W22" s="104">
        <f t="shared" ref="W22:W31" si="102">U22/V22</f>
        <v>0</v>
      </c>
      <c r="X22" s="102"/>
      <c r="Y22" s="107">
        <v>5</v>
      </c>
      <c r="Z22" s="104">
        <f t="shared" ref="Z22:Z31" si="103">X22/Y22</f>
        <v>0</v>
      </c>
      <c r="AA22" s="106"/>
      <c r="AB22" s="107">
        <v>5</v>
      </c>
      <c r="AC22" s="104">
        <f t="shared" ref="AC22:AC31" si="104">AA22/AB22</f>
        <v>0</v>
      </c>
      <c r="AD22" s="106"/>
      <c r="AE22" s="107">
        <v>5</v>
      </c>
      <c r="AF22" s="104">
        <f t="shared" ref="AF22:AF31" si="105">AD22/AE22</f>
        <v>0</v>
      </c>
      <c r="AG22" s="106"/>
      <c r="AH22" s="107">
        <v>5</v>
      </c>
      <c r="AI22" s="104">
        <f t="shared" ref="AI22:AI31" si="106">AG22/AH22</f>
        <v>0</v>
      </c>
      <c r="AJ22" s="106"/>
      <c r="AK22" s="107">
        <v>5</v>
      </c>
      <c r="AL22" s="104">
        <f t="shared" ref="AL22:AL31" si="107">AJ22/AK22</f>
        <v>0</v>
      </c>
      <c r="AM22" s="102"/>
      <c r="AN22" s="1">
        <v>5</v>
      </c>
      <c r="AO22" s="104">
        <f t="shared" ref="AO22:AO31" si="108">AM22/AN22</f>
        <v>0</v>
      </c>
      <c r="AP22" s="102"/>
      <c r="AQ22" s="1">
        <v>5</v>
      </c>
      <c r="AR22" s="104">
        <f t="shared" ref="AR22:AR31" si="109">AP22/AQ22</f>
        <v>0</v>
      </c>
      <c r="AS22" s="102"/>
      <c r="AT22" s="1">
        <v>5</v>
      </c>
      <c r="AU22" s="104">
        <f t="shared" ref="AU22:AU31" si="110">AS22/AT22</f>
        <v>0</v>
      </c>
      <c r="AV22" s="102"/>
      <c r="AW22" s="1">
        <v>5</v>
      </c>
      <c r="AX22" s="104">
        <f t="shared" ref="AX22:AX31" si="111">AV22/AW22</f>
        <v>0</v>
      </c>
      <c r="AY22" s="102"/>
      <c r="AZ22" s="1">
        <v>5</v>
      </c>
      <c r="BA22" s="104">
        <f t="shared" ref="BA22:BA31" si="112">AY22/AZ22</f>
        <v>0</v>
      </c>
      <c r="BB22" s="102"/>
      <c r="BC22" s="1">
        <v>5</v>
      </c>
      <c r="BD22" s="104">
        <f t="shared" ref="BD22:BD31" si="113">BB22/BC22</f>
        <v>0</v>
      </c>
      <c r="BE22" s="102"/>
      <c r="BF22" s="1">
        <v>5</v>
      </c>
      <c r="BG22" s="104">
        <f t="shared" ref="BG22:BG31" si="114">BE22/BF22</f>
        <v>0</v>
      </c>
      <c r="BH22" s="102"/>
      <c r="BI22" s="1">
        <v>5</v>
      </c>
      <c r="BJ22" s="104">
        <f t="shared" ref="BJ22:BJ31" si="115">BH22/BI22</f>
        <v>0</v>
      </c>
      <c r="BK22" s="102"/>
      <c r="BL22" s="1">
        <v>5</v>
      </c>
      <c r="BM22" s="104">
        <f t="shared" ref="BM22:BM31" si="116">BK22/BL22</f>
        <v>0</v>
      </c>
      <c r="BN22" s="102"/>
      <c r="BO22" s="1">
        <v>5</v>
      </c>
      <c r="BP22" s="104">
        <f t="shared" ref="BP22:BP31" si="117">BN22/BO22</f>
        <v>0</v>
      </c>
      <c r="BQ22" s="102"/>
      <c r="BR22" s="1">
        <v>5</v>
      </c>
      <c r="BS22" s="104">
        <f t="shared" ref="BS22:BS31" si="118">BQ22/BR22</f>
        <v>0</v>
      </c>
      <c r="BT22" s="102"/>
      <c r="BU22" s="1">
        <v>5</v>
      </c>
      <c r="BV22" s="104">
        <f t="shared" ref="BV22:BV31" si="119">BT22/BU22</f>
        <v>0</v>
      </c>
      <c r="BW22" s="102"/>
      <c r="BX22" s="1">
        <v>5</v>
      </c>
      <c r="BY22" s="104">
        <f t="shared" ref="BY22:BY31" si="120">BW22/BX22</f>
        <v>0</v>
      </c>
      <c r="BZ22" s="102"/>
      <c r="CA22" s="1">
        <v>5</v>
      </c>
      <c r="CB22" s="104">
        <f t="shared" ref="CB22:CB31" si="121">BZ22/CA22</f>
        <v>0</v>
      </c>
      <c r="CC22" s="102"/>
      <c r="CD22" s="1">
        <v>5</v>
      </c>
      <c r="CE22" s="104">
        <f t="shared" ref="CE22:CE31" si="122">CC22/CD22</f>
        <v>0</v>
      </c>
      <c r="CF22" s="102"/>
      <c r="CG22" s="1">
        <v>5</v>
      </c>
      <c r="CH22" s="104">
        <f t="shared" ref="CH22:CH31" si="123">CF22/CG22</f>
        <v>0</v>
      </c>
      <c r="CI22" s="102"/>
      <c r="CJ22" s="1">
        <v>5</v>
      </c>
      <c r="CK22" s="104">
        <f t="shared" ref="CK22:CK31" si="124">CI22/CJ22</f>
        <v>0</v>
      </c>
      <c r="CL22" s="102"/>
      <c r="CM22" s="1">
        <v>5</v>
      </c>
      <c r="CN22" s="104">
        <f t="shared" ref="CN22:CN31" si="125">CL22/CM22</f>
        <v>0</v>
      </c>
      <c r="CO22" s="102"/>
      <c r="CP22" s="1">
        <v>5</v>
      </c>
      <c r="CQ22" s="104">
        <f t="shared" ref="CQ22:CQ31" si="126">CO22/CP22</f>
        <v>0</v>
      </c>
      <c r="CR22" s="102"/>
      <c r="CS22" s="1">
        <v>5</v>
      </c>
      <c r="CT22" s="104">
        <f t="shared" ref="CT22:CT31" si="127">CR22/CS22</f>
        <v>0</v>
      </c>
      <c r="CU22" s="102"/>
      <c r="CV22" s="1">
        <v>5</v>
      </c>
      <c r="CW22" s="104">
        <f t="shared" ref="CW22:CW31" si="128">CU22/CV22</f>
        <v>0</v>
      </c>
      <c r="CX22" s="102"/>
      <c r="CY22" s="1">
        <v>5</v>
      </c>
      <c r="CZ22" s="104">
        <f t="shared" ref="CZ22:CZ31" si="129">CX22/CY22</f>
        <v>0</v>
      </c>
      <c r="DA22" s="102"/>
      <c r="DB22" s="1">
        <v>5</v>
      </c>
      <c r="DC22" s="104">
        <f t="shared" ref="DC22:DC31" si="130">DA22/DB22</f>
        <v>0</v>
      </c>
      <c r="DD22" s="102"/>
      <c r="DE22" s="1">
        <v>5</v>
      </c>
      <c r="DF22" s="104">
        <f t="shared" ref="DF22:DF31" si="131">DD22/DE22</f>
        <v>0</v>
      </c>
      <c r="DG22" s="102"/>
      <c r="DH22" s="1">
        <v>5</v>
      </c>
      <c r="DI22" s="104">
        <f t="shared" ref="DI22:DI31" si="132">DG22/DH22</f>
        <v>0</v>
      </c>
      <c r="DJ22" s="102"/>
      <c r="DK22" s="1">
        <v>5</v>
      </c>
      <c r="DL22" s="104">
        <f t="shared" ref="DL22:DL31" si="133">DJ22/DK22</f>
        <v>0</v>
      </c>
      <c r="DM22" s="102"/>
      <c r="DN22" s="1">
        <v>5</v>
      </c>
      <c r="DO22" s="104">
        <f t="shared" ref="DO22:DO31" si="134">DM22/DN22</f>
        <v>0</v>
      </c>
      <c r="DP22" s="102"/>
      <c r="DQ22" s="1">
        <v>5</v>
      </c>
      <c r="DR22" s="104">
        <f t="shared" ref="DR22:DR31" si="135">DP22/DQ22</f>
        <v>0</v>
      </c>
      <c r="DS22" s="102"/>
      <c r="DT22" s="1">
        <v>5</v>
      </c>
      <c r="DU22" s="104">
        <f t="shared" ref="DU22:DU31" si="136">DS22/DT22</f>
        <v>0</v>
      </c>
      <c r="DV22" s="102"/>
      <c r="DW22" s="1">
        <v>5</v>
      </c>
      <c r="DX22" s="104">
        <f t="shared" ref="DX22:DX31" si="137">DV22/DW22</f>
        <v>0</v>
      </c>
      <c r="DY22" s="102"/>
      <c r="DZ22" s="1">
        <v>5</v>
      </c>
      <c r="EA22" s="104">
        <f t="shared" ref="EA22:EA31" si="138">DY22/DZ22</f>
        <v>0</v>
      </c>
      <c r="EB22" s="102"/>
      <c r="EC22" s="1">
        <v>5</v>
      </c>
      <c r="ED22" s="104">
        <f t="shared" ref="ED22:ED31" si="139">EB22/EC22</f>
        <v>0</v>
      </c>
      <c r="EE22" s="102"/>
      <c r="EF22" s="1">
        <v>5</v>
      </c>
      <c r="EG22" s="104">
        <f t="shared" ref="EG22:EG31" si="140">EE22/EF22</f>
        <v>0</v>
      </c>
      <c r="EH22" s="102"/>
      <c r="EI22" s="1">
        <v>5</v>
      </c>
      <c r="EJ22" s="104">
        <f t="shared" ref="EJ22:EJ31" si="141">EH22/EI22</f>
        <v>0</v>
      </c>
      <c r="EK22" s="102"/>
      <c r="EL22" s="1">
        <v>5</v>
      </c>
      <c r="EM22" s="104">
        <f t="shared" ref="EM22:EM31" si="142">EK22/EL22</f>
        <v>0</v>
      </c>
      <c r="EN22" s="102"/>
      <c r="EO22" s="1">
        <v>5</v>
      </c>
      <c r="EP22" s="104">
        <f t="shared" ref="EP22:EP31" si="143">EN22/EO22</f>
        <v>0</v>
      </c>
      <c r="EQ22" s="85">
        <f t="array" ref="EQ22">IFERROR(_xlfn.LET(
_xlpm.datos,CHOOSE({1;2;3;4;5;6;7;8;9;10;11;12;13;13;14;15;16;17;18;19;20;21;22;23;23;24;25;26;27;28;29;30;31;32;33;34;35;36;37;38;39;40;41;42;43;44;45;46;47},E22,H22,K22,N22,Q22,T22,W22,Z22,AC22,AF22,AI22,AL22,AO22,AR22,AU22,AX22,BA22,BD22,BG22,BJ22,BP22,BS22,BV22,BY22,CB22,CE22,CH22,CK22,CN22,CQ22,CT22,CW22,CZ22,DC22,DF22,DI22,DL22,DO22,DR22,DU22,DX22,EA22,ED22,EG22,EJ22,EM22,EP22),
AVERAGE(_xlfn._xlws.FILTER(_xlpm.datos,(_xlpm.datos&lt;&gt;0)*(_xlpm.datos&lt;&gt;"")))
),0)</f>
        <v>0</v>
      </c>
      <c r="ER22" s="162" t="str">
        <f t="array" ref="ER22">_xlfn.IFS(EQ22&gt;=91.5%,"MENSUAL",EQ22&gt;=75%,"QUINCENAL",EQ22&lt;75%,"SEMANAL")</f>
        <v>SEMANAL</v>
      </c>
    </row>
    <row r="23" ht="26" customHeight="1" spans="1:148" x14ac:dyDescent="0.25">
      <c r="A23" s="171" t="s">
        <v>142</v>
      </c>
      <c r="B23" s="101"/>
      <c r="C23" s="102"/>
      <c r="D23" s="103">
        <v>5</v>
      </c>
      <c r="E23" s="104">
        <f t="shared" si="96"/>
        <v>0</v>
      </c>
      <c r="F23" s="102"/>
      <c r="G23" s="103">
        <v>5</v>
      </c>
      <c r="H23" s="104">
        <f t="shared" si="97"/>
        <v>0</v>
      </c>
      <c r="I23" s="105"/>
      <c r="J23" s="103">
        <v>5</v>
      </c>
      <c r="K23" s="104">
        <f t="shared" si="98"/>
        <v>0</v>
      </c>
      <c r="L23" s="105"/>
      <c r="M23" s="103">
        <v>5</v>
      </c>
      <c r="N23" s="104">
        <f t="shared" si="99"/>
        <v>0</v>
      </c>
      <c r="O23" s="106"/>
      <c r="P23" s="107">
        <v>5</v>
      </c>
      <c r="Q23" s="104">
        <f t="shared" si="100"/>
        <v>0</v>
      </c>
      <c r="R23" s="102"/>
      <c r="S23" s="107">
        <v>5</v>
      </c>
      <c r="T23" s="104">
        <f t="shared" si="101"/>
        <v>0</v>
      </c>
      <c r="U23" s="102"/>
      <c r="V23" s="107">
        <v>5</v>
      </c>
      <c r="W23" s="104">
        <f t="shared" si="102"/>
        <v>0</v>
      </c>
      <c r="X23" s="102"/>
      <c r="Y23" s="107">
        <v>5</v>
      </c>
      <c r="Z23" s="104">
        <f t="shared" si="103"/>
        <v>0</v>
      </c>
      <c r="AA23" s="106"/>
      <c r="AB23" s="107">
        <v>5</v>
      </c>
      <c r="AC23" s="104">
        <f t="shared" si="104"/>
        <v>0</v>
      </c>
      <c r="AD23" s="106"/>
      <c r="AE23" s="107">
        <v>5</v>
      </c>
      <c r="AF23" s="104">
        <f t="shared" si="105"/>
        <v>0</v>
      </c>
      <c r="AG23" s="106"/>
      <c r="AH23" s="107">
        <v>5</v>
      </c>
      <c r="AI23" s="104">
        <f t="shared" si="106"/>
        <v>0</v>
      </c>
      <c r="AJ23" s="106"/>
      <c r="AK23" s="107">
        <v>5</v>
      </c>
      <c r="AL23" s="104">
        <f t="shared" si="107"/>
        <v>0</v>
      </c>
      <c r="AM23" s="102"/>
      <c r="AN23" s="1">
        <v>5</v>
      </c>
      <c r="AO23" s="104">
        <f t="shared" si="108"/>
        <v>0</v>
      </c>
      <c r="AP23" s="102"/>
      <c r="AQ23" s="1">
        <v>5</v>
      </c>
      <c r="AR23" s="104">
        <f t="shared" si="109"/>
        <v>0</v>
      </c>
      <c r="AS23" s="102"/>
      <c r="AT23" s="1">
        <v>5</v>
      </c>
      <c r="AU23" s="104">
        <f t="shared" si="110"/>
        <v>0</v>
      </c>
      <c r="AV23" s="102"/>
      <c r="AW23" s="1">
        <v>5</v>
      </c>
      <c r="AX23" s="104">
        <f t="shared" si="111"/>
        <v>0</v>
      </c>
      <c r="AY23" s="102"/>
      <c r="AZ23" s="1">
        <v>5</v>
      </c>
      <c r="BA23" s="104">
        <f t="shared" si="112"/>
        <v>0</v>
      </c>
      <c r="BB23" s="102"/>
      <c r="BC23" s="1">
        <v>5</v>
      </c>
      <c r="BD23" s="104">
        <f t="shared" si="113"/>
        <v>0</v>
      </c>
      <c r="BE23" s="102"/>
      <c r="BF23" s="1">
        <v>5</v>
      </c>
      <c r="BG23" s="104">
        <f t="shared" si="114"/>
        <v>0</v>
      </c>
      <c r="BH23" s="102"/>
      <c r="BI23" s="1">
        <v>5</v>
      </c>
      <c r="BJ23" s="104">
        <f t="shared" si="115"/>
        <v>0</v>
      </c>
      <c r="BK23" s="102"/>
      <c r="BL23" s="1">
        <v>5</v>
      </c>
      <c r="BM23" s="104">
        <f t="shared" si="116"/>
        <v>0</v>
      </c>
      <c r="BN23" s="102"/>
      <c r="BO23" s="1">
        <v>5</v>
      </c>
      <c r="BP23" s="104">
        <f t="shared" si="117"/>
        <v>0</v>
      </c>
      <c r="BQ23" s="102"/>
      <c r="BR23" s="1">
        <v>5</v>
      </c>
      <c r="BS23" s="104">
        <f t="shared" si="118"/>
        <v>0</v>
      </c>
      <c r="BT23" s="102"/>
      <c r="BU23" s="1">
        <v>5</v>
      </c>
      <c r="BV23" s="104">
        <f t="shared" si="119"/>
        <v>0</v>
      </c>
      <c r="BW23" s="102"/>
      <c r="BX23" s="1">
        <v>5</v>
      </c>
      <c r="BY23" s="104">
        <f t="shared" si="120"/>
        <v>0</v>
      </c>
      <c r="BZ23" s="102"/>
      <c r="CA23" s="1">
        <v>5</v>
      </c>
      <c r="CB23" s="104">
        <f t="shared" si="121"/>
        <v>0</v>
      </c>
      <c r="CC23" s="102"/>
      <c r="CD23" s="1">
        <v>5</v>
      </c>
      <c r="CE23" s="104">
        <f t="shared" si="122"/>
        <v>0</v>
      </c>
      <c r="CF23" s="102"/>
      <c r="CG23" s="1">
        <v>5</v>
      </c>
      <c r="CH23" s="104">
        <f t="shared" si="123"/>
        <v>0</v>
      </c>
      <c r="CI23" s="102"/>
      <c r="CJ23" s="1">
        <v>5</v>
      </c>
      <c r="CK23" s="104">
        <f t="shared" si="124"/>
        <v>0</v>
      </c>
      <c r="CL23" s="102"/>
      <c r="CM23" s="1">
        <v>5</v>
      </c>
      <c r="CN23" s="104">
        <f t="shared" si="125"/>
        <v>0</v>
      </c>
      <c r="CO23" s="102"/>
      <c r="CP23" s="1">
        <v>5</v>
      </c>
      <c r="CQ23" s="104">
        <f t="shared" si="126"/>
        <v>0</v>
      </c>
      <c r="CR23" s="102"/>
      <c r="CS23" s="1">
        <v>5</v>
      </c>
      <c r="CT23" s="104">
        <f t="shared" si="127"/>
        <v>0</v>
      </c>
      <c r="CU23" s="102"/>
      <c r="CV23" s="1">
        <v>5</v>
      </c>
      <c r="CW23" s="104">
        <f t="shared" si="128"/>
        <v>0</v>
      </c>
      <c r="CX23" s="102"/>
      <c r="CY23" s="1">
        <v>5</v>
      </c>
      <c r="CZ23" s="104">
        <f t="shared" si="129"/>
        <v>0</v>
      </c>
      <c r="DA23" s="102"/>
      <c r="DB23" s="1">
        <v>5</v>
      </c>
      <c r="DC23" s="104">
        <f t="shared" si="130"/>
        <v>0</v>
      </c>
      <c r="DD23" s="102"/>
      <c r="DE23" s="1">
        <v>5</v>
      </c>
      <c r="DF23" s="104">
        <f t="shared" si="131"/>
        <v>0</v>
      </c>
      <c r="DG23" s="102"/>
      <c r="DH23" s="1">
        <v>5</v>
      </c>
      <c r="DI23" s="104">
        <f t="shared" si="132"/>
        <v>0</v>
      </c>
      <c r="DJ23" s="102"/>
      <c r="DK23" s="1">
        <v>5</v>
      </c>
      <c r="DL23" s="104">
        <f t="shared" si="133"/>
        <v>0</v>
      </c>
      <c r="DM23" s="102"/>
      <c r="DN23" s="1">
        <v>5</v>
      </c>
      <c r="DO23" s="104">
        <f t="shared" si="134"/>
        <v>0</v>
      </c>
      <c r="DP23" s="102"/>
      <c r="DQ23" s="1">
        <v>5</v>
      </c>
      <c r="DR23" s="104">
        <f t="shared" si="135"/>
        <v>0</v>
      </c>
      <c r="DS23" s="102"/>
      <c r="DT23" s="1">
        <v>5</v>
      </c>
      <c r="DU23" s="104">
        <f t="shared" si="136"/>
        <v>0</v>
      </c>
      <c r="DV23" s="102"/>
      <c r="DW23" s="1">
        <v>5</v>
      </c>
      <c r="DX23" s="104">
        <f t="shared" si="137"/>
        <v>0</v>
      </c>
      <c r="DY23" s="102"/>
      <c r="DZ23" s="1">
        <v>5</v>
      </c>
      <c r="EA23" s="104">
        <f t="shared" si="138"/>
        <v>0</v>
      </c>
      <c r="EB23" s="102"/>
      <c r="EC23" s="1">
        <v>5</v>
      </c>
      <c r="ED23" s="104">
        <f t="shared" si="139"/>
        <v>0</v>
      </c>
      <c r="EE23" s="102"/>
      <c r="EF23" s="1">
        <v>5</v>
      </c>
      <c r="EG23" s="104">
        <f t="shared" si="140"/>
        <v>0</v>
      </c>
      <c r="EH23" s="102"/>
      <c r="EI23" s="1">
        <v>5</v>
      </c>
      <c r="EJ23" s="104">
        <f t="shared" si="141"/>
        <v>0</v>
      </c>
      <c r="EK23" s="102"/>
      <c r="EL23" s="1">
        <v>5</v>
      </c>
      <c r="EM23" s="104">
        <f t="shared" si="142"/>
        <v>0</v>
      </c>
      <c r="EN23" s="102"/>
      <c r="EO23" s="1">
        <v>5</v>
      </c>
      <c r="EP23" s="104">
        <f t="shared" si="143"/>
        <v>0</v>
      </c>
      <c r="EQ23" s="85">
        <f t="array" ref="EQ23">IFERROR(_xlfn.LET(
_xlpm.datos,CHOOSE({1;2;3;4;5;6;7;8;9;10;11;12;13;13;14;15;16;17;18;19;20;21;22;23;23;24;25;26;27;28;29;30;31;32;33;34;35;36;37;38;39;40;41;42;43;44;45;46;47},E23,H23,K23,N23,Q23,T23,W23,Z23,AC23,AF23,AI23,AL23,AO23,AR23,AU23,AX23,BA23,BD23,BG23,BJ23,BP23,BS23,BV23,BY23,CB23,CE23,CH23,CK23,CN23,CQ23,CT23,CW23,CZ23,DC23,DF23,DI23,DL23,DO23,DR23,DU23,DX23,EA23,ED23,EG23,EJ23,EM23,EP23),
AVERAGE(_xlfn._xlws.FILTER(_xlpm.datos,(_xlpm.datos&lt;&gt;0)*(_xlpm.datos&lt;&gt;"")))
),0)</f>
        <v>0</v>
      </c>
      <c r="ER23" s="162" t="str">
        <f t="array" ref="ER23">_xlfn.IFS(EQ23&gt;=91.5%,"MENSUAL",EQ23&gt;=75%,"QUINCENAL",EQ23&lt;75%,"SEMANAL")</f>
        <v>SEMANAL</v>
      </c>
    </row>
    <row r="24" ht="16" customHeight="1" spans="1:148" x14ac:dyDescent="0.25">
      <c r="A24" s="171" t="s">
        <v>143</v>
      </c>
      <c r="B24" s="101"/>
      <c r="C24" s="102"/>
      <c r="D24" s="103">
        <v>5</v>
      </c>
      <c r="E24" s="104">
        <f t="shared" si="96"/>
        <v>0</v>
      </c>
      <c r="F24" s="102"/>
      <c r="G24" s="103">
        <v>5</v>
      </c>
      <c r="H24" s="104">
        <f t="shared" si="97"/>
        <v>0</v>
      </c>
      <c r="I24" s="105"/>
      <c r="J24" s="103">
        <v>5</v>
      </c>
      <c r="K24" s="104">
        <f t="shared" si="98"/>
        <v>0</v>
      </c>
      <c r="L24" s="105"/>
      <c r="M24" s="103">
        <v>5</v>
      </c>
      <c r="N24" s="104">
        <f t="shared" si="99"/>
        <v>0</v>
      </c>
      <c r="O24" s="106"/>
      <c r="P24" s="107">
        <v>5</v>
      </c>
      <c r="Q24" s="104">
        <f t="shared" si="100"/>
        <v>0</v>
      </c>
      <c r="R24" s="102"/>
      <c r="S24" s="107">
        <v>5</v>
      </c>
      <c r="T24" s="104">
        <f t="shared" si="101"/>
        <v>0</v>
      </c>
      <c r="U24" s="102"/>
      <c r="V24" s="107">
        <v>5</v>
      </c>
      <c r="W24" s="104">
        <f t="shared" si="102"/>
        <v>0</v>
      </c>
      <c r="X24" s="102"/>
      <c r="Y24" s="107">
        <v>5</v>
      </c>
      <c r="Z24" s="104">
        <f t="shared" si="103"/>
        <v>0</v>
      </c>
      <c r="AA24" s="106"/>
      <c r="AB24" s="107">
        <v>5</v>
      </c>
      <c r="AC24" s="104">
        <f t="shared" si="104"/>
        <v>0</v>
      </c>
      <c r="AD24" s="106"/>
      <c r="AE24" s="107">
        <v>5</v>
      </c>
      <c r="AF24" s="104">
        <f t="shared" si="105"/>
        <v>0</v>
      </c>
      <c r="AG24" s="106"/>
      <c r="AH24" s="107">
        <v>5</v>
      </c>
      <c r="AI24" s="104">
        <f t="shared" si="106"/>
        <v>0</v>
      </c>
      <c r="AJ24" s="106"/>
      <c r="AK24" s="107">
        <v>5</v>
      </c>
      <c r="AL24" s="104">
        <f t="shared" si="107"/>
        <v>0</v>
      </c>
      <c r="AM24" s="102"/>
      <c r="AN24" s="1">
        <v>5</v>
      </c>
      <c r="AO24" s="104">
        <f t="shared" si="108"/>
        <v>0</v>
      </c>
      <c r="AP24" s="102"/>
      <c r="AQ24" s="1">
        <v>5</v>
      </c>
      <c r="AR24" s="104">
        <f t="shared" si="109"/>
        <v>0</v>
      </c>
      <c r="AS24" s="102"/>
      <c r="AT24" s="1">
        <v>5</v>
      </c>
      <c r="AU24" s="104">
        <f t="shared" si="110"/>
        <v>0</v>
      </c>
      <c r="AV24" s="102"/>
      <c r="AW24" s="1">
        <v>5</v>
      </c>
      <c r="AX24" s="104">
        <f t="shared" si="111"/>
        <v>0</v>
      </c>
      <c r="AY24" s="102"/>
      <c r="AZ24" s="1">
        <v>5</v>
      </c>
      <c r="BA24" s="104">
        <f t="shared" si="112"/>
        <v>0</v>
      </c>
      <c r="BB24" s="102"/>
      <c r="BC24" s="1">
        <v>5</v>
      </c>
      <c r="BD24" s="104">
        <f t="shared" si="113"/>
        <v>0</v>
      </c>
      <c r="BE24" s="102"/>
      <c r="BF24" s="1">
        <v>5</v>
      </c>
      <c r="BG24" s="104">
        <f t="shared" si="114"/>
        <v>0</v>
      </c>
      <c r="BH24" s="102"/>
      <c r="BI24" s="1">
        <v>5</v>
      </c>
      <c r="BJ24" s="104">
        <f t="shared" si="115"/>
        <v>0</v>
      </c>
      <c r="BK24" s="102"/>
      <c r="BL24" s="1">
        <v>5</v>
      </c>
      <c r="BM24" s="104">
        <f t="shared" si="116"/>
        <v>0</v>
      </c>
      <c r="BN24" s="102"/>
      <c r="BO24" s="1">
        <v>5</v>
      </c>
      <c r="BP24" s="104">
        <f t="shared" si="117"/>
        <v>0</v>
      </c>
      <c r="BQ24" s="102"/>
      <c r="BR24" s="1">
        <v>5</v>
      </c>
      <c r="BS24" s="104">
        <f t="shared" si="118"/>
        <v>0</v>
      </c>
      <c r="BT24" s="102"/>
      <c r="BU24" s="1">
        <v>5</v>
      </c>
      <c r="BV24" s="104">
        <f t="shared" si="119"/>
        <v>0</v>
      </c>
      <c r="BW24" s="102"/>
      <c r="BX24" s="1">
        <v>5</v>
      </c>
      <c r="BY24" s="104">
        <f t="shared" si="120"/>
        <v>0</v>
      </c>
      <c r="BZ24" s="102"/>
      <c r="CA24" s="1">
        <v>5</v>
      </c>
      <c r="CB24" s="104">
        <f t="shared" si="121"/>
        <v>0</v>
      </c>
      <c r="CC24" s="102"/>
      <c r="CD24" s="1">
        <v>5</v>
      </c>
      <c r="CE24" s="104">
        <f t="shared" si="122"/>
        <v>0</v>
      </c>
      <c r="CF24" s="102"/>
      <c r="CG24" s="1">
        <v>5</v>
      </c>
      <c r="CH24" s="104">
        <f t="shared" si="123"/>
        <v>0</v>
      </c>
      <c r="CI24" s="102"/>
      <c r="CJ24" s="1">
        <v>5</v>
      </c>
      <c r="CK24" s="104">
        <f t="shared" si="124"/>
        <v>0</v>
      </c>
      <c r="CL24" s="102"/>
      <c r="CM24" s="1">
        <v>5</v>
      </c>
      <c r="CN24" s="104">
        <f t="shared" si="125"/>
        <v>0</v>
      </c>
      <c r="CO24" s="102"/>
      <c r="CP24" s="1">
        <v>5</v>
      </c>
      <c r="CQ24" s="104">
        <f t="shared" si="126"/>
        <v>0</v>
      </c>
      <c r="CR24" s="102"/>
      <c r="CS24" s="1">
        <v>5</v>
      </c>
      <c r="CT24" s="104">
        <f t="shared" si="127"/>
        <v>0</v>
      </c>
      <c r="CU24" s="102"/>
      <c r="CV24" s="1">
        <v>5</v>
      </c>
      <c r="CW24" s="104">
        <f t="shared" si="128"/>
        <v>0</v>
      </c>
      <c r="CX24" s="102"/>
      <c r="CY24" s="1">
        <v>5</v>
      </c>
      <c r="CZ24" s="104">
        <f t="shared" si="129"/>
        <v>0</v>
      </c>
      <c r="DA24" s="102"/>
      <c r="DB24" s="1">
        <v>5</v>
      </c>
      <c r="DC24" s="104">
        <f t="shared" si="130"/>
        <v>0</v>
      </c>
      <c r="DD24" s="102"/>
      <c r="DE24" s="1">
        <v>5</v>
      </c>
      <c r="DF24" s="104">
        <f t="shared" si="131"/>
        <v>0</v>
      </c>
      <c r="DG24" s="102"/>
      <c r="DH24" s="1">
        <v>5</v>
      </c>
      <c r="DI24" s="104">
        <f t="shared" si="132"/>
        <v>0</v>
      </c>
      <c r="DJ24" s="102"/>
      <c r="DK24" s="1">
        <v>5</v>
      </c>
      <c r="DL24" s="104">
        <f t="shared" si="133"/>
        <v>0</v>
      </c>
      <c r="DM24" s="102"/>
      <c r="DN24" s="1">
        <v>5</v>
      </c>
      <c r="DO24" s="104">
        <f t="shared" si="134"/>
        <v>0</v>
      </c>
      <c r="DP24" s="102"/>
      <c r="DQ24" s="1">
        <v>5</v>
      </c>
      <c r="DR24" s="104">
        <f t="shared" si="135"/>
        <v>0</v>
      </c>
      <c r="DS24" s="102"/>
      <c r="DT24" s="1">
        <v>5</v>
      </c>
      <c r="DU24" s="104">
        <f t="shared" si="136"/>
        <v>0</v>
      </c>
      <c r="DV24" s="102"/>
      <c r="DW24" s="1">
        <v>5</v>
      </c>
      <c r="DX24" s="104">
        <f t="shared" si="137"/>
        <v>0</v>
      </c>
      <c r="DY24" s="102"/>
      <c r="DZ24" s="1">
        <v>5</v>
      </c>
      <c r="EA24" s="104">
        <f t="shared" si="138"/>
        <v>0</v>
      </c>
      <c r="EB24" s="102"/>
      <c r="EC24" s="1">
        <v>5</v>
      </c>
      <c r="ED24" s="104">
        <f t="shared" si="139"/>
        <v>0</v>
      </c>
      <c r="EE24" s="102"/>
      <c r="EF24" s="1">
        <v>5</v>
      </c>
      <c r="EG24" s="104">
        <f t="shared" si="140"/>
        <v>0</v>
      </c>
      <c r="EH24" s="102"/>
      <c r="EI24" s="1">
        <v>5</v>
      </c>
      <c r="EJ24" s="104">
        <f t="shared" si="141"/>
        <v>0</v>
      </c>
      <c r="EK24" s="102"/>
      <c r="EL24" s="1">
        <v>5</v>
      </c>
      <c r="EM24" s="104">
        <f t="shared" si="142"/>
        <v>0</v>
      </c>
      <c r="EN24" s="102"/>
      <c r="EO24" s="1">
        <v>5</v>
      </c>
      <c r="EP24" s="104">
        <f t="shared" si="143"/>
        <v>0</v>
      </c>
      <c r="EQ24" s="85">
        <f t="array" ref="EQ24">IFERROR(_xlfn.LET(
_xlpm.datos,CHOOSE({1;2;3;4;5;6;7;8;9;10;11;12;13;13;14;15;16;17;18;19;20;21;22;23;23;24;25;26;27;28;29;30;31;32;33;34;35;36;37;38;39;40;41;42;43;44;45;46;47},E24,H24,K24,N24,Q24,T24,W24,Z24,AC24,AF24,AI24,AL24,AO24,AR24,AU24,AX24,BA24,BD24,BG24,BJ24,BP24,BS24,BV24,BY24,CB24,CE24,CH24,CK24,CN24,CQ24,CT24,CW24,CZ24,DC24,DF24,DI24,DL24,DO24,DR24,DU24,DX24,EA24,ED24,EG24,EJ24,EM24,EP24),
AVERAGE(_xlfn._xlws.FILTER(_xlpm.datos,(_xlpm.datos&lt;&gt;0)*(_xlpm.datos&lt;&gt;"")))
),0)</f>
        <v>0</v>
      </c>
      <c r="ER24" s="162" t="str">
        <f t="array" ref="ER24">_xlfn.IFS(EQ24&gt;=91.5%,"MENSUAL",EQ24&gt;=75%,"QUINCENAL",EQ24&lt;75%,"SEMANAL")</f>
        <v>SEMANAL</v>
      </c>
    </row>
    <row r="25" ht="16" customHeight="1" spans="1:148" x14ac:dyDescent="0.25">
      <c r="A25" s="171" t="s">
        <v>96</v>
      </c>
      <c r="B25" s="101"/>
      <c r="C25" s="102"/>
      <c r="D25" s="103">
        <v>5</v>
      </c>
      <c r="E25" s="104">
        <f t="shared" si="96"/>
        <v>0</v>
      </c>
      <c r="F25" s="102"/>
      <c r="G25" s="103">
        <v>5</v>
      </c>
      <c r="H25" s="104">
        <f t="shared" si="97"/>
        <v>0</v>
      </c>
      <c r="I25" s="105"/>
      <c r="J25" s="103">
        <v>5</v>
      </c>
      <c r="K25" s="104">
        <f t="shared" si="98"/>
        <v>0</v>
      </c>
      <c r="L25" s="105"/>
      <c r="M25" s="103">
        <v>5</v>
      </c>
      <c r="N25" s="104">
        <f t="shared" si="99"/>
        <v>0</v>
      </c>
      <c r="O25" s="106"/>
      <c r="P25" s="107">
        <v>5</v>
      </c>
      <c r="Q25" s="104">
        <f t="shared" si="100"/>
        <v>0</v>
      </c>
      <c r="R25" s="102"/>
      <c r="S25" s="107">
        <v>5</v>
      </c>
      <c r="T25" s="104">
        <f t="shared" si="101"/>
        <v>0</v>
      </c>
      <c r="U25" s="102"/>
      <c r="V25" s="107">
        <v>5</v>
      </c>
      <c r="W25" s="104">
        <f t="shared" si="102"/>
        <v>0</v>
      </c>
      <c r="X25" s="102"/>
      <c r="Y25" s="107">
        <v>5</v>
      </c>
      <c r="Z25" s="104">
        <f t="shared" si="103"/>
        <v>0</v>
      </c>
      <c r="AA25" s="106"/>
      <c r="AB25" s="107">
        <v>5</v>
      </c>
      <c r="AC25" s="104">
        <f t="shared" si="104"/>
        <v>0</v>
      </c>
      <c r="AD25" s="106"/>
      <c r="AE25" s="107">
        <v>5</v>
      </c>
      <c r="AF25" s="104">
        <f t="shared" si="105"/>
        <v>0</v>
      </c>
      <c r="AG25" s="106"/>
      <c r="AH25" s="107">
        <v>5</v>
      </c>
      <c r="AI25" s="104">
        <f t="shared" si="106"/>
        <v>0</v>
      </c>
      <c r="AJ25" s="106"/>
      <c r="AK25" s="107">
        <v>5</v>
      </c>
      <c r="AL25" s="104">
        <f t="shared" si="107"/>
        <v>0</v>
      </c>
      <c r="AM25" s="102"/>
      <c r="AN25" s="1">
        <v>5</v>
      </c>
      <c r="AO25" s="104">
        <f t="shared" si="108"/>
        <v>0</v>
      </c>
      <c r="AP25" s="102"/>
      <c r="AQ25" s="1">
        <v>5</v>
      </c>
      <c r="AR25" s="104">
        <f t="shared" si="109"/>
        <v>0</v>
      </c>
      <c r="AS25" s="102"/>
      <c r="AT25" s="1">
        <v>5</v>
      </c>
      <c r="AU25" s="104">
        <f t="shared" si="110"/>
        <v>0</v>
      </c>
      <c r="AV25" s="102"/>
      <c r="AW25" s="1">
        <v>5</v>
      </c>
      <c r="AX25" s="104">
        <f t="shared" si="111"/>
        <v>0</v>
      </c>
      <c r="AY25" s="102"/>
      <c r="AZ25" s="1">
        <v>5</v>
      </c>
      <c r="BA25" s="104">
        <f t="shared" si="112"/>
        <v>0</v>
      </c>
      <c r="BB25" s="102"/>
      <c r="BC25" s="1">
        <v>5</v>
      </c>
      <c r="BD25" s="104">
        <f t="shared" si="113"/>
        <v>0</v>
      </c>
      <c r="BE25" s="102"/>
      <c r="BF25" s="1">
        <v>5</v>
      </c>
      <c r="BG25" s="104">
        <f t="shared" si="114"/>
        <v>0</v>
      </c>
      <c r="BH25" s="102"/>
      <c r="BI25" s="1">
        <v>5</v>
      </c>
      <c r="BJ25" s="104">
        <f t="shared" si="115"/>
        <v>0</v>
      </c>
      <c r="BK25" s="102"/>
      <c r="BL25" s="1">
        <v>5</v>
      </c>
      <c r="BM25" s="104">
        <f t="shared" si="116"/>
        <v>0</v>
      </c>
      <c r="BN25" s="102"/>
      <c r="BO25" s="1">
        <v>5</v>
      </c>
      <c r="BP25" s="104">
        <f t="shared" si="117"/>
        <v>0</v>
      </c>
      <c r="BQ25" s="102"/>
      <c r="BR25" s="1">
        <v>5</v>
      </c>
      <c r="BS25" s="104">
        <f t="shared" si="118"/>
        <v>0</v>
      </c>
      <c r="BT25" s="102"/>
      <c r="BU25" s="1">
        <v>5</v>
      </c>
      <c r="BV25" s="104">
        <f t="shared" si="119"/>
        <v>0</v>
      </c>
      <c r="BW25" s="102"/>
      <c r="BX25" s="1">
        <v>5</v>
      </c>
      <c r="BY25" s="104">
        <f t="shared" si="120"/>
        <v>0</v>
      </c>
      <c r="BZ25" s="102"/>
      <c r="CA25" s="1">
        <v>5</v>
      </c>
      <c r="CB25" s="104">
        <f t="shared" si="121"/>
        <v>0</v>
      </c>
      <c r="CC25" s="102"/>
      <c r="CD25" s="1">
        <v>5</v>
      </c>
      <c r="CE25" s="104">
        <f t="shared" si="122"/>
        <v>0</v>
      </c>
      <c r="CF25" s="102"/>
      <c r="CG25" s="1">
        <v>5</v>
      </c>
      <c r="CH25" s="104">
        <f t="shared" si="123"/>
        <v>0</v>
      </c>
      <c r="CI25" s="102"/>
      <c r="CJ25" s="1">
        <v>5</v>
      </c>
      <c r="CK25" s="104">
        <f t="shared" si="124"/>
        <v>0</v>
      </c>
      <c r="CL25" s="102"/>
      <c r="CM25" s="1">
        <v>5</v>
      </c>
      <c r="CN25" s="104">
        <f t="shared" si="125"/>
        <v>0</v>
      </c>
      <c r="CO25" s="102"/>
      <c r="CP25" s="1">
        <v>5</v>
      </c>
      <c r="CQ25" s="104">
        <f t="shared" si="126"/>
        <v>0</v>
      </c>
      <c r="CR25" s="102"/>
      <c r="CS25" s="1">
        <v>5</v>
      </c>
      <c r="CT25" s="104">
        <f t="shared" si="127"/>
        <v>0</v>
      </c>
      <c r="CU25" s="102"/>
      <c r="CV25" s="1">
        <v>5</v>
      </c>
      <c r="CW25" s="104">
        <f t="shared" si="128"/>
        <v>0</v>
      </c>
      <c r="CX25" s="102"/>
      <c r="CY25" s="1">
        <v>5</v>
      </c>
      <c r="CZ25" s="104">
        <f t="shared" si="129"/>
        <v>0</v>
      </c>
      <c r="DA25" s="102"/>
      <c r="DB25" s="1">
        <v>5</v>
      </c>
      <c r="DC25" s="104">
        <f t="shared" si="130"/>
        <v>0</v>
      </c>
      <c r="DD25" s="102"/>
      <c r="DE25" s="1">
        <v>5</v>
      </c>
      <c r="DF25" s="104">
        <f t="shared" si="131"/>
        <v>0</v>
      </c>
      <c r="DG25" s="102"/>
      <c r="DH25" s="1">
        <v>5</v>
      </c>
      <c r="DI25" s="104">
        <f t="shared" si="132"/>
        <v>0</v>
      </c>
      <c r="DJ25" s="102"/>
      <c r="DK25" s="1">
        <v>5</v>
      </c>
      <c r="DL25" s="104">
        <f t="shared" si="133"/>
        <v>0</v>
      </c>
      <c r="DM25" s="102"/>
      <c r="DN25" s="1">
        <v>5</v>
      </c>
      <c r="DO25" s="104">
        <f t="shared" si="134"/>
        <v>0</v>
      </c>
      <c r="DP25" s="102"/>
      <c r="DQ25" s="1">
        <v>5</v>
      </c>
      <c r="DR25" s="104">
        <f t="shared" si="135"/>
        <v>0</v>
      </c>
      <c r="DS25" s="102"/>
      <c r="DT25" s="1">
        <v>5</v>
      </c>
      <c r="DU25" s="104">
        <f t="shared" si="136"/>
        <v>0</v>
      </c>
      <c r="DV25" s="102"/>
      <c r="DW25" s="1">
        <v>5</v>
      </c>
      <c r="DX25" s="104">
        <f t="shared" si="137"/>
        <v>0</v>
      </c>
      <c r="DY25" s="102"/>
      <c r="DZ25" s="1">
        <v>5</v>
      </c>
      <c r="EA25" s="104">
        <f t="shared" si="138"/>
        <v>0</v>
      </c>
      <c r="EB25" s="102"/>
      <c r="EC25" s="1">
        <v>5</v>
      </c>
      <c r="ED25" s="104">
        <f t="shared" si="139"/>
        <v>0</v>
      </c>
      <c r="EE25" s="102"/>
      <c r="EF25" s="1">
        <v>5</v>
      </c>
      <c r="EG25" s="104">
        <f t="shared" si="140"/>
        <v>0</v>
      </c>
      <c r="EH25" s="102"/>
      <c r="EI25" s="1">
        <v>5</v>
      </c>
      <c r="EJ25" s="104">
        <f t="shared" si="141"/>
        <v>0</v>
      </c>
      <c r="EK25" s="102"/>
      <c r="EL25" s="1">
        <v>5</v>
      </c>
      <c r="EM25" s="104">
        <f t="shared" si="142"/>
        <v>0</v>
      </c>
      <c r="EN25" s="102"/>
      <c r="EO25" s="1">
        <v>5</v>
      </c>
      <c r="EP25" s="104">
        <f t="shared" si="143"/>
        <v>0</v>
      </c>
      <c r="EQ25" s="85">
        <f t="array" ref="EQ25">IFERROR(_xlfn.LET(
_xlpm.datos,CHOOSE({1;2;3;4;5;6;7;8;9;10;11;12;13;13;14;15;16;17;18;19;20;21;22;23;23;24;25;26;27;28;29;30;31;32;33;34;35;36;37;38;39;40;41;42;43;44;45;46;47},E25,H25,K25,N25,Q25,T25,W25,Z25,AC25,AF25,AI25,AL25,AO25,AR25,AU25,AX25,BA25,BD25,BG25,BJ25,BP25,BS25,BV25,BY25,CB25,CE25,CH25,CK25,CN25,CQ25,CT25,CW25,CZ25,DC25,DF25,DI25,DL25,DO25,DR25,DU25,DX25,EA25,ED25,EG25,EJ25,EM25,EP25),
AVERAGE(_xlfn._xlws.FILTER(_xlpm.datos,(_xlpm.datos&lt;&gt;0)*(_xlpm.datos&lt;&gt;"")))
),0)</f>
        <v>0</v>
      </c>
      <c r="ER25" s="162" t="str">
        <f t="array" ref="ER25">_xlfn.IFS(EQ25&gt;=91.5%,"MENSUAL",EQ25&gt;=75%,"QUINCENAL",EQ25&lt;75%,"SEMANAL")</f>
        <v>SEMANAL</v>
      </c>
    </row>
    <row r="26" ht="23.5" customHeight="1" spans="1:148" x14ac:dyDescent="0.25">
      <c r="A26" s="171" t="s">
        <v>97</v>
      </c>
      <c r="B26" s="101"/>
      <c r="C26" s="102"/>
      <c r="D26" s="103">
        <v>5</v>
      </c>
      <c r="E26" s="104">
        <f t="shared" si="96"/>
        <v>0</v>
      </c>
      <c r="F26" s="102"/>
      <c r="G26" s="103">
        <v>5</v>
      </c>
      <c r="H26" s="104">
        <f t="shared" si="97"/>
        <v>0</v>
      </c>
      <c r="I26" s="105"/>
      <c r="J26" s="103">
        <v>5</v>
      </c>
      <c r="K26" s="104">
        <f t="shared" si="98"/>
        <v>0</v>
      </c>
      <c r="L26" s="105"/>
      <c r="M26" s="103">
        <v>5</v>
      </c>
      <c r="N26" s="104">
        <f t="shared" si="99"/>
        <v>0</v>
      </c>
      <c r="O26" s="106"/>
      <c r="P26" s="107">
        <v>5</v>
      </c>
      <c r="Q26" s="104">
        <f t="shared" si="100"/>
        <v>0</v>
      </c>
      <c r="R26" s="102"/>
      <c r="S26" s="107">
        <v>5</v>
      </c>
      <c r="T26" s="104">
        <f t="shared" si="101"/>
        <v>0</v>
      </c>
      <c r="U26" s="102"/>
      <c r="V26" s="107">
        <v>5</v>
      </c>
      <c r="W26" s="104">
        <f t="shared" si="102"/>
        <v>0</v>
      </c>
      <c r="X26" s="102"/>
      <c r="Y26" s="107">
        <v>5</v>
      </c>
      <c r="Z26" s="104">
        <f t="shared" si="103"/>
        <v>0</v>
      </c>
      <c r="AA26" s="106"/>
      <c r="AB26" s="107">
        <v>5</v>
      </c>
      <c r="AC26" s="104">
        <f t="shared" si="104"/>
        <v>0</v>
      </c>
      <c r="AD26" s="106"/>
      <c r="AE26" s="107">
        <v>5</v>
      </c>
      <c r="AF26" s="104">
        <f t="shared" si="105"/>
        <v>0</v>
      </c>
      <c r="AG26" s="106"/>
      <c r="AH26" s="107">
        <v>5</v>
      </c>
      <c r="AI26" s="104">
        <f t="shared" si="106"/>
        <v>0</v>
      </c>
      <c r="AJ26" s="106"/>
      <c r="AK26" s="107">
        <v>5</v>
      </c>
      <c r="AL26" s="104">
        <f t="shared" si="107"/>
        <v>0</v>
      </c>
      <c r="AM26" s="102"/>
      <c r="AN26" s="1">
        <v>5</v>
      </c>
      <c r="AO26" s="104">
        <f t="shared" si="108"/>
        <v>0</v>
      </c>
      <c r="AP26" s="102"/>
      <c r="AQ26" s="1">
        <v>5</v>
      </c>
      <c r="AR26" s="104">
        <f t="shared" si="109"/>
        <v>0</v>
      </c>
      <c r="AS26" s="102"/>
      <c r="AT26" s="1">
        <v>5</v>
      </c>
      <c r="AU26" s="104">
        <f t="shared" si="110"/>
        <v>0</v>
      </c>
      <c r="AV26" s="102"/>
      <c r="AW26" s="1">
        <v>5</v>
      </c>
      <c r="AX26" s="104">
        <f t="shared" si="111"/>
        <v>0</v>
      </c>
      <c r="AY26" s="102"/>
      <c r="AZ26" s="1">
        <v>5</v>
      </c>
      <c r="BA26" s="104">
        <f t="shared" si="112"/>
        <v>0</v>
      </c>
      <c r="BB26" s="102"/>
      <c r="BC26" s="1">
        <v>5</v>
      </c>
      <c r="BD26" s="104">
        <f t="shared" si="113"/>
        <v>0</v>
      </c>
      <c r="BE26" s="102"/>
      <c r="BF26" s="1">
        <v>5</v>
      </c>
      <c r="BG26" s="104">
        <f t="shared" si="114"/>
        <v>0</v>
      </c>
      <c r="BH26" s="102"/>
      <c r="BI26" s="1">
        <v>5</v>
      </c>
      <c r="BJ26" s="104">
        <f t="shared" si="115"/>
        <v>0</v>
      </c>
      <c r="BK26" s="102"/>
      <c r="BL26" s="1">
        <v>5</v>
      </c>
      <c r="BM26" s="104">
        <f t="shared" si="116"/>
        <v>0</v>
      </c>
      <c r="BN26" s="102"/>
      <c r="BO26" s="1">
        <v>5</v>
      </c>
      <c r="BP26" s="104">
        <f t="shared" si="117"/>
        <v>0</v>
      </c>
      <c r="BQ26" s="102"/>
      <c r="BR26" s="1">
        <v>5</v>
      </c>
      <c r="BS26" s="104">
        <f t="shared" si="118"/>
        <v>0</v>
      </c>
      <c r="BT26" s="102"/>
      <c r="BU26" s="1">
        <v>5</v>
      </c>
      <c r="BV26" s="104">
        <f t="shared" si="119"/>
        <v>0</v>
      </c>
      <c r="BW26" s="102"/>
      <c r="BX26" s="1">
        <v>5</v>
      </c>
      <c r="BY26" s="104">
        <f t="shared" si="120"/>
        <v>0</v>
      </c>
      <c r="BZ26" s="102"/>
      <c r="CA26" s="1">
        <v>5</v>
      </c>
      <c r="CB26" s="104">
        <f t="shared" si="121"/>
        <v>0</v>
      </c>
      <c r="CC26" s="102"/>
      <c r="CD26" s="1">
        <v>5</v>
      </c>
      <c r="CE26" s="104">
        <f t="shared" si="122"/>
        <v>0</v>
      </c>
      <c r="CF26" s="102"/>
      <c r="CG26" s="1">
        <v>5</v>
      </c>
      <c r="CH26" s="104">
        <f t="shared" si="123"/>
        <v>0</v>
      </c>
      <c r="CI26" s="102"/>
      <c r="CJ26" s="1">
        <v>5</v>
      </c>
      <c r="CK26" s="104">
        <f t="shared" si="124"/>
        <v>0</v>
      </c>
      <c r="CL26" s="102"/>
      <c r="CM26" s="1">
        <v>5</v>
      </c>
      <c r="CN26" s="104">
        <f t="shared" si="125"/>
        <v>0</v>
      </c>
      <c r="CO26" s="102"/>
      <c r="CP26" s="1">
        <v>5</v>
      </c>
      <c r="CQ26" s="104">
        <f t="shared" si="126"/>
        <v>0</v>
      </c>
      <c r="CR26" s="102"/>
      <c r="CS26" s="1">
        <v>5</v>
      </c>
      <c r="CT26" s="104">
        <f t="shared" si="127"/>
        <v>0</v>
      </c>
      <c r="CU26" s="102"/>
      <c r="CV26" s="1">
        <v>5</v>
      </c>
      <c r="CW26" s="104">
        <f t="shared" si="128"/>
        <v>0</v>
      </c>
      <c r="CX26" s="102"/>
      <c r="CY26" s="1">
        <v>5</v>
      </c>
      <c r="CZ26" s="104">
        <f t="shared" si="129"/>
        <v>0</v>
      </c>
      <c r="DA26" s="102"/>
      <c r="DB26" s="1">
        <v>5</v>
      </c>
      <c r="DC26" s="104">
        <f t="shared" si="130"/>
        <v>0</v>
      </c>
      <c r="DD26" s="102"/>
      <c r="DE26" s="1">
        <v>5</v>
      </c>
      <c r="DF26" s="104">
        <f t="shared" si="131"/>
        <v>0</v>
      </c>
      <c r="DG26" s="102"/>
      <c r="DH26" s="1">
        <v>5</v>
      </c>
      <c r="DI26" s="104">
        <f t="shared" si="132"/>
        <v>0</v>
      </c>
      <c r="DJ26" s="102"/>
      <c r="DK26" s="1">
        <v>5</v>
      </c>
      <c r="DL26" s="104">
        <f t="shared" si="133"/>
        <v>0</v>
      </c>
      <c r="DM26" s="102"/>
      <c r="DN26" s="1">
        <v>5</v>
      </c>
      <c r="DO26" s="104">
        <f t="shared" si="134"/>
        <v>0</v>
      </c>
      <c r="DP26" s="102"/>
      <c r="DQ26" s="1">
        <v>5</v>
      </c>
      <c r="DR26" s="104">
        <f t="shared" si="135"/>
        <v>0</v>
      </c>
      <c r="DS26" s="102"/>
      <c r="DT26" s="1">
        <v>5</v>
      </c>
      <c r="DU26" s="104">
        <f t="shared" si="136"/>
        <v>0</v>
      </c>
      <c r="DV26" s="102"/>
      <c r="DW26" s="1">
        <v>5</v>
      </c>
      <c r="DX26" s="104">
        <f t="shared" si="137"/>
        <v>0</v>
      </c>
      <c r="DY26" s="102"/>
      <c r="DZ26" s="1">
        <v>5</v>
      </c>
      <c r="EA26" s="104">
        <f t="shared" si="138"/>
        <v>0</v>
      </c>
      <c r="EB26" s="102"/>
      <c r="EC26" s="1">
        <v>5</v>
      </c>
      <c r="ED26" s="104">
        <f t="shared" si="139"/>
        <v>0</v>
      </c>
      <c r="EE26" s="102"/>
      <c r="EF26" s="1">
        <v>5</v>
      </c>
      <c r="EG26" s="104">
        <f t="shared" si="140"/>
        <v>0</v>
      </c>
      <c r="EH26" s="102"/>
      <c r="EI26" s="1">
        <v>5</v>
      </c>
      <c r="EJ26" s="104">
        <f t="shared" si="141"/>
        <v>0</v>
      </c>
      <c r="EK26" s="102"/>
      <c r="EL26" s="1">
        <v>5</v>
      </c>
      <c r="EM26" s="104">
        <f t="shared" si="142"/>
        <v>0</v>
      </c>
      <c r="EN26" s="102"/>
      <c r="EO26" s="1">
        <v>5</v>
      </c>
      <c r="EP26" s="104">
        <f t="shared" si="143"/>
        <v>0</v>
      </c>
      <c r="EQ26" s="85">
        <f t="array" ref="EQ26">IFERROR(_xlfn.LET(
_xlpm.datos,CHOOSE({1;2;3;4;5;6;7;8;9;10;11;12;13;13;14;15;16;17;18;19;20;21;22;23;23;24;25;26;27;28;29;30;31;32;33;34;35;36;37;38;39;40;41;42;43;44;45;46;47},E26,H26,K26,N26,Q26,T26,W26,Z26,AC26,AF26,AI26,AL26,AO26,AR26,AU26,AX26,BA26,BD26,BG26,BJ26,BP26,BS26,BV26,BY26,CB26,CE26,CH26,CK26,CN26,CQ26,CT26,CW26,CZ26,DC26,DF26,DI26,DL26,DO26,DR26,DU26,DX26,EA26,ED26,EG26,EJ26,EM26,EP26),
AVERAGE(_xlfn._xlws.FILTER(_xlpm.datos,(_xlpm.datos&lt;&gt;0)*(_xlpm.datos&lt;&gt;"")))
),0)</f>
        <v>0</v>
      </c>
      <c r="ER26" s="162" t="str">
        <f t="array" ref="ER26">_xlfn.IFS(EQ26&gt;=91.5%,"MENSUAL",EQ26&gt;=75%,"QUINCENAL",EQ26&lt;75%,"SEMANAL")</f>
        <v>SEMANAL</v>
      </c>
    </row>
    <row r="27" ht="25" customHeight="1" spans="1:148" x14ac:dyDescent="0.25">
      <c r="A27" s="171" t="s">
        <v>235</v>
      </c>
      <c r="B27" s="101"/>
      <c r="C27" s="102"/>
      <c r="D27" s="103">
        <v>5</v>
      </c>
      <c r="E27" s="104">
        <f t="shared" si="96"/>
        <v>0</v>
      </c>
      <c r="F27" s="102"/>
      <c r="G27" s="103">
        <v>5</v>
      </c>
      <c r="H27" s="104">
        <f t="shared" si="97"/>
        <v>0</v>
      </c>
      <c r="I27" s="105"/>
      <c r="J27" s="103">
        <v>5</v>
      </c>
      <c r="K27" s="104">
        <f t="shared" si="98"/>
        <v>0</v>
      </c>
      <c r="L27" s="105"/>
      <c r="M27" s="103">
        <v>5</v>
      </c>
      <c r="N27" s="104">
        <f t="shared" si="99"/>
        <v>0</v>
      </c>
      <c r="O27" s="106"/>
      <c r="P27" s="107">
        <v>5</v>
      </c>
      <c r="Q27" s="104">
        <f t="shared" si="100"/>
        <v>0</v>
      </c>
      <c r="R27" s="102"/>
      <c r="S27" s="107">
        <v>5</v>
      </c>
      <c r="T27" s="104">
        <f t="shared" si="101"/>
        <v>0</v>
      </c>
      <c r="U27" s="102"/>
      <c r="V27" s="107">
        <v>5</v>
      </c>
      <c r="W27" s="104">
        <f t="shared" si="102"/>
        <v>0</v>
      </c>
      <c r="X27" s="102"/>
      <c r="Y27" s="107">
        <v>5</v>
      </c>
      <c r="Z27" s="104">
        <f t="shared" si="103"/>
        <v>0</v>
      </c>
      <c r="AA27" s="106"/>
      <c r="AB27" s="107">
        <v>5</v>
      </c>
      <c r="AC27" s="104">
        <f t="shared" si="104"/>
        <v>0</v>
      </c>
      <c r="AD27" s="106"/>
      <c r="AE27" s="107">
        <v>5</v>
      </c>
      <c r="AF27" s="104">
        <f t="shared" si="105"/>
        <v>0</v>
      </c>
      <c r="AG27" s="106"/>
      <c r="AH27" s="107">
        <v>5</v>
      </c>
      <c r="AI27" s="104">
        <f t="shared" si="106"/>
        <v>0</v>
      </c>
      <c r="AJ27" s="106"/>
      <c r="AK27" s="107">
        <v>5</v>
      </c>
      <c r="AL27" s="104">
        <f t="shared" si="107"/>
        <v>0</v>
      </c>
      <c r="AM27" s="102"/>
      <c r="AN27" s="1">
        <v>5</v>
      </c>
      <c r="AO27" s="104">
        <f t="shared" si="108"/>
        <v>0</v>
      </c>
      <c r="AP27" s="102"/>
      <c r="AQ27" s="1">
        <v>5</v>
      </c>
      <c r="AR27" s="104">
        <f t="shared" si="109"/>
        <v>0</v>
      </c>
      <c r="AS27" s="102"/>
      <c r="AT27" s="1">
        <v>5</v>
      </c>
      <c r="AU27" s="104">
        <f t="shared" si="110"/>
        <v>0</v>
      </c>
      <c r="AV27" s="102"/>
      <c r="AW27" s="1">
        <v>5</v>
      </c>
      <c r="AX27" s="104">
        <f t="shared" si="111"/>
        <v>0</v>
      </c>
      <c r="AY27" s="102"/>
      <c r="AZ27" s="1">
        <v>5</v>
      </c>
      <c r="BA27" s="104">
        <f t="shared" si="112"/>
        <v>0</v>
      </c>
      <c r="BB27" s="102"/>
      <c r="BC27" s="1">
        <v>5</v>
      </c>
      <c r="BD27" s="104">
        <f t="shared" si="113"/>
        <v>0</v>
      </c>
      <c r="BE27" s="102"/>
      <c r="BF27" s="1">
        <v>5</v>
      </c>
      <c r="BG27" s="104">
        <f t="shared" si="114"/>
        <v>0</v>
      </c>
      <c r="BH27" s="102"/>
      <c r="BI27" s="1">
        <v>5</v>
      </c>
      <c r="BJ27" s="104">
        <f t="shared" si="115"/>
        <v>0</v>
      </c>
      <c r="BK27" s="102"/>
      <c r="BL27" s="1">
        <v>5</v>
      </c>
      <c r="BM27" s="104">
        <f t="shared" si="116"/>
        <v>0</v>
      </c>
      <c r="BN27" s="102"/>
      <c r="BO27" s="1">
        <v>5</v>
      </c>
      <c r="BP27" s="104">
        <f t="shared" si="117"/>
        <v>0</v>
      </c>
      <c r="BQ27" s="102"/>
      <c r="BR27" s="1">
        <v>5</v>
      </c>
      <c r="BS27" s="104">
        <f t="shared" si="118"/>
        <v>0</v>
      </c>
      <c r="BT27" s="102"/>
      <c r="BU27" s="1">
        <v>5</v>
      </c>
      <c r="BV27" s="104">
        <f t="shared" si="119"/>
        <v>0</v>
      </c>
      <c r="BW27" s="102"/>
      <c r="BX27" s="1">
        <v>5</v>
      </c>
      <c r="BY27" s="104">
        <f t="shared" si="120"/>
        <v>0</v>
      </c>
      <c r="BZ27" s="102"/>
      <c r="CA27" s="1">
        <v>5</v>
      </c>
      <c r="CB27" s="104">
        <f t="shared" si="121"/>
        <v>0</v>
      </c>
      <c r="CC27" s="102"/>
      <c r="CD27" s="1">
        <v>5</v>
      </c>
      <c r="CE27" s="104">
        <f t="shared" si="122"/>
        <v>0</v>
      </c>
      <c r="CF27" s="102"/>
      <c r="CG27" s="1">
        <v>5</v>
      </c>
      <c r="CH27" s="104">
        <f t="shared" si="123"/>
        <v>0</v>
      </c>
      <c r="CI27" s="102"/>
      <c r="CJ27" s="1">
        <v>5</v>
      </c>
      <c r="CK27" s="104">
        <f t="shared" si="124"/>
        <v>0</v>
      </c>
      <c r="CL27" s="102"/>
      <c r="CM27" s="1">
        <v>5</v>
      </c>
      <c r="CN27" s="104">
        <f t="shared" si="125"/>
        <v>0</v>
      </c>
      <c r="CO27" s="102"/>
      <c r="CP27" s="1">
        <v>5</v>
      </c>
      <c r="CQ27" s="104">
        <f t="shared" si="126"/>
        <v>0</v>
      </c>
      <c r="CR27" s="102"/>
      <c r="CS27" s="1">
        <v>5</v>
      </c>
      <c r="CT27" s="104">
        <f t="shared" si="127"/>
        <v>0</v>
      </c>
      <c r="CU27" s="102"/>
      <c r="CV27" s="1">
        <v>5</v>
      </c>
      <c r="CW27" s="104">
        <f t="shared" si="128"/>
        <v>0</v>
      </c>
      <c r="CX27" s="102"/>
      <c r="CY27" s="1">
        <v>5</v>
      </c>
      <c r="CZ27" s="104">
        <f t="shared" si="129"/>
        <v>0</v>
      </c>
      <c r="DA27" s="102"/>
      <c r="DB27" s="1">
        <v>5</v>
      </c>
      <c r="DC27" s="104">
        <f t="shared" si="130"/>
        <v>0</v>
      </c>
      <c r="DD27" s="102"/>
      <c r="DE27" s="1">
        <v>5</v>
      </c>
      <c r="DF27" s="104">
        <f t="shared" si="131"/>
        <v>0</v>
      </c>
      <c r="DG27" s="102"/>
      <c r="DH27" s="1">
        <v>5</v>
      </c>
      <c r="DI27" s="104">
        <f t="shared" si="132"/>
        <v>0</v>
      </c>
      <c r="DJ27" s="102"/>
      <c r="DK27" s="1">
        <v>5</v>
      </c>
      <c r="DL27" s="104">
        <f t="shared" si="133"/>
        <v>0</v>
      </c>
      <c r="DM27" s="102"/>
      <c r="DN27" s="1">
        <v>5</v>
      </c>
      <c r="DO27" s="104">
        <f t="shared" si="134"/>
        <v>0</v>
      </c>
      <c r="DP27" s="102"/>
      <c r="DQ27" s="1">
        <v>5</v>
      </c>
      <c r="DR27" s="104">
        <f t="shared" si="135"/>
        <v>0</v>
      </c>
      <c r="DS27" s="102"/>
      <c r="DT27" s="1">
        <v>5</v>
      </c>
      <c r="DU27" s="104">
        <f t="shared" si="136"/>
        <v>0</v>
      </c>
      <c r="DV27" s="102"/>
      <c r="DW27" s="1">
        <v>5</v>
      </c>
      <c r="DX27" s="104">
        <f t="shared" si="137"/>
        <v>0</v>
      </c>
      <c r="DY27" s="102"/>
      <c r="DZ27" s="1">
        <v>5</v>
      </c>
      <c r="EA27" s="104">
        <f t="shared" si="138"/>
        <v>0</v>
      </c>
      <c r="EB27" s="102"/>
      <c r="EC27" s="1">
        <v>5</v>
      </c>
      <c r="ED27" s="104">
        <f t="shared" si="139"/>
        <v>0</v>
      </c>
      <c r="EE27" s="102"/>
      <c r="EF27" s="1">
        <v>5</v>
      </c>
      <c r="EG27" s="104">
        <f t="shared" si="140"/>
        <v>0</v>
      </c>
      <c r="EH27" s="102"/>
      <c r="EI27" s="1">
        <v>5</v>
      </c>
      <c r="EJ27" s="104">
        <f t="shared" si="141"/>
        <v>0</v>
      </c>
      <c r="EK27" s="102"/>
      <c r="EL27" s="1">
        <v>5</v>
      </c>
      <c r="EM27" s="104">
        <f t="shared" si="142"/>
        <v>0</v>
      </c>
      <c r="EN27" s="102"/>
      <c r="EO27" s="1">
        <v>5</v>
      </c>
      <c r="EP27" s="104">
        <f t="shared" si="143"/>
        <v>0</v>
      </c>
      <c r="EQ27" s="85">
        <f t="array" ref="EQ27">IFERROR(_xlfn.LET(
_xlpm.datos,CHOOSE({1;2;3;4;5;6;7;8;9;10;11;12;13;13;14;15;16;17;18;19;20;21;22;23;23;24;25;26;27;28;29;30;31;32;33;34;35;36;37;38;39;40;41;42;43;44;45;46;47},E27,H27,K27,N27,Q27,T27,W27,Z27,AC27,AF27,AI27,AL27,AO27,AR27,AU27,AX27,BA27,BD27,BG27,BJ27,BP27,BS27,BV27,BY27,CB27,CE27,CH27,CK27,CN27,CQ27,CT27,CW27,CZ27,DC27,DF27,DI27,DL27,DO27,DR27,DU27,DX27,EA27,ED27,EG27,EJ27,EM27,EP27),
AVERAGE(_xlfn._xlws.FILTER(_xlpm.datos,(_xlpm.datos&lt;&gt;0)*(_xlpm.datos&lt;&gt;"")))
),0)</f>
        <v>0</v>
      </c>
      <c r="ER27" s="162" t="str">
        <f t="array" ref="ER27">_xlfn.IFS(EQ27&gt;=91.5%,"MENSUAL",EQ27&gt;=75%,"QUINCENAL",EQ27&lt;75%,"SEMANAL")</f>
        <v>SEMANAL</v>
      </c>
    </row>
    <row r="28" ht="16" customHeight="1" spans="1:148" x14ac:dyDescent="0.25">
      <c r="A28" s="171" t="s">
        <v>99</v>
      </c>
      <c r="B28" s="101"/>
      <c r="C28" s="102"/>
      <c r="D28" s="103">
        <v>5</v>
      </c>
      <c r="E28" s="104">
        <f t="shared" si="96"/>
        <v>0</v>
      </c>
      <c r="F28" s="102"/>
      <c r="G28" s="103">
        <v>5</v>
      </c>
      <c r="H28" s="104">
        <f t="shared" si="97"/>
        <v>0</v>
      </c>
      <c r="I28" s="105"/>
      <c r="J28" s="103">
        <v>5</v>
      </c>
      <c r="K28" s="104">
        <f t="shared" si="98"/>
        <v>0</v>
      </c>
      <c r="L28" s="105"/>
      <c r="M28" s="103">
        <v>5</v>
      </c>
      <c r="N28" s="104">
        <f t="shared" si="99"/>
        <v>0</v>
      </c>
      <c r="O28" s="106"/>
      <c r="P28" s="107">
        <v>5</v>
      </c>
      <c r="Q28" s="104">
        <f t="shared" si="100"/>
        <v>0</v>
      </c>
      <c r="R28" s="102"/>
      <c r="S28" s="107">
        <v>5</v>
      </c>
      <c r="T28" s="104">
        <f t="shared" si="101"/>
        <v>0</v>
      </c>
      <c r="U28" s="102"/>
      <c r="V28" s="107">
        <v>5</v>
      </c>
      <c r="W28" s="104">
        <f t="shared" si="102"/>
        <v>0</v>
      </c>
      <c r="X28" s="102"/>
      <c r="Y28" s="107">
        <v>5</v>
      </c>
      <c r="Z28" s="104">
        <f t="shared" si="103"/>
        <v>0</v>
      </c>
      <c r="AA28" s="106"/>
      <c r="AB28" s="107">
        <v>5</v>
      </c>
      <c r="AC28" s="104">
        <f t="shared" si="104"/>
        <v>0</v>
      </c>
      <c r="AD28" s="106"/>
      <c r="AE28" s="107">
        <v>5</v>
      </c>
      <c r="AF28" s="104">
        <f t="shared" si="105"/>
        <v>0</v>
      </c>
      <c r="AG28" s="106"/>
      <c r="AH28" s="107">
        <v>5</v>
      </c>
      <c r="AI28" s="104">
        <f t="shared" si="106"/>
        <v>0</v>
      </c>
      <c r="AJ28" s="106"/>
      <c r="AK28" s="107">
        <v>5</v>
      </c>
      <c r="AL28" s="104">
        <f t="shared" si="107"/>
        <v>0</v>
      </c>
      <c r="AM28" s="102"/>
      <c r="AN28" s="1">
        <v>5</v>
      </c>
      <c r="AO28" s="104">
        <f t="shared" si="108"/>
        <v>0</v>
      </c>
      <c r="AP28" s="102"/>
      <c r="AQ28" s="1">
        <v>5</v>
      </c>
      <c r="AR28" s="104">
        <f t="shared" si="109"/>
        <v>0</v>
      </c>
      <c r="AS28" s="102"/>
      <c r="AT28" s="1">
        <v>5</v>
      </c>
      <c r="AU28" s="104">
        <f t="shared" si="110"/>
        <v>0</v>
      </c>
      <c r="AV28" s="102"/>
      <c r="AW28" s="1">
        <v>5</v>
      </c>
      <c r="AX28" s="104">
        <f t="shared" si="111"/>
        <v>0</v>
      </c>
      <c r="AY28" s="102"/>
      <c r="AZ28" s="1">
        <v>5</v>
      </c>
      <c r="BA28" s="104">
        <f t="shared" si="112"/>
        <v>0</v>
      </c>
      <c r="BB28" s="102"/>
      <c r="BC28" s="1">
        <v>5</v>
      </c>
      <c r="BD28" s="104">
        <f t="shared" si="113"/>
        <v>0</v>
      </c>
      <c r="BE28" s="102"/>
      <c r="BF28" s="1">
        <v>5</v>
      </c>
      <c r="BG28" s="104">
        <f t="shared" si="114"/>
        <v>0</v>
      </c>
      <c r="BH28" s="102"/>
      <c r="BI28" s="1">
        <v>5</v>
      </c>
      <c r="BJ28" s="104">
        <f t="shared" si="115"/>
        <v>0</v>
      </c>
      <c r="BK28" s="102"/>
      <c r="BL28" s="1">
        <v>5</v>
      </c>
      <c r="BM28" s="104">
        <f t="shared" si="116"/>
        <v>0</v>
      </c>
      <c r="BN28" s="102"/>
      <c r="BO28" s="1">
        <v>5</v>
      </c>
      <c r="BP28" s="104">
        <f t="shared" si="117"/>
        <v>0</v>
      </c>
      <c r="BQ28" s="102"/>
      <c r="BR28" s="1">
        <v>5</v>
      </c>
      <c r="BS28" s="104">
        <f t="shared" si="118"/>
        <v>0</v>
      </c>
      <c r="BT28" s="102"/>
      <c r="BU28" s="1">
        <v>5</v>
      </c>
      <c r="BV28" s="104">
        <f t="shared" si="119"/>
        <v>0</v>
      </c>
      <c r="BW28" s="102"/>
      <c r="BX28" s="1">
        <v>5</v>
      </c>
      <c r="BY28" s="104">
        <f t="shared" si="120"/>
        <v>0</v>
      </c>
      <c r="BZ28" s="102"/>
      <c r="CA28" s="1">
        <v>5</v>
      </c>
      <c r="CB28" s="104">
        <f t="shared" si="121"/>
        <v>0</v>
      </c>
      <c r="CC28" s="102"/>
      <c r="CD28" s="1">
        <v>5</v>
      </c>
      <c r="CE28" s="104">
        <f t="shared" si="122"/>
        <v>0</v>
      </c>
      <c r="CF28" s="102"/>
      <c r="CG28" s="1">
        <v>5</v>
      </c>
      <c r="CH28" s="104">
        <f t="shared" si="123"/>
        <v>0</v>
      </c>
      <c r="CI28" s="102"/>
      <c r="CJ28" s="1">
        <v>5</v>
      </c>
      <c r="CK28" s="104">
        <f t="shared" si="124"/>
        <v>0</v>
      </c>
      <c r="CL28" s="102"/>
      <c r="CM28" s="1">
        <v>5</v>
      </c>
      <c r="CN28" s="104">
        <f t="shared" si="125"/>
        <v>0</v>
      </c>
      <c r="CO28" s="102"/>
      <c r="CP28" s="1">
        <v>5</v>
      </c>
      <c r="CQ28" s="104">
        <f t="shared" si="126"/>
        <v>0</v>
      </c>
      <c r="CR28" s="102"/>
      <c r="CS28" s="1">
        <v>5</v>
      </c>
      <c r="CT28" s="104">
        <f t="shared" si="127"/>
        <v>0</v>
      </c>
      <c r="CU28" s="102"/>
      <c r="CV28" s="1">
        <v>5</v>
      </c>
      <c r="CW28" s="104">
        <f t="shared" si="128"/>
        <v>0</v>
      </c>
      <c r="CX28" s="102"/>
      <c r="CY28" s="1">
        <v>5</v>
      </c>
      <c r="CZ28" s="104">
        <f t="shared" si="129"/>
        <v>0</v>
      </c>
      <c r="DA28" s="102"/>
      <c r="DB28" s="1">
        <v>5</v>
      </c>
      <c r="DC28" s="104">
        <f t="shared" si="130"/>
        <v>0</v>
      </c>
      <c r="DD28" s="102"/>
      <c r="DE28" s="1">
        <v>5</v>
      </c>
      <c r="DF28" s="104">
        <f t="shared" si="131"/>
        <v>0</v>
      </c>
      <c r="DG28" s="102"/>
      <c r="DH28" s="1">
        <v>5</v>
      </c>
      <c r="DI28" s="104">
        <f t="shared" si="132"/>
        <v>0</v>
      </c>
      <c r="DJ28" s="102"/>
      <c r="DK28" s="1">
        <v>5</v>
      </c>
      <c r="DL28" s="104">
        <f t="shared" si="133"/>
        <v>0</v>
      </c>
      <c r="DM28" s="102"/>
      <c r="DN28" s="1">
        <v>5</v>
      </c>
      <c r="DO28" s="104">
        <f t="shared" si="134"/>
        <v>0</v>
      </c>
      <c r="DP28" s="102"/>
      <c r="DQ28" s="1">
        <v>5</v>
      </c>
      <c r="DR28" s="104">
        <f t="shared" si="135"/>
        <v>0</v>
      </c>
      <c r="DS28" s="102"/>
      <c r="DT28" s="1">
        <v>5</v>
      </c>
      <c r="DU28" s="104">
        <f t="shared" si="136"/>
        <v>0</v>
      </c>
      <c r="DV28" s="102"/>
      <c r="DW28" s="1">
        <v>5</v>
      </c>
      <c r="DX28" s="104">
        <f t="shared" si="137"/>
        <v>0</v>
      </c>
      <c r="DY28" s="102"/>
      <c r="DZ28" s="1">
        <v>5</v>
      </c>
      <c r="EA28" s="104">
        <f t="shared" si="138"/>
        <v>0</v>
      </c>
      <c r="EB28" s="102"/>
      <c r="EC28" s="1">
        <v>5</v>
      </c>
      <c r="ED28" s="104">
        <f t="shared" si="139"/>
        <v>0</v>
      </c>
      <c r="EE28" s="102"/>
      <c r="EF28" s="1">
        <v>5</v>
      </c>
      <c r="EG28" s="104">
        <f t="shared" si="140"/>
        <v>0</v>
      </c>
      <c r="EH28" s="102"/>
      <c r="EI28" s="1">
        <v>5</v>
      </c>
      <c r="EJ28" s="104">
        <f t="shared" si="141"/>
        <v>0</v>
      </c>
      <c r="EK28" s="102"/>
      <c r="EL28" s="1">
        <v>5</v>
      </c>
      <c r="EM28" s="104">
        <f t="shared" si="142"/>
        <v>0</v>
      </c>
      <c r="EN28" s="102"/>
      <c r="EO28" s="1">
        <v>5</v>
      </c>
      <c r="EP28" s="104">
        <f t="shared" si="143"/>
        <v>0</v>
      </c>
      <c r="EQ28" s="85">
        <f t="array" ref="EQ28">IFERROR(_xlfn.LET(
_xlpm.datos,CHOOSE({1;2;3;4;5;6;7;8;9;10;11;12;13;13;14;15;16;17;18;19;20;21;22;23;23;24;25;26;27;28;29;30;31;32;33;34;35;36;37;38;39;40;41;42;43;44;45;46;47},E28,H28,K28,N28,Q28,T28,W28,Z28,AC28,AF28,AI28,AL28,AO28,AR28,AU28,AX28,BA28,BD28,BG28,BJ28,BP28,BS28,BV28,BY28,CB28,CE28,CH28,CK28,CN28,CQ28,CT28,CW28,CZ28,DC28,DF28,DI28,DL28,DO28,DR28,DU28,DX28,EA28,ED28,EG28,EJ28,EM28,EP28),
AVERAGE(_xlfn._xlws.FILTER(_xlpm.datos,(_xlpm.datos&lt;&gt;0)*(_xlpm.datos&lt;&gt;"")))
),0)</f>
        <v>0</v>
      </c>
      <c r="ER28" s="162" t="str">
        <f t="array" ref="ER28">_xlfn.IFS(EQ28&gt;=91.5%,"MENSUAL",EQ28&gt;=75%,"QUINCENAL",EQ28&lt;75%,"SEMANAL")</f>
        <v>SEMANAL</v>
      </c>
    </row>
    <row r="29" ht="24" customHeight="1" spans="1:148" x14ac:dyDescent="0.25">
      <c r="A29" s="171" t="s">
        <v>100</v>
      </c>
      <c r="B29" s="101"/>
      <c r="C29" s="102"/>
      <c r="D29" s="103">
        <v>5</v>
      </c>
      <c r="E29" s="104">
        <f t="shared" si="96"/>
        <v>0</v>
      </c>
      <c r="F29" s="102"/>
      <c r="G29" s="103">
        <v>5</v>
      </c>
      <c r="H29" s="104">
        <f t="shared" si="97"/>
        <v>0</v>
      </c>
      <c r="I29" s="105"/>
      <c r="J29" s="103">
        <v>5</v>
      </c>
      <c r="K29" s="104">
        <f t="shared" si="98"/>
        <v>0</v>
      </c>
      <c r="L29" s="105"/>
      <c r="M29" s="103">
        <v>5</v>
      </c>
      <c r="N29" s="104">
        <f t="shared" si="99"/>
        <v>0</v>
      </c>
      <c r="O29" s="106"/>
      <c r="P29" s="107">
        <v>5</v>
      </c>
      <c r="Q29" s="104">
        <f t="shared" si="100"/>
        <v>0</v>
      </c>
      <c r="R29" s="102"/>
      <c r="S29" s="107">
        <v>5</v>
      </c>
      <c r="T29" s="104">
        <f t="shared" si="101"/>
        <v>0</v>
      </c>
      <c r="U29" s="102"/>
      <c r="V29" s="107">
        <v>5</v>
      </c>
      <c r="W29" s="104">
        <f t="shared" si="102"/>
        <v>0</v>
      </c>
      <c r="X29" s="102"/>
      <c r="Y29" s="107">
        <v>5</v>
      </c>
      <c r="Z29" s="104">
        <f t="shared" si="103"/>
        <v>0</v>
      </c>
      <c r="AA29" s="106"/>
      <c r="AB29" s="107">
        <v>5</v>
      </c>
      <c r="AC29" s="104">
        <f t="shared" si="104"/>
        <v>0</v>
      </c>
      <c r="AD29" s="106"/>
      <c r="AE29" s="107">
        <v>5</v>
      </c>
      <c r="AF29" s="104">
        <f t="shared" si="105"/>
        <v>0</v>
      </c>
      <c r="AG29" s="106"/>
      <c r="AH29" s="107">
        <v>5</v>
      </c>
      <c r="AI29" s="104">
        <f t="shared" si="106"/>
        <v>0</v>
      </c>
      <c r="AJ29" s="106"/>
      <c r="AK29" s="107">
        <v>5</v>
      </c>
      <c r="AL29" s="104">
        <f t="shared" si="107"/>
        <v>0</v>
      </c>
      <c r="AM29" s="102"/>
      <c r="AN29" s="1">
        <v>5</v>
      </c>
      <c r="AO29" s="104">
        <f t="shared" si="108"/>
        <v>0</v>
      </c>
      <c r="AP29" s="102"/>
      <c r="AQ29" s="1">
        <v>5</v>
      </c>
      <c r="AR29" s="104">
        <f t="shared" si="109"/>
        <v>0</v>
      </c>
      <c r="AS29" s="102"/>
      <c r="AT29" s="1">
        <v>5</v>
      </c>
      <c r="AU29" s="104">
        <f t="shared" si="110"/>
        <v>0</v>
      </c>
      <c r="AV29" s="102"/>
      <c r="AW29" s="1">
        <v>5</v>
      </c>
      <c r="AX29" s="104">
        <f t="shared" si="111"/>
        <v>0</v>
      </c>
      <c r="AY29" s="102"/>
      <c r="AZ29" s="1">
        <v>5</v>
      </c>
      <c r="BA29" s="104">
        <f t="shared" si="112"/>
        <v>0</v>
      </c>
      <c r="BB29" s="102"/>
      <c r="BC29" s="1">
        <v>5</v>
      </c>
      <c r="BD29" s="104">
        <f t="shared" si="113"/>
        <v>0</v>
      </c>
      <c r="BE29" s="102"/>
      <c r="BF29" s="1">
        <v>5</v>
      </c>
      <c r="BG29" s="104">
        <f t="shared" si="114"/>
        <v>0</v>
      </c>
      <c r="BH29" s="102"/>
      <c r="BI29" s="1">
        <v>5</v>
      </c>
      <c r="BJ29" s="104">
        <f t="shared" si="115"/>
        <v>0</v>
      </c>
      <c r="BK29" s="102"/>
      <c r="BL29" s="1">
        <v>5</v>
      </c>
      <c r="BM29" s="104">
        <f t="shared" si="116"/>
        <v>0</v>
      </c>
      <c r="BN29" s="102"/>
      <c r="BO29" s="1">
        <v>5</v>
      </c>
      <c r="BP29" s="104">
        <f t="shared" si="117"/>
        <v>0</v>
      </c>
      <c r="BQ29" s="102"/>
      <c r="BR29" s="1">
        <v>5</v>
      </c>
      <c r="BS29" s="104">
        <f t="shared" si="118"/>
        <v>0</v>
      </c>
      <c r="BT29" s="102"/>
      <c r="BU29" s="1">
        <v>5</v>
      </c>
      <c r="BV29" s="104">
        <f t="shared" si="119"/>
        <v>0</v>
      </c>
      <c r="BW29" s="102"/>
      <c r="BX29" s="1">
        <v>5</v>
      </c>
      <c r="BY29" s="104">
        <f t="shared" si="120"/>
        <v>0</v>
      </c>
      <c r="BZ29" s="102"/>
      <c r="CA29" s="1">
        <v>5</v>
      </c>
      <c r="CB29" s="104">
        <f t="shared" si="121"/>
        <v>0</v>
      </c>
      <c r="CC29" s="102"/>
      <c r="CD29" s="1">
        <v>5</v>
      </c>
      <c r="CE29" s="104">
        <f t="shared" si="122"/>
        <v>0</v>
      </c>
      <c r="CF29" s="102"/>
      <c r="CG29" s="1">
        <v>5</v>
      </c>
      <c r="CH29" s="104">
        <f t="shared" si="123"/>
        <v>0</v>
      </c>
      <c r="CI29" s="102"/>
      <c r="CJ29" s="1">
        <v>5</v>
      </c>
      <c r="CK29" s="104">
        <f t="shared" si="124"/>
        <v>0</v>
      </c>
      <c r="CL29" s="102"/>
      <c r="CM29" s="1">
        <v>5</v>
      </c>
      <c r="CN29" s="104">
        <f t="shared" si="125"/>
        <v>0</v>
      </c>
      <c r="CO29" s="102"/>
      <c r="CP29" s="1">
        <v>5</v>
      </c>
      <c r="CQ29" s="104">
        <f t="shared" si="126"/>
        <v>0</v>
      </c>
      <c r="CR29" s="102"/>
      <c r="CS29" s="1">
        <v>5</v>
      </c>
      <c r="CT29" s="104">
        <f t="shared" si="127"/>
        <v>0</v>
      </c>
      <c r="CU29" s="102"/>
      <c r="CV29" s="1">
        <v>5</v>
      </c>
      <c r="CW29" s="104">
        <f t="shared" si="128"/>
        <v>0</v>
      </c>
      <c r="CX29" s="102"/>
      <c r="CY29" s="1">
        <v>5</v>
      </c>
      <c r="CZ29" s="104">
        <f t="shared" si="129"/>
        <v>0</v>
      </c>
      <c r="DA29" s="102"/>
      <c r="DB29" s="1">
        <v>5</v>
      </c>
      <c r="DC29" s="104">
        <f t="shared" si="130"/>
        <v>0</v>
      </c>
      <c r="DD29" s="102"/>
      <c r="DE29" s="1">
        <v>5</v>
      </c>
      <c r="DF29" s="104">
        <f t="shared" si="131"/>
        <v>0</v>
      </c>
      <c r="DG29" s="102"/>
      <c r="DH29" s="1">
        <v>5</v>
      </c>
      <c r="DI29" s="104">
        <f t="shared" si="132"/>
        <v>0</v>
      </c>
      <c r="DJ29" s="102"/>
      <c r="DK29" s="1">
        <v>5</v>
      </c>
      <c r="DL29" s="104">
        <f t="shared" si="133"/>
        <v>0</v>
      </c>
      <c r="DM29" s="102"/>
      <c r="DN29" s="1">
        <v>5</v>
      </c>
      <c r="DO29" s="104">
        <f t="shared" si="134"/>
        <v>0</v>
      </c>
      <c r="DP29" s="102"/>
      <c r="DQ29" s="1">
        <v>5</v>
      </c>
      <c r="DR29" s="104">
        <f t="shared" si="135"/>
        <v>0</v>
      </c>
      <c r="DS29" s="102"/>
      <c r="DT29" s="1">
        <v>5</v>
      </c>
      <c r="DU29" s="104">
        <f t="shared" si="136"/>
        <v>0</v>
      </c>
      <c r="DV29" s="102"/>
      <c r="DW29" s="1">
        <v>5</v>
      </c>
      <c r="DX29" s="104">
        <f t="shared" si="137"/>
        <v>0</v>
      </c>
      <c r="DY29" s="102"/>
      <c r="DZ29" s="1">
        <v>5</v>
      </c>
      <c r="EA29" s="104">
        <f t="shared" si="138"/>
        <v>0</v>
      </c>
      <c r="EB29" s="102"/>
      <c r="EC29" s="1">
        <v>5</v>
      </c>
      <c r="ED29" s="104">
        <f t="shared" si="139"/>
        <v>0</v>
      </c>
      <c r="EE29" s="102"/>
      <c r="EF29" s="1">
        <v>5</v>
      </c>
      <c r="EG29" s="104">
        <f t="shared" si="140"/>
        <v>0</v>
      </c>
      <c r="EH29" s="102"/>
      <c r="EI29" s="1">
        <v>5</v>
      </c>
      <c r="EJ29" s="104">
        <f t="shared" si="141"/>
        <v>0</v>
      </c>
      <c r="EK29" s="102"/>
      <c r="EL29" s="1">
        <v>5</v>
      </c>
      <c r="EM29" s="104">
        <f t="shared" si="142"/>
        <v>0</v>
      </c>
      <c r="EN29" s="102"/>
      <c r="EO29" s="1">
        <v>5</v>
      </c>
      <c r="EP29" s="104">
        <f t="shared" si="143"/>
        <v>0</v>
      </c>
      <c r="EQ29" s="85">
        <f t="array" ref="EQ29">IFERROR(_xlfn.LET(
_xlpm.datos,CHOOSE({1;2;3;4;5;6;7;8;9;10;11;12;13;13;14;15;16;17;18;19;20;21;22;23;23;24;25;26;27;28;29;30;31;32;33;34;35;36;37;38;39;40;41;42;43;44;45;46;47},E29,H29,K29,N29,Q29,T29,W29,Z29,AC29,AF29,AI29,AL29,AO29,AR29,AU29,AX29,BA29,BD29,BG29,BJ29,BP29,BS29,BV29,BY29,CB29,CE29,CH29,CK29,CN29,CQ29,CT29,CW29,CZ29,DC29,DF29,DI29,DL29,DO29,DR29,DU29,DX29,EA29,ED29,EG29,EJ29,EM29,EP29),
AVERAGE(_xlfn._xlws.FILTER(_xlpm.datos,(_xlpm.datos&lt;&gt;0)*(_xlpm.datos&lt;&gt;"")))
),0)</f>
        <v>0</v>
      </c>
      <c r="ER29" s="162" t="str">
        <f t="array" ref="ER29">_xlfn.IFS(EQ29&gt;=91.5%,"MENSUAL",EQ29&gt;=75%,"QUINCENAL",EQ29&lt;75%,"SEMANAL")</f>
        <v>SEMANAL</v>
      </c>
    </row>
    <row r="30" ht="22" customHeight="1" spans="1:148" x14ac:dyDescent="0.25">
      <c r="A30" s="171" t="s">
        <v>102</v>
      </c>
      <c r="B30" s="101"/>
      <c r="C30" s="102"/>
      <c r="D30" s="103">
        <v>5</v>
      </c>
      <c r="E30" s="104">
        <f t="shared" si="96"/>
        <v>0</v>
      </c>
      <c r="F30" s="102"/>
      <c r="G30" s="103">
        <v>5</v>
      </c>
      <c r="H30" s="104">
        <f t="shared" si="97"/>
        <v>0</v>
      </c>
      <c r="I30" s="105"/>
      <c r="J30" s="103">
        <v>5</v>
      </c>
      <c r="K30" s="104">
        <f t="shared" si="98"/>
        <v>0</v>
      </c>
      <c r="L30" s="105"/>
      <c r="M30" s="103">
        <v>5</v>
      </c>
      <c r="N30" s="104">
        <f t="shared" si="99"/>
        <v>0</v>
      </c>
      <c r="O30" s="106"/>
      <c r="P30" s="107">
        <v>5</v>
      </c>
      <c r="Q30" s="104">
        <f t="shared" si="100"/>
        <v>0</v>
      </c>
      <c r="R30" s="102"/>
      <c r="S30" s="107">
        <v>5</v>
      </c>
      <c r="T30" s="104">
        <f t="shared" si="101"/>
        <v>0</v>
      </c>
      <c r="U30" s="102"/>
      <c r="V30" s="107">
        <v>5</v>
      </c>
      <c r="W30" s="104">
        <f t="shared" si="102"/>
        <v>0</v>
      </c>
      <c r="X30" s="102"/>
      <c r="Y30" s="107">
        <v>5</v>
      </c>
      <c r="Z30" s="104">
        <f t="shared" si="103"/>
        <v>0</v>
      </c>
      <c r="AA30" s="106"/>
      <c r="AB30" s="107">
        <v>5</v>
      </c>
      <c r="AC30" s="104">
        <f t="shared" si="104"/>
        <v>0</v>
      </c>
      <c r="AD30" s="106"/>
      <c r="AE30" s="107">
        <v>5</v>
      </c>
      <c r="AF30" s="104">
        <f t="shared" si="105"/>
        <v>0</v>
      </c>
      <c r="AG30" s="106"/>
      <c r="AH30" s="107">
        <v>5</v>
      </c>
      <c r="AI30" s="104">
        <f t="shared" si="106"/>
        <v>0</v>
      </c>
      <c r="AJ30" s="106"/>
      <c r="AK30" s="107">
        <v>5</v>
      </c>
      <c r="AL30" s="104">
        <f t="shared" si="107"/>
        <v>0</v>
      </c>
      <c r="AM30" s="102"/>
      <c r="AN30" s="1">
        <v>5</v>
      </c>
      <c r="AO30" s="104">
        <f t="shared" si="108"/>
        <v>0</v>
      </c>
      <c r="AP30" s="102"/>
      <c r="AQ30" s="1">
        <v>5</v>
      </c>
      <c r="AR30" s="104">
        <f t="shared" si="109"/>
        <v>0</v>
      </c>
      <c r="AS30" s="102"/>
      <c r="AT30" s="1">
        <v>5</v>
      </c>
      <c r="AU30" s="104">
        <f t="shared" si="110"/>
        <v>0</v>
      </c>
      <c r="AV30" s="102"/>
      <c r="AW30" s="1">
        <v>5</v>
      </c>
      <c r="AX30" s="104">
        <f t="shared" si="111"/>
        <v>0</v>
      </c>
      <c r="AY30" s="102"/>
      <c r="AZ30" s="1">
        <v>5</v>
      </c>
      <c r="BA30" s="104">
        <f t="shared" si="112"/>
        <v>0</v>
      </c>
      <c r="BB30" s="102"/>
      <c r="BC30" s="1">
        <v>5</v>
      </c>
      <c r="BD30" s="104">
        <f t="shared" si="113"/>
        <v>0</v>
      </c>
      <c r="BE30" s="102"/>
      <c r="BF30" s="1">
        <v>5</v>
      </c>
      <c r="BG30" s="104">
        <f t="shared" si="114"/>
        <v>0</v>
      </c>
      <c r="BH30" s="102"/>
      <c r="BI30" s="1">
        <v>5</v>
      </c>
      <c r="BJ30" s="104">
        <f t="shared" si="115"/>
        <v>0</v>
      </c>
      <c r="BK30" s="102"/>
      <c r="BL30" s="1">
        <v>5</v>
      </c>
      <c r="BM30" s="104">
        <f t="shared" si="116"/>
        <v>0</v>
      </c>
      <c r="BN30" s="102"/>
      <c r="BO30" s="1">
        <v>5</v>
      </c>
      <c r="BP30" s="104">
        <f t="shared" si="117"/>
        <v>0</v>
      </c>
      <c r="BQ30" s="102"/>
      <c r="BR30" s="1">
        <v>5</v>
      </c>
      <c r="BS30" s="104">
        <f t="shared" si="118"/>
        <v>0</v>
      </c>
      <c r="BT30" s="102"/>
      <c r="BU30" s="1">
        <v>5</v>
      </c>
      <c r="BV30" s="104">
        <f t="shared" si="119"/>
        <v>0</v>
      </c>
      <c r="BW30" s="102"/>
      <c r="BX30" s="1">
        <v>5</v>
      </c>
      <c r="BY30" s="104">
        <f t="shared" si="120"/>
        <v>0</v>
      </c>
      <c r="BZ30" s="102"/>
      <c r="CA30" s="1">
        <v>5</v>
      </c>
      <c r="CB30" s="104">
        <f t="shared" si="121"/>
        <v>0</v>
      </c>
      <c r="CC30" s="102"/>
      <c r="CD30" s="1">
        <v>5</v>
      </c>
      <c r="CE30" s="104">
        <f t="shared" si="122"/>
        <v>0</v>
      </c>
      <c r="CF30" s="102"/>
      <c r="CG30" s="1">
        <v>5</v>
      </c>
      <c r="CH30" s="104">
        <f t="shared" si="123"/>
        <v>0</v>
      </c>
      <c r="CI30" s="102"/>
      <c r="CJ30" s="1">
        <v>5</v>
      </c>
      <c r="CK30" s="104">
        <f t="shared" si="124"/>
        <v>0</v>
      </c>
      <c r="CL30" s="102"/>
      <c r="CM30" s="1">
        <v>5</v>
      </c>
      <c r="CN30" s="104">
        <f t="shared" si="125"/>
        <v>0</v>
      </c>
      <c r="CO30" s="102"/>
      <c r="CP30" s="1">
        <v>5</v>
      </c>
      <c r="CQ30" s="104">
        <f t="shared" si="126"/>
        <v>0</v>
      </c>
      <c r="CR30" s="102"/>
      <c r="CS30" s="1">
        <v>5</v>
      </c>
      <c r="CT30" s="104">
        <f t="shared" si="127"/>
        <v>0</v>
      </c>
      <c r="CU30" s="102"/>
      <c r="CV30" s="1">
        <v>5</v>
      </c>
      <c r="CW30" s="104">
        <f t="shared" si="128"/>
        <v>0</v>
      </c>
      <c r="CX30" s="102"/>
      <c r="CY30" s="1">
        <v>5</v>
      </c>
      <c r="CZ30" s="104">
        <f t="shared" si="129"/>
        <v>0</v>
      </c>
      <c r="DA30" s="102"/>
      <c r="DB30" s="1">
        <v>5</v>
      </c>
      <c r="DC30" s="104">
        <f t="shared" si="130"/>
        <v>0</v>
      </c>
      <c r="DD30" s="102"/>
      <c r="DE30" s="1">
        <v>5</v>
      </c>
      <c r="DF30" s="104">
        <f t="shared" si="131"/>
        <v>0</v>
      </c>
      <c r="DG30" s="102"/>
      <c r="DH30" s="1">
        <v>5</v>
      </c>
      <c r="DI30" s="104">
        <f t="shared" si="132"/>
        <v>0</v>
      </c>
      <c r="DJ30" s="102"/>
      <c r="DK30" s="1">
        <v>5</v>
      </c>
      <c r="DL30" s="104">
        <f t="shared" si="133"/>
        <v>0</v>
      </c>
      <c r="DM30" s="102"/>
      <c r="DN30" s="1">
        <v>5</v>
      </c>
      <c r="DO30" s="104">
        <f t="shared" si="134"/>
        <v>0</v>
      </c>
      <c r="DP30" s="102"/>
      <c r="DQ30" s="1">
        <v>5</v>
      </c>
      <c r="DR30" s="104">
        <f t="shared" si="135"/>
        <v>0</v>
      </c>
      <c r="DS30" s="102"/>
      <c r="DT30" s="1">
        <v>5</v>
      </c>
      <c r="DU30" s="104">
        <f t="shared" si="136"/>
        <v>0</v>
      </c>
      <c r="DV30" s="102"/>
      <c r="DW30" s="1">
        <v>5</v>
      </c>
      <c r="DX30" s="104">
        <f t="shared" si="137"/>
        <v>0</v>
      </c>
      <c r="DY30" s="102"/>
      <c r="DZ30" s="1">
        <v>5</v>
      </c>
      <c r="EA30" s="104">
        <f t="shared" si="138"/>
        <v>0</v>
      </c>
      <c r="EB30" s="102"/>
      <c r="EC30" s="1">
        <v>5</v>
      </c>
      <c r="ED30" s="104">
        <f t="shared" si="139"/>
        <v>0</v>
      </c>
      <c r="EE30" s="102"/>
      <c r="EF30" s="1">
        <v>5</v>
      </c>
      <c r="EG30" s="104">
        <f t="shared" si="140"/>
        <v>0</v>
      </c>
      <c r="EH30" s="102"/>
      <c r="EI30" s="1">
        <v>5</v>
      </c>
      <c r="EJ30" s="104">
        <f t="shared" si="141"/>
        <v>0</v>
      </c>
      <c r="EK30" s="102"/>
      <c r="EL30" s="1">
        <v>5</v>
      </c>
      <c r="EM30" s="104">
        <f t="shared" si="142"/>
        <v>0</v>
      </c>
      <c r="EN30" s="102"/>
      <c r="EO30" s="1">
        <v>5</v>
      </c>
      <c r="EP30" s="104">
        <f t="shared" si="143"/>
        <v>0</v>
      </c>
      <c r="EQ30" s="85">
        <f t="array" ref="EQ30">IFERROR(_xlfn.LET(
_xlpm.datos,CHOOSE({1;2;3;4;5;6;7;8;9;10;11;12;13;13;14;15;16;17;18;19;20;21;22;23;23;24;25;26;27;28;29;30;31;32;33;34;35;36;37;38;39;40;41;42;43;44;45;46;47},E30,H30,K30,N30,Q30,T30,W30,Z30,AC30,AF30,AI30,AL30,AO30,AR30,AU30,AX30,BA30,BD30,BG30,BJ30,BP30,BS30,BV30,BY30,CB30,CE30,CH30,CK30,CN30,CQ30,CT30,CW30,CZ30,DC30,DF30,DI30,DL30,DO30,DR30,DU30,DX30,EA30,ED30,EG30,EJ30,EM30,EP30),
AVERAGE(_xlfn._xlws.FILTER(_xlpm.datos,(_xlpm.datos&lt;&gt;0)*(_xlpm.datos&lt;&gt;"")))
),0)</f>
        <v>0</v>
      </c>
      <c r="ER30" s="162" t="str">
        <f t="array" ref="ER30">_xlfn.IFS(EQ30&gt;=91.5%,"MENSUAL",EQ30&gt;=75%,"QUINCENAL",EQ30&lt;75%,"SEMANAL")</f>
        <v>SEMANAL</v>
      </c>
    </row>
    <row r="31" ht="26.5" customHeight="1" spans="1:148" x14ac:dyDescent="0.25">
      <c r="A31" s="283" t="s">
        <v>236</v>
      </c>
      <c r="B31" s="101"/>
      <c r="C31" s="102"/>
      <c r="D31" s="103">
        <v>5</v>
      </c>
      <c r="E31" s="104">
        <f t="shared" si="96"/>
        <v>0</v>
      </c>
      <c r="F31" s="102"/>
      <c r="G31" s="103">
        <v>5</v>
      </c>
      <c r="H31" s="104">
        <f t="shared" si="97"/>
        <v>0</v>
      </c>
      <c r="I31" s="105"/>
      <c r="J31" s="103">
        <v>5</v>
      </c>
      <c r="K31" s="104">
        <f t="shared" si="98"/>
        <v>0</v>
      </c>
      <c r="L31" s="105"/>
      <c r="M31" s="103">
        <v>5</v>
      </c>
      <c r="N31" s="104">
        <f t="shared" si="99"/>
        <v>0</v>
      </c>
      <c r="O31" s="106"/>
      <c r="P31" s="107">
        <v>5</v>
      </c>
      <c r="Q31" s="104">
        <f t="shared" si="100"/>
        <v>0</v>
      </c>
      <c r="R31" s="102"/>
      <c r="S31" s="107">
        <v>5</v>
      </c>
      <c r="T31" s="104">
        <f t="shared" si="101"/>
        <v>0</v>
      </c>
      <c r="U31" s="102"/>
      <c r="V31" s="107">
        <v>5</v>
      </c>
      <c r="W31" s="104">
        <f t="shared" si="102"/>
        <v>0</v>
      </c>
      <c r="X31" s="102"/>
      <c r="Y31" s="107">
        <v>5</v>
      </c>
      <c r="Z31" s="104">
        <f t="shared" si="103"/>
        <v>0</v>
      </c>
      <c r="AA31" s="106"/>
      <c r="AB31" s="107">
        <v>5</v>
      </c>
      <c r="AC31" s="104">
        <f t="shared" si="104"/>
        <v>0</v>
      </c>
      <c r="AD31" s="106"/>
      <c r="AE31" s="107">
        <v>5</v>
      </c>
      <c r="AF31" s="104">
        <f t="shared" si="105"/>
        <v>0</v>
      </c>
      <c r="AG31" s="106"/>
      <c r="AH31" s="107">
        <v>5</v>
      </c>
      <c r="AI31" s="104">
        <f t="shared" si="106"/>
        <v>0</v>
      </c>
      <c r="AJ31" s="106"/>
      <c r="AK31" s="107">
        <v>5</v>
      </c>
      <c r="AL31" s="104">
        <f t="shared" si="107"/>
        <v>0</v>
      </c>
      <c r="AM31" s="102"/>
      <c r="AN31" s="1">
        <v>5</v>
      </c>
      <c r="AO31" s="104">
        <f t="shared" si="108"/>
        <v>0</v>
      </c>
      <c r="AP31" s="102"/>
      <c r="AQ31" s="1">
        <v>5</v>
      </c>
      <c r="AR31" s="104">
        <f t="shared" si="109"/>
        <v>0</v>
      </c>
      <c r="AS31" s="102"/>
      <c r="AT31" s="1">
        <v>5</v>
      </c>
      <c r="AU31" s="104">
        <f t="shared" si="110"/>
        <v>0</v>
      </c>
      <c r="AV31" s="102"/>
      <c r="AW31" s="1">
        <v>5</v>
      </c>
      <c r="AX31" s="104">
        <f t="shared" si="111"/>
        <v>0</v>
      </c>
      <c r="AY31" s="102"/>
      <c r="AZ31" s="1">
        <v>5</v>
      </c>
      <c r="BA31" s="104">
        <f t="shared" si="112"/>
        <v>0</v>
      </c>
      <c r="BB31" s="102"/>
      <c r="BC31" s="1">
        <v>5</v>
      </c>
      <c r="BD31" s="104">
        <f t="shared" si="113"/>
        <v>0</v>
      </c>
      <c r="BE31" s="102"/>
      <c r="BF31" s="1">
        <v>5</v>
      </c>
      <c r="BG31" s="104">
        <f t="shared" si="114"/>
        <v>0</v>
      </c>
      <c r="BH31" s="102"/>
      <c r="BI31" s="1">
        <v>5</v>
      </c>
      <c r="BJ31" s="104">
        <f t="shared" si="115"/>
        <v>0</v>
      </c>
      <c r="BK31" s="102"/>
      <c r="BL31" s="1">
        <v>5</v>
      </c>
      <c r="BM31" s="104">
        <f t="shared" si="116"/>
        <v>0</v>
      </c>
      <c r="BN31" s="102"/>
      <c r="BO31" s="1">
        <v>5</v>
      </c>
      <c r="BP31" s="104">
        <f t="shared" si="117"/>
        <v>0</v>
      </c>
      <c r="BQ31" s="102"/>
      <c r="BR31" s="1">
        <v>5</v>
      </c>
      <c r="BS31" s="104">
        <f t="shared" si="118"/>
        <v>0</v>
      </c>
      <c r="BT31" s="102"/>
      <c r="BU31" s="1">
        <v>5</v>
      </c>
      <c r="BV31" s="104">
        <f t="shared" si="119"/>
        <v>0</v>
      </c>
      <c r="BW31" s="102"/>
      <c r="BX31" s="1">
        <v>5</v>
      </c>
      <c r="BY31" s="104">
        <f t="shared" si="120"/>
        <v>0</v>
      </c>
      <c r="BZ31" s="102"/>
      <c r="CA31" s="1">
        <v>5</v>
      </c>
      <c r="CB31" s="104">
        <f t="shared" si="121"/>
        <v>0</v>
      </c>
      <c r="CC31" s="102"/>
      <c r="CD31" s="1">
        <v>5</v>
      </c>
      <c r="CE31" s="104">
        <f t="shared" si="122"/>
        <v>0</v>
      </c>
      <c r="CF31" s="102"/>
      <c r="CG31" s="1">
        <v>5</v>
      </c>
      <c r="CH31" s="104">
        <f t="shared" si="123"/>
        <v>0</v>
      </c>
      <c r="CI31" s="102"/>
      <c r="CJ31" s="1">
        <v>5</v>
      </c>
      <c r="CK31" s="104">
        <f t="shared" si="124"/>
        <v>0</v>
      </c>
      <c r="CL31" s="102"/>
      <c r="CM31" s="1">
        <v>5</v>
      </c>
      <c r="CN31" s="104">
        <f t="shared" si="125"/>
        <v>0</v>
      </c>
      <c r="CO31" s="102"/>
      <c r="CP31" s="1">
        <v>5</v>
      </c>
      <c r="CQ31" s="104">
        <f t="shared" si="126"/>
        <v>0</v>
      </c>
      <c r="CR31" s="102"/>
      <c r="CS31" s="1">
        <v>5</v>
      </c>
      <c r="CT31" s="104">
        <f t="shared" si="127"/>
        <v>0</v>
      </c>
      <c r="CU31" s="102"/>
      <c r="CV31" s="1">
        <v>5</v>
      </c>
      <c r="CW31" s="104">
        <f t="shared" si="128"/>
        <v>0</v>
      </c>
      <c r="CX31" s="102"/>
      <c r="CY31" s="1">
        <v>5</v>
      </c>
      <c r="CZ31" s="104">
        <f t="shared" si="129"/>
        <v>0</v>
      </c>
      <c r="DA31" s="102"/>
      <c r="DB31" s="1">
        <v>5</v>
      </c>
      <c r="DC31" s="104">
        <f t="shared" si="130"/>
        <v>0</v>
      </c>
      <c r="DD31" s="102"/>
      <c r="DE31" s="1">
        <v>5</v>
      </c>
      <c r="DF31" s="104">
        <f t="shared" si="131"/>
        <v>0</v>
      </c>
      <c r="DG31" s="102"/>
      <c r="DH31" s="1">
        <v>5</v>
      </c>
      <c r="DI31" s="104">
        <f t="shared" si="132"/>
        <v>0</v>
      </c>
      <c r="DJ31" s="102"/>
      <c r="DK31" s="1">
        <v>5</v>
      </c>
      <c r="DL31" s="104">
        <f t="shared" si="133"/>
        <v>0</v>
      </c>
      <c r="DM31" s="102"/>
      <c r="DN31" s="1">
        <v>5</v>
      </c>
      <c r="DO31" s="104">
        <f t="shared" si="134"/>
        <v>0</v>
      </c>
      <c r="DP31" s="102"/>
      <c r="DQ31" s="1">
        <v>5</v>
      </c>
      <c r="DR31" s="104">
        <f t="shared" si="135"/>
        <v>0</v>
      </c>
      <c r="DS31" s="102"/>
      <c r="DT31" s="1">
        <v>5</v>
      </c>
      <c r="DU31" s="104">
        <f t="shared" si="136"/>
        <v>0</v>
      </c>
      <c r="DV31" s="102"/>
      <c r="DW31" s="1">
        <v>5</v>
      </c>
      <c r="DX31" s="104">
        <f t="shared" si="137"/>
        <v>0</v>
      </c>
      <c r="DY31" s="102"/>
      <c r="DZ31" s="1">
        <v>5</v>
      </c>
      <c r="EA31" s="104">
        <f t="shared" si="138"/>
        <v>0</v>
      </c>
      <c r="EB31" s="102"/>
      <c r="EC31" s="1">
        <v>5</v>
      </c>
      <c r="ED31" s="104">
        <f t="shared" si="139"/>
        <v>0</v>
      </c>
      <c r="EE31" s="102"/>
      <c r="EF31" s="1">
        <v>5</v>
      </c>
      <c r="EG31" s="104">
        <f t="shared" si="140"/>
        <v>0</v>
      </c>
      <c r="EH31" s="102"/>
      <c r="EI31" s="1">
        <v>5</v>
      </c>
      <c r="EJ31" s="104">
        <f t="shared" si="141"/>
        <v>0</v>
      </c>
      <c r="EK31" s="102"/>
      <c r="EL31" s="1">
        <v>5</v>
      </c>
      <c r="EM31" s="104">
        <f t="shared" si="142"/>
        <v>0</v>
      </c>
      <c r="EN31" s="102"/>
      <c r="EO31" s="1">
        <v>5</v>
      </c>
      <c r="EP31" s="104">
        <f t="shared" si="143"/>
        <v>0</v>
      </c>
      <c r="EQ31" s="85">
        <f t="array" ref="EQ31">IFERROR(_xlfn.LET(
_xlpm.datos,CHOOSE({1;2;3;4;5;6;7;8;9;10;11;12;13;13;14;15;16;17;18;19;20;21;22;23;23;24;25;26;27;28;29;30;31;32;33;34;35;36;37;38;39;40;41;42;43;44;45;46;47},E31,H31,K31,N31,Q31,T31,W31,Z31,AC31,AF31,AI31,AL31,AO31,AR31,AU31,AX31,BA31,BD31,BG31,BJ31,BP31,BS31,BV31,BY31,CB31,CE31,CH31,CK31,CN31,CQ31,CT31,CW31,CZ31,DC31,DF31,DI31,DL31,DO31,DR31,DU31,DX31,EA31,ED31,EG31,EJ31,EM31,EP31),
AVERAGE(_xlfn._xlws.FILTER(_xlpm.datos,(_xlpm.datos&lt;&gt;0)*(_xlpm.datos&lt;&gt;"")))
),0)</f>
        <v>0</v>
      </c>
      <c r="ER31" s="162" t="str">
        <f t="array" ref="ER31">_xlfn.IFS(EQ31&gt;=91.5%,"MENSUAL",EQ31&gt;=75%,"QUINCENAL",EQ31&lt;75%,"SEMANAL")</f>
        <v>SEMANAL</v>
      </c>
    </row>
    <row r="32" ht="16" customHeight="1" spans="1:148" x14ac:dyDescent="0.25">
      <c r="A32" s="124" t="s">
        <v>105</v>
      </c>
      <c r="B32" s="125"/>
      <c r="C32" s="126"/>
      <c r="D32" s="127"/>
      <c r="E32" s="82">
        <f>AVERAGE(E33:E35)</f>
        <v>0</v>
      </c>
      <c r="F32" s="126"/>
      <c r="G32" s="127"/>
      <c r="H32" s="82">
        <f>AVERAGE(H33:H35)</f>
        <v>0</v>
      </c>
      <c r="I32" s="126"/>
      <c r="J32" s="127"/>
      <c r="K32" s="82">
        <f>AVERAGE(K33:K35)</f>
        <v>0</v>
      </c>
      <c r="L32" s="126"/>
      <c r="M32" s="127"/>
      <c r="N32" s="82">
        <f>AVERAGE(N33:N35)</f>
        <v>0</v>
      </c>
      <c r="O32" s="126"/>
      <c r="P32" s="127"/>
      <c r="Q32" s="82">
        <f>AVERAGE(Q33:Q35)</f>
        <v>0</v>
      </c>
      <c r="R32" s="126"/>
      <c r="S32" s="127"/>
      <c r="T32" s="82">
        <f>AVERAGE(T33:T35)</f>
        <v>0</v>
      </c>
      <c r="U32" s="126"/>
      <c r="V32" s="127"/>
      <c r="W32" s="82">
        <f>AVERAGE(W33:W35)</f>
        <v>0</v>
      </c>
      <c r="X32" s="126"/>
      <c r="Y32" s="127"/>
      <c r="Z32" s="82">
        <f>AVERAGE(Z33:Z35)</f>
        <v>0</v>
      </c>
      <c r="AA32" s="126"/>
      <c r="AB32" s="127"/>
      <c r="AC32" s="82">
        <f>AVERAGE(AC33:AC35)</f>
        <v>0</v>
      </c>
      <c r="AD32" s="126"/>
      <c r="AE32" s="127"/>
      <c r="AF32" s="82">
        <f>AVERAGE(AF33:AF35)</f>
        <v>0</v>
      </c>
      <c r="AG32" s="126"/>
      <c r="AH32" s="127"/>
      <c r="AI32" s="82">
        <f>AVERAGE(AI33:AI35)</f>
        <v>0</v>
      </c>
      <c r="AJ32" s="126"/>
      <c r="AK32" s="127"/>
      <c r="AL32" s="82">
        <f>AVERAGE(AL33:AL35)</f>
        <v>0</v>
      </c>
      <c r="AM32" s="126"/>
      <c r="AN32" s="136"/>
      <c r="AO32" s="82">
        <f>AVERAGE(AO33:AO35)</f>
        <v>0</v>
      </c>
      <c r="AP32" s="128"/>
      <c r="AQ32" s="129"/>
      <c r="AR32" s="82">
        <f>AVERAGE(AR33:AR35)</f>
        <v>0</v>
      </c>
      <c r="AS32" s="130"/>
      <c r="AT32" s="129"/>
      <c r="AU32" s="82">
        <f>AVERAGE(AU33:AU35)</f>
        <v>0</v>
      </c>
      <c r="AV32" s="126"/>
      <c r="AW32" s="136"/>
      <c r="AX32" s="82">
        <f>AVERAGE(AX33:AX35)</f>
        <v>0</v>
      </c>
      <c r="AY32" s="137"/>
      <c r="AZ32" s="138"/>
      <c r="BA32" s="82">
        <f>AVERAGE(BA33:BA35)</f>
        <v>0</v>
      </c>
      <c r="BB32" s="128"/>
      <c r="BC32" s="132"/>
      <c r="BD32" s="82">
        <f>AVERAGE(BD33:BD35)</f>
        <v>0</v>
      </c>
      <c r="BE32" s="128"/>
      <c r="BF32" s="132"/>
      <c r="BG32" s="82">
        <f>AVERAGE(BG33:BG35)</f>
        <v>0</v>
      </c>
      <c r="BH32" s="128"/>
      <c r="BI32" s="132"/>
      <c r="BJ32" s="82">
        <f>AVERAGE(BJ33:BJ35)</f>
        <v>0</v>
      </c>
      <c r="BK32" s="128"/>
      <c r="BL32" s="132"/>
      <c r="BM32" s="82">
        <f>AVERAGE(BM33:BM35)</f>
        <v>0</v>
      </c>
      <c r="BN32" s="128"/>
      <c r="BO32" s="132"/>
      <c r="BP32" s="82">
        <f>AVERAGE(BP33:BP35)</f>
        <v>0</v>
      </c>
      <c r="BQ32" s="128"/>
      <c r="BR32" s="132"/>
      <c r="BS32" s="82">
        <f>AVERAGE(BS33:BS35)</f>
        <v>0</v>
      </c>
      <c r="BT32" s="128"/>
      <c r="BU32" s="132"/>
      <c r="BV32" s="82">
        <f>AVERAGE(BV33:BV35)</f>
        <v>0</v>
      </c>
      <c r="BW32" s="128"/>
      <c r="BX32" s="132"/>
      <c r="BY32" s="82">
        <f>AVERAGE(BY33:BY35)</f>
        <v>0</v>
      </c>
      <c r="BZ32" s="126"/>
      <c r="CA32" s="127"/>
      <c r="CB32" s="82">
        <f>AVERAGE(CB33:CB35)</f>
        <v>0</v>
      </c>
      <c r="CC32" s="126"/>
      <c r="CD32" s="127"/>
      <c r="CE32" s="82">
        <f>AVERAGE(CE33:CE35)</f>
        <v>0</v>
      </c>
      <c r="CF32" s="126"/>
      <c r="CG32" s="127"/>
      <c r="CH32" s="82">
        <f>AVERAGE(CH33:CH35)</f>
        <v>0</v>
      </c>
      <c r="CI32" s="126"/>
      <c r="CJ32" s="127"/>
      <c r="CK32" s="82">
        <f>AVERAGE(CK33:CK35)</f>
        <v>0</v>
      </c>
      <c r="CL32" s="126"/>
      <c r="CM32" s="127"/>
      <c r="CN32" s="82">
        <f>AVERAGE(CN33:CN35)</f>
        <v>0</v>
      </c>
      <c r="CO32" s="126"/>
      <c r="CP32" s="127"/>
      <c r="CQ32" s="82">
        <f>AVERAGE(CQ33:CQ35)</f>
        <v>0</v>
      </c>
      <c r="CR32" s="126"/>
      <c r="CS32" s="127"/>
      <c r="CT32" s="82">
        <f>AVERAGE(CT33:CT35)</f>
        <v>0</v>
      </c>
      <c r="CU32" s="126"/>
      <c r="CV32" s="127"/>
      <c r="CW32" s="82">
        <f>AVERAGE(CW33:CW35)</f>
        <v>0</v>
      </c>
      <c r="CX32" s="126"/>
      <c r="CY32" s="127"/>
      <c r="CZ32" s="82">
        <f>AVERAGE(CZ33:CZ35)</f>
        <v>0</v>
      </c>
      <c r="DA32" s="126"/>
      <c r="DB32" s="127"/>
      <c r="DC32" s="82">
        <f>AVERAGE(DC33:DC35)</f>
        <v>0</v>
      </c>
      <c r="DD32" s="126"/>
      <c r="DE32" s="127"/>
      <c r="DF32" s="82">
        <f>AVERAGE(DF33:DF35)</f>
        <v>0</v>
      </c>
      <c r="DG32" s="126"/>
      <c r="DH32" s="127"/>
      <c r="DI32" s="82">
        <f>AVERAGE(DI33:DI35)</f>
        <v>0</v>
      </c>
      <c r="DJ32" s="126"/>
      <c r="DK32" s="127"/>
      <c r="DL32" s="82">
        <f>AVERAGE(DL33:DL35)</f>
        <v>0</v>
      </c>
      <c r="DM32" s="126"/>
      <c r="DN32" s="127"/>
      <c r="DO32" s="82">
        <f>AVERAGE(DO33:DO35)</f>
        <v>0</v>
      </c>
      <c r="DP32" s="126"/>
      <c r="DQ32" s="127"/>
      <c r="DR32" s="82">
        <f>AVERAGE(DR33:DR35)</f>
        <v>0</v>
      </c>
      <c r="DS32" s="126"/>
      <c r="DT32" s="127"/>
      <c r="DU32" s="82">
        <f>AVERAGE(DU33:DU35)</f>
        <v>0</v>
      </c>
      <c r="DV32" s="126"/>
      <c r="DW32" s="127"/>
      <c r="DX32" s="82">
        <f>AVERAGE(DX33:DX35)</f>
        <v>0</v>
      </c>
      <c r="DY32" s="126"/>
      <c r="DZ32" s="127"/>
      <c r="EA32" s="82">
        <f>AVERAGE(EA33:EA35)</f>
        <v>0</v>
      </c>
      <c r="EB32" s="126"/>
      <c r="EC32" s="127"/>
      <c r="ED32" s="82">
        <f>AVERAGE(ED33:ED35)</f>
        <v>0</v>
      </c>
      <c r="EE32" s="126"/>
      <c r="EF32" s="127"/>
      <c r="EG32" s="82">
        <f>AVERAGE(EG33:EG35)</f>
        <v>0</v>
      </c>
      <c r="EH32" s="126"/>
      <c r="EI32" s="127"/>
      <c r="EJ32" s="82">
        <f>AVERAGE(EJ33:EJ35)</f>
        <v>0</v>
      </c>
      <c r="EK32" s="126"/>
      <c r="EL32" s="127"/>
      <c r="EM32" s="82">
        <f>AVERAGE(EM33:EM35)</f>
        <v>0</v>
      </c>
      <c r="EN32" s="126"/>
      <c r="EO32" s="127"/>
      <c r="EP32" s="82">
        <f>AVERAGE(EP33:EP35)</f>
        <v>0</v>
      </c>
      <c r="EQ32" s="85">
        <f t="array" ref="EQ32">IFERROR(_xlfn.LET(
_xlpm.datos,CHOOSE({1;2;3;4;5;6;7;8;9;10;11;12;13;13;14;15;16;17;18;19;20;21;22;23;23;24;25;26;27;28;29;30;31;32;33;34;35;36;37;38;39;40;41;42;43;44;45;46;47},E32,H32,K32,N32,Q32,T32,W32,Z32,AC32,AF32,AI32,AL32,AO32,AR32,AU32,AX32,BA32,BD32,BG32,BJ32,BP32,BS32,BV32,BY32,CB32,CE32,CH32,CK32,CN32,CQ32,CT32,CW32,CZ32,DC32,DF32,DI32,DL32,DO32,DR32,DU32,DX32,EA32,ED32,EG32,EJ32,EM32,EP32),
AVERAGE(_xlfn._xlws.FILTER(_xlpm.datos,(_xlpm.datos&lt;&gt;0)*(_xlpm.datos&lt;&gt;"")))
),0)</f>
        <v>0</v>
      </c>
      <c r="ER32" s="162" t="str">
        <f t="array" ref="ER32">_xlfn.IFS(EQ32&gt;=91.5%,"MENSUAL",EQ32&gt;=75%,"QUINCENAL",EQ32&lt;75%,"SEMANAL")</f>
        <v>SEMANAL</v>
      </c>
    </row>
    <row r="33" ht="16" customHeight="1" spans="1:148" x14ac:dyDescent="0.25">
      <c r="A33" s="168" t="s">
        <v>106</v>
      </c>
      <c r="B33" s="101"/>
      <c r="C33" s="102"/>
      <c r="D33" s="103">
        <v>5</v>
      </c>
      <c r="E33" s="104">
        <f t="shared" ref="E33:E35" si="144">C33/D33</f>
        <v>0</v>
      </c>
      <c r="F33" s="102"/>
      <c r="G33" s="103">
        <v>5</v>
      </c>
      <c r="H33" s="104">
        <f t="shared" ref="H33:H35" si="145">F33/G33</f>
        <v>0</v>
      </c>
      <c r="I33" s="105"/>
      <c r="J33" s="103">
        <v>5</v>
      </c>
      <c r="K33" s="104">
        <f t="shared" ref="K33:K35" si="146">I33/J33</f>
        <v>0</v>
      </c>
      <c r="L33" s="105"/>
      <c r="M33" s="103">
        <v>5</v>
      </c>
      <c r="N33" s="104">
        <f t="shared" ref="N33:N35" si="147">L33/M33</f>
        <v>0</v>
      </c>
      <c r="O33" s="106"/>
      <c r="P33" s="107">
        <v>5</v>
      </c>
      <c r="Q33" s="104">
        <f t="shared" ref="Q33:Q35" si="148">O33/P33</f>
        <v>0</v>
      </c>
      <c r="R33" s="102"/>
      <c r="S33" s="107">
        <v>5</v>
      </c>
      <c r="T33" s="104">
        <f t="shared" ref="T33:T35" si="149">R33/S33</f>
        <v>0</v>
      </c>
      <c r="U33" s="102"/>
      <c r="V33" s="107">
        <v>5</v>
      </c>
      <c r="W33" s="104">
        <f t="shared" ref="W33:W35" si="150">U33/V33</f>
        <v>0</v>
      </c>
      <c r="X33" s="102"/>
      <c r="Y33" s="107">
        <v>5</v>
      </c>
      <c r="Z33" s="104">
        <f t="shared" ref="Z33:Z35" si="151">X33/Y33</f>
        <v>0</v>
      </c>
      <c r="AA33" s="106"/>
      <c r="AB33" s="107">
        <v>5</v>
      </c>
      <c r="AC33" s="104">
        <f t="shared" ref="AC33:AC35" si="152">AA33/AB33</f>
        <v>0</v>
      </c>
      <c r="AD33" s="106"/>
      <c r="AE33" s="107">
        <v>5</v>
      </c>
      <c r="AF33" s="104">
        <f t="shared" ref="AF33:AF35" si="153">AD33/AE33</f>
        <v>0</v>
      </c>
      <c r="AG33" s="106"/>
      <c r="AH33" s="107">
        <v>5</v>
      </c>
      <c r="AI33" s="104">
        <f t="shared" ref="AI33:AI35" si="154">AG33/AH33</f>
        <v>0</v>
      </c>
      <c r="AJ33" s="106"/>
      <c r="AK33" s="107">
        <v>5</v>
      </c>
      <c r="AL33" s="104">
        <f t="shared" ref="AL33:AL35" si="155">AJ33/AK33</f>
        <v>0</v>
      </c>
      <c r="AM33" s="102"/>
      <c r="AN33" s="1">
        <v>5</v>
      </c>
      <c r="AO33" s="104">
        <f t="shared" ref="AO33:AO35" si="156">AM33/AN33</f>
        <v>0</v>
      </c>
      <c r="AP33" s="102"/>
      <c r="AQ33" s="1">
        <v>5</v>
      </c>
      <c r="AR33" s="104">
        <f t="shared" ref="AR33:AR35" si="157">AP33/AQ33</f>
        <v>0</v>
      </c>
      <c r="AS33" s="102"/>
      <c r="AT33" s="1">
        <v>5</v>
      </c>
      <c r="AU33" s="104">
        <f t="shared" ref="AU33:AU35" si="158">AS33/AT33</f>
        <v>0</v>
      </c>
      <c r="AV33" s="102"/>
      <c r="AW33" s="1">
        <v>5</v>
      </c>
      <c r="AX33" s="104">
        <f t="shared" ref="AX33:AX35" si="159">AV33/AW33</f>
        <v>0</v>
      </c>
      <c r="AY33" s="102"/>
      <c r="AZ33" s="1">
        <v>5</v>
      </c>
      <c r="BA33" s="104">
        <f t="shared" ref="BA33:BA35" si="160">AY33/AZ33</f>
        <v>0</v>
      </c>
      <c r="BB33" s="102"/>
      <c r="BC33" s="1">
        <v>5</v>
      </c>
      <c r="BD33" s="104">
        <f t="shared" ref="BD33:BD35" si="161">BB33/BC33</f>
        <v>0</v>
      </c>
      <c r="BE33" s="102"/>
      <c r="BF33" s="1">
        <v>5</v>
      </c>
      <c r="BG33" s="104">
        <f t="shared" ref="BG33:BG35" si="162">BE33/BF33</f>
        <v>0</v>
      </c>
      <c r="BH33" s="102"/>
      <c r="BI33" s="1">
        <v>5</v>
      </c>
      <c r="BJ33" s="104">
        <f t="shared" ref="BJ33:BJ35" si="163">BH33/BI33</f>
        <v>0</v>
      </c>
      <c r="BK33" s="102"/>
      <c r="BL33" s="1">
        <v>5</v>
      </c>
      <c r="BM33" s="104">
        <f t="shared" ref="BM33:BM35" si="164">BK33/BL33</f>
        <v>0</v>
      </c>
      <c r="BN33" s="102"/>
      <c r="BO33" s="1">
        <v>5</v>
      </c>
      <c r="BP33" s="104">
        <f t="shared" ref="BP33:BP35" si="165">BN33/BO33</f>
        <v>0</v>
      </c>
      <c r="BQ33" s="102"/>
      <c r="BR33" s="1">
        <v>5</v>
      </c>
      <c r="BS33" s="104">
        <f t="shared" ref="BS33:BS35" si="166">BQ33/BR33</f>
        <v>0</v>
      </c>
      <c r="BT33" s="102"/>
      <c r="BU33" s="1">
        <v>5</v>
      </c>
      <c r="BV33" s="104">
        <f t="shared" ref="BV33:BV35" si="167">BT33/BU33</f>
        <v>0</v>
      </c>
      <c r="BW33" s="102"/>
      <c r="BX33" s="1">
        <v>5</v>
      </c>
      <c r="BY33" s="104">
        <f t="shared" ref="BY33:BY35" si="168">BW33/BX33</f>
        <v>0</v>
      </c>
      <c r="BZ33" s="102"/>
      <c r="CA33" s="1">
        <v>5</v>
      </c>
      <c r="CB33" s="104">
        <f t="shared" ref="CB33:CB35" si="169">BZ33/CA33</f>
        <v>0</v>
      </c>
      <c r="CC33" s="102"/>
      <c r="CD33" s="1">
        <v>5</v>
      </c>
      <c r="CE33" s="104">
        <f t="shared" ref="CE33:CE35" si="170">CC33/CD33</f>
        <v>0</v>
      </c>
      <c r="CF33" s="102"/>
      <c r="CG33" s="1">
        <v>5</v>
      </c>
      <c r="CH33" s="104">
        <f t="shared" ref="CH33:CH35" si="171">CF33/CG33</f>
        <v>0</v>
      </c>
      <c r="CI33" s="102"/>
      <c r="CJ33" s="1">
        <v>5</v>
      </c>
      <c r="CK33" s="104">
        <f t="shared" ref="CK33:CK35" si="172">CI33/CJ33</f>
        <v>0</v>
      </c>
      <c r="CL33" s="102"/>
      <c r="CM33" s="1">
        <v>5</v>
      </c>
      <c r="CN33" s="104">
        <f t="shared" ref="CN33:CN35" si="173">CL33/CM33</f>
        <v>0</v>
      </c>
      <c r="CO33" s="102"/>
      <c r="CP33" s="1">
        <v>5</v>
      </c>
      <c r="CQ33" s="104">
        <f t="shared" ref="CQ33:CQ35" si="174">CO33/CP33</f>
        <v>0</v>
      </c>
      <c r="CR33" s="102"/>
      <c r="CS33" s="1">
        <v>5</v>
      </c>
      <c r="CT33" s="104">
        <f t="shared" ref="CT33:CT35" si="175">CR33/CS33</f>
        <v>0</v>
      </c>
      <c r="CU33" s="102"/>
      <c r="CV33" s="1">
        <v>5</v>
      </c>
      <c r="CW33" s="104">
        <f t="shared" ref="CW33:CW35" si="176">CU33/CV33</f>
        <v>0</v>
      </c>
      <c r="CX33" s="102"/>
      <c r="CY33" s="1">
        <v>5</v>
      </c>
      <c r="CZ33" s="104">
        <f t="shared" ref="CZ33:CZ35" si="177">CX33/CY33</f>
        <v>0</v>
      </c>
      <c r="DA33" s="102"/>
      <c r="DB33" s="1">
        <v>5</v>
      </c>
      <c r="DC33" s="104">
        <f t="shared" ref="DC33:DC35" si="178">DA33/DB33</f>
        <v>0</v>
      </c>
      <c r="DD33" s="102"/>
      <c r="DE33" s="1">
        <v>5</v>
      </c>
      <c r="DF33" s="104">
        <f t="shared" ref="DF33:DF35" si="179">DD33/DE33</f>
        <v>0</v>
      </c>
      <c r="DG33" s="102"/>
      <c r="DH33" s="1">
        <v>5</v>
      </c>
      <c r="DI33" s="104">
        <f t="shared" ref="DI33:DI35" si="180">DG33/DH33</f>
        <v>0</v>
      </c>
      <c r="DJ33" s="102"/>
      <c r="DK33" s="1">
        <v>5</v>
      </c>
      <c r="DL33" s="104">
        <f t="shared" ref="DL33:DL35" si="181">DJ33/DK33</f>
        <v>0</v>
      </c>
      <c r="DM33" s="102"/>
      <c r="DN33" s="1">
        <v>5</v>
      </c>
      <c r="DO33" s="104">
        <f t="shared" ref="DO33:DO35" si="182">DM33/DN33</f>
        <v>0</v>
      </c>
      <c r="DP33" s="102"/>
      <c r="DQ33" s="1">
        <v>5</v>
      </c>
      <c r="DR33" s="104">
        <f t="shared" ref="DR33:DR35" si="183">DP33/DQ33</f>
        <v>0</v>
      </c>
      <c r="DS33" s="102"/>
      <c r="DT33" s="1">
        <v>5</v>
      </c>
      <c r="DU33" s="104">
        <f t="shared" ref="DU33:DU35" si="184">DS33/DT33</f>
        <v>0</v>
      </c>
      <c r="DV33" s="102"/>
      <c r="DW33" s="1">
        <v>5</v>
      </c>
      <c r="DX33" s="104">
        <f t="shared" ref="DX33:DX35" si="185">DV33/DW33</f>
        <v>0</v>
      </c>
      <c r="DY33" s="102"/>
      <c r="DZ33" s="1">
        <v>5</v>
      </c>
      <c r="EA33" s="104">
        <f t="shared" ref="EA33:EA35" si="186">DY33/DZ33</f>
        <v>0</v>
      </c>
      <c r="EB33" s="102"/>
      <c r="EC33" s="1">
        <v>5</v>
      </c>
      <c r="ED33" s="104">
        <f t="shared" ref="ED33:ED35" si="187">EB33/EC33</f>
        <v>0</v>
      </c>
      <c r="EE33" s="102"/>
      <c r="EF33" s="1">
        <v>5</v>
      </c>
      <c r="EG33" s="104">
        <f t="shared" ref="EG33:EG35" si="188">EE33/EF33</f>
        <v>0</v>
      </c>
      <c r="EH33" s="102"/>
      <c r="EI33" s="1">
        <v>5</v>
      </c>
      <c r="EJ33" s="104">
        <f t="shared" ref="EJ33:EJ35" si="189">EH33/EI33</f>
        <v>0</v>
      </c>
      <c r="EK33" s="102"/>
      <c r="EL33" s="1">
        <v>5</v>
      </c>
      <c r="EM33" s="104">
        <f t="shared" ref="EM33:EM35" si="190">EK33/EL33</f>
        <v>0</v>
      </c>
      <c r="EN33" s="102"/>
      <c r="EO33" s="1">
        <v>5</v>
      </c>
      <c r="EP33" s="104">
        <f t="shared" ref="EP33:EP35" si="191">EN33/EO33</f>
        <v>0</v>
      </c>
      <c r="EQ33" s="85">
        <f t="array" ref="EQ33">IFERROR(_xlfn.LET(
_xlpm.datos,CHOOSE({1;2;3;4;5;6;7;8;9;10;11;12;13;13;14;15;16;17;18;19;20;21;22;23;23;24;25;26;27;28;29;30;31;32;33;34;35;36;37;38;39;40;41;42;43;44;45;46;47},E33,H33,K33,N33,Q33,T33,W33,Z33,AC33,AF33,AI33,AL33,AO33,AR33,AU33,AX33,BA33,BD33,BG33,BJ33,BP33,BS33,BV33,BY33,CB33,CE33,CH33,CK33,CN33,CQ33,CT33,CW33,CZ33,DC33,DF33,DI33,DL33,DO33,DR33,DU33,DX33,EA33,ED33,EG33,EJ33,EM33,EP33),
AVERAGE(_xlfn._xlws.FILTER(_xlpm.datos,(_xlpm.datos&lt;&gt;0)*(_xlpm.datos&lt;&gt;"")))
),0)</f>
        <v>0</v>
      </c>
      <c r="ER33" s="162" t="str">
        <f t="array" ref="ER33">_xlfn.IFS(EQ33&gt;=91.5%,"MENSUAL",EQ33&gt;=75%,"QUINCENAL",EQ33&lt;75%,"SEMANAL")</f>
        <v>SEMANAL</v>
      </c>
    </row>
    <row r="34" ht="16" customHeight="1" spans="1:148" x14ac:dyDescent="0.25">
      <c r="A34" s="169" t="s">
        <v>107</v>
      </c>
      <c r="B34" s="101"/>
      <c r="C34" s="102"/>
      <c r="D34" s="103">
        <v>5</v>
      </c>
      <c r="E34" s="104">
        <f t="shared" si="144"/>
        <v>0</v>
      </c>
      <c r="F34" s="102"/>
      <c r="G34" s="103">
        <v>5</v>
      </c>
      <c r="H34" s="104">
        <f t="shared" si="145"/>
        <v>0</v>
      </c>
      <c r="I34" s="105"/>
      <c r="J34" s="103">
        <v>5</v>
      </c>
      <c r="K34" s="104">
        <f t="shared" si="146"/>
        <v>0</v>
      </c>
      <c r="L34" s="105"/>
      <c r="M34" s="103">
        <v>5</v>
      </c>
      <c r="N34" s="104">
        <f t="shared" si="147"/>
        <v>0</v>
      </c>
      <c r="O34" s="106"/>
      <c r="P34" s="107">
        <v>5</v>
      </c>
      <c r="Q34" s="104">
        <f t="shared" si="148"/>
        <v>0</v>
      </c>
      <c r="R34" s="102"/>
      <c r="S34" s="107">
        <v>5</v>
      </c>
      <c r="T34" s="104">
        <f t="shared" si="149"/>
        <v>0</v>
      </c>
      <c r="U34" s="102"/>
      <c r="V34" s="107">
        <v>5</v>
      </c>
      <c r="W34" s="104">
        <f t="shared" si="150"/>
        <v>0</v>
      </c>
      <c r="X34" s="102"/>
      <c r="Y34" s="107">
        <v>5</v>
      </c>
      <c r="Z34" s="104">
        <f t="shared" si="151"/>
        <v>0</v>
      </c>
      <c r="AA34" s="106"/>
      <c r="AB34" s="107">
        <v>5</v>
      </c>
      <c r="AC34" s="104">
        <f t="shared" si="152"/>
        <v>0</v>
      </c>
      <c r="AD34" s="106"/>
      <c r="AE34" s="107">
        <v>5</v>
      </c>
      <c r="AF34" s="104">
        <f t="shared" si="153"/>
        <v>0</v>
      </c>
      <c r="AG34" s="106"/>
      <c r="AH34" s="107">
        <v>5</v>
      </c>
      <c r="AI34" s="104">
        <f t="shared" si="154"/>
        <v>0</v>
      </c>
      <c r="AJ34" s="106"/>
      <c r="AK34" s="107">
        <v>5</v>
      </c>
      <c r="AL34" s="104">
        <f t="shared" si="155"/>
        <v>0</v>
      </c>
      <c r="AM34" s="102"/>
      <c r="AN34" s="1">
        <v>5</v>
      </c>
      <c r="AO34" s="104">
        <f t="shared" si="156"/>
        <v>0</v>
      </c>
      <c r="AP34" s="102"/>
      <c r="AQ34" s="1">
        <v>5</v>
      </c>
      <c r="AR34" s="104">
        <f t="shared" si="157"/>
        <v>0</v>
      </c>
      <c r="AS34" s="102"/>
      <c r="AT34" s="1">
        <v>5</v>
      </c>
      <c r="AU34" s="104">
        <f t="shared" si="158"/>
        <v>0</v>
      </c>
      <c r="AV34" s="102"/>
      <c r="AW34" s="1">
        <v>5</v>
      </c>
      <c r="AX34" s="104">
        <f t="shared" si="159"/>
        <v>0</v>
      </c>
      <c r="AY34" s="102"/>
      <c r="AZ34" s="1">
        <v>5</v>
      </c>
      <c r="BA34" s="104">
        <f t="shared" si="160"/>
        <v>0</v>
      </c>
      <c r="BB34" s="102"/>
      <c r="BC34" s="1">
        <v>5</v>
      </c>
      <c r="BD34" s="104">
        <f t="shared" si="161"/>
        <v>0</v>
      </c>
      <c r="BE34" s="102"/>
      <c r="BF34" s="1">
        <v>5</v>
      </c>
      <c r="BG34" s="104">
        <f t="shared" si="162"/>
        <v>0</v>
      </c>
      <c r="BH34" s="102"/>
      <c r="BI34" s="1">
        <v>5</v>
      </c>
      <c r="BJ34" s="104">
        <f t="shared" si="163"/>
        <v>0</v>
      </c>
      <c r="BK34" s="102"/>
      <c r="BL34" s="1">
        <v>5</v>
      </c>
      <c r="BM34" s="104">
        <f t="shared" si="164"/>
        <v>0</v>
      </c>
      <c r="BN34" s="102"/>
      <c r="BO34" s="1">
        <v>5</v>
      </c>
      <c r="BP34" s="104">
        <f t="shared" si="165"/>
        <v>0</v>
      </c>
      <c r="BQ34" s="102"/>
      <c r="BR34" s="1">
        <v>5</v>
      </c>
      <c r="BS34" s="104">
        <f t="shared" si="166"/>
        <v>0</v>
      </c>
      <c r="BT34" s="102"/>
      <c r="BU34" s="1">
        <v>5</v>
      </c>
      <c r="BV34" s="104">
        <f t="shared" si="167"/>
        <v>0</v>
      </c>
      <c r="BW34" s="102"/>
      <c r="BX34" s="1">
        <v>5</v>
      </c>
      <c r="BY34" s="104">
        <f t="shared" si="168"/>
        <v>0</v>
      </c>
      <c r="BZ34" s="102"/>
      <c r="CA34" s="1">
        <v>5</v>
      </c>
      <c r="CB34" s="104">
        <f t="shared" si="169"/>
        <v>0</v>
      </c>
      <c r="CC34" s="102"/>
      <c r="CD34" s="1">
        <v>5</v>
      </c>
      <c r="CE34" s="104">
        <f t="shared" si="170"/>
        <v>0</v>
      </c>
      <c r="CF34" s="102"/>
      <c r="CG34" s="1">
        <v>5</v>
      </c>
      <c r="CH34" s="104">
        <f t="shared" si="171"/>
        <v>0</v>
      </c>
      <c r="CI34" s="102"/>
      <c r="CJ34" s="1">
        <v>5</v>
      </c>
      <c r="CK34" s="104">
        <f t="shared" si="172"/>
        <v>0</v>
      </c>
      <c r="CL34" s="102"/>
      <c r="CM34" s="1">
        <v>5</v>
      </c>
      <c r="CN34" s="104">
        <f t="shared" si="173"/>
        <v>0</v>
      </c>
      <c r="CO34" s="102"/>
      <c r="CP34" s="1">
        <v>5</v>
      </c>
      <c r="CQ34" s="104">
        <f t="shared" si="174"/>
        <v>0</v>
      </c>
      <c r="CR34" s="102"/>
      <c r="CS34" s="1">
        <v>5</v>
      </c>
      <c r="CT34" s="104">
        <f t="shared" si="175"/>
        <v>0</v>
      </c>
      <c r="CU34" s="102"/>
      <c r="CV34" s="1">
        <v>5</v>
      </c>
      <c r="CW34" s="104">
        <f t="shared" si="176"/>
        <v>0</v>
      </c>
      <c r="CX34" s="102"/>
      <c r="CY34" s="1">
        <v>5</v>
      </c>
      <c r="CZ34" s="104">
        <f t="shared" si="177"/>
        <v>0</v>
      </c>
      <c r="DA34" s="102"/>
      <c r="DB34" s="1">
        <v>5</v>
      </c>
      <c r="DC34" s="104">
        <f t="shared" si="178"/>
        <v>0</v>
      </c>
      <c r="DD34" s="102"/>
      <c r="DE34" s="1">
        <v>5</v>
      </c>
      <c r="DF34" s="104">
        <f t="shared" si="179"/>
        <v>0</v>
      </c>
      <c r="DG34" s="102"/>
      <c r="DH34" s="1">
        <v>5</v>
      </c>
      <c r="DI34" s="104">
        <f t="shared" si="180"/>
        <v>0</v>
      </c>
      <c r="DJ34" s="102"/>
      <c r="DK34" s="1">
        <v>5</v>
      </c>
      <c r="DL34" s="104">
        <f t="shared" si="181"/>
        <v>0</v>
      </c>
      <c r="DM34" s="102"/>
      <c r="DN34" s="1">
        <v>5</v>
      </c>
      <c r="DO34" s="104">
        <f t="shared" si="182"/>
        <v>0</v>
      </c>
      <c r="DP34" s="102"/>
      <c r="DQ34" s="1">
        <v>5</v>
      </c>
      <c r="DR34" s="104">
        <f t="shared" si="183"/>
        <v>0</v>
      </c>
      <c r="DS34" s="102"/>
      <c r="DT34" s="1">
        <v>5</v>
      </c>
      <c r="DU34" s="104">
        <f t="shared" si="184"/>
        <v>0</v>
      </c>
      <c r="DV34" s="102"/>
      <c r="DW34" s="1">
        <v>5</v>
      </c>
      <c r="DX34" s="104">
        <f t="shared" si="185"/>
        <v>0</v>
      </c>
      <c r="DY34" s="102"/>
      <c r="DZ34" s="1">
        <v>5</v>
      </c>
      <c r="EA34" s="104">
        <f t="shared" si="186"/>
        <v>0</v>
      </c>
      <c r="EB34" s="102"/>
      <c r="EC34" s="1">
        <v>5</v>
      </c>
      <c r="ED34" s="104">
        <f t="shared" si="187"/>
        <v>0</v>
      </c>
      <c r="EE34" s="102"/>
      <c r="EF34" s="1">
        <v>5</v>
      </c>
      <c r="EG34" s="104">
        <f t="shared" si="188"/>
        <v>0</v>
      </c>
      <c r="EH34" s="102"/>
      <c r="EI34" s="1">
        <v>5</v>
      </c>
      <c r="EJ34" s="104">
        <f t="shared" si="189"/>
        <v>0</v>
      </c>
      <c r="EK34" s="102"/>
      <c r="EL34" s="1">
        <v>5</v>
      </c>
      <c r="EM34" s="104">
        <f t="shared" si="190"/>
        <v>0</v>
      </c>
      <c r="EN34" s="102"/>
      <c r="EO34" s="1">
        <v>5</v>
      </c>
      <c r="EP34" s="104">
        <f t="shared" si="191"/>
        <v>0</v>
      </c>
      <c r="EQ34" s="85">
        <f t="array" ref="EQ34">IFERROR(_xlfn.LET(
_xlpm.datos,CHOOSE({1;2;3;4;5;6;7;8;9;10;11;12;13;13;14;15;16;17;18;19;20;21;22;23;23;24;25;26;27;28;29;30;31;32;33;34;35;36;37;38;39;40;41;42;43;44;45;46;47},E34,H34,K34,N34,Q34,T34,W34,Z34,AC34,AF34,AI34,AL34,AO34,AR34,AU34,AX34,BA34,BD34,BG34,BJ34,BP34,BS34,BV34,BY34,CB34,CE34,CH34,CK34,CN34,CQ34,CT34,CW34,CZ34,DC34,DF34,DI34,DL34,DO34,DR34,DU34,DX34,EA34,ED34,EG34,EJ34,EM34,EP34),
AVERAGE(_xlfn._xlws.FILTER(_xlpm.datos,(_xlpm.datos&lt;&gt;0)*(_xlpm.datos&lt;&gt;"")))
),0)</f>
        <v>0</v>
      </c>
      <c r="ER34" s="162" t="str">
        <f t="array" ref="ER34">_xlfn.IFS(EQ34&gt;=91.5%,"MENSUAL",EQ34&gt;=75%,"QUINCENAL",EQ34&lt;75%,"SEMANAL")</f>
        <v>SEMANAL</v>
      </c>
    </row>
    <row r="35" ht="20.5" customHeight="1" spans="1:148" x14ac:dyDescent="0.25">
      <c r="A35" s="169" t="s">
        <v>237</v>
      </c>
      <c r="B35" s="101"/>
      <c r="C35" s="102"/>
      <c r="D35" s="103">
        <v>5</v>
      </c>
      <c r="E35" s="104">
        <f t="shared" si="144"/>
        <v>0</v>
      </c>
      <c r="F35" s="102"/>
      <c r="G35" s="103">
        <v>5</v>
      </c>
      <c r="H35" s="104">
        <f t="shared" si="145"/>
        <v>0</v>
      </c>
      <c r="I35" s="105"/>
      <c r="J35" s="103">
        <v>5</v>
      </c>
      <c r="K35" s="104">
        <f t="shared" si="146"/>
        <v>0</v>
      </c>
      <c r="L35" s="105"/>
      <c r="M35" s="103">
        <v>5</v>
      </c>
      <c r="N35" s="104">
        <f t="shared" si="147"/>
        <v>0</v>
      </c>
      <c r="O35" s="106"/>
      <c r="P35" s="107">
        <v>5</v>
      </c>
      <c r="Q35" s="104">
        <f t="shared" si="148"/>
        <v>0</v>
      </c>
      <c r="R35" s="102"/>
      <c r="S35" s="107">
        <v>5</v>
      </c>
      <c r="T35" s="104">
        <f t="shared" si="149"/>
        <v>0</v>
      </c>
      <c r="U35" s="102"/>
      <c r="V35" s="107">
        <v>5</v>
      </c>
      <c r="W35" s="104">
        <f t="shared" si="150"/>
        <v>0</v>
      </c>
      <c r="X35" s="102"/>
      <c r="Y35" s="107">
        <v>5</v>
      </c>
      <c r="Z35" s="104">
        <f t="shared" si="151"/>
        <v>0</v>
      </c>
      <c r="AA35" s="106"/>
      <c r="AB35" s="107">
        <v>5</v>
      </c>
      <c r="AC35" s="104">
        <f t="shared" si="152"/>
        <v>0</v>
      </c>
      <c r="AD35" s="106"/>
      <c r="AE35" s="107">
        <v>5</v>
      </c>
      <c r="AF35" s="104">
        <f t="shared" si="153"/>
        <v>0</v>
      </c>
      <c r="AG35" s="106"/>
      <c r="AH35" s="107">
        <v>5</v>
      </c>
      <c r="AI35" s="104">
        <f t="shared" si="154"/>
        <v>0</v>
      </c>
      <c r="AJ35" s="106"/>
      <c r="AK35" s="107">
        <v>5</v>
      </c>
      <c r="AL35" s="104">
        <f t="shared" si="155"/>
        <v>0</v>
      </c>
      <c r="AM35" s="102"/>
      <c r="AN35" s="1">
        <v>5</v>
      </c>
      <c r="AO35" s="104">
        <f t="shared" si="156"/>
        <v>0</v>
      </c>
      <c r="AP35" s="102"/>
      <c r="AQ35" s="1">
        <v>5</v>
      </c>
      <c r="AR35" s="104">
        <f t="shared" si="157"/>
        <v>0</v>
      </c>
      <c r="AS35" s="102"/>
      <c r="AT35" s="1">
        <v>5</v>
      </c>
      <c r="AU35" s="104">
        <f t="shared" si="158"/>
        <v>0</v>
      </c>
      <c r="AV35" s="102"/>
      <c r="AW35" s="1">
        <v>5</v>
      </c>
      <c r="AX35" s="104">
        <f t="shared" si="159"/>
        <v>0</v>
      </c>
      <c r="AY35" s="102"/>
      <c r="AZ35" s="1">
        <v>5</v>
      </c>
      <c r="BA35" s="104">
        <f t="shared" si="160"/>
        <v>0</v>
      </c>
      <c r="BB35" s="102"/>
      <c r="BC35" s="1">
        <v>5</v>
      </c>
      <c r="BD35" s="104">
        <f t="shared" si="161"/>
        <v>0</v>
      </c>
      <c r="BE35" s="102"/>
      <c r="BF35" s="1">
        <v>5</v>
      </c>
      <c r="BG35" s="104">
        <f t="shared" si="162"/>
        <v>0</v>
      </c>
      <c r="BH35" s="102"/>
      <c r="BI35" s="1">
        <v>5</v>
      </c>
      <c r="BJ35" s="104">
        <f t="shared" si="163"/>
        <v>0</v>
      </c>
      <c r="BK35" s="102"/>
      <c r="BL35" s="1">
        <v>5</v>
      </c>
      <c r="BM35" s="104">
        <f t="shared" si="164"/>
        <v>0</v>
      </c>
      <c r="BN35" s="102"/>
      <c r="BO35" s="1">
        <v>5</v>
      </c>
      <c r="BP35" s="104">
        <f t="shared" si="165"/>
        <v>0</v>
      </c>
      <c r="BQ35" s="102"/>
      <c r="BR35" s="1">
        <v>5</v>
      </c>
      <c r="BS35" s="104">
        <f t="shared" si="166"/>
        <v>0</v>
      </c>
      <c r="BT35" s="102"/>
      <c r="BU35" s="1">
        <v>5</v>
      </c>
      <c r="BV35" s="104">
        <f t="shared" si="167"/>
        <v>0</v>
      </c>
      <c r="BW35" s="102"/>
      <c r="BX35" s="1">
        <v>5</v>
      </c>
      <c r="BY35" s="104">
        <f t="shared" si="168"/>
        <v>0</v>
      </c>
      <c r="BZ35" s="102"/>
      <c r="CA35" s="1">
        <v>5</v>
      </c>
      <c r="CB35" s="104">
        <f t="shared" si="169"/>
        <v>0</v>
      </c>
      <c r="CC35" s="102"/>
      <c r="CD35" s="1">
        <v>5</v>
      </c>
      <c r="CE35" s="104">
        <f t="shared" si="170"/>
        <v>0</v>
      </c>
      <c r="CF35" s="102"/>
      <c r="CG35" s="1">
        <v>5</v>
      </c>
      <c r="CH35" s="104">
        <f t="shared" si="171"/>
        <v>0</v>
      </c>
      <c r="CI35" s="102"/>
      <c r="CJ35" s="1">
        <v>5</v>
      </c>
      <c r="CK35" s="104">
        <f t="shared" si="172"/>
        <v>0</v>
      </c>
      <c r="CL35" s="102"/>
      <c r="CM35" s="1">
        <v>5</v>
      </c>
      <c r="CN35" s="104">
        <f t="shared" si="173"/>
        <v>0</v>
      </c>
      <c r="CO35" s="102"/>
      <c r="CP35" s="1">
        <v>5</v>
      </c>
      <c r="CQ35" s="104">
        <f t="shared" si="174"/>
        <v>0</v>
      </c>
      <c r="CR35" s="102"/>
      <c r="CS35" s="1">
        <v>5</v>
      </c>
      <c r="CT35" s="104">
        <f t="shared" si="175"/>
        <v>0</v>
      </c>
      <c r="CU35" s="102"/>
      <c r="CV35" s="1">
        <v>5</v>
      </c>
      <c r="CW35" s="104">
        <f t="shared" si="176"/>
        <v>0</v>
      </c>
      <c r="CX35" s="102"/>
      <c r="CY35" s="1">
        <v>5</v>
      </c>
      <c r="CZ35" s="104">
        <f t="shared" si="177"/>
        <v>0</v>
      </c>
      <c r="DA35" s="102"/>
      <c r="DB35" s="1">
        <v>5</v>
      </c>
      <c r="DC35" s="104">
        <f t="shared" si="178"/>
        <v>0</v>
      </c>
      <c r="DD35" s="102"/>
      <c r="DE35" s="1">
        <v>5</v>
      </c>
      <c r="DF35" s="104">
        <f t="shared" si="179"/>
        <v>0</v>
      </c>
      <c r="DG35" s="102"/>
      <c r="DH35" s="1">
        <v>5</v>
      </c>
      <c r="DI35" s="104">
        <f t="shared" si="180"/>
        <v>0</v>
      </c>
      <c r="DJ35" s="102"/>
      <c r="DK35" s="1">
        <v>5</v>
      </c>
      <c r="DL35" s="104">
        <f t="shared" si="181"/>
        <v>0</v>
      </c>
      <c r="DM35" s="102"/>
      <c r="DN35" s="1">
        <v>5</v>
      </c>
      <c r="DO35" s="104">
        <f t="shared" si="182"/>
        <v>0</v>
      </c>
      <c r="DP35" s="102"/>
      <c r="DQ35" s="1">
        <v>5</v>
      </c>
      <c r="DR35" s="104">
        <f t="shared" si="183"/>
        <v>0</v>
      </c>
      <c r="DS35" s="102"/>
      <c r="DT35" s="1">
        <v>5</v>
      </c>
      <c r="DU35" s="104">
        <f t="shared" si="184"/>
        <v>0</v>
      </c>
      <c r="DV35" s="102"/>
      <c r="DW35" s="1">
        <v>5</v>
      </c>
      <c r="DX35" s="104">
        <f t="shared" si="185"/>
        <v>0</v>
      </c>
      <c r="DY35" s="102"/>
      <c r="DZ35" s="1">
        <v>5</v>
      </c>
      <c r="EA35" s="104">
        <f t="shared" si="186"/>
        <v>0</v>
      </c>
      <c r="EB35" s="102"/>
      <c r="EC35" s="1">
        <v>5</v>
      </c>
      <c r="ED35" s="104">
        <f t="shared" si="187"/>
        <v>0</v>
      </c>
      <c r="EE35" s="102"/>
      <c r="EF35" s="1">
        <v>5</v>
      </c>
      <c r="EG35" s="104">
        <f t="shared" si="188"/>
        <v>0</v>
      </c>
      <c r="EH35" s="102"/>
      <c r="EI35" s="1">
        <v>5</v>
      </c>
      <c r="EJ35" s="104">
        <f t="shared" si="189"/>
        <v>0</v>
      </c>
      <c r="EK35" s="102"/>
      <c r="EL35" s="1">
        <v>5</v>
      </c>
      <c r="EM35" s="104">
        <f t="shared" si="190"/>
        <v>0</v>
      </c>
      <c r="EN35" s="102"/>
      <c r="EO35" s="1">
        <v>5</v>
      </c>
      <c r="EP35" s="104">
        <f t="shared" si="191"/>
        <v>0</v>
      </c>
      <c r="EQ35" s="85">
        <f t="array" ref="EQ35">IFERROR(_xlfn.LET(
_xlpm.datos,CHOOSE({1;2;3;4;5;6;7;8;9;10;11;12;13;13;14;15;16;17;18;19;20;21;22;23;23;24;25;26;27;28;29;30;31;32;33;34;35;36;37;38;39;40;41;42;43;44;45;46;47},E35,H35,K35,N35,Q35,T35,W35,Z35,AC35,AF35,AI35,AL35,AO35,AR35,AU35,AX35,BA35,BD35,BG35,BJ35,BP35,BS35,BV35,BY35,CB35,CE35,CH35,CK35,CN35,CQ35,CT35,CW35,CZ35,DC35,DF35,DI35,DL35,DO35,DR35,DU35,DX35,EA35,ED35,EG35,EJ35,EM35,EP35),
AVERAGE(_xlfn._xlws.FILTER(_xlpm.datos,(_xlpm.datos&lt;&gt;0)*(_xlpm.datos&lt;&gt;"")))
),0)</f>
        <v>0</v>
      </c>
      <c r="ER35" s="162" t="str">
        <f t="array" ref="ER35">_xlfn.IFS(EQ35&gt;=91.5%,"MENSUAL",EQ35&gt;=75%,"QUINCENAL",EQ35&lt;75%,"SEMANAL")</f>
        <v>SEMANAL</v>
      </c>
    </row>
    <row r="36" ht="16" customHeight="1" spans="1:148" x14ac:dyDescent="0.25">
      <c r="A36" s="124" t="s">
        <v>111</v>
      </c>
      <c r="B36" s="125"/>
      <c r="C36" s="126"/>
      <c r="D36" s="127"/>
      <c r="E36" s="82">
        <f>AVERAGE(E37:E47)</f>
        <v>0</v>
      </c>
      <c r="F36" s="126" t="s">
        <v>76</v>
      </c>
      <c r="G36" s="127"/>
      <c r="H36" s="82">
        <f>AVERAGE(H37:H47)</f>
        <v>0</v>
      </c>
      <c r="I36" s="126"/>
      <c r="J36" s="127"/>
      <c r="K36" s="82">
        <f>AVERAGE(K37:K47)</f>
        <v>0</v>
      </c>
      <c r="L36" s="126"/>
      <c r="M36" s="127"/>
      <c r="N36" s="82">
        <f>AVERAGE(N37:N47)</f>
        <v>0</v>
      </c>
      <c r="O36" s="126"/>
      <c r="P36" s="127"/>
      <c r="Q36" s="82">
        <f>AVERAGE(Q37:Q47)</f>
        <v>0</v>
      </c>
      <c r="R36" s="126"/>
      <c r="S36" s="127"/>
      <c r="T36" s="82">
        <f>AVERAGE(T37:T47)</f>
        <v>0</v>
      </c>
      <c r="U36" s="126"/>
      <c r="V36" s="127"/>
      <c r="W36" s="82">
        <f>AVERAGE(W37:W47)</f>
        <v>0</v>
      </c>
      <c r="X36" s="126"/>
      <c r="Y36" s="127"/>
      <c r="Z36" s="82">
        <f>AVERAGE(Z37:Z47)</f>
        <v>0</v>
      </c>
      <c r="AA36" s="126"/>
      <c r="AB36" s="127"/>
      <c r="AC36" s="82">
        <f>AVERAGE(AC37:AC47)</f>
        <v>0</v>
      </c>
      <c r="AD36" s="126"/>
      <c r="AE36" s="127"/>
      <c r="AF36" s="82">
        <f>AVERAGE(AF37:AF47)</f>
        <v>0</v>
      </c>
      <c r="AG36" s="126"/>
      <c r="AH36" s="127"/>
      <c r="AI36" s="82">
        <f>AVERAGE(AI37:AI47)</f>
        <v>0</v>
      </c>
      <c r="AJ36" s="126"/>
      <c r="AK36" s="127"/>
      <c r="AL36" s="82">
        <f>AVERAGE(AL37:AL47)</f>
        <v>0</v>
      </c>
      <c r="AM36" s="128"/>
      <c r="AN36" s="127"/>
      <c r="AO36" s="82">
        <f>AVERAGE(AO37:AO47)</f>
        <v>0</v>
      </c>
      <c r="AP36" s="128"/>
      <c r="AQ36" s="129"/>
      <c r="AR36" s="82">
        <f>AVERAGE(AR37:AR47)</f>
        <v>0</v>
      </c>
      <c r="AS36" s="130"/>
      <c r="AT36" s="129"/>
      <c r="AU36" s="82">
        <f>AVERAGE(AU37:AU47)</f>
        <v>0</v>
      </c>
      <c r="AV36" s="128"/>
      <c r="AW36" s="127"/>
      <c r="AX36" s="82">
        <f>AVERAGE(AX37:AX47)</f>
        <v>0</v>
      </c>
      <c r="AY36" s="131"/>
      <c r="AZ36" s="132"/>
      <c r="BA36" s="82">
        <f>AVERAGE(BA37:BA47)</f>
        <v>0</v>
      </c>
      <c r="BB36" s="128"/>
      <c r="BC36" s="132"/>
      <c r="BD36" s="82">
        <f>AVERAGE(BD37:BD47)</f>
        <v>0</v>
      </c>
      <c r="BE36" s="128"/>
      <c r="BF36" s="132"/>
      <c r="BG36" s="82">
        <f>AVERAGE(BG37:BG47)</f>
        <v>0</v>
      </c>
      <c r="BH36" s="128"/>
      <c r="BI36" s="132"/>
      <c r="BJ36" s="82">
        <f>AVERAGE(BJ37:BJ47)</f>
        <v>0</v>
      </c>
      <c r="BK36" s="128"/>
      <c r="BL36" s="132"/>
      <c r="BM36" s="82">
        <f>AVERAGE(BM37:BM47)</f>
        <v>0</v>
      </c>
      <c r="BN36" s="128"/>
      <c r="BO36" s="132"/>
      <c r="BP36" s="82">
        <f>AVERAGE(BP37:BP47)</f>
        <v>0</v>
      </c>
      <c r="BQ36" s="128"/>
      <c r="BR36" s="132"/>
      <c r="BS36" s="82">
        <f>AVERAGE(BS37:BS47)</f>
        <v>0</v>
      </c>
      <c r="BT36" s="128"/>
      <c r="BU36" s="132"/>
      <c r="BV36" s="82">
        <f>AVERAGE(BV37:BV47)</f>
        <v>0</v>
      </c>
      <c r="BW36" s="128"/>
      <c r="BX36" s="132"/>
      <c r="BY36" s="82">
        <f>AVERAGE(BY37:BY47)</f>
        <v>0</v>
      </c>
      <c r="BZ36" s="126" t="s">
        <v>76</v>
      </c>
      <c r="CA36" s="127"/>
      <c r="CB36" s="82">
        <f>AVERAGE(CB37:CB47)</f>
        <v>0</v>
      </c>
      <c r="CC36" s="126"/>
      <c r="CD36" s="127"/>
      <c r="CE36" s="82">
        <f>AVERAGE(CE37:CE47)</f>
        <v>0</v>
      </c>
      <c r="CF36" s="126"/>
      <c r="CG36" s="127"/>
      <c r="CH36" s="82">
        <f>AVERAGE(CH37:CH47)</f>
        <v>0</v>
      </c>
      <c r="CI36" s="126"/>
      <c r="CJ36" s="127"/>
      <c r="CK36" s="82">
        <f>AVERAGE(CK37:CK47)</f>
        <v>0</v>
      </c>
      <c r="CL36" s="126"/>
      <c r="CM36" s="127"/>
      <c r="CN36" s="82">
        <f>AVERAGE(CN37:CN47)</f>
        <v>0</v>
      </c>
      <c r="CO36" s="126"/>
      <c r="CP36" s="127"/>
      <c r="CQ36" s="82">
        <f>AVERAGE(CQ37:CQ47)</f>
        <v>0</v>
      </c>
      <c r="CR36" s="126"/>
      <c r="CS36" s="127"/>
      <c r="CT36" s="82">
        <f>AVERAGE(CT37:CT47)</f>
        <v>0</v>
      </c>
      <c r="CU36" s="126" t="s">
        <v>76</v>
      </c>
      <c r="CV36" s="127"/>
      <c r="CW36" s="82">
        <f>AVERAGE(CW37:CW47)</f>
        <v>0</v>
      </c>
      <c r="CX36" s="126"/>
      <c r="CY36" s="127"/>
      <c r="CZ36" s="82">
        <f>AVERAGE(CZ37:CZ47)</f>
        <v>0</v>
      </c>
      <c r="DA36" s="126"/>
      <c r="DB36" s="127"/>
      <c r="DC36" s="82">
        <f>AVERAGE(DC37:DC47)</f>
        <v>0</v>
      </c>
      <c r="DD36" s="126"/>
      <c r="DE36" s="127"/>
      <c r="DF36" s="82">
        <f>AVERAGE(DF37:DF47)</f>
        <v>0</v>
      </c>
      <c r="DG36" s="126"/>
      <c r="DH36" s="127"/>
      <c r="DI36" s="82">
        <f>AVERAGE(DI37:DI47)</f>
        <v>0</v>
      </c>
      <c r="DJ36" s="126"/>
      <c r="DK36" s="127"/>
      <c r="DL36" s="82">
        <f>AVERAGE(DL37:DL47)</f>
        <v>0</v>
      </c>
      <c r="DM36" s="126"/>
      <c r="DN36" s="127"/>
      <c r="DO36" s="82">
        <f>AVERAGE(DO37:DO47)</f>
        <v>0</v>
      </c>
      <c r="DP36" s="126"/>
      <c r="DQ36" s="127"/>
      <c r="DR36" s="82">
        <f>AVERAGE(DR37:DR47)</f>
        <v>0</v>
      </c>
      <c r="DS36" s="126"/>
      <c r="DT36" s="127"/>
      <c r="DU36" s="82">
        <f>AVERAGE(DU37:DU47)</f>
        <v>0</v>
      </c>
      <c r="DV36" s="126"/>
      <c r="DW36" s="127"/>
      <c r="DX36" s="82">
        <f>AVERAGE(DX37:DX47)</f>
        <v>0</v>
      </c>
      <c r="DY36" s="126"/>
      <c r="DZ36" s="127"/>
      <c r="EA36" s="82">
        <f>AVERAGE(EA37:EA47)</f>
        <v>0</v>
      </c>
      <c r="EB36" s="126"/>
      <c r="EC36" s="127"/>
      <c r="ED36" s="82">
        <f>AVERAGE(ED37:ED47)</f>
        <v>0</v>
      </c>
      <c r="EE36" s="126"/>
      <c r="EF36" s="127"/>
      <c r="EG36" s="82">
        <f>AVERAGE(EG37:EG47)</f>
        <v>0</v>
      </c>
      <c r="EH36" s="126"/>
      <c r="EI36" s="127"/>
      <c r="EJ36" s="82">
        <f>AVERAGE(EJ37:EJ47)</f>
        <v>0</v>
      </c>
      <c r="EK36" s="126"/>
      <c r="EL36" s="127"/>
      <c r="EM36" s="82">
        <f>AVERAGE(EM37:EM47)</f>
        <v>0</v>
      </c>
      <c r="EN36" s="126"/>
      <c r="EO36" s="127"/>
      <c r="EP36" s="82">
        <f>AVERAGE(EP37:EP47)</f>
        <v>0</v>
      </c>
      <c r="EQ36" s="85">
        <f t="array" ref="EQ36">IFERROR(_xlfn.LET(
_xlpm.datos,CHOOSE({1;2;3;4;5;6;7;8;9;10;11;12;13;13;14;15;16;17;18;19;20;21;22;23;23;24;25;26;27;28;29;30;31;32;33;34;35;36;37;38;39;40;41;42;43;44;45;46;47},E36,H36,K36,N36,Q36,T36,W36,Z36,AC36,AF36,AI36,AL36,AO36,AR36,AU36,AX36,BA36,BD36,BG36,BJ36,BP36,BS36,BV36,BY36,CB36,CE36,CH36,CK36,CN36,CQ36,CT36,CW36,CZ36,DC36,DF36,DI36,DL36,DO36,DR36,DU36,DX36,EA36,ED36,EG36,EJ36,EM36,EP36),
AVERAGE(_xlfn._xlws.FILTER(_xlpm.datos,(_xlpm.datos&lt;&gt;0)*(_xlpm.datos&lt;&gt;"")))
),0)</f>
        <v>0</v>
      </c>
      <c r="ER36" s="162" t="str">
        <f t="array" ref="ER36">_xlfn.IFS(EQ36&gt;=91.5%,"MENSUAL",EQ36&gt;=75%,"QUINCENAL",EQ36&lt;75%,"SEMANAL")</f>
        <v>SEMANAL</v>
      </c>
    </row>
    <row r="37" ht="22" customHeight="1" spans="1:148" x14ac:dyDescent="0.25">
      <c r="A37" s="88" t="s">
        <v>112</v>
      </c>
      <c r="B37" s="101"/>
      <c r="C37" s="102"/>
      <c r="D37" s="103">
        <v>5</v>
      </c>
      <c r="E37" s="104">
        <f t="shared" ref="E37:E47" si="192">C37/D37</f>
        <v>0</v>
      </c>
      <c r="F37" s="102"/>
      <c r="G37" s="103">
        <v>5</v>
      </c>
      <c r="H37" s="104">
        <f t="shared" ref="H37:H47" si="193">F37/G37</f>
        <v>0</v>
      </c>
      <c r="I37" s="105"/>
      <c r="J37" s="103">
        <v>5</v>
      </c>
      <c r="K37" s="104">
        <f t="shared" ref="K37:K47" si="194">I37/J37</f>
        <v>0</v>
      </c>
      <c r="L37" s="105"/>
      <c r="M37" s="103">
        <v>5</v>
      </c>
      <c r="N37" s="104">
        <f t="shared" ref="N37:N47" si="195">L37/M37</f>
        <v>0</v>
      </c>
      <c r="O37" s="106"/>
      <c r="P37" s="107">
        <v>5</v>
      </c>
      <c r="Q37" s="104">
        <f t="shared" ref="Q37:Q47" si="196">O37/P37</f>
        <v>0</v>
      </c>
      <c r="R37" s="102"/>
      <c r="S37" s="107">
        <v>5</v>
      </c>
      <c r="T37" s="104">
        <f t="shared" ref="T37:T47" si="197">R37/S37</f>
        <v>0</v>
      </c>
      <c r="U37" s="102"/>
      <c r="V37" s="107">
        <v>5</v>
      </c>
      <c r="W37" s="104">
        <f t="shared" ref="W37:W47" si="198">U37/V37</f>
        <v>0</v>
      </c>
      <c r="X37" s="102"/>
      <c r="Y37" s="107">
        <v>5</v>
      </c>
      <c r="Z37" s="104">
        <f t="shared" ref="Z37:Z47" si="199">X37/Y37</f>
        <v>0</v>
      </c>
      <c r="AA37" s="106"/>
      <c r="AB37" s="107">
        <v>5</v>
      </c>
      <c r="AC37" s="104">
        <f t="shared" ref="AC37:AC47" si="200">AA37/AB37</f>
        <v>0</v>
      </c>
      <c r="AD37" s="106"/>
      <c r="AE37" s="107">
        <v>5</v>
      </c>
      <c r="AF37" s="104">
        <f t="shared" ref="AF37:AF47" si="201">AD37/AE37</f>
        <v>0</v>
      </c>
      <c r="AG37" s="106"/>
      <c r="AH37" s="107">
        <v>5</v>
      </c>
      <c r="AI37" s="104">
        <f t="shared" ref="AI37:AI47" si="202">AG37/AH37</f>
        <v>0</v>
      </c>
      <c r="AJ37" s="106"/>
      <c r="AK37" s="107">
        <v>5</v>
      </c>
      <c r="AL37" s="104">
        <f t="shared" ref="AL37:AL47" si="203">AJ37/AK37</f>
        <v>0</v>
      </c>
      <c r="AM37" s="102"/>
      <c r="AN37" s="1">
        <v>5</v>
      </c>
      <c r="AO37" s="104">
        <f t="shared" ref="AO37:AO47" si="204">AM37/AN37</f>
        <v>0</v>
      </c>
      <c r="AP37" s="102"/>
      <c r="AQ37" s="1">
        <v>5</v>
      </c>
      <c r="AR37" s="104">
        <f t="shared" ref="AR37:AR47" si="205">AP37/AQ37</f>
        <v>0</v>
      </c>
      <c r="AS37" s="102"/>
      <c r="AT37" s="1">
        <v>5</v>
      </c>
      <c r="AU37" s="104">
        <f t="shared" ref="AU37:AU47" si="206">AS37/AT37</f>
        <v>0</v>
      </c>
      <c r="AV37" s="102"/>
      <c r="AW37" s="1">
        <v>5</v>
      </c>
      <c r="AX37" s="104">
        <f t="shared" ref="AX37:AX47" si="207">AV37/AW37</f>
        <v>0</v>
      </c>
      <c r="AY37" s="102"/>
      <c r="AZ37" s="1">
        <v>5</v>
      </c>
      <c r="BA37" s="104">
        <f t="shared" ref="BA37:BA47" si="208">AY37/AZ37</f>
        <v>0</v>
      </c>
      <c r="BB37" s="102"/>
      <c r="BC37" s="1">
        <v>5</v>
      </c>
      <c r="BD37" s="104">
        <f t="shared" ref="BD37:BD47" si="209">BB37/BC37</f>
        <v>0</v>
      </c>
      <c r="BE37" s="102"/>
      <c r="BF37" s="1">
        <v>5</v>
      </c>
      <c r="BG37" s="104">
        <f t="shared" ref="BG37:BG47" si="210">BE37/BF37</f>
        <v>0</v>
      </c>
      <c r="BH37" s="102"/>
      <c r="BI37" s="1">
        <v>5</v>
      </c>
      <c r="BJ37" s="104">
        <f t="shared" ref="BJ37:BJ47" si="211">BH37/BI37</f>
        <v>0</v>
      </c>
      <c r="BK37" s="102"/>
      <c r="BL37" s="1">
        <v>5</v>
      </c>
      <c r="BM37" s="104">
        <f t="shared" ref="BM37:BM47" si="212">BK37/BL37</f>
        <v>0</v>
      </c>
      <c r="BN37" s="102"/>
      <c r="BO37" s="1">
        <v>5</v>
      </c>
      <c r="BP37" s="104">
        <f t="shared" ref="BP37:BP47" si="213">BN37/BO37</f>
        <v>0</v>
      </c>
      <c r="BQ37" s="102"/>
      <c r="BR37" s="1">
        <v>5</v>
      </c>
      <c r="BS37" s="104">
        <f t="shared" ref="BS37:BS47" si="214">BQ37/BR37</f>
        <v>0</v>
      </c>
      <c r="BT37" s="102"/>
      <c r="BU37" s="1">
        <v>5</v>
      </c>
      <c r="BV37" s="104">
        <f t="shared" ref="BV37:BV47" si="215">BT37/BU37</f>
        <v>0</v>
      </c>
      <c r="BW37" s="102"/>
      <c r="BX37" s="1">
        <v>5</v>
      </c>
      <c r="BY37" s="104">
        <f t="shared" ref="BY37:BY47" si="216">BW37/BX37</f>
        <v>0</v>
      </c>
      <c r="BZ37" s="102"/>
      <c r="CA37" s="1">
        <v>5</v>
      </c>
      <c r="CB37" s="104">
        <f t="shared" ref="CB37:CB47" si="217">BZ37/CA37</f>
        <v>0</v>
      </c>
      <c r="CC37" s="102"/>
      <c r="CD37" s="1">
        <v>5</v>
      </c>
      <c r="CE37" s="104">
        <f t="shared" ref="CE37:CE47" si="218">CC37/CD37</f>
        <v>0</v>
      </c>
      <c r="CF37" s="102"/>
      <c r="CG37" s="1">
        <v>5</v>
      </c>
      <c r="CH37" s="104">
        <f t="shared" ref="CH37:CH47" si="219">CF37/CG37</f>
        <v>0</v>
      </c>
      <c r="CI37" s="102"/>
      <c r="CJ37" s="1">
        <v>5</v>
      </c>
      <c r="CK37" s="104">
        <f t="shared" ref="CK37:CK47" si="220">CI37/CJ37</f>
        <v>0</v>
      </c>
      <c r="CL37" s="102"/>
      <c r="CM37" s="1">
        <v>5</v>
      </c>
      <c r="CN37" s="104">
        <f t="shared" ref="CN37:CN47" si="221">CL37/CM37</f>
        <v>0</v>
      </c>
      <c r="CO37" s="102"/>
      <c r="CP37" s="1">
        <v>5</v>
      </c>
      <c r="CQ37" s="104">
        <f t="shared" ref="CQ37:CQ47" si="222">CO37/CP37</f>
        <v>0</v>
      </c>
      <c r="CR37" s="102"/>
      <c r="CS37" s="1">
        <v>5</v>
      </c>
      <c r="CT37" s="104">
        <f t="shared" ref="CT37:CT47" si="223">CR37/CS37</f>
        <v>0</v>
      </c>
      <c r="CU37" s="102"/>
      <c r="CV37" s="1">
        <v>5</v>
      </c>
      <c r="CW37" s="104">
        <f t="shared" ref="CW37:CW47" si="224">CU37/CV37</f>
        <v>0</v>
      </c>
      <c r="CX37" s="102"/>
      <c r="CY37" s="1">
        <v>5</v>
      </c>
      <c r="CZ37" s="104">
        <f t="shared" ref="CZ37:CZ47" si="225">CX37/CY37</f>
        <v>0</v>
      </c>
      <c r="DA37" s="102"/>
      <c r="DB37" s="1">
        <v>5</v>
      </c>
      <c r="DC37" s="104">
        <f t="shared" ref="DC37:DC47" si="226">DA37/DB37</f>
        <v>0</v>
      </c>
      <c r="DD37" s="102"/>
      <c r="DE37" s="1">
        <v>5</v>
      </c>
      <c r="DF37" s="104">
        <f t="shared" ref="DF37:DF47" si="227">DD37/DE37</f>
        <v>0</v>
      </c>
      <c r="DG37" s="102"/>
      <c r="DH37" s="1">
        <v>5</v>
      </c>
      <c r="DI37" s="104">
        <f t="shared" ref="DI37:DI47" si="228">DG37/DH37</f>
        <v>0</v>
      </c>
      <c r="DJ37" s="102"/>
      <c r="DK37" s="1">
        <v>5</v>
      </c>
      <c r="DL37" s="104">
        <f t="shared" ref="DL37:DL47" si="229">DJ37/DK37</f>
        <v>0</v>
      </c>
      <c r="DM37" s="102"/>
      <c r="DN37" s="1">
        <v>5</v>
      </c>
      <c r="DO37" s="104">
        <f t="shared" ref="DO37:DO47" si="230">DM37/DN37</f>
        <v>0</v>
      </c>
      <c r="DP37" s="102"/>
      <c r="DQ37" s="1">
        <v>5</v>
      </c>
      <c r="DR37" s="104">
        <f t="shared" ref="DR37:DR47" si="231">DP37/DQ37</f>
        <v>0</v>
      </c>
      <c r="DS37" s="102"/>
      <c r="DT37" s="1">
        <v>5</v>
      </c>
      <c r="DU37" s="104">
        <f t="shared" ref="DU37:DU47" si="232">DS37/DT37</f>
        <v>0</v>
      </c>
      <c r="DV37" s="102"/>
      <c r="DW37" s="1">
        <v>5</v>
      </c>
      <c r="DX37" s="104">
        <f t="shared" ref="DX37:DX47" si="233">DV37/DW37</f>
        <v>0</v>
      </c>
      <c r="DY37" s="102"/>
      <c r="DZ37" s="1">
        <v>5</v>
      </c>
      <c r="EA37" s="104">
        <f t="shared" ref="EA37:EA47" si="234">DY37/DZ37</f>
        <v>0</v>
      </c>
      <c r="EB37" s="102"/>
      <c r="EC37" s="1">
        <v>5</v>
      </c>
      <c r="ED37" s="104">
        <f t="shared" ref="ED37:ED47" si="235">EB37/EC37</f>
        <v>0</v>
      </c>
      <c r="EE37" s="102"/>
      <c r="EF37" s="1">
        <v>5</v>
      </c>
      <c r="EG37" s="104">
        <f t="shared" ref="EG37:EG47" si="236">EE37/EF37</f>
        <v>0</v>
      </c>
      <c r="EH37" s="102"/>
      <c r="EI37" s="1">
        <v>5</v>
      </c>
      <c r="EJ37" s="104">
        <f t="shared" ref="EJ37:EJ47" si="237">EH37/EI37</f>
        <v>0</v>
      </c>
      <c r="EK37" s="102"/>
      <c r="EL37" s="1">
        <v>5</v>
      </c>
      <c r="EM37" s="104">
        <f t="shared" ref="EM37:EM47" si="238">EK37/EL37</f>
        <v>0</v>
      </c>
      <c r="EN37" s="102"/>
      <c r="EO37" s="1">
        <v>5</v>
      </c>
      <c r="EP37" s="104">
        <f t="shared" ref="EP37:EP47" si="239">EN37/EO37</f>
        <v>0</v>
      </c>
      <c r="EQ37" s="85">
        <f t="array" ref="EQ37">IFERROR(_xlfn.LET(
_xlpm.datos,CHOOSE({1;2;3;4;5;6;7;8;9;10;11;12;13;13;14;15;16;17;18;19;20;21;22;23;23;24;25;26;27;28;29;30;31;32;33;34;35;36;37;38;39;40;41;42;43;44;45;46;47},E37,H37,K37,N37,Q37,T37,W37,Z37,AC37,AF37,AI37,AL37,AO37,AR37,AU37,AX37,BA37,BD37,BG37,BJ37,BP37,BS37,BV37,BY37,CB37,CE37,CH37,CK37,CN37,CQ37,CT37,CW37,CZ37,DC37,DF37,DI37,DL37,DO37,DR37,DU37,DX37,EA37,ED37,EG37,EJ37,EM37,EP37),
AVERAGE(_xlfn._xlws.FILTER(_xlpm.datos,(_xlpm.datos&lt;&gt;0)*(_xlpm.datos&lt;&gt;"")))
),0)</f>
        <v>0</v>
      </c>
      <c r="ER37" s="162" t="str">
        <f t="array" ref="ER37">_xlfn.IFS(EQ37&gt;=91.5%,"MENSUAL",EQ37&gt;=75%,"QUINCENAL",EQ37&lt;75%,"SEMANAL")</f>
        <v>SEMANAL</v>
      </c>
    </row>
    <row r="38" ht="22" customHeight="1" spans="1:148" x14ac:dyDescent="0.25">
      <c r="A38" s="100" t="s">
        <v>133</v>
      </c>
      <c r="B38" s="101"/>
      <c r="C38" s="102"/>
      <c r="D38" s="103">
        <v>5</v>
      </c>
      <c r="E38" s="104">
        <f t="shared" si="192"/>
        <v>0</v>
      </c>
      <c r="F38" s="102"/>
      <c r="G38" s="103">
        <v>5</v>
      </c>
      <c r="H38" s="104">
        <f t="shared" si="193"/>
        <v>0</v>
      </c>
      <c r="I38" s="105"/>
      <c r="J38" s="103">
        <v>5</v>
      </c>
      <c r="K38" s="104">
        <f t="shared" si="194"/>
        <v>0</v>
      </c>
      <c r="L38" s="105"/>
      <c r="M38" s="103">
        <v>5</v>
      </c>
      <c r="N38" s="104">
        <f t="shared" si="195"/>
        <v>0</v>
      </c>
      <c r="O38" s="106"/>
      <c r="P38" s="107">
        <v>5</v>
      </c>
      <c r="Q38" s="104">
        <f t="shared" si="196"/>
        <v>0</v>
      </c>
      <c r="R38" s="102"/>
      <c r="S38" s="107">
        <v>5</v>
      </c>
      <c r="T38" s="104">
        <f t="shared" si="197"/>
        <v>0</v>
      </c>
      <c r="U38" s="102"/>
      <c r="V38" s="107">
        <v>5</v>
      </c>
      <c r="W38" s="104">
        <f t="shared" si="198"/>
        <v>0</v>
      </c>
      <c r="X38" s="102"/>
      <c r="Y38" s="107">
        <v>5</v>
      </c>
      <c r="Z38" s="104">
        <f t="shared" si="199"/>
        <v>0</v>
      </c>
      <c r="AA38" s="106"/>
      <c r="AB38" s="107">
        <v>5</v>
      </c>
      <c r="AC38" s="104">
        <f t="shared" si="200"/>
        <v>0</v>
      </c>
      <c r="AD38" s="106"/>
      <c r="AE38" s="107">
        <v>5</v>
      </c>
      <c r="AF38" s="104">
        <f t="shared" si="201"/>
        <v>0</v>
      </c>
      <c r="AG38" s="106"/>
      <c r="AH38" s="107">
        <v>5</v>
      </c>
      <c r="AI38" s="104">
        <f t="shared" si="202"/>
        <v>0</v>
      </c>
      <c r="AJ38" s="106"/>
      <c r="AK38" s="107">
        <v>5</v>
      </c>
      <c r="AL38" s="104">
        <f t="shared" si="203"/>
        <v>0</v>
      </c>
      <c r="AM38" s="102"/>
      <c r="AN38" s="1">
        <v>5</v>
      </c>
      <c r="AO38" s="104">
        <f t="shared" si="204"/>
        <v>0</v>
      </c>
      <c r="AP38" s="102"/>
      <c r="AQ38" s="1">
        <v>5</v>
      </c>
      <c r="AR38" s="104">
        <f t="shared" si="205"/>
        <v>0</v>
      </c>
      <c r="AS38" s="102"/>
      <c r="AT38" s="1">
        <v>5</v>
      </c>
      <c r="AU38" s="104">
        <f t="shared" si="206"/>
        <v>0</v>
      </c>
      <c r="AV38" s="102"/>
      <c r="AW38" s="1">
        <v>5</v>
      </c>
      <c r="AX38" s="104">
        <f t="shared" si="207"/>
        <v>0</v>
      </c>
      <c r="AY38" s="102"/>
      <c r="AZ38" s="1">
        <v>5</v>
      </c>
      <c r="BA38" s="104">
        <f t="shared" si="208"/>
        <v>0</v>
      </c>
      <c r="BB38" s="102"/>
      <c r="BC38" s="1">
        <v>5</v>
      </c>
      <c r="BD38" s="104">
        <f t="shared" si="209"/>
        <v>0</v>
      </c>
      <c r="BE38" s="102"/>
      <c r="BF38" s="1">
        <v>5</v>
      </c>
      <c r="BG38" s="104">
        <f t="shared" si="210"/>
        <v>0</v>
      </c>
      <c r="BH38" s="102"/>
      <c r="BI38" s="1">
        <v>5</v>
      </c>
      <c r="BJ38" s="104">
        <f t="shared" si="211"/>
        <v>0</v>
      </c>
      <c r="BK38" s="102"/>
      <c r="BL38" s="1">
        <v>5</v>
      </c>
      <c r="BM38" s="104">
        <f t="shared" si="212"/>
        <v>0</v>
      </c>
      <c r="BN38" s="102"/>
      <c r="BO38" s="1">
        <v>5</v>
      </c>
      <c r="BP38" s="104">
        <f t="shared" si="213"/>
        <v>0</v>
      </c>
      <c r="BQ38" s="102"/>
      <c r="BR38" s="1">
        <v>5</v>
      </c>
      <c r="BS38" s="104">
        <f t="shared" si="214"/>
        <v>0</v>
      </c>
      <c r="BT38" s="102"/>
      <c r="BU38" s="1">
        <v>5</v>
      </c>
      <c r="BV38" s="104">
        <f t="shared" si="215"/>
        <v>0</v>
      </c>
      <c r="BW38" s="102"/>
      <c r="BX38" s="1">
        <v>5</v>
      </c>
      <c r="BY38" s="104">
        <f t="shared" si="216"/>
        <v>0</v>
      </c>
      <c r="BZ38" s="102"/>
      <c r="CA38" s="1">
        <v>5</v>
      </c>
      <c r="CB38" s="104">
        <f t="shared" si="217"/>
        <v>0</v>
      </c>
      <c r="CC38" s="102"/>
      <c r="CD38" s="1">
        <v>5</v>
      </c>
      <c r="CE38" s="104">
        <f t="shared" si="218"/>
        <v>0</v>
      </c>
      <c r="CF38" s="102"/>
      <c r="CG38" s="1">
        <v>5</v>
      </c>
      <c r="CH38" s="104">
        <f t="shared" si="219"/>
        <v>0</v>
      </c>
      <c r="CI38" s="102"/>
      <c r="CJ38" s="1">
        <v>5</v>
      </c>
      <c r="CK38" s="104">
        <f t="shared" si="220"/>
        <v>0</v>
      </c>
      <c r="CL38" s="102"/>
      <c r="CM38" s="1">
        <v>5</v>
      </c>
      <c r="CN38" s="104">
        <f t="shared" si="221"/>
        <v>0</v>
      </c>
      <c r="CO38" s="102"/>
      <c r="CP38" s="1">
        <v>5</v>
      </c>
      <c r="CQ38" s="104">
        <f t="shared" si="222"/>
        <v>0</v>
      </c>
      <c r="CR38" s="102"/>
      <c r="CS38" s="1">
        <v>5</v>
      </c>
      <c r="CT38" s="104">
        <f t="shared" si="223"/>
        <v>0</v>
      </c>
      <c r="CU38" s="102"/>
      <c r="CV38" s="1">
        <v>5</v>
      </c>
      <c r="CW38" s="104">
        <f t="shared" si="224"/>
        <v>0</v>
      </c>
      <c r="CX38" s="102"/>
      <c r="CY38" s="1">
        <v>5</v>
      </c>
      <c r="CZ38" s="104">
        <f t="shared" si="225"/>
        <v>0</v>
      </c>
      <c r="DA38" s="102"/>
      <c r="DB38" s="1">
        <v>5</v>
      </c>
      <c r="DC38" s="104">
        <f t="shared" si="226"/>
        <v>0</v>
      </c>
      <c r="DD38" s="102"/>
      <c r="DE38" s="1">
        <v>5</v>
      </c>
      <c r="DF38" s="104">
        <f t="shared" si="227"/>
        <v>0</v>
      </c>
      <c r="DG38" s="102"/>
      <c r="DH38" s="1">
        <v>5</v>
      </c>
      <c r="DI38" s="104">
        <f t="shared" si="228"/>
        <v>0</v>
      </c>
      <c r="DJ38" s="102"/>
      <c r="DK38" s="1">
        <v>5</v>
      </c>
      <c r="DL38" s="104">
        <f t="shared" si="229"/>
        <v>0</v>
      </c>
      <c r="DM38" s="102"/>
      <c r="DN38" s="1">
        <v>5</v>
      </c>
      <c r="DO38" s="104">
        <f t="shared" si="230"/>
        <v>0</v>
      </c>
      <c r="DP38" s="102"/>
      <c r="DQ38" s="1">
        <v>5</v>
      </c>
      <c r="DR38" s="104">
        <f t="shared" si="231"/>
        <v>0</v>
      </c>
      <c r="DS38" s="102"/>
      <c r="DT38" s="1">
        <v>5</v>
      </c>
      <c r="DU38" s="104">
        <f t="shared" si="232"/>
        <v>0</v>
      </c>
      <c r="DV38" s="102"/>
      <c r="DW38" s="1">
        <v>5</v>
      </c>
      <c r="DX38" s="104">
        <f t="shared" si="233"/>
        <v>0</v>
      </c>
      <c r="DY38" s="102"/>
      <c r="DZ38" s="1">
        <v>5</v>
      </c>
      <c r="EA38" s="104">
        <f t="shared" si="234"/>
        <v>0</v>
      </c>
      <c r="EB38" s="102"/>
      <c r="EC38" s="1">
        <v>5</v>
      </c>
      <c r="ED38" s="104">
        <f t="shared" si="235"/>
        <v>0</v>
      </c>
      <c r="EE38" s="102"/>
      <c r="EF38" s="1">
        <v>5</v>
      </c>
      <c r="EG38" s="104">
        <f t="shared" si="236"/>
        <v>0</v>
      </c>
      <c r="EH38" s="102"/>
      <c r="EI38" s="1">
        <v>5</v>
      </c>
      <c r="EJ38" s="104">
        <f t="shared" si="237"/>
        <v>0</v>
      </c>
      <c r="EK38" s="102"/>
      <c r="EL38" s="1">
        <v>5</v>
      </c>
      <c r="EM38" s="104">
        <f t="shared" si="238"/>
        <v>0</v>
      </c>
      <c r="EN38" s="102"/>
      <c r="EO38" s="1">
        <v>5</v>
      </c>
      <c r="EP38" s="104">
        <f t="shared" si="239"/>
        <v>0</v>
      </c>
      <c r="EQ38" s="85">
        <f t="array" ref="EQ38">IFERROR(_xlfn.LET(
_xlpm.datos,CHOOSE({1;2;3;4;5;6;7;8;9;10;11;12;13;13;14;15;16;17;18;19;20;21;22;23;23;24;25;26;27;28;29;30;31;32;33;34;35;36;37;38;39;40;41;42;43;44;45;46;47},E38,H38,K38,N38,Q38,T38,W38,Z38,AC38,AF38,AI38,AL38,AO38,AR38,AU38,AX38,BA38,BD38,BG38,BJ38,BP38,BS38,BV38,BY38,CB38,CE38,CH38,CK38,CN38,CQ38,CT38,CW38,CZ38,DC38,DF38,DI38,DL38,DO38,DR38,DU38,DX38,EA38,ED38,EG38,EJ38,EM38,EP38),
AVERAGE(_xlfn._xlws.FILTER(_xlpm.datos,(_xlpm.datos&lt;&gt;0)*(_xlpm.datos&lt;&gt;"")))
),0)</f>
        <v>0</v>
      </c>
      <c r="ER38" s="162" t="str">
        <f t="array" ref="ER38">_xlfn.IFS(EQ38&gt;=91.5%,"MENSUAL",EQ38&gt;=75%,"QUINCENAL",EQ38&lt;75%,"SEMANAL")</f>
        <v>SEMANAL</v>
      </c>
    </row>
    <row r="39" ht="23.25" customHeight="1" spans="1:148" x14ac:dyDescent="0.25">
      <c r="A39" s="100" t="s">
        <v>113</v>
      </c>
      <c r="B39" s="101"/>
      <c r="C39" s="102"/>
      <c r="D39" s="103">
        <v>5</v>
      </c>
      <c r="E39" s="104">
        <f t="shared" si="192"/>
        <v>0</v>
      </c>
      <c r="F39" s="102"/>
      <c r="G39" s="103">
        <v>5</v>
      </c>
      <c r="H39" s="104">
        <f t="shared" si="193"/>
        <v>0</v>
      </c>
      <c r="I39" s="105"/>
      <c r="J39" s="103">
        <v>5</v>
      </c>
      <c r="K39" s="104">
        <f t="shared" si="194"/>
        <v>0</v>
      </c>
      <c r="L39" s="105"/>
      <c r="M39" s="103">
        <v>5</v>
      </c>
      <c r="N39" s="104">
        <f t="shared" si="195"/>
        <v>0</v>
      </c>
      <c r="O39" s="106"/>
      <c r="P39" s="107">
        <v>5</v>
      </c>
      <c r="Q39" s="104">
        <f t="shared" si="196"/>
        <v>0</v>
      </c>
      <c r="R39" s="102"/>
      <c r="S39" s="107">
        <v>5</v>
      </c>
      <c r="T39" s="104">
        <f t="shared" si="197"/>
        <v>0</v>
      </c>
      <c r="U39" s="102"/>
      <c r="V39" s="107">
        <v>5</v>
      </c>
      <c r="W39" s="104">
        <f t="shared" si="198"/>
        <v>0</v>
      </c>
      <c r="X39" s="102"/>
      <c r="Y39" s="107">
        <v>5</v>
      </c>
      <c r="Z39" s="104">
        <f t="shared" si="199"/>
        <v>0</v>
      </c>
      <c r="AA39" s="106"/>
      <c r="AB39" s="107">
        <v>5</v>
      </c>
      <c r="AC39" s="104">
        <f t="shared" si="200"/>
        <v>0</v>
      </c>
      <c r="AD39" s="106"/>
      <c r="AE39" s="107">
        <v>5</v>
      </c>
      <c r="AF39" s="104">
        <f t="shared" si="201"/>
        <v>0</v>
      </c>
      <c r="AG39" s="106"/>
      <c r="AH39" s="107">
        <v>5</v>
      </c>
      <c r="AI39" s="104">
        <f t="shared" si="202"/>
        <v>0</v>
      </c>
      <c r="AJ39" s="106"/>
      <c r="AK39" s="107">
        <v>5</v>
      </c>
      <c r="AL39" s="104">
        <f t="shared" si="203"/>
        <v>0</v>
      </c>
      <c r="AM39" s="102"/>
      <c r="AN39" s="1">
        <v>5</v>
      </c>
      <c r="AO39" s="104">
        <f t="shared" si="204"/>
        <v>0</v>
      </c>
      <c r="AP39" s="102"/>
      <c r="AQ39" s="1">
        <v>5</v>
      </c>
      <c r="AR39" s="104">
        <f t="shared" si="205"/>
        <v>0</v>
      </c>
      <c r="AS39" s="102"/>
      <c r="AT39" s="1">
        <v>5</v>
      </c>
      <c r="AU39" s="104">
        <f t="shared" si="206"/>
        <v>0</v>
      </c>
      <c r="AV39" s="102"/>
      <c r="AW39" s="1">
        <v>5</v>
      </c>
      <c r="AX39" s="104">
        <f t="shared" si="207"/>
        <v>0</v>
      </c>
      <c r="AY39" s="102"/>
      <c r="AZ39" s="1">
        <v>5</v>
      </c>
      <c r="BA39" s="104">
        <f t="shared" si="208"/>
        <v>0</v>
      </c>
      <c r="BB39" s="102"/>
      <c r="BC39" s="1">
        <v>5</v>
      </c>
      <c r="BD39" s="104">
        <f t="shared" si="209"/>
        <v>0</v>
      </c>
      <c r="BE39" s="102"/>
      <c r="BF39" s="1">
        <v>5</v>
      </c>
      <c r="BG39" s="104">
        <f t="shared" si="210"/>
        <v>0</v>
      </c>
      <c r="BH39" s="102"/>
      <c r="BI39" s="1">
        <v>5</v>
      </c>
      <c r="BJ39" s="104">
        <f t="shared" si="211"/>
        <v>0</v>
      </c>
      <c r="BK39" s="102"/>
      <c r="BL39" s="1">
        <v>5</v>
      </c>
      <c r="BM39" s="104">
        <f t="shared" si="212"/>
        <v>0</v>
      </c>
      <c r="BN39" s="102"/>
      <c r="BO39" s="1">
        <v>5</v>
      </c>
      <c r="BP39" s="104">
        <f t="shared" si="213"/>
        <v>0</v>
      </c>
      <c r="BQ39" s="102"/>
      <c r="BR39" s="1">
        <v>5</v>
      </c>
      <c r="BS39" s="104">
        <f t="shared" si="214"/>
        <v>0</v>
      </c>
      <c r="BT39" s="102"/>
      <c r="BU39" s="1">
        <v>5</v>
      </c>
      <c r="BV39" s="104">
        <f t="shared" si="215"/>
        <v>0</v>
      </c>
      <c r="BW39" s="102"/>
      <c r="BX39" s="1">
        <v>5</v>
      </c>
      <c r="BY39" s="104">
        <f t="shared" si="216"/>
        <v>0</v>
      </c>
      <c r="BZ39" s="102"/>
      <c r="CA39" s="1">
        <v>5</v>
      </c>
      <c r="CB39" s="104">
        <f t="shared" si="217"/>
        <v>0</v>
      </c>
      <c r="CC39" s="102"/>
      <c r="CD39" s="1">
        <v>5</v>
      </c>
      <c r="CE39" s="104">
        <f t="shared" si="218"/>
        <v>0</v>
      </c>
      <c r="CF39" s="102"/>
      <c r="CG39" s="1">
        <v>5</v>
      </c>
      <c r="CH39" s="104">
        <f t="shared" si="219"/>
        <v>0</v>
      </c>
      <c r="CI39" s="102"/>
      <c r="CJ39" s="1">
        <v>5</v>
      </c>
      <c r="CK39" s="104">
        <f t="shared" si="220"/>
        <v>0</v>
      </c>
      <c r="CL39" s="102"/>
      <c r="CM39" s="1">
        <v>5</v>
      </c>
      <c r="CN39" s="104">
        <f t="shared" si="221"/>
        <v>0</v>
      </c>
      <c r="CO39" s="102"/>
      <c r="CP39" s="1">
        <v>5</v>
      </c>
      <c r="CQ39" s="104">
        <f t="shared" si="222"/>
        <v>0</v>
      </c>
      <c r="CR39" s="102"/>
      <c r="CS39" s="1">
        <v>5</v>
      </c>
      <c r="CT39" s="104">
        <f t="shared" si="223"/>
        <v>0</v>
      </c>
      <c r="CU39" s="102"/>
      <c r="CV39" s="1">
        <v>5</v>
      </c>
      <c r="CW39" s="104">
        <f t="shared" si="224"/>
        <v>0</v>
      </c>
      <c r="CX39" s="102"/>
      <c r="CY39" s="1">
        <v>5</v>
      </c>
      <c r="CZ39" s="104">
        <f t="shared" si="225"/>
        <v>0</v>
      </c>
      <c r="DA39" s="102"/>
      <c r="DB39" s="1">
        <v>5</v>
      </c>
      <c r="DC39" s="104">
        <f t="shared" si="226"/>
        <v>0</v>
      </c>
      <c r="DD39" s="102"/>
      <c r="DE39" s="1">
        <v>5</v>
      </c>
      <c r="DF39" s="104">
        <f t="shared" si="227"/>
        <v>0</v>
      </c>
      <c r="DG39" s="102"/>
      <c r="DH39" s="1">
        <v>5</v>
      </c>
      <c r="DI39" s="104">
        <f t="shared" si="228"/>
        <v>0</v>
      </c>
      <c r="DJ39" s="102"/>
      <c r="DK39" s="1">
        <v>5</v>
      </c>
      <c r="DL39" s="104">
        <f t="shared" si="229"/>
        <v>0</v>
      </c>
      <c r="DM39" s="102"/>
      <c r="DN39" s="1">
        <v>5</v>
      </c>
      <c r="DO39" s="104">
        <f t="shared" si="230"/>
        <v>0</v>
      </c>
      <c r="DP39" s="102"/>
      <c r="DQ39" s="1">
        <v>5</v>
      </c>
      <c r="DR39" s="104">
        <f t="shared" si="231"/>
        <v>0</v>
      </c>
      <c r="DS39" s="102"/>
      <c r="DT39" s="1">
        <v>5</v>
      </c>
      <c r="DU39" s="104">
        <f t="shared" si="232"/>
        <v>0</v>
      </c>
      <c r="DV39" s="102"/>
      <c r="DW39" s="1">
        <v>5</v>
      </c>
      <c r="DX39" s="104">
        <f t="shared" si="233"/>
        <v>0</v>
      </c>
      <c r="DY39" s="102"/>
      <c r="DZ39" s="1">
        <v>5</v>
      </c>
      <c r="EA39" s="104">
        <f t="shared" si="234"/>
        <v>0</v>
      </c>
      <c r="EB39" s="102"/>
      <c r="EC39" s="1">
        <v>5</v>
      </c>
      <c r="ED39" s="104">
        <f t="shared" si="235"/>
        <v>0</v>
      </c>
      <c r="EE39" s="102"/>
      <c r="EF39" s="1">
        <v>5</v>
      </c>
      <c r="EG39" s="104">
        <f t="shared" si="236"/>
        <v>0</v>
      </c>
      <c r="EH39" s="102"/>
      <c r="EI39" s="1">
        <v>5</v>
      </c>
      <c r="EJ39" s="104">
        <f t="shared" si="237"/>
        <v>0</v>
      </c>
      <c r="EK39" s="102"/>
      <c r="EL39" s="1">
        <v>5</v>
      </c>
      <c r="EM39" s="104">
        <f t="shared" si="238"/>
        <v>0</v>
      </c>
      <c r="EN39" s="102"/>
      <c r="EO39" s="1">
        <v>5</v>
      </c>
      <c r="EP39" s="104">
        <f t="shared" si="239"/>
        <v>0</v>
      </c>
      <c r="EQ39" s="85">
        <f t="array" ref="EQ39">IFERROR(_xlfn.LET(
_xlpm.datos,CHOOSE({1;2;3;4;5;6;7;8;9;10;11;12;13;13;14;15;16;17;18;19;20;21;22;23;23;24;25;26;27;28;29;30;31;32;33;34;35;36;37;38;39;40;41;42;43;44;45;46;47},E39,H39,K39,N39,Q39,T39,W39,Z39,AC39,AF39,AI39,AL39,AO39,AR39,AU39,AX39,BA39,BD39,BG39,BJ39,BP39,BS39,BV39,BY39,CB39,CE39,CH39,CK39,CN39,CQ39,CT39,CW39,CZ39,DC39,DF39,DI39,DL39,DO39,DR39,DU39,DX39,EA39,ED39,EG39,EJ39,EM39,EP39),
AVERAGE(_xlfn._xlws.FILTER(_xlpm.datos,(_xlpm.datos&lt;&gt;0)*(_xlpm.datos&lt;&gt;"")))
),0)</f>
        <v>0</v>
      </c>
      <c r="ER39" s="162" t="str">
        <f t="array" ref="ER39">_xlfn.IFS(EQ39&gt;=91.5%,"MENSUAL",EQ39&gt;=75%,"QUINCENAL",EQ39&lt;75%,"SEMANAL")</f>
        <v>SEMANAL</v>
      </c>
    </row>
    <row r="40" ht="22" customHeight="1" spans="1:148" x14ac:dyDescent="0.25">
      <c r="A40" s="100" t="s">
        <v>119</v>
      </c>
      <c r="B40" s="101"/>
      <c r="C40" s="102"/>
      <c r="D40" s="103">
        <v>5</v>
      </c>
      <c r="E40" s="104">
        <f t="shared" si="192"/>
        <v>0</v>
      </c>
      <c r="F40" s="102"/>
      <c r="G40" s="103">
        <v>5</v>
      </c>
      <c r="H40" s="104">
        <f t="shared" si="193"/>
        <v>0</v>
      </c>
      <c r="I40" s="105"/>
      <c r="J40" s="103">
        <v>5</v>
      </c>
      <c r="K40" s="104">
        <f t="shared" si="194"/>
        <v>0</v>
      </c>
      <c r="L40" s="105"/>
      <c r="M40" s="103">
        <v>5</v>
      </c>
      <c r="N40" s="104">
        <f t="shared" si="195"/>
        <v>0</v>
      </c>
      <c r="O40" s="106"/>
      <c r="P40" s="107">
        <v>5</v>
      </c>
      <c r="Q40" s="104">
        <f t="shared" si="196"/>
        <v>0</v>
      </c>
      <c r="R40" s="102"/>
      <c r="S40" s="107">
        <v>5</v>
      </c>
      <c r="T40" s="104">
        <f t="shared" si="197"/>
        <v>0</v>
      </c>
      <c r="U40" s="102"/>
      <c r="V40" s="107">
        <v>5</v>
      </c>
      <c r="W40" s="104">
        <f t="shared" si="198"/>
        <v>0</v>
      </c>
      <c r="X40" s="102"/>
      <c r="Y40" s="107">
        <v>5</v>
      </c>
      <c r="Z40" s="104">
        <f t="shared" si="199"/>
        <v>0</v>
      </c>
      <c r="AA40" s="106"/>
      <c r="AB40" s="107">
        <v>5</v>
      </c>
      <c r="AC40" s="104">
        <f t="shared" si="200"/>
        <v>0</v>
      </c>
      <c r="AD40" s="106"/>
      <c r="AE40" s="107">
        <v>5</v>
      </c>
      <c r="AF40" s="104">
        <f t="shared" si="201"/>
        <v>0</v>
      </c>
      <c r="AG40" s="106"/>
      <c r="AH40" s="107">
        <v>5</v>
      </c>
      <c r="AI40" s="104">
        <f t="shared" si="202"/>
        <v>0</v>
      </c>
      <c r="AJ40" s="106"/>
      <c r="AK40" s="107">
        <v>5</v>
      </c>
      <c r="AL40" s="104">
        <f t="shared" si="203"/>
        <v>0</v>
      </c>
      <c r="AM40" s="102"/>
      <c r="AN40" s="1">
        <v>5</v>
      </c>
      <c r="AO40" s="104">
        <f t="shared" si="204"/>
        <v>0</v>
      </c>
      <c r="AP40" s="102"/>
      <c r="AQ40" s="1">
        <v>5</v>
      </c>
      <c r="AR40" s="104">
        <f t="shared" si="205"/>
        <v>0</v>
      </c>
      <c r="AS40" s="102"/>
      <c r="AT40" s="1">
        <v>5</v>
      </c>
      <c r="AU40" s="104">
        <f t="shared" si="206"/>
        <v>0</v>
      </c>
      <c r="AV40" s="102"/>
      <c r="AW40" s="1">
        <v>5</v>
      </c>
      <c r="AX40" s="104">
        <f t="shared" si="207"/>
        <v>0</v>
      </c>
      <c r="AY40" s="102"/>
      <c r="AZ40" s="1">
        <v>5</v>
      </c>
      <c r="BA40" s="104">
        <f t="shared" si="208"/>
        <v>0</v>
      </c>
      <c r="BB40" s="102"/>
      <c r="BC40" s="1">
        <v>5</v>
      </c>
      <c r="BD40" s="104">
        <f t="shared" si="209"/>
        <v>0</v>
      </c>
      <c r="BE40" s="102"/>
      <c r="BF40" s="1">
        <v>5</v>
      </c>
      <c r="BG40" s="104">
        <f t="shared" si="210"/>
        <v>0</v>
      </c>
      <c r="BH40" s="102"/>
      <c r="BI40" s="1">
        <v>5</v>
      </c>
      <c r="BJ40" s="104">
        <f t="shared" si="211"/>
        <v>0</v>
      </c>
      <c r="BK40" s="102"/>
      <c r="BL40" s="1">
        <v>5</v>
      </c>
      <c r="BM40" s="104">
        <f t="shared" si="212"/>
        <v>0</v>
      </c>
      <c r="BN40" s="102"/>
      <c r="BO40" s="1">
        <v>5</v>
      </c>
      <c r="BP40" s="104">
        <f t="shared" si="213"/>
        <v>0</v>
      </c>
      <c r="BQ40" s="102"/>
      <c r="BR40" s="1">
        <v>5</v>
      </c>
      <c r="BS40" s="104">
        <f t="shared" si="214"/>
        <v>0</v>
      </c>
      <c r="BT40" s="102"/>
      <c r="BU40" s="1">
        <v>5</v>
      </c>
      <c r="BV40" s="104">
        <f t="shared" si="215"/>
        <v>0</v>
      </c>
      <c r="BW40" s="102"/>
      <c r="BX40" s="1">
        <v>5</v>
      </c>
      <c r="BY40" s="104">
        <f t="shared" si="216"/>
        <v>0</v>
      </c>
      <c r="BZ40" s="102"/>
      <c r="CA40" s="1">
        <v>5</v>
      </c>
      <c r="CB40" s="104">
        <f t="shared" si="217"/>
        <v>0</v>
      </c>
      <c r="CC40" s="102"/>
      <c r="CD40" s="1">
        <v>5</v>
      </c>
      <c r="CE40" s="104">
        <f t="shared" si="218"/>
        <v>0</v>
      </c>
      <c r="CF40" s="102"/>
      <c r="CG40" s="1">
        <v>5</v>
      </c>
      <c r="CH40" s="104">
        <f t="shared" si="219"/>
        <v>0</v>
      </c>
      <c r="CI40" s="102"/>
      <c r="CJ40" s="1">
        <v>5</v>
      </c>
      <c r="CK40" s="104">
        <f t="shared" si="220"/>
        <v>0</v>
      </c>
      <c r="CL40" s="102"/>
      <c r="CM40" s="1">
        <v>5</v>
      </c>
      <c r="CN40" s="104">
        <f t="shared" si="221"/>
        <v>0</v>
      </c>
      <c r="CO40" s="102"/>
      <c r="CP40" s="1">
        <v>5</v>
      </c>
      <c r="CQ40" s="104">
        <f t="shared" si="222"/>
        <v>0</v>
      </c>
      <c r="CR40" s="102"/>
      <c r="CS40" s="1">
        <v>5</v>
      </c>
      <c r="CT40" s="104">
        <f t="shared" si="223"/>
        <v>0</v>
      </c>
      <c r="CU40" s="102"/>
      <c r="CV40" s="1">
        <v>5</v>
      </c>
      <c r="CW40" s="104">
        <f t="shared" si="224"/>
        <v>0</v>
      </c>
      <c r="CX40" s="102"/>
      <c r="CY40" s="1">
        <v>5</v>
      </c>
      <c r="CZ40" s="104">
        <f t="shared" si="225"/>
        <v>0</v>
      </c>
      <c r="DA40" s="102"/>
      <c r="DB40" s="1">
        <v>5</v>
      </c>
      <c r="DC40" s="104">
        <f t="shared" si="226"/>
        <v>0</v>
      </c>
      <c r="DD40" s="102"/>
      <c r="DE40" s="1">
        <v>5</v>
      </c>
      <c r="DF40" s="104">
        <f t="shared" si="227"/>
        <v>0</v>
      </c>
      <c r="DG40" s="102"/>
      <c r="DH40" s="1">
        <v>5</v>
      </c>
      <c r="DI40" s="104">
        <f t="shared" si="228"/>
        <v>0</v>
      </c>
      <c r="DJ40" s="102"/>
      <c r="DK40" s="1">
        <v>5</v>
      </c>
      <c r="DL40" s="104">
        <f t="shared" si="229"/>
        <v>0</v>
      </c>
      <c r="DM40" s="102"/>
      <c r="DN40" s="1">
        <v>5</v>
      </c>
      <c r="DO40" s="104">
        <f t="shared" si="230"/>
        <v>0</v>
      </c>
      <c r="DP40" s="102"/>
      <c r="DQ40" s="1">
        <v>5</v>
      </c>
      <c r="DR40" s="104">
        <f t="shared" si="231"/>
        <v>0</v>
      </c>
      <c r="DS40" s="102"/>
      <c r="DT40" s="1">
        <v>5</v>
      </c>
      <c r="DU40" s="104">
        <f t="shared" si="232"/>
        <v>0</v>
      </c>
      <c r="DV40" s="102"/>
      <c r="DW40" s="1">
        <v>5</v>
      </c>
      <c r="DX40" s="104">
        <f t="shared" si="233"/>
        <v>0</v>
      </c>
      <c r="DY40" s="102"/>
      <c r="DZ40" s="1">
        <v>5</v>
      </c>
      <c r="EA40" s="104">
        <f t="shared" si="234"/>
        <v>0</v>
      </c>
      <c r="EB40" s="102"/>
      <c r="EC40" s="1">
        <v>5</v>
      </c>
      <c r="ED40" s="104">
        <f t="shared" si="235"/>
        <v>0</v>
      </c>
      <c r="EE40" s="102"/>
      <c r="EF40" s="1">
        <v>5</v>
      </c>
      <c r="EG40" s="104">
        <f t="shared" si="236"/>
        <v>0</v>
      </c>
      <c r="EH40" s="102"/>
      <c r="EI40" s="1">
        <v>5</v>
      </c>
      <c r="EJ40" s="104">
        <f t="shared" si="237"/>
        <v>0</v>
      </c>
      <c r="EK40" s="102"/>
      <c r="EL40" s="1">
        <v>5</v>
      </c>
      <c r="EM40" s="104">
        <f t="shared" si="238"/>
        <v>0</v>
      </c>
      <c r="EN40" s="102"/>
      <c r="EO40" s="1">
        <v>5</v>
      </c>
      <c r="EP40" s="104">
        <f t="shared" si="239"/>
        <v>0</v>
      </c>
      <c r="EQ40" s="85">
        <f t="array" ref="EQ40">IFERROR(_xlfn.LET(
_xlpm.datos,CHOOSE({1;2;3;4;5;6;7;8;9;10;11;12;13;13;14;15;16;17;18;19;20;21;22;23;23;24;25;26;27;28;29;30;31;32;33;34;35;36;37;38;39;40;41;42;43;44;45;46;47},E40,H40,K40,N40,Q40,T40,W40,Z40,AC40,AF40,AI40,AL40,AO40,AR40,AU40,AX40,BA40,BD40,BG40,BJ40,BP40,BS40,BV40,BY40,CB40,CE40,CH40,CK40,CN40,CQ40,CT40,CW40,CZ40,DC40,DF40,DI40,DL40,DO40,DR40,DU40,DX40,EA40,ED40,EG40,EJ40,EM40,EP40),
AVERAGE(_xlfn._xlws.FILTER(_xlpm.datos,(_xlpm.datos&lt;&gt;0)*(_xlpm.datos&lt;&gt;"")))
),0)</f>
        <v>0</v>
      </c>
      <c r="ER40" s="162" t="str">
        <f t="array" ref="ER40">_xlfn.IFS(EQ40&gt;=91.5%,"MENSUAL",EQ40&gt;=75%,"QUINCENAL",EQ40&lt;75%,"SEMANAL")</f>
        <v>SEMANAL</v>
      </c>
    </row>
    <row r="41" ht="22" customHeight="1" spans="1:148" x14ac:dyDescent="0.25">
      <c r="A41" s="279" t="s">
        <v>114</v>
      </c>
      <c r="B41" s="101"/>
      <c r="C41" s="102"/>
      <c r="D41" s="103">
        <v>5</v>
      </c>
      <c r="E41" s="104">
        <f t="shared" si="192"/>
        <v>0</v>
      </c>
      <c r="F41" s="102"/>
      <c r="G41" s="103">
        <v>5</v>
      </c>
      <c r="H41" s="104">
        <f t="shared" si="193"/>
        <v>0</v>
      </c>
      <c r="I41" s="105"/>
      <c r="J41" s="103">
        <v>5</v>
      </c>
      <c r="K41" s="104">
        <f t="shared" si="194"/>
        <v>0</v>
      </c>
      <c r="L41" s="105"/>
      <c r="M41" s="103">
        <v>5</v>
      </c>
      <c r="N41" s="104">
        <f t="shared" si="195"/>
        <v>0</v>
      </c>
      <c r="O41" s="106"/>
      <c r="P41" s="107">
        <v>5</v>
      </c>
      <c r="Q41" s="104">
        <f t="shared" si="196"/>
        <v>0</v>
      </c>
      <c r="R41" s="102"/>
      <c r="S41" s="107">
        <v>5</v>
      </c>
      <c r="T41" s="104">
        <f t="shared" si="197"/>
        <v>0</v>
      </c>
      <c r="U41" s="102"/>
      <c r="V41" s="107">
        <v>5</v>
      </c>
      <c r="W41" s="104">
        <f t="shared" si="198"/>
        <v>0</v>
      </c>
      <c r="X41" s="102"/>
      <c r="Y41" s="107">
        <v>5</v>
      </c>
      <c r="Z41" s="104">
        <f t="shared" si="199"/>
        <v>0</v>
      </c>
      <c r="AA41" s="106"/>
      <c r="AB41" s="107">
        <v>5</v>
      </c>
      <c r="AC41" s="104">
        <f t="shared" si="200"/>
        <v>0</v>
      </c>
      <c r="AD41" s="106"/>
      <c r="AE41" s="107">
        <v>5</v>
      </c>
      <c r="AF41" s="104">
        <f t="shared" si="201"/>
        <v>0</v>
      </c>
      <c r="AG41" s="106"/>
      <c r="AH41" s="107">
        <v>5</v>
      </c>
      <c r="AI41" s="104">
        <f t="shared" si="202"/>
        <v>0</v>
      </c>
      <c r="AJ41" s="106"/>
      <c r="AK41" s="107">
        <v>5</v>
      </c>
      <c r="AL41" s="104">
        <f t="shared" si="203"/>
        <v>0</v>
      </c>
      <c r="AM41" s="102"/>
      <c r="AN41" s="1">
        <v>5</v>
      </c>
      <c r="AO41" s="104">
        <f t="shared" si="204"/>
        <v>0</v>
      </c>
      <c r="AP41" s="102"/>
      <c r="AQ41" s="1">
        <v>5</v>
      </c>
      <c r="AR41" s="104">
        <f t="shared" si="205"/>
        <v>0</v>
      </c>
      <c r="AS41" s="102"/>
      <c r="AT41" s="1">
        <v>5</v>
      </c>
      <c r="AU41" s="104">
        <f t="shared" si="206"/>
        <v>0</v>
      </c>
      <c r="AV41" s="102"/>
      <c r="AW41" s="1">
        <v>5</v>
      </c>
      <c r="AX41" s="104">
        <f t="shared" si="207"/>
        <v>0</v>
      </c>
      <c r="AY41" s="102"/>
      <c r="AZ41" s="1">
        <v>5</v>
      </c>
      <c r="BA41" s="104">
        <f t="shared" si="208"/>
        <v>0</v>
      </c>
      <c r="BB41" s="102"/>
      <c r="BC41" s="1">
        <v>5</v>
      </c>
      <c r="BD41" s="104">
        <f t="shared" si="209"/>
        <v>0</v>
      </c>
      <c r="BE41" s="102"/>
      <c r="BF41" s="1">
        <v>5</v>
      </c>
      <c r="BG41" s="104">
        <f t="shared" si="210"/>
        <v>0</v>
      </c>
      <c r="BH41" s="102"/>
      <c r="BI41" s="1">
        <v>5</v>
      </c>
      <c r="BJ41" s="104">
        <f t="shared" si="211"/>
        <v>0</v>
      </c>
      <c r="BK41" s="102"/>
      <c r="BL41" s="1">
        <v>5</v>
      </c>
      <c r="BM41" s="104">
        <f t="shared" si="212"/>
        <v>0</v>
      </c>
      <c r="BN41" s="102"/>
      <c r="BO41" s="1">
        <v>5</v>
      </c>
      <c r="BP41" s="104">
        <f t="shared" si="213"/>
        <v>0</v>
      </c>
      <c r="BQ41" s="102"/>
      <c r="BR41" s="1">
        <v>5</v>
      </c>
      <c r="BS41" s="104">
        <f t="shared" si="214"/>
        <v>0</v>
      </c>
      <c r="BT41" s="102"/>
      <c r="BU41" s="1">
        <v>5</v>
      </c>
      <c r="BV41" s="104">
        <f t="shared" si="215"/>
        <v>0</v>
      </c>
      <c r="BW41" s="102"/>
      <c r="BX41" s="1">
        <v>5</v>
      </c>
      <c r="BY41" s="104">
        <f t="shared" si="216"/>
        <v>0</v>
      </c>
      <c r="BZ41" s="102"/>
      <c r="CA41" s="1">
        <v>5</v>
      </c>
      <c r="CB41" s="104">
        <f t="shared" si="217"/>
        <v>0</v>
      </c>
      <c r="CC41" s="102"/>
      <c r="CD41" s="1">
        <v>5</v>
      </c>
      <c r="CE41" s="104">
        <f t="shared" si="218"/>
        <v>0</v>
      </c>
      <c r="CF41" s="102"/>
      <c r="CG41" s="1">
        <v>5</v>
      </c>
      <c r="CH41" s="104">
        <f t="shared" si="219"/>
        <v>0</v>
      </c>
      <c r="CI41" s="102"/>
      <c r="CJ41" s="1">
        <v>5</v>
      </c>
      <c r="CK41" s="104">
        <f t="shared" si="220"/>
        <v>0</v>
      </c>
      <c r="CL41" s="102"/>
      <c r="CM41" s="1">
        <v>5</v>
      </c>
      <c r="CN41" s="104">
        <f t="shared" si="221"/>
        <v>0</v>
      </c>
      <c r="CO41" s="102"/>
      <c r="CP41" s="1">
        <v>5</v>
      </c>
      <c r="CQ41" s="104">
        <f t="shared" si="222"/>
        <v>0</v>
      </c>
      <c r="CR41" s="102"/>
      <c r="CS41" s="1">
        <v>5</v>
      </c>
      <c r="CT41" s="104">
        <f t="shared" si="223"/>
        <v>0</v>
      </c>
      <c r="CU41" s="102"/>
      <c r="CV41" s="1">
        <v>5</v>
      </c>
      <c r="CW41" s="104">
        <f t="shared" si="224"/>
        <v>0</v>
      </c>
      <c r="CX41" s="102"/>
      <c r="CY41" s="1">
        <v>5</v>
      </c>
      <c r="CZ41" s="104">
        <f t="shared" si="225"/>
        <v>0</v>
      </c>
      <c r="DA41" s="102"/>
      <c r="DB41" s="1">
        <v>5</v>
      </c>
      <c r="DC41" s="104">
        <f t="shared" si="226"/>
        <v>0</v>
      </c>
      <c r="DD41" s="102"/>
      <c r="DE41" s="1">
        <v>5</v>
      </c>
      <c r="DF41" s="104">
        <f t="shared" si="227"/>
        <v>0</v>
      </c>
      <c r="DG41" s="102"/>
      <c r="DH41" s="1">
        <v>5</v>
      </c>
      <c r="DI41" s="104">
        <f t="shared" si="228"/>
        <v>0</v>
      </c>
      <c r="DJ41" s="102"/>
      <c r="DK41" s="1">
        <v>5</v>
      </c>
      <c r="DL41" s="104">
        <f t="shared" si="229"/>
        <v>0</v>
      </c>
      <c r="DM41" s="102"/>
      <c r="DN41" s="1">
        <v>5</v>
      </c>
      <c r="DO41" s="104">
        <f t="shared" si="230"/>
        <v>0</v>
      </c>
      <c r="DP41" s="102"/>
      <c r="DQ41" s="1">
        <v>5</v>
      </c>
      <c r="DR41" s="104">
        <f t="shared" si="231"/>
        <v>0</v>
      </c>
      <c r="DS41" s="102"/>
      <c r="DT41" s="1">
        <v>5</v>
      </c>
      <c r="DU41" s="104">
        <f t="shared" si="232"/>
        <v>0</v>
      </c>
      <c r="DV41" s="102"/>
      <c r="DW41" s="1">
        <v>5</v>
      </c>
      <c r="DX41" s="104">
        <f t="shared" si="233"/>
        <v>0</v>
      </c>
      <c r="DY41" s="102"/>
      <c r="DZ41" s="1">
        <v>5</v>
      </c>
      <c r="EA41" s="104">
        <f t="shared" si="234"/>
        <v>0</v>
      </c>
      <c r="EB41" s="102"/>
      <c r="EC41" s="1">
        <v>5</v>
      </c>
      <c r="ED41" s="104">
        <f t="shared" si="235"/>
        <v>0</v>
      </c>
      <c r="EE41" s="102"/>
      <c r="EF41" s="1">
        <v>5</v>
      </c>
      <c r="EG41" s="104">
        <f t="shared" si="236"/>
        <v>0</v>
      </c>
      <c r="EH41" s="102"/>
      <c r="EI41" s="1">
        <v>5</v>
      </c>
      <c r="EJ41" s="104">
        <f t="shared" si="237"/>
        <v>0</v>
      </c>
      <c r="EK41" s="102"/>
      <c r="EL41" s="1">
        <v>5</v>
      </c>
      <c r="EM41" s="104">
        <f t="shared" si="238"/>
        <v>0</v>
      </c>
      <c r="EN41" s="102"/>
      <c r="EO41" s="1">
        <v>5</v>
      </c>
      <c r="EP41" s="104">
        <f t="shared" si="239"/>
        <v>0</v>
      </c>
      <c r="EQ41" s="85">
        <f t="array" ref="EQ41">IFERROR(_xlfn.LET(
_xlpm.datos,CHOOSE({1;2;3;4;5;6;7;8;9;10;11;12;13;13;14;15;16;17;18;19;20;21;22;23;23;24;25;26;27;28;29;30;31;32;33;34;35;36;37;38;39;40;41;42;43;44;45;46;47},E41,H41,K41,N41,Q41,T41,W41,Z41,AC41,AF41,AI41,AL41,AO41,AR41,AU41,AX41,BA41,BD41,BG41,BJ41,BP41,BS41,BV41,BY41,CB41,CE41,CH41,CK41,CN41,CQ41,CT41,CW41,CZ41,DC41,DF41,DI41,DL41,DO41,DR41,DU41,DX41,EA41,ED41,EG41,EJ41,EM41,EP41),
AVERAGE(_xlfn._xlws.FILTER(_xlpm.datos,(_xlpm.datos&lt;&gt;0)*(_xlpm.datos&lt;&gt;"")))
),0)</f>
        <v>0</v>
      </c>
      <c r="ER41" s="162" t="str">
        <f t="array" ref="ER41">_xlfn.IFS(EQ41&gt;=91.5%,"MENSUAL",EQ41&gt;=75%,"QUINCENAL",EQ41&lt;75%,"SEMANAL")</f>
        <v>SEMANAL</v>
      </c>
    </row>
    <row r="42" ht="26.5" customHeight="1" spans="1:148" x14ac:dyDescent="0.25">
      <c r="A42" s="280" t="s">
        <v>116</v>
      </c>
      <c r="B42" s="101"/>
      <c r="C42" s="102"/>
      <c r="D42" s="103">
        <v>5</v>
      </c>
      <c r="E42" s="104">
        <f t="shared" si="192"/>
        <v>0</v>
      </c>
      <c r="F42" s="102"/>
      <c r="G42" s="103">
        <v>5</v>
      </c>
      <c r="H42" s="104">
        <f t="shared" si="193"/>
        <v>0</v>
      </c>
      <c r="I42" s="105"/>
      <c r="J42" s="103">
        <v>5</v>
      </c>
      <c r="K42" s="104">
        <f t="shared" si="194"/>
        <v>0</v>
      </c>
      <c r="L42" s="105"/>
      <c r="M42" s="103">
        <v>5</v>
      </c>
      <c r="N42" s="104">
        <f t="shared" si="195"/>
        <v>0</v>
      </c>
      <c r="O42" s="106"/>
      <c r="P42" s="107">
        <v>5</v>
      </c>
      <c r="Q42" s="104">
        <f t="shared" si="196"/>
        <v>0</v>
      </c>
      <c r="R42" s="102"/>
      <c r="S42" s="107">
        <v>5</v>
      </c>
      <c r="T42" s="104">
        <f t="shared" si="197"/>
        <v>0</v>
      </c>
      <c r="U42" s="102"/>
      <c r="V42" s="107">
        <v>5</v>
      </c>
      <c r="W42" s="104">
        <f t="shared" si="198"/>
        <v>0</v>
      </c>
      <c r="X42" s="102"/>
      <c r="Y42" s="107">
        <v>5</v>
      </c>
      <c r="Z42" s="104">
        <f t="shared" si="199"/>
        <v>0</v>
      </c>
      <c r="AA42" s="106"/>
      <c r="AB42" s="107">
        <v>5</v>
      </c>
      <c r="AC42" s="104">
        <f t="shared" si="200"/>
        <v>0</v>
      </c>
      <c r="AD42" s="106"/>
      <c r="AE42" s="107">
        <v>5</v>
      </c>
      <c r="AF42" s="104">
        <f t="shared" si="201"/>
        <v>0</v>
      </c>
      <c r="AG42" s="106"/>
      <c r="AH42" s="107">
        <v>5</v>
      </c>
      <c r="AI42" s="104">
        <f t="shared" si="202"/>
        <v>0</v>
      </c>
      <c r="AJ42" s="106"/>
      <c r="AK42" s="107">
        <v>5</v>
      </c>
      <c r="AL42" s="104">
        <f t="shared" si="203"/>
        <v>0</v>
      </c>
      <c r="AM42" s="102"/>
      <c r="AN42" s="1">
        <v>5</v>
      </c>
      <c r="AO42" s="104">
        <f t="shared" si="204"/>
        <v>0</v>
      </c>
      <c r="AP42" s="102"/>
      <c r="AQ42" s="1">
        <v>5</v>
      </c>
      <c r="AR42" s="104">
        <f t="shared" si="205"/>
        <v>0</v>
      </c>
      <c r="AS42" s="102"/>
      <c r="AT42" s="1">
        <v>5</v>
      </c>
      <c r="AU42" s="104">
        <f t="shared" si="206"/>
        <v>0</v>
      </c>
      <c r="AV42" s="102"/>
      <c r="AW42" s="1">
        <v>5</v>
      </c>
      <c r="AX42" s="104">
        <f t="shared" si="207"/>
        <v>0</v>
      </c>
      <c r="AY42" s="102"/>
      <c r="AZ42" s="1">
        <v>5</v>
      </c>
      <c r="BA42" s="104">
        <f t="shared" si="208"/>
        <v>0</v>
      </c>
      <c r="BB42" s="102"/>
      <c r="BC42" s="1">
        <v>5</v>
      </c>
      <c r="BD42" s="104">
        <f t="shared" si="209"/>
        <v>0</v>
      </c>
      <c r="BE42" s="102"/>
      <c r="BF42" s="1">
        <v>5</v>
      </c>
      <c r="BG42" s="104">
        <f t="shared" si="210"/>
        <v>0</v>
      </c>
      <c r="BH42" s="102"/>
      <c r="BI42" s="1">
        <v>5</v>
      </c>
      <c r="BJ42" s="104">
        <f t="shared" si="211"/>
        <v>0</v>
      </c>
      <c r="BK42" s="102"/>
      <c r="BL42" s="1">
        <v>5</v>
      </c>
      <c r="BM42" s="104">
        <f t="shared" si="212"/>
        <v>0</v>
      </c>
      <c r="BN42" s="102"/>
      <c r="BO42" s="1">
        <v>5</v>
      </c>
      <c r="BP42" s="104">
        <f t="shared" si="213"/>
        <v>0</v>
      </c>
      <c r="BQ42" s="102"/>
      <c r="BR42" s="1">
        <v>5</v>
      </c>
      <c r="BS42" s="104">
        <f t="shared" si="214"/>
        <v>0</v>
      </c>
      <c r="BT42" s="102"/>
      <c r="BU42" s="1">
        <v>5</v>
      </c>
      <c r="BV42" s="104">
        <f t="shared" si="215"/>
        <v>0</v>
      </c>
      <c r="BW42" s="102"/>
      <c r="BX42" s="1">
        <v>5</v>
      </c>
      <c r="BY42" s="104">
        <f t="shared" si="216"/>
        <v>0</v>
      </c>
      <c r="BZ42" s="102"/>
      <c r="CA42" s="1">
        <v>5</v>
      </c>
      <c r="CB42" s="104">
        <f t="shared" si="217"/>
        <v>0</v>
      </c>
      <c r="CC42" s="102"/>
      <c r="CD42" s="1">
        <v>5</v>
      </c>
      <c r="CE42" s="104">
        <f t="shared" si="218"/>
        <v>0</v>
      </c>
      <c r="CF42" s="102"/>
      <c r="CG42" s="1">
        <v>5</v>
      </c>
      <c r="CH42" s="104">
        <f t="shared" si="219"/>
        <v>0</v>
      </c>
      <c r="CI42" s="102"/>
      <c r="CJ42" s="1">
        <v>5</v>
      </c>
      <c r="CK42" s="104">
        <f t="shared" si="220"/>
        <v>0</v>
      </c>
      <c r="CL42" s="102"/>
      <c r="CM42" s="1">
        <v>5</v>
      </c>
      <c r="CN42" s="104">
        <f t="shared" si="221"/>
        <v>0</v>
      </c>
      <c r="CO42" s="102"/>
      <c r="CP42" s="1">
        <v>5</v>
      </c>
      <c r="CQ42" s="104">
        <f t="shared" si="222"/>
        <v>0</v>
      </c>
      <c r="CR42" s="102"/>
      <c r="CS42" s="1">
        <v>5</v>
      </c>
      <c r="CT42" s="104">
        <f t="shared" si="223"/>
        <v>0</v>
      </c>
      <c r="CU42" s="102"/>
      <c r="CV42" s="1">
        <v>5</v>
      </c>
      <c r="CW42" s="104">
        <f t="shared" si="224"/>
        <v>0</v>
      </c>
      <c r="CX42" s="102"/>
      <c r="CY42" s="1">
        <v>5</v>
      </c>
      <c r="CZ42" s="104">
        <f t="shared" si="225"/>
        <v>0</v>
      </c>
      <c r="DA42" s="102"/>
      <c r="DB42" s="1">
        <v>5</v>
      </c>
      <c r="DC42" s="104">
        <f t="shared" si="226"/>
        <v>0</v>
      </c>
      <c r="DD42" s="102"/>
      <c r="DE42" s="1">
        <v>5</v>
      </c>
      <c r="DF42" s="104">
        <f t="shared" si="227"/>
        <v>0</v>
      </c>
      <c r="DG42" s="102"/>
      <c r="DH42" s="1">
        <v>5</v>
      </c>
      <c r="DI42" s="104">
        <f t="shared" si="228"/>
        <v>0</v>
      </c>
      <c r="DJ42" s="102"/>
      <c r="DK42" s="1">
        <v>5</v>
      </c>
      <c r="DL42" s="104">
        <f t="shared" si="229"/>
        <v>0</v>
      </c>
      <c r="DM42" s="102"/>
      <c r="DN42" s="1">
        <v>5</v>
      </c>
      <c r="DO42" s="104">
        <f t="shared" si="230"/>
        <v>0</v>
      </c>
      <c r="DP42" s="102"/>
      <c r="DQ42" s="1">
        <v>5</v>
      </c>
      <c r="DR42" s="104">
        <f t="shared" si="231"/>
        <v>0</v>
      </c>
      <c r="DS42" s="102"/>
      <c r="DT42" s="1">
        <v>5</v>
      </c>
      <c r="DU42" s="104">
        <f t="shared" si="232"/>
        <v>0</v>
      </c>
      <c r="DV42" s="102"/>
      <c r="DW42" s="1">
        <v>5</v>
      </c>
      <c r="DX42" s="104">
        <f t="shared" si="233"/>
        <v>0</v>
      </c>
      <c r="DY42" s="102"/>
      <c r="DZ42" s="1">
        <v>5</v>
      </c>
      <c r="EA42" s="104">
        <f t="shared" si="234"/>
        <v>0</v>
      </c>
      <c r="EB42" s="102"/>
      <c r="EC42" s="1">
        <v>5</v>
      </c>
      <c r="ED42" s="104">
        <f t="shared" si="235"/>
        <v>0</v>
      </c>
      <c r="EE42" s="102"/>
      <c r="EF42" s="1">
        <v>5</v>
      </c>
      <c r="EG42" s="104">
        <f t="shared" si="236"/>
        <v>0</v>
      </c>
      <c r="EH42" s="102"/>
      <c r="EI42" s="1">
        <v>5</v>
      </c>
      <c r="EJ42" s="104">
        <f t="shared" si="237"/>
        <v>0</v>
      </c>
      <c r="EK42" s="102"/>
      <c r="EL42" s="1">
        <v>5</v>
      </c>
      <c r="EM42" s="104">
        <f t="shared" si="238"/>
        <v>0</v>
      </c>
      <c r="EN42" s="102"/>
      <c r="EO42" s="1">
        <v>5</v>
      </c>
      <c r="EP42" s="104">
        <f t="shared" si="239"/>
        <v>0</v>
      </c>
      <c r="EQ42" s="85">
        <f t="array" ref="EQ42">IFERROR(_xlfn.LET(
_xlpm.datos,CHOOSE({1;2;3;4;5;6;7;8;9;10;11;12;13;13;14;15;16;17;18;19;20;21;22;23;23;24;25;26;27;28;29;30;31;32;33;34;35;36;37;38;39;40;41;42;43;44;45;46;47},E42,H42,K42,N42,Q42,T42,W42,Z42,AC42,AF42,AI42,AL42,AO42,AR42,AU42,AX42,BA42,BD42,BG42,BJ42,BP42,BS42,BV42,BY42,CB42,CE42,CH42,CK42,CN42,CQ42,CT42,CW42,CZ42,DC42,DF42,DI42,DL42,DO42,DR42,DU42,DX42,EA42,ED42,EG42,EJ42,EM42,EP42),
AVERAGE(_xlfn._xlws.FILTER(_xlpm.datos,(_xlpm.datos&lt;&gt;0)*(_xlpm.datos&lt;&gt;"")))
),0)</f>
        <v>0</v>
      </c>
      <c r="ER42" s="162" t="str">
        <f t="array" ref="ER42">_xlfn.IFS(EQ42&gt;=91.5%,"MENSUAL",EQ42&gt;=75%,"QUINCENAL",EQ42&lt;75%,"SEMANAL")</f>
        <v>SEMANAL</v>
      </c>
    </row>
    <row r="43" ht="15" customHeight="1" spans="1:148" x14ac:dyDescent="0.25">
      <c r="A43" s="100" t="s">
        <v>229</v>
      </c>
      <c r="B43" s="101"/>
      <c r="C43" s="102"/>
      <c r="D43" s="103">
        <v>5</v>
      </c>
      <c r="E43" s="104">
        <f t="shared" si="192"/>
        <v>0</v>
      </c>
      <c r="F43" s="102"/>
      <c r="G43" s="103">
        <v>5</v>
      </c>
      <c r="H43" s="104">
        <f t="shared" si="193"/>
        <v>0</v>
      </c>
      <c r="I43" s="105"/>
      <c r="J43" s="103">
        <v>5</v>
      </c>
      <c r="K43" s="104">
        <f t="shared" si="194"/>
        <v>0</v>
      </c>
      <c r="L43" s="105"/>
      <c r="M43" s="103">
        <v>5</v>
      </c>
      <c r="N43" s="104">
        <f t="shared" si="195"/>
        <v>0</v>
      </c>
      <c r="O43" s="106"/>
      <c r="P43" s="107">
        <v>5</v>
      </c>
      <c r="Q43" s="104">
        <f t="shared" si="196"/>
        <v>0</v>
      </c>
      <c r="R43" s="102"/>
      <c r="S43" s="107">
        <v>5</v>
      </c>
      <c r="T43" s="104">
        <f t="shared" si="197"/>
        <v>0</v>
      </c>
      <c r="U43" s="102"/>
      <c r="V43" s="107">
        <v>5</v>
      </c>
      <c r="W43" s="104">
        <f t="shared" si="198"/>
        <v>0</v>
      </c>
      <c r="X43" s="102"/>
      <c r="Y43" s="107">
        <v>5</v>
      </c>
      <c r="Z43" s="104">
        <f t="shared" si="199"/>
        <v>0</v>
      </c>
      <c r="AA43" s="106"/>
      <c r="AB43" s="107">
        <v>5</v>
      </c>
      <c r="AC43" s="104">
        <f t="shared" si="200"/>
        <v>0</v>
      </c>
      <c r="AD43" s="106"/>
      <c r="AE43" s="107">
        <v>5</v>
      </c>
      <c r="AF43" s="104">
        <f t="shared" si="201"/>
        <v>0</v>
      </c>
      <c r="AG43" s="106"/>
      <c r="AH43" s="107">
        <v>5</v>
      </c>
      <c r="AI43" s="104">
        <f t="shared" si="202"/>
        <v>0</v>
      </c>
      <c r="AJ43" s="106"/>
      <c r="AK43" s="107">
        <v>5</v>
      </c>
      <c r="AL43" s="104">
        <f t="shared" si="203"/>
        <v>0</v>
      </c>
      <c r="AM43" s="102"/>
      <c r="AN43" s="1">
        <v>5</v>
      </c>
      <c r="AO43" s="104">
        <f t="shared" si="204"/>
        <v>0</v>
      </c>
      <c r="AP43" s="102"/>
      <c r="AQ43" s="1">
        <v>5</v>
      </c>
      <c r="AR43" s="104">
        <f t="shared" si="205"/>
        <v>0</v>
      </c>
      <c r="AS43" s="102"/>
      <c r="AT43" s="1">
        <v>5</v>
      </c>
      <c r="AU43" s="104">
        <f t="shared" si="206"/>
        <v>0</v>
      </c>
      <c r="AV43" s="102"/>
      <c r="AW43" s="1">
        <v>5</v>
      </c>
      <c r="AX43" s="104">
        <f t="shared" si="207"/>
        <v>0</v>
      </c>
      <c r="AY43" s="102"/>
      <c r="AZ43" s="1">
        <v>5</v>
      </c>
      <c r="BA43" s="104">
        <f t="shared" si="208"/>
        <v>0</v>
      </c>
      <c r="BB43" s="102"/>
      <c r="BC43" s="1">
        <v>5</v>
      </c>
      <c r="BD43" s="104">
        <f t="shared" si="209"/>
        <v>0</v>
      </c>
      <c r="BE43" s="102"/>
      <c r="BF43" s="1">
        <v>5</v>
      </c>
      <c r="BG43" s="104">
        <f t="shared" si="210"/>
        <v>0</v>
      </c>
      <c r="BH43" s="102"/>
      <c r="BI43" s="1">
        <v>5</v>
      </c>
      <c r="BJ43" s="104">
        <f t="shared" si="211"/>
        <v>0</v>
      </c>
      <c r="BK43" s="102"/>
      <c r="BL43" s="1">
        <v>5</v>
      </c>
      <c r="BM43" s="104">
        <f t="shared" si="212"/>
        <v>0</v>
      </c>
      <c r="BN43" s="102"/>
      <c r="BO43" s="1">
        <v>5</v>
      </c>
      <c r="BP43" s="104">
        <f t="shared" si="213"/>
        <v>0</v>
      </c>
      <c r="BQ43" s="102"/>
      <c r="BR43" s="1">
        <v>5</v>
      </c>
      <c r="BS43" s="104">
        <f t="shared" si="214"/>
        <v>0</v>
      </c>
      <c r="BT43" s="102"/>
      <c r="BU43" s="1">
        <v>5</v>
      </c>
      <c r="BV43" s="104">
        <f t="shared" si="215"/>
        <v>0</v>
      </c>
      <c r="BW43" s="102"/>
      <c r="BX43" s="1">
        <v>5</v>
      </c>
      <c r="BY43" s="104">
        <f t="shared" si="216"/>
        <v>0</v>
      </c>
      <c r="BZ43" s="102"/>
      <c r="CA43" s="1">
        <v>5</v>
      </c>
      <c r="CB43" s="104">
        <f t="shared" si="217"/>
        <v>0</v>
      </c>
      <c r="CC43" s="102"/>
      <c r="CD43" s="1">
        <v>5</v>
      </c>
      <c r="CE43" s="104">
        <f t="shared" si="218"/>
        <v>0</v>
      </c>
      <c r="CF43" s="102"/>
      <c r="CG43" s="1">
        <v>5</v>
      </c>
      <c r="CH43" s="104">
        <f t="shared" si="219"/>
        <v>0</v>
      </c>
      <c r="CI43" s="102"/>
      <c r="CJ43" s="1">
        <v>5</v>
      </c>
      <c r="CK43" s="104">
        <f t="shared" si="220"/>
        <v>0</v>
      </c>
      <c r="CL43" s="102"/>
      <c r="CM43" s="1">
        <v>5</v>
      </c>
      <c r="CN43" s="104">
        <f t="shared" si="221"/>
        <v>0</v>
      </c>
      <c r="CO43" s="102"/>
      <c r="CP43" s="1">
        <v>5</v>
      </c>
      <c r="CQ43" s="104">
        <f t="shared" si="222"/>
        <v>0</v>
      </c>
      <c r="CR43" s="102"/>
      <c r="CS43" s="1">
        <v>5</v>
      </c>
      <c r="CT43" s="104">
        <f t="shared" si="223"/>
        <v>0</v>
      </c>
      <c r="CU43" s="102"/>
      <c r="CV43" s="1">
        <v>5</v>
      </c>
      <c r="CW43" s="104">
        <f t="shared" si="224"/>
        <v>0</v>
      </c>
      <c r="CX43" s="102"/>
      <c r="CY43" s="1">
        <v>5</v>
      </c>
      <c r="CZ43" s="104">
        <f t="shared" si="225"/>
        <v>0</v>
      </c>
      <c r="DA43" s="102"/>
      <c r="DB43" s="1">
        <v>5</v>
      </c>
      <c r="DC43" s="104">
        <f t="shared" si="226"/>
        <v>0</v>
      </c>
      <c r="DD43" s="102"/>
      <c r="DE43" s="1">
        <v>5</v>
      </c>
      <c r="DF43" s="104">
        <f t="shared" si="227"/>
        <v>0</v>
      </c>
      <c r="DG43" s="102"/>
      <c r="DH43" s="1">
        <v>5</v>
      </c>
      <c r="DI43" s="104">
        <f t="shared" si="228"/>
        <v>0</v>
      </c>
      <c r="DJ43" s="102"/>
      <c r="DK43" s="1">
        <v>5</v>
      </c>
      <c r="DL43" s="104">
        <f t="shared" si="229"/>
        <v>0</v>
      </c>
      <c r="DM43" s="102"/>
      <c r="DN43" s="1">
        <v>5</v>
      </c>
      <c r="DO43" s="104">
        <f t="shared" si="230"/>
        <v>0</v>
      </c>
      <c r="DP43" s="102"/>
      <c r="DQ43" s="1">
        <v>5</v>
      </c>
      <c r="DR43" s="104">
        <f t="shared" si="231"/>
        <v>0</v>
      </c>
      <c r="DS43" s="102"/>
      <c r="DT43" s="1">
        <v>5</v>
      </c>
      <c r="DU43" s="104">
        <f t="shared" si="232"/>
        <v>0</v>
      </c>
      <c r="DV43" s="102"/>
      <c r="DW43" s="1">
        <v>5</v>
      </c>
      <c r="DX43" s="104">
        <f t="shared" si="233"/>
        <v>0</v>
      </c>
      <c r="DY43" s="102"/>
      <c r="DZ43" s="1">
        <v>5</v>
      </c>
      <c r="EA43" s="104">
        <f t="shared" si="234"/>
        <v>0</v>
      </c>
      <c r="EB43" s="102"/>
      <c r="EC43" s="1">
        <v>5</v>
      </c>
      <c r="ED43" s="104">
        <f t="shared" si="235"/>
        <v>0</v>
      </c>
      <c r="EE43" s="102"/>
      <c r="EF43" s="1">
        <v>5</v>
      </c>
      <c r="EG43" s="104">
        <f t="shared" si="236"/>
        <v>0</v>
      </c>
      <c r="EH43" s="102"/>
      <c r="EI43" s="1">
        <v>5</v>
      </c>
      <c r="EJ43" s="104">
        <f t="shared" si="237"/>
        <v>0</v>
      </c>
      <c r="EK43" s="102"/>
      <c r="EL43" s="1">
        <v>5</v>
      </c>
      <c r="EM43" s="104">
        <f t="shared" si="238"/>
        <v>0</v>
      </c>
      <c r="EN43" s="102"/>
      <c r="EO43" s="1">
        <v>5</v>
      </c>
      <c r="EP43" s="104">
        <f t="shared" si="239"/>
        <v>0</v>
      </c>
      <c r="EQ43" s="85">
        <f t="array" ref="EQ43">IFERROR(_xlfn.LET(
_xlpm.datos,CHOOSE({1;2;3;4;5;6;7;8;9;10;11;12;13;13;14;15;16;17;18;19;20;21;22;23;23;24;25;26;27;28;29;30;31;32;33;34;35;36;37;38;39;40;41;42;43;44;45;46;47},E43,H43,K43,N43,Q43,T43,W43,Z43,AC43,AF43,AI43,AL43,AO43,AR43,AU43,AX43,BA43,BD43,BG43,BJ43,BP43,BS43,BV43,BY43,CB43,CE43,CH43,CK43,CN43,CQ43,CT43,CW43,CZ43,DC43,DF43,DI43,DL43,DO43,DR43,DU43,DX43,EA43,ED43,EG43,EJ43,EM43,EP43),
AVERAGE(_xlfn._xlws.FILTER(_xlpm.datos,(_xlpm.datos&lt;&gt;0)*(_xlpm.datos&lt;&gt;"")))
),0)</f>
        <v>0</v>
      </c>
      <c r="ER43" s="162" t="str">
        <f t="array" ref="ER43">_xlfn.IFS(EQ43&gt;=91.5%,"MENSUAL",EQ43&gt;=75%,"QUINCENAL",EQ43&lt;75%,"SEMANAL")</f>
        <v>SEMANAL</v>
      </c>
    </row>
    <row r="44" ht="15" customHeight="1" spans="1:148" x14ac:dyDescent="0.25">
      <c r="A44" s="100" t="s">
        <v>152</v>
      </c>
      <c r="B44" s="101"/>
      <c r="C44" s="102"/>
      <c r="D44" s="103">
        <v>5</v>
      </c>
      <c r="E44" s="104">
        <f t="shared" si="192"/>
        <v>0</v>
      </c>
      <c r="F44" s="102"/>
      <c r="G44" s="103">
        <v>5</v>
      </c>
      <c r="H44" s="104">
        <f t="shared" si="193"/>
        <v>0</v>
      </c>
      <c r="I44" s="105"/>
      <c r="J44" s="103">
        <v>5</v>
      </c>
      <c r="K44" s="104">
        <f t="shared" si="194"/>
        <v>0</v>
      </c>
      <c r="L44" s="105"/>
      <c r="M44" s="103">
        <v>5</v>
      </c>
      <c r="N44" s="104">
        <f t="shared" si="195"/>
        <v>0</v>
      </c>
      <c r="O44" s="106"/>
      <c r="P44" s="107">
        <v>5</v>
      </c>
      <c r="Q44" s="104">
        <f t="shared" si="196"/>
        <v>0</v>
      </c>
      <c r="R44" s="102"/>
      <c r="S44" s="107">
        <v>5</v>
      </c>
      <c r="T44" s="104">
        <f t="shared" si="197"/>
        <v>0</v>
      </c>
      <c r="U44" s="102"/>
      <c r="V44" s="107">
        <v>5</v>
      </c>
      <c r="W44" s="104">
        <f t="shared" si="198"/>
        <v>0</v>
      </c>
      <c r="X44" s="102"/>
      <c r="Y44" s="107">
        <v>5</v>
      </c>
      <c r="Z44" s="104">
        <f t="shared" si="199"/>
        <v>0</v>
      </c>
      <c r="AA44" s="106"/>
      <c r="AB44" s="107">
        <v>5</v>
      </c>
      <c r="AC44" s="104">
        <f t="shared" si="200"/>
        <v>0</v>
      </c>
      <c r="AD44" s="106"/>
      <c r="AE44" s="107">
        <v>5</v>
      </c>
      <c r="AF44" s="104">
        <f t="shared" si="201"/>
        <v>0</v>
      </c>
      <c r="AG44" s="106"/>
      <c r="AH44" s="107">
        <v>5</v>
      </c>
      <c r="AI44" s="104">
        <f t="shared" si="202"/>
        <v>0</v>
      </c>
      <c r="AJ44" s="106"/>
      <c r="AK44" s="107">
        <v>5</v>
      </c>
      <c r="AL44" s="104">
        <f t="shared" si="203"/>
        <v>0</v>
      </c>
      <c r="AM44" s="102"/>
      <c r="AN44" s="1">
        <v>5</v>
      </c>
      <c r="AO44" s="104">
        <f t="shared" si="204"/>
        <v>0</v>
      </c>
      <c r="AP44" s="102"/>
      <c r="AQ44" s="1">
        <v>5</v>
      </c>
      <c r="AR44" s="104">
        <f t="shared" si="205"/>
        <v>0</v>
      </c>
      <c r="AS44" s="102"/>
      <c r="AT44" s="1">
        <v>5</v>
      </c>
      <c r="AU44" s="104">
        <f t="shared" si="206"/>
        <v>0</v>
      </c>
      <c r="AV44" s="102"/>
      <c r="AW44" s="1">
        <v>5</v>
      </c>
      <c r="AX44" s="104">
        <f t="shared" si="207"/>
        <v>0</v>
      </c>
      <c r="AY44" s="102"/>
      <c r="AZ44" s="1">
        <v>5</v>
      </c>
      <c r="BA44" s="104">
        <f t="shared" si="208"/>
        <v>0</v>
      </c>
      <c r="BB44" s="102"/>
      <c r="BC44" s="1">
        <v>5</v>
      </c>
      <c r="BD44" s="104">
        <f t="shared" si="209"/>
        <v>0</v>
      </c>
      <c r="BE44" s="102"/>
      <c r="BF44" s="1">
        <v>5</v>
      </c>
      <c r="BG44" s="104">
        <f t="shared" si="210"/>
        <v>0</v>
      </c>
      <c r="BH44" s="102"/>
      <c r="BI44" s="1">
        <v>5</v>
      </c>
      <c r="BJ44" s="104">
        <f t="shared" si="211"/>
        <v>0</v>
      </c>
      <c r="BK44" s="102"/>
      <c r="BL44" s="1">
        <v>5</v>
      </c>
      <c r="BM44" s="104">
        <f t="shared" si="212"/>
        <v>0</v>
      </c>
      <c r="BN44" s="102"/>
      <c r="BO44" s="1">
        <v>5</v>
      </c>
      <c r="BP44" s="104">
        <f t="shared" si="213"/>
        <v>0</v>
      </c>
      <c r="BQ44" s="102"/>
      <c r="BR44" s="1">
        <v>5</v>
      </c>
      <c r="BS44" s="104">
        <f t="shared" si="214"/>
        <v>0</v>
      </c>
      <c r="BT44" s="102"/>
      <c r="BU44" s="1">
        <v>5</v>
      </c>
      <c r="BV44" s="104">
        <f t="shared" si="215"/>
        <v>0</v>
      </c>
      <c r="BW44" s="102"/>
      <c r="BX44" s="1">
        <v>5</v>
      </c>
      <c r="BY44" s="104">
        <f t="shared" si="216"/>
        <v>0</v>
      </c>
      <c r="BZ44" s="102"/>
      <c r="CA44" s="1">
        <v>5</v>
      </c>
      <c r="CB44" s="104">
        <f t="shared" si="217"/>
        <v>0</v>
      </c>
      <c r="CC44" s="102"/>
      <c r="CD44" s="1">
        <v>5</v>
      </c>
      <c r="CE44" s="104">
        <f t="shared" si="218"/>
        <v>0</v>
      </c>
      <c r="CF44" s="102"/>
      <c r="CG44" s="1">
        <v>5</v>
      </c>
      <c r="CH44" s="104">
        <f t="shared" si="219"/>
        <v>0</v>
      </c>
      <c r="CI44" s="102"/>
      <c r="CJ44" s="1">
        <v>5</v>
      </c>
      <c r="CK44" s="104">
        <f t="shared" si="220"/>
        <v>0</v>
      </c>
      <c r="CL44" s="102"/>
      <c r="CM44" s="1">
        <v>5</v>
      </c>
      <c r="CN44" s="104">
        <f t="shared" si="221"/>
        <v>0</v>
      </c>
      <c r="CO44" s="102"/>
      <c r="CP44" s="1">
        <v>5</v>
      </c>
      <c r="CQ44" s="104">
        <f t="shared" si="222"/>
        <v>0</v>
      </c>
      <c r="CR44" s="102"/>
      <c r="CS44" s="1">
        <v>5</v>
      </c>
      <c r="CT44" s="104">
        <f t="shared" si="223"/>
        <v>0</v>
      </c>
      <c r="CU44" s="102"/>
      <c r="CV44" s="1">
        <v>5</v>
      </c>
      <c r="CW44" s="104">
        <f t="shared" si="224"/>
        <v>0</v>
      </c>
      <c r="CX44" s="102"/>
      <c r="CY44" s="1">
        <v>5</v>
      </c>
      <c r="CZ44" s="104">
        <f t="shared" si="225"/>
        <v>0</v>
      </c>
      <c r="DA44" s="102"/>
      <c r="DB44" s="1">
        <v>5</v>
      </c>
      <c r="DC44" s="104">
        <f t="shared" si="226"/>
        <v>0</v>
      </c>
      <c r="DD44" s="102"/>
      <c r="DE44" s="1">
        <v>5</v>
      </c>
      <c r="DF44" s="104">
        <f t="shared" si="227"/>
        <v>0</v>
      </c>
      <c r="DG44" s="102"/>
      <c r="DH44" s="1">
        <v>5</v>
      </c>
      <c r="DI44" s="104">
        <f t="shared" si="228"/>
        <v>0</v>
      </c>
      <c r="DJ44" s="102"/>
      <c r="DK44" s="1">
        <v>5</v>
      </c>
      <c r="DL44" s="104">
        <f t="shared" si="229"/>
        <v>0</v>
      </c>
      <c r="DM44" s="102"/>
      <c r="DN44" s="1">
        <v>5</v>
      </c>
      <c r="DO44" s="104">
        <f t="shared" si="230"/>
        <v>0</v>
      </c>
      <c r="DP44" s="102"/>
      <c r="DQ44" s="1">
        <v>5</v>
      </c>
      <c r="DR44" s="104">
        <f t="shared" si="231"/>
        <v>0</v>
      </c>
      <c r="DS44" s="102"/>
      <c r="DT44" s="1">
        <v>5</v>
      </c>
      <c r="DU44" s="104">
        <f t="shared" si="232"/>
        <v>0</v>
      </c>
      <c r="DV44" s="102"/>
      <c r="DW44" s="1">
        <v>5</v>
      </c>
      <c r="DX44" s="104">
        <f t="shared" si="233"/>
        <v>0</v>
      </c>
      <c r="DY44" s="102"/>
      <c r="DZ44" s="1">
        <v>5</v>
      </c>
      <c r="EA44" s="104">
        <f t="shared" si="234"/>
        <v>0</v>
      </c>
      <c r="EB44" s="102"/>
      <c r="EC44" s="1">
        <v>5</v>
      </c>
      <c r="ED44" s="104">
        <f t="shared" si="235"/>
        <v>0</v>
      </c>
      <c r="EE44" s="102"/>
      <c r="EF44" s="1">
        <v>5</v>
      </c>
      <c r="EG44" s="104">
        <f t="shared" si="236"/>
        <v>0</v>
      </c>
      <c r="EH44" s="102"/>
      <c r="EI44" s="1">
        <v>5</v>
      </c>
      <c r="EJ44" s="104">
        <f t="shared" si="237"/>
        <v>0</v>
      </c>
      <c r="EK44" s="102"/>
      <c r="EL44" s="1">
        <v>5</v>
      </c>
      <c r="EM44" s="104">
        <f t="shared" si="238"/>
        <v>0</v>
      </c>
      <c r="EN44" s="102"/>
      <c r="EO44" s="1">
        <v>5</v>
      </c>
      <c r="EP44" s="104">
        <f t="shared" si="239"/>
        <v>0</v>
      </c>
      <c r="EQ44" s="85">
        <f t="array" ref="EQ44">IFERROR(_xlfn.LET(
_xlpm.datos,CHOOSE({1;2;3;4;5;6;7;8;9;10;11;12;13;13;14;15;16;17;18;19;20;21;22;23;23;24;25;26;27;28;29;30;31;32;33;34;35;36;37;38;39;40;41;42;43;44;45;46;47},E44,H44,K44,N44,Q44,T44,W44,Z44,AC44,AF44,AI44,AL44,AO44,AR44,AU44,AX44,BA44,BD44,BG44,BJ44,BP44,BS44,BV44,BY44,CB44,CE44,CH44,CK44,CN44,CQ44,CT44,CW44,CZ44,DC44,DF44,DI44,DL44,DO44,DR44,DU44,DX44,EA44,ED44,EG44,EJ44,EM44,EP44),
AVERAGE(_xlfn._xlws.FILTER(_xlpm.datos,(_xlpm.datos&lt;&gt;0)*(_xlpm.datos&lt;&gt;"")))
),0)</f>
        <v>0</v>
      </c>
      <c r="ER44" s="162" t="str">
        <f t="array" ref="ER44">_xlfn.IFS(EQ44&gt;=91.5%,"MENSUAL",EQ44&gt;=75%,"QUINCENAL",EQ44&lt;75%,"SEMANAL")</f>
        <v>SEMANAL</v>
      </c>
    </row>
    <row r="45" ht="15" customHeight="1" spans="1:148" x14ac:dyDescent="0.25">
      <c r="A45" s="100" t="s">
        <v>118</v>
      </c>
      <c r="B45" s="101"/>
      <c r="C45" s="102"/>
      <c r="D45" s="103">
        <v>5</v>
      </c>
      <c r="E45" s="104">
        <f t="shared" si="192"/>
        <v>0</v>
      </c>
      <c r="F45" s="102"/>
      <c r="G45" s="103">
        <v>5</v>
      </c>
      <c r="H45" s="104">
        <f t="shared" si="193"/>
        <v>0</v>
      </c>
      <c r="I45" s="105"/>
      <c r="J45" s="103">
        <v>5</v>
      </c>
      <c r="K45" s="104">
        <f t="shared" si="194"/>
        <v>0</v>
      </c>
      <c r="L45" s="105"/>
      <c r="M45" s="103">
        <v>5</v>
      </c>
      <c r="N45" s="104">
        <f t="shared" si="195"/>
        <v>0</v>
      </c>
      <c r="O45" s="106"/>
      <c r="P45" s="107">
        <v>5</v>
      </c>
      <c r="Q45" s="104">
        <f t="shared" si="196"/>
        <v>0</v>
      </c>
      <c r="R45" s="102"/>
      <c r="S45" s="107">
        <v>5</v>
      </c>
      <c r="T45" s="104">
        <f t="shared" si="197"/>
        <v>0</v>
      </c>
      <c r="U45" s="102"/>
      <c r="V45" s="107">
        <v>5</v>
      </c>
      <c r="W45" s="104">
        <f t="shared" si="198"/>
        <v>0</v>
      </c>
      <c r="X45" s="102"/>
      <c r="Y45" s="107">
        <v>5</v>
      </c>
      <c r="Z45" s="104">
        <f t="shared" si="199"/>
        <v>0</v>
      </c>
      <c r="AA45" s="106"/>
      <c r="AB45" s="107">
        <v>5</v>
      </c>
      <c r="AC45" s="104">
        <f t="shared" si="200"/>
        <v>0</v>
      </c>
      <c r="AD45" s="106"/>
      <c r="AE45" s="107">
        <v>5</v>
      </c>
      <c r="AF45" s="104">
        <f t="shared" si="201"/>
        <v>0</v>
      </c>
      <c r="AG45" s="106"/>
      <c r="AH45" s="107">
        <v>5</v>
      </c>
      <c r="AI45" s="104">
        <f t="shared" si="202"/>
        <v>0</v>
      </c>
      <c r="AJ45" s="106"/>
      <c r="AK45" s="107">
        <v>5</v>
      </c>
      <c r="AL45" s="104">
        <f t="shared" si="203"/>
        <v>0</v>
      </c>
      <c r="AM45" s="102"/>
      <c r="AN45" s="1">
        <v>5</v>
      </c>
      <c r="AO45" s="104">
        <f t="shared" si="204"/>
        <v>0</v>
      </c>
      <c r="AP45" s="102"/>
      <c r="AQ45" s="1">
        <v>5</v>
      </c>
      <c r="AR45" s="104">
        <f t="shared" si="205"/>
        <v>0</v>
      </c>
      <c r="AS45" s="102"/>
      <c r="AT45" s="1">
        <v>5</v>
      </c>
      <c r="AU45" s="104">
        <f t="shared" si="206"/>
        <v>0</v>
      </c>
      <c r="AV45" s="102"/>
      <c r="AW45" s="1">
        <v>5</v>
      </c>
      <c r="AX45" s="104">
        <f t="shared" si="207"/>
        <v>0</v>
      </c>
      <c r="AY45" s="102"/>
      <c r="AZ45" s="1">
        <v>5</v>
      </c>
      <c r="BA45" s="104">
        <f t="shared" si="208"/>
        <v>0</v>
      </c>
      <c r="BB45" s="102"/>
      <c r="BC45" s="1">
        <v>5</v>
      </c>
      <c r="BD45" s="104">
        <f t="shared" si="209"/>
        <v>0</v>
      </c>
      <c r="BE45" s="102"/>
      <c r="BF45" s="1">
        <v>5</v>
      </c>
      <c r="BG45" s="104">
        <f t="shared" si="210"/>
        <v>0</v>
      </c>
      <c r="BH45" s="102"/>
      <c r="BI45" s="1">
        <v>5</v>
      </c>
      <c r="BJ45" s="104">
        <f t="shared" si="211"/>
        <v>0</v>
      </c>
      <c r="BK45" s="102"/>
      <c r="BL45" s="1">
        <v>5</v>
      </c>
      <c r="BM45" s="104">
        <f t="shared" si="212"/>
        <v>0</v>
      </c>
      <c r="BN45" s="102"/>
      <c r="BO45" s="1">
        <v>5</v>
      </c>
      <c r="BP45" s="104">
        <f t="shared" si="213"/>
        <v>0</v>
      </c>
      <c r="BQ45" s="102"/>
      <c r="BR45" s="1">
        <v>5</v>
      </c>
      <c r="BS45" s="104">
        <f t="shared" si="214"/>
        <v>0</v>
      </c>
      <c r="BT45" s="102"/>
      <c r="BU45" s="1">
        <v>5</v>
      </c>
      <c r="BV45" s="104">
        <f t="shared" si="215"/>
        <v>0</v>
      </c>
      <c r="BW45" s="102"/>
      <c r="BX45" s="1">
        <v>5</v>
      </c>
      <c r="BY45" s="104">
        <f t="shared" si="216"/>
        <v>0</v>
      </c>
      <c r="BZ45" s="102"/>
      <c r="CA45" s="1">
        <v>5</v>
      </c>
      <c r="CB45" s="104">
        <f t="shared" si="217"/>
        <v>0</v>
      </c>
      <c r="CC45" s="102"/>
      <c r="CD45" s="1">
        <v>5</v>
      </c>
      <c r="CE45" s="104">
        <f t="shared" si="218"/>
        <v>0</v>
      </c>
      <c r="CF45" s="102"/>
      <c r="CG45" s="1">
        <v>5</v>
      </c>
      <c r="CH45" s="104">
        <f t="shared" si="219"/>
        <v>0</v>
      </c>
      <c r="CI45" s="102"/>
      <c r="CJ45" s="1">
        <v>5</v>
      </c>
      <c r="CK45" s="104">
        <f t="shared" si="220"/>
        <v>0</v>
      </c>
      <c r="CL45" s="102"/>
      <c r="CM45" s="1">
        <v>5</v>
      </c>
      <c r="CN45" s="104">
        <f t="shared" si="221"/>
        <v>0</v>
      </c>
      <c r="CO45" s="102"/>
      <c r="CP45" s="1">
        <v>5</v>
      </c>
      <c r="CQ45" s="104">
        <f t="shared" si="222"/>
        <v>0</v>
      </c>
      <c r="CR45" s="102"/>
      <c r="CS45" s="1">
        <v>5</v>
      </c>
      <c r="CT45" s="104">
        <f t="shared" si="223"/>
        <v>0</v>
      </c>
      <c r="CU45" s="102"/>
      <c r="CV45" s="1">
        <v>5</v>
      </c>
      <c r="CW45" s="104">
        <f t="shared" si="224"/>
        <v>0</v>
      </c>
      <c r="CX45" s="102"/>
      <c r="CY45" s="1">
        <v>5</v>
      </c>
      <c r="CZ45" s="104">
        <f t="shared" si="225"/>
        <v>0</v>
      </c>
      <c r="DA45" s="102"/>
      <c r="DB45" s="1">
        <v>5</v>
      </c>
      <c r="DC45" s="104">
        <f t="shared" si="226"/>
        <v>0</v>
      </c>
      <c r="DD45" s="102"/>
      <c r="DE45" s="1">
        <v>5</v>
      </c>
      <c r="DF45" s="104">
        <f t="shared" si="227"/>
        <v>0</v>
      </c>
      <c r="DG45" s="102"/>
      <c r="DH45" s="1">
        <v>5</v>
      </c>
      <c r="DI45" s="104">
        <f t="shared" si="228"/>
        <v>0</v>
      </c>
      <c r="DJ45" s="102"/>
      <c r="DK45" s="1">
        <v>5</v>
      </c>
      <c r="DL45" s="104">
        <f t="shared" si="229"/>
        <v>0</v>
      </c>
      <c r="DM45" s="102"/>
      <c r="DN45" s="1">
        <v>5</v>
      </c>
      <c r="DO45" s="104">
        <f t="shared" si="230"/>
        <v>0</v>
      </c>
      <c r="DP45" s="102"/>
      <c r="DQ45" s="1">
        <v>5</v>
      </c>
      <c r="DR45" s="104">
        <f t="shared" si="231"/>
        <v>0</v>
      </c>
      <c r="DS45" s="102"/>
      <c r="DT45" s="1">
        <v>5</v>
      </c>
      <c r="DU45" s="104">
        <f t="shared" si="232"/>
        <v>0</v>
      </c>
      <c r="DV45" s="102"/>
      <c r="DW45" s="1">
        <v>5</v>
      </c>
      <c r="DX45" s="104">
        <f t="shared" si="233"/>
        <v>0</v>
      </c>
      <c r="DY45" s="102"/>
      <c r="DZ45" s="1">
        <v>5</v>
      </c>
      <c r="EA45" s="104">
        <f t="shared" si="234"/>
        <v>0</v>
      </c>
      <c r="EB45" s="102"/>
      <c r="EC45" s="1">
        <v>5</v>
      </c>
      <c r="ED45" s="104">
        <f t="shared" si="235"/>
        <v>0</v>
      </c>
      <c r="EE45" s="102"/>
      <c r="EF45" s="1">
        <v>5</v>
      </c>
      <c r="EG45" s="104">
        <f t="shared" si="236"/>
        <v>0</v>
      </c>
      <c r="EH45" s="102"/>
      <c r="EI45" s="1">
        <v>5</v>
      </c>
      <c r="EJ45" s="104">
        <f t="shared" si="237"/>
        <v>0</v>
      </c>
      <c r="EK45" s="102"/>
      <c r="EL45" s="1">
        <v>5</v>
      </c>
      <c r="EM45" s="104">
        <f t="shared" si="238"/>
        <v>0</v>
      </c>
      <c r="EN45" s="102"/>
      <c r="EO45" s="1">
        <v>5</v>
      </c>
      <c r="EP45" s="104">
        <f t="shared" si="239"/>
        <v>0</v>
      </c>
      <c r="EQ45" s="85">
        <f t="array" ref="EQ45">IFERROR(_xlfn.LET(
_xlpm.datos,CHOOSE({1;2;3;4;5;6;7;8;9;10;11;12;13;13;14;15;16;17;18;19;20;21;22;23;23;24;25;26;27;28;29;30;31;32;33;34;35;36;37;38;39;40;41;42;43;44;45;46;47},E45,H45,K45,N45,Q45,T45,W45,Z45,AC45,AF45,AI45,AL45,AO45,AR45,AU45,AX45,BA45,BD45,BG45,BJ45,BP45,BS45,BV45,BY45,CB45,CE45,CH45,CK45,CN45,CQ45,CT45,CW45,CZ45,DC45,DF45,DI45,DL45,DO45,DR45,DU45,DX45,EA45,ED45,EG45,EJ45,EM45,EP45),
AVERAGE(_xlfn._xlws.FILTER(_xlpm.datos,(_xlpm.datos&lt;&gt;0)*(_xlpm.datos&lt;&gt;"")))
),0)</f>
        <v>0</v>
      </c>
      <c r="ER45" s="162" t="str">
        <f t="array" ref="ER45">_xlfn.IFS(EQ45&gt;=91.5%,"MENSUAL",EQ45&gt;=75%,"QUINCENAL",EQ45&lt;75%,"SEMANAL")</f>
        <v>SEMANAL</v>
      </c>
    </row>
    <row r="46" ht="16" customHeight="1" spans="1:148" x14ac:dyDescent="0.25">
      <c r="A46" s="100" t="s">
        <v>120</v>
      </c>
      <c r="B46" s="101"/>
      <c r="C46" s="102"/>
      <c r="D46" s="103">
        <v>5</v>
      </c>
      <c r="E46" s="104">
        <f t="shared" si="192"/>
        <v>0</v>
      </c>
      <c r="F46" s="102"/>
      <c r="G46" s="103">
        <v>5</v>
      </c>
      <c r="H46" s="104">
        <f t="shared" si="193"/>
        <v>0</v>
      </c>
      <c r="I46" s="105"/>
      <c r="J46" s="103">
        <v>5</v>
      </c>
      <c r="K46" s="104">
        <f t="shared" si="194"/>
        <v>0</v>
      </c>
      <c r="L46" s="105"/>
      <c r="M46" s="103">
        <v>5</v>
      </c>
      <c r="N46" s="104">
        <f t="shared" si="195"/>
        <v>0</v>
      </c>
      <c r="O46" s="106"/>
      <c r="P46" s="107">
        <v>5</v>
      </c>
      <c r="Q46" s="104">
        <f t="shared" si="196"/>
        <v>0</v>
      </c>
      <c r="R46" s="102"/>
      <c r="S46" s="107">
        <v>5</v>
      </c>
      <c r="T46" s="104">
        <f t="shared" si="197"/>
        <v>0</v>
      </c>
      <c r="U46" s="102"/>
      <c r="V46" s="107">
        <v>5</v>
      </c>
      <c r="W46" s="104">
        <f t="shared" si="198"/>
        <v>0</v>
      </c>
      <c r="X46" s="102"/>
      <c r="Y46" s="107">
        <v>5</v>
      </c>
      <c r="Z46" s="104">
        <f t="shared" si="199"/>
        <v>0</v>
      </c>
      <c r="AA46" s="106"/>
      <c r="AB46" s="107">
        <v>5</v>
      </c>
      <c r="AC46" s="104">
        <f t="shared" si="200"/>
        <v>0</v>
      </c>
      <c r="AD46" s="106"/>
      <c r="AE46" s="107">
        <v>5</v>
      </c>
      <c r="AF46" s="104">
        <f t="shared" si="201"/>
        <v>0</v>
      </c>
      <c r="AG46" s="106"/>
      <c r="AH46" s="107">
        <v>5</v>
      </c>
      <c r="AI46" s="104">
        <f t="shared" si="202"/>
        <v>0</v>
      </c>
      <c r="AJ46" s="106"/>
      <c r="AK46" s="107">
        <v>5</v>
      </c>
      <c r="AL46" s="104">
        <f t="shared" si="203"/>
        <v>0</v>
      </c>
      <c r="AM46" s="102"/>
      <c r="AN46" s="1">
        <v>5</v>
      </c>
      <c r="AO46" s="104">
        <f t="shared" si="204"/>
        <v>0</v>
      </c>
      <c r="AP46" s="102"/>
      <c r="AQ46" s="1">
        <v>5</v>
      </c>
      <c r="AR46" s="104">
        <f t="shared" si="205"/>
        <v>0</v>
      </c>
      <c r="AS46" s="102"/>
      <c r="AT46" s="1">
        <v>5</v>
      </c>
      <c r="AU46" s="104">
        <f t="shared" si="206"/>
        <v>0</v>
      </c>
      <c r="AV46" s="102"/>
      <c r="AW46" s="1">
        <v>5</v>
      </c>
      <c r="AX46" s="104">
        <f t="shared" si="207"/>
        <v>0</v>
      </c>
      <c r="AY46" s="102"/>
      <c r="AZ46" s="1">
        <v>5</v>
      </c>
      <c r="BA46" s="104">
        <f t="shared" si="208"/>
        <v>0</v>
      </c>
      <c r="BB46" s="102"/>
      <c r="BC46" s="1">
        <v>5</v>
      </c>
      <c r="BD46" s="104">
        <f t="shared" si="209"/>
        <v>0</v>
      </c>
      <c r="BE46" s="102"/>
      <c r="BF46" s="1">
        <v>5</v>
      </c>
      <c r="BG46" s="104">
        <f t="shared" si="210"/>
        <v>0</v>
      </c>
      <c r="BH46" s="102"/>
      <c r="BI46" s="1">
        <v>5</v>
      </c>
      <c r="BJ46" s="104">
        <f t="shared" si="211"/>
        <v>0</v>
      </c>
      <c r="BK46" s="102"/>
      <c r="BL46" s="1">
        <v>5</v>
      </c>
      <c r="BM46" s="104">
        <f t="shared" si="212"/>
        <v>0</v>
      </c>
      <c r="BN46" s="102"/>
      <c r="BO46" s="1">
        <v>5</v>
      </c>
      <c r="BP46" s="104">
        <f t="shared" si="213"/>
        <v>0</v>
      </c>
      <c r="BQ46" s="102"/>
      <c r="BR46" s="1">
        <v>5</v>
      </c>
      <c r="BS46" s="104">
        <f t="shared" si="214"/>
        <v>0</v>
      </c>
      <c r="BT46" s="102"/>
      <c r="BU46" s="1">
        <v>5</v>
      </c>
      <c r="BV46" s="104">
        <f t="shared" si="215"/>
        <v>0</v>
      </c>
      <c r="BW46" s="102"/>
      <c r="BX46" s="1">
        <v>5</v>
      </c>
      <c r="BY46" s="104">
        <f t="shared" si="216"/>
        <v>0</v>
      </c>
      <c r="BZ46" s="102"/>
      <c r="CA46" s="1">
        <v>5</v>
      </c>
      <c r="CB46" s="104">
        <f t="shared" si="217"/>
        <v>0</v>
      </c>
      <c r="CC46" s="102"/>
      <c r="CD46" s="1">
        <v>5</v>
      </c>
      <c r="CE46" s="104">
        <f t="shared" si="218"/>
        <v>0</v>
      </c>
      <c r="CF46" s="102"/>
      <c r="CG46" s="1">
        <v>5</v>
      </c>
      <c r="CH46" s="104">
        <f t="shared" si="219"/>
        <v>0</v>
      </c>
      <c r="CI46" s="102"/>
      <c r="CJ46" s="1">
        <v>5</v>
      </c>
      <c r="CK46" s="104">
        <f t="shared" si="220"/>
        <v>0</v>
      </c>
      <c r="CL46" s="102"/>
      <c r="CM46" s="1">
        <v>5</v>
      </c>
      <c r="CN46" s="104">
        <f t="shared" si="221"/>
        <v>0</v>
      </c>
      <c r="CO46" s="102"/>
      <c r="CP46" s="1">
        <v>5</v>
      </c>
      <c r="CQ46" s="104">
        <f t="shared" si="222"/>
        <v>0</v>
      </c>
      <c r="CR46" s="102"/>
      <c r="CS46" s="1">
        <v>5</v>
      </c>
      <c r="CT46" s="104">
        <f t="shared" si="223"/>
        <v>0</v>
      </c>
      <c r="CU46" s="102"/>
      <c r="CV46" s="1">
        <v>5</v>
      </c>
      <c r="CW46" s="104">
        <f t="shared" si="224"/>
        <v>0</v>
      </c>
      <c r="CX46" s="102"/>
      <c r="CY46" s="1">
        <v>5</v>
      </c>
      <c r="CZ46" s="104">
        <f t="shared" si="225"/>
        <v>0</v>
      </c>
      <c r="DA46" s="102"/>
      <c r="DB46" s="1">
        <v>5</v>
      </c>
      <c r="DC46" s="104">
        <f t="shared" si="226"/>
        <v>0</v>
      </c>
      <c r="DD46" s="102"/>
      <c r="DE46" s="1">
        <v>5</v>
      </c>
      <c r="DF46" s="104">
        <f t="shared" si="227"/>
        <v>0</v>
      </c>
      <c r="DG46" s="102"/>
      <c r="DH46" s="1">
        <v>5</v>
      </c>
      <c r="DI46" s="104">
        <f t="shared" si="228"/>
        <v>0</v>
      </c>
      <c r="DJ46" s="102"/>
      <c r="DK46" s="1">
        <v>5</v>
      </c>
      <c r="DL46" s="104">
        <f t="shared" si="229"/>
        <v>0</v>
      </c>
      <c r="DM46" s="102"/>
      <c r="DN46" s="1">
        <v>5</v>
      </c>
      <c r="DO46" s="104">
        <f t="shared" si="230"/>
        <v>0</v>
      </c>
      <c r="DP46" s="102"/>
      <c r="DQ46" s="1">
        <v>5</v>
      </c>
      <c r="DR46" s="104">
        <f t="shared" si="231"/>
        <v>0</v>
      </c>
      <c r="DS46" s="102"/>
      <c r="DT46" s="1">
        <v>5</v>
      </c>
      <c r="DU46" s="104">
        <f t="shared" si="232"/>
        <v>0</v>
      </c>
      <c r="DV46" s="102"/>
      <c r="DW46" s="1">
        <v>5</v>
      </c>
      <c r="DX46" s="104">
        <f t="shared" si="233"/>
        <v>0</v>
      </c>
      <c r="DY46" s="102"/>
      <c r="DZ46" s="1">
        <v>5</v>
      </c>
      <c r="EA46" s="104">
        <f t="shared" si="234"/>
        <v>0</v>
      </c>
      <c r="EB46" s="102"/>
      <c r="EC46" s="1">
        <v>5</v>
      </c>
      <c r="ED46" s="104">
        <f t="shared" si="235"/>
        <v>0</v>
      </c>
      <c r="EE46" s="102"/>
      <c r="EF46" s="1">
        <v>5</v>
      </c>
      <c r="EG46" s="104">
        <f t="shared" si="236"/>
        <v>0</v>
      </c>
      <c r="EH46" s="102"/>
      <c r="EI46" s="1">
        <v>5</v>
      </c>
      <c r="EJ46" s="104">
        <f t="shared" si="237"/>
        <v>0</v>
      </c>
      <c r="EK46" s="102"/>
      <c r="EL46" s="1">
        <v>5</v>
      </c>
      <c r="EM46" s="104">
        <f t="shared" si="238"/>
        <v>0</v>
      </c>
      <c r="EN46" s="102"/>
      <c r="EO46" s="1">
        <v>5</v>
      </c>
      <c r="EP46" s="104">
        <f t="shared" si="239"/>
        <v>0</v>
      </c>
      <c r="EQ46" s="85">
        <f t="array" ref="EQ46">IFERROR(_xlfn.LET(
_xlpm.datos,CHOOSE({1;2;3;4;5;6;7;8;9;10;11;12;13;13;14;15;16;17;18;19;20;21;22;23;23;24;25;26;27;28;29;30;31;32;33;34;35;36;37;38;39;40;41;42;43;44;45;46;47},E46,H46,K46,N46,Q46,T46,W46,Z46,AC46,AF46,AI46,AL46,AO46,AR46,AU46,AX46,BA46,BD46,BG46,BJ46,BP46,BS46,BV46,BY46,CB46,CE46,CH46,CK46,CN46,CQ46,CT46,CW46,CZ46,DC46,DF46,DI46,DL46,DO46,DR46,DU46,DX46,EA46,ED46,EG46,EJ46,EM46,EP46),
AVERAGE(_xlfn._xlws.FILTER(_xlpm.datos,(_xlpm.datos&lt;&gt;0)*(_xlpm.datos&lt;&gt;"")))
),0)</f>
        <v>0</v>
      </c>
      <c r="ER46" s="162" t="str">
        <f t="array" ref="ER46">_xlfn.IFS(EQ46&gt;=91.5%,"MENSUAL",EQ46&gt;=75%,"QUINCENAL",EQ46&lt;75%,"SEMANAL")</f>
        <v>SEMANAL</v>
      </c>
    </row>
    <row r="47" ht="16" customHeight="1" spans="1:148" x14ac:dyDescent="0.25">
      <c r="A47" s="100" t="s">
        <v>121</v>
      </c>
      <c r="B47" s="101"/>
      <c r="C47" s="102"/>
      <c r="D47" s="103">
        <v>5</v>
      </c>
      <c r="E47" s="104">
        <f t="shared" si="192"/>
        <v>0</v>
      </c>
      <c r="F47" s="102"/>
      <c r="G47" s="103">
        <v>5</v>
      </c>
      <c r="H47" s="104">
        <f t="shared" si="193"/>
        <v>0</v>
      </c>
      <c r="I47" s="105"/>
      <c r="J47" s="103">
        <v>5</v>
      </c>
      <c r="K47" s="104">
        <f t="shared" si="194"/>
        <v>0</v>
      </c>
      <c r="L47" s="105"/>
      <c r="M47" s="103">
        <v>5</v>
      </c>
      <c r="N47" s="104">
        <f t="shared" si="195"/>
        <v>0</v>
      </c>
      <c r="O47" s="106"/>
      <c r="P47" s="107">
        <v>5</v>
      </c>
      <c r="Q47" s="104">
        <f t="shared" si="196"/>
        <v>0</v>
      </c>
      <c r="R47" s="102"/>
      <c r="S47" s="107">
        <v>5</v>
      </c>
      <c r="T47" s="104">
        <f t="shared" si="197"/>
        <v>0</v>
      </c>
      <c r="U47" s="102"/>
      <c r="V47" s="107">
        <v>5</v>
      </c>
      <c r="W47" s="104">
        <f t="shared" si="198"/>
        <v>0</v>
      </c>
      <c r="X47" s="102"/>
      <c r="Y47" s="107">
        <v>5</v>
      </c>
      <c r="Z47" s="104">
        <f t="shared" si="199"/>
        <v>0</v>
      </c>
      <c r="AA47" s="106"/>
      <c r="AB47" s="107">
        <v>5</v>
      </c>
      <c r="AC47" s="104">
        <f t="shared" si="200"/>
        <v>0</v>
      </c>
      <c r="AD47" s="106"/>
      <c r="AE47" s="107">
        <v>5</v>
      </c>
      <c r="AF47" s="104">
        <f t="shared" si="201"/>
        <v>0</v>
      </c>
      <c r="AG47" s="106"/>
      <c r="AH47" s="107">
        <v>5</v>
      </c>
      <c r="AI47" s="104">
        <f t="shared" si="202"/>
        <v>0</v>
      </c>
      <c r="AJ47" s="106"/>
      <c r="AK47" s="107">
        <v>5</v>
      </c>
      <c r="AL47" s="104">
        <f t="shared" si="203"/>
        <v>0</v>
      </c>
      <c r="AM47" s="102"/>
      <c r="AN47" s="1">
        <v>5</v>
      </c>
      <c r="AO47" s="104">
        <f t="shared" si="204"/>
        <v>0</v>
      </c>
      <c r="AP47" s="102"/>
      <c r="AQ47" s="1">
        <v>5</v>
      </c>
      <c r="AR47" s="104">
        <f t="shared" si="205"/>
        <v>0</v>
      </c>
      <c r="AS47" s="102"/>
      <c r="AT47" s="1">
        <v>5</v>
      </c>
      <c r="AU47" s="104">
        <f t="shared" si="206"/>
        <v>0</v>
      </c>
      <c r="AV47" s="102"/>
      <c r="AW47" s="1">
        <v>5</v>
      </c>
      <c r="AX47" s="104">
        <f t="shared" si="207"/>
        <v>0</v>
      </c>
      <c r="AY47" s="102"/>
      <c r="AZ47" s="1">
        <v>5</v>
      </c>
      <c r="BA47" s="104">
        <f t="shared" si="208"/>
        <v>0</v>
      </c>
      <c r="BB47" s="102"/>
      <c r="BC47" s="1">
        <v>5</v>
      </c>
      <c r="BD47" s="104">
        <f t="shared" si="209"/>
        <v>0</v>
      </c>
      <c r="BE47" s="102"/>
      <c r="BF47" s="1">
        <v>5</v>
      </c>
      <c r="BG47" s="104">
        <f t="shared" si="210"/>
        <v>0</v>
      </c>
      <c r="BH47" s="102"/>
      <c r="BI47" s="1">
        <v>5</v>
      </c>
      <c r="BJ47" s="104">
        <f t="shared" si="211"/>
        <v>0</v>
      </c>
      <c r="BK47" s="102"/>
      <c r="BL47" s="1">
        <v>5</v>
      </c>
      <c r="BM47" s="104">
        <f t="shared" si="212"/>
        <v>0</v>
      </c>
      <c r="BN47" s="102"/>
      <c r="BO47" s="1">
        <v>5</v>
      </c>
      <c r="BP47" s="104">
        <f t="shared" si="213"/>
        <v>0</v>
      </c>
      <c r="BQ47" s="102"/>
      <c r="BR47" s="1">
        <v>5</v>
      </c>
      <c r="BS47" s="104">
        <f t="shared" si="214"/>
        <v>0</v>
      </c>
      <c r="BT47" s="102"/>
      <c r="BU47" s="1">
        <v>5</v>
      </c>
      <c r="BV47" s="104">
        <f t="shared" si="215"/>
        <v>0</v>
      </c>
      <c r="BW47" s="102"/>
      <c r="BX47" s="1">
        <v>5</v>
      </c>
      <c r="BY47" s="104">
        <f t="shared" si="216"/>
        <v>0</v>
      </c>
      <c r="BZ47" s="102"/>
      <c r="CA47" s="1">
        <v>5</v>
      </c>
      <c r="CB47" s="104">
        <f t="shared" si="217"/>
        <v>0</v>
      </c>
      <c r="CC47" s="102"/>
      <c r="CD47" s="1">
        <v>5</v>
      </c>
      <c r="CE47" s="104">
        <f t="shared" si="218"/>
        <v>0</v>
      </c>
      <c r="CF47" s="102"/>
      <c r="CG47" s="1">
        <v>5</v>
      </c>
      <c r="CH47" s="104">
        <f t="shared" si="219"/>
        <v>0</v>
      </c>
      <c r="CI47" s="102"/>
      <c r="CJ47" s="1">
        <v>5</v>
      </c>
      <c r="CK47" s="104">
        <f t="shared" si="220"/>
        <v>0</v>
      </c>
      <c r="CL47" s="102"/>
      <c r="CM47" s="1">
        <v>5</v>
      </c>
      <c r="CN47" s="104">
        <f t="shared" si="221"/>
        <v>0</v>
      </c>
      <c r="CO47" s="102"/>
      <c r="CP47" s="1">
        <v>5</v>
      </c>
      <c r="CQ47" s="104">
        <f t="shared" si="222"/>
        <v>0</v>
      </c>
      <c r="CR47" s="102"/>
      <c r="CS47" s="1">
        <v>5</v>
      </c>
      <c r="CT47" s="104">
        <f t="shared" si="223"/>
        <v>0</v>
      </c>
      <c r="CU47" s="102"/>
      <c r="CV47" s="1">
        <v>5</v>
      </c>
      <c r="CW47" s="104">
        <f t="shared" si="224"/>
        <v>0</v>
      </c>
      <c r="CX47" s="102"/>
      <c r="CY47" s="1">
        <v>5</v>
      </c>
      <c r="CZ47" s="104">
        <f t="shared" si="225"/>
        <v>0</v>
      </c>
      <c r="DA47" s="102"/>
      <c r="DB47" s="1">
        <v>5</v>
      </c>
      <c r="DC47" s="104">
        <f t="shared" si="226"/>
        <v>0</v>
      </c>
      <c r="DD47" s="102"/>
      <c r="DE47" s="1">
        <v>5</v>
      </c>
      <c r="DF47" s="104">
        <f t="shared" si="227"/>
        <v>0</v>
      </c>
      <c r="DG47" s="102"/>
      <c r="DH47" s="1">
        <v>5</v>
      </c>
      <c r="DI47" s="104">
        <f t="shared" si="228"/>
        <v>0</v>
      </c>
      <c r="DJ47" s="102"/>
      <c r="DK47" s="1">
        <v>5</v>
      </c>
      <c r="DL47" s="104">
        <f t="shared" si="229"/>
        <v>0</v>
      </c>
      <c r="DM47" s="102"/>
      <c r="DN47" s="1">
        <v>5</v>
      </c>
      <c r="DO47" s="104">
        <f t="shared" si="230"/>
        <v>0</v>
      </c>
      <c r="DP47" s="102"/>
      <c r="DQ47" s="1">
        <v>5</v>
      </c>
      <c r="DR47" s="104">
        <f t="shared" si="231"/>
        <v>0</v>
      </c>
      <c r="DS47" s="102"/>
      <c r="DT47" s="1">
        <v>5</v>
      </c>
      <c r="DU47" s="104">
        <f t="shared" si="232"/>
        <v>0</v>
      </c>
      <c r="DV47" s="102"/>
      <c r="DW47" s="1">
        <v>5</v>
      </c>
      <c r="DX47" s="104">
        <f t="shared" si="233"/>
        <v>0</v>
      </c>
      <c r="DY47" s="102"/>
      <c r="DZ47" s="1">
        <v>5</v>
      </c>
      <c r="EA47" s="104">
        <f t="shared" si="234"/>
        <v>0</v>
      </c>
      <c r="EB47" s="102"/>
      <c r="EC47" s="1">
        <v>5</v>
      </c>
      <c r="ED47" s="104">
        <f t="shared" si="235"/>
        <v>0</v>
      </c>
      <c r="EE47" s="102"/>
      <c r="EF47" s="1">
        <v>5</v>
      </c>
      <c r="EG47" s="104">
        <f t="shared" si="236"/>
        <v>0</v>
      </c>
      <c r="EH47" s="102"/>
      <c r="EI47" s="1">
        <v>5</v>
      </c>
      <c r="EJ47" s="104">
        <f t="shared" si="237"/>
        <v>0</v>
      </c>
      <c r="EK47" s="102"/>
      <c r="EL47" s="1">
        <v>5</v>
      </c>
      <c r="EM47" s="104">
        <f t="shared" si="238"/>
        <v>0</v>
      </c>
      <c r="EN47" s="102"/>
      <c r="EO47" s="1">
        <v>5</v>
      </c>
      <c r="EP47" s="104">
        <f t="shared" si="239"/>
        <v>0</v>
      </c>
      <c r="EQ47" s="85">
        <f t="array" ref="EQ47">IFERROR(_xlfn.LET(
_xlpm.datos,CHOOSE({1;2;3;4;5;6;7;8;9;10;11;12;13;13;14;15;16;17;18;19;20;21;22;23;23;24;25;26;27;28;29;30;31;32;33;34;35;36;37;38;39;40;41;42;43;44;45;46;47},E47,H47,K47,N47,Q47,T47,W47,Z47,AC47,AF47,AI47,AL47,AO47,AR47,AU47,AX47,BA47,BD47,BG47,BJ47,BP47,BS47,BV47,BY47,CB47,CE47,CH47,CK47,CN47,CQ47,CT47,CW47,CZ47,DC47,DF47,DI47,DL47,DO47,DR47,DU47,DX47,EA47,ED47,EG47,EJ47,EM47,EP47),
AVERAGE(_xlfn._xlws.FILTER(_xlpm.datos,(_xlpm.datos&lt;&gt;0)*(_xlpm.datos&lt;&gt;"")))
),0)</f>
        <v>0</v>
      </c>
      <c r="ER47" s="162" t="str">
        <f t="array" ref="ER47">_xlfn.IFS(EQ47&gt;=91.5%,"MENSUAL",EQ47&gt;=75%,"QUINCENAL",EQ47&lt;75%,"SEMANAL")</f>
        <v>SEMANAL</v>
      </c>
    </row>
    <row r="48" ht="16" customHeight="1" spans="1:148" x14ac:dyDescent="0.25">
      <c r="A48" s="124" t="s">
        <v>154</v>
      </c>
      <c r="B48" s="125"/>
      <c r="C48" s="126"/>
      <c r="D48" s="127"/>
      <c r="E48" s="82">
        <f>AVERAGE(E49:E52)</f>
        <v>0</v>
      </c>
      <c r="F48" s="126"/>
      <c r="G48" s="127"/>
      <c r="H48" s="82">
        <f>AVERAGE(H49:H52)</f>
        <v>0</v>
      </c>
      <c r="I48" s="126"/>
      <c r="J48" s="127"/>
      <c r="K48" s="82">
        <f>AVERAGE(K49:K52)</f>
        <v>0</v>
      </c>
      <c r="L48" s="126"/>
      <c r="M48" s="127"/>
      <c r="N48" s="82">
        <f>AVERAGE(N49:N52)</f>
        <v>0</v>
      </c>
      <c r="O48" s="126"/>
      <c r="P48" s="127"/>
      <c r="Q48" s="82">
        <f>AVERAGE(Q49:Q52)</f>
        <v>0</v>
      </c>
      <c r="R48" s="126"/>
      <c r="S48" s="127"/>
      <c r="T48" s="82">
        <f>AVERAGE(T49:T52)</f>
        <v>0</v>
      </c>
      <c r="U48" s="126"/>
      <c r="V48" s="127"/>
      <c r="W48" s="82">
        <f>AVERAGE(W49:W52)</f>
        <v>0</v>
      </c>
      <c r="X48" s="126"/>
      <c r="Y48" s="127"/>
      <c r="Z48" s="82">
        <f>AVERAGE(Z49:Z52)</f>
        <v>0</v>
      </c>
      <c r="AA48" s="126"/>
      <c r="AB48" s="127"/>
      <c r="AC48" s="82">
        <f>AVERAGE(AC49:AC52)</f>
        <v>0</v>
      </c>
      <c r="AD48" s="126"/>
      <c r="AE48" s="127"/>
      <c r="AF48" s="82">
        <f>AVERAGE(AF49:AF52)</f>
        <v>0</v>
      </c>
      <c r="AG48" s="126"/>
      <c r="AH48" s="127"/>
      <c r="AI48" s="82">
        <f>AVERAGE(AI49:AI52)</f>
        <v>0</v>
      </c>
      <c r="AJ48" s="126"/>
      <c r="AK48" s="127"/>
      <c r="AL48" s="82">
        <f>AVERAGE(AL49:AL52)</f>
        <v>0</v>
      </c>
      <c r="AM48" s="128"/>
      <c r="AN48" s="127"/>
      <c r="AO48" s="82">
        <f>AVERAGE(AO49:AO52)</f>
        <v>0</v>
      </c>
      <c r="AP48" s="128"/>
      <c r="AQ48" s="129"/>
      <c r="AR48" s="82">
        <f>AVERAGE(AR49:AR52)</f>
        <v>0</v>
      </c>
      <c r="AS48" s="130"/>
      <c r="AT48" s="129"/>
      <c r="AU48" s="82">
        <f>AVERAGE(AU49:AU52)</f>
        <v>0</v>
      </c>
      <c r="AV48" s="128"/>
      <c r="AW48" s="127"/>
      <c r="AX48" s="82">
        <f>AVERAGE(AX49:AX52)</f>
        <v>0</v>
      </c>
      <c r="AY48" s="131"/>
      <c r="AZ48" s="132"/>
      <c r="BA48" s="82">
        <f>AVERAGE(BA49:BA52)</f>
        <v>0</v>
      </c>
      <c r="BB48" s="128"/>
      <c r="BC48" s="132"/>
      <c r="BD48" s="82">
        <f>AVERAGE(BD49:BD52)</f>
        <v>0</v>
      </c>
      <c r="BE48" s="128"/>
      <c r="BF48" s="132"/>
      <c r="BG48" s="82">
        <f>AVERAGE(BG49:BG52)</f>
        <v>0</v>
      </c>
      <c r="BH48" s="128"/>
      <c r="BI48" s="132"/>
      <c r="BJ48" s="82">
        <f>AVERAGE(BJ49:BJ52)</f>
        <v>0</v>
      </c>
      <c r="BK48" s="128"/>
      <c r="BL48" s="132"/>
      <c r="BM48" s="82">
        <f>AVERAGE(BM49:BM52)</f>
        <v>0</v>
      </c>
      <c r="BN48" s="128"/>
      <c r="BO48" s="132"/>
      <c r="BP48" s="82">
        <f>AVERAGE(BP49:BP52)</f>
        <v>0</v>
      </c>
      <c r="BQ48" s="128"/>
      <c r="BR48" s="132"/>
      <c r="BS48" s="82">
        <f>AVERAGE(BS49:BS52)</f>
        <v>0</v>
      </c>
      <c r="BT48" s="128"/>
      <c r="BU48" s="132"/>
      <c r="BV48" s="82">
        <f>AVERAGE(BV49:BV52)</f>
        <v>0</v>
      </c>
      <c r="BW48" s="128"/>
      <c r="BX48" s="132"/>
      <c r="BY48" s="82">
        <f>AVERAGE(BY49:BY52)</f>
        <v>0</v>
      </c>
      <c r="BZ48" s="126"/>
      <c r="CA48" s="127"/>
      <c r="CB48" s="82">
        <f>AVERAGE(CB49:CB52)</f>
        <v>0</v>
      </c>
      <c r="CC48" s="126"/>
      <c r="CD48" s="127"/>
      <c r="CE48" s="82">
        <f>AVERAGE(CE49:CE52)</f>
        <v>0</v>
      </c>
      <c r="CF48" s="126"/>
      <c r="CG48" s="127"/>
      <c r="CH48" s="82">
        <f>AVERAGE(CH49:CH52)</f>
        <v>0</v>
      </c>
      <c r="CI48" s="126"/>
      <c r="CJ48" s="127"/>
      <c r="CK48" s="82">
        <f>AVERAGE(CK49:CK52)</f>
        <v>0</v>
      </c>
      <c r="CL48" s="126"/>
      <c r="CM48" s="127"/>
      <c r="CN48" s="82">
        <f>AVERAGE(CN49:CN52)</f>
        <v>0</v>
      </c>
      <c r="CO48" s="126"/>
      <c r="CP48" s="127"/>
      <c r="CQ48" s="82">
        <f>AVERAGE(CQ49:CQ52)</f>
        <v>0</v>
      </c>
      <c r="CR48" s="126"/>
      <c r="CS48" s="127"/>
      <c r="CT48" s="82">
        <f>AVERAGE(CT49:CT52)</f>
        <v>0</v>
      </c>
      <c r="CU48" s="126"/>
      <c r="CV48" s="127"/>
      <c r="CW48" s="82">
        <f>AVERAGE(CW49:CW52)</f>
        <v>0</v>
      </c>
      <c r="CX48" s="126"/>
      <c r="CY48" s="127"/>
      <c r="CZ48" s="82">
        <f>AVERAGE(CZ49:CZ52)</f>
        <v>0</v>
      </c>
      <c r="DA48" s="126"/>
      <c r="DB48" s="127"/>
      <c r="DC48" s="82">
        <f>AVERAGE(DC49:DC52)</f>
        <v>0</v>
      </c>
      <c r="DD48" s="126"/>
      <c r="DE48" s="127"/>
      <c r="DF48" s="82">
        <f>AVERAGE(DF49:DF52)</f>
        <v>0</v>
      </c>
      <c r="DG48" s="126"/>
      <c r="DH48" s="127"/>
      <c r="DI48" s="82">
        <f>AVERAGE(DI49:DI52)</f>
        <v>0</v>
      </c>
      <c r="DJ48" s="126"/>
      <c r="DK48" s="127"/>
      <c r="DL48" s="82">
        <f>AVERAGE(DL49:DL52)</f>
        <v>0</v>
      </c>
      <c r="DM48" s="126"/>
      <c r="DN48" s="127"/>
      <c r="DO48" s="82">
        <f>AVERAGE(DO49:DO52)</f>
        <v>0</v>
      </c>
      <c r="DP48" s="126"/>
      <c r="DQ48" s="127"/>
      <c r="DR48" s="82">
        <f>AVERAGE(DR49:DR52)</f>
        <v>0</v>
      </c>
      <c r="DS48" s="126"/>
      <c r="DT48" s="127"/>
      <c r="DU48" s="82">
        <f>AVERAGE(DU49:DU52)</f>
        <v>0</v>
      </c>
      <c r="DV48" s="126"/>
      <c r="DW48" s="127"/>
      <c r="DX48" s="82">
        <f>AVERAGE(DX49:DX52)</f>
        <v>0</v>
      </c>
      <c r="DY48" s="126"/>
      <c r="DZ48" s="127"/>
      <c r="EA48" s="82">
        <f>AVERAGE(EA49:EA52)</f>
        <v>0</v>
      </c>
      <c r="EB48" s="126"/>
      <c r="EC48" s="127"/>
      <c r="ED48" s="82">
        <f>AVERAGE(ED49:ED52)</f>
        <v>0</v>
      </c>
      <c r="EE48" s="126"/>
      <c r="EF48" s="127"/>
      <c r="EG48" s="82">
        <f>AVERAGE(EG49:EG52)</f>
        <v>0</v>
      </c>
      <c r="EH48" s="126"/>
      <c r="EI48" s="127"/>
      <c r="EJ48" s="82">
        <f>AVERAGE(EJ49:EJ52)</f>
        <v>0</v>
      </c>
      <c r="EK48" s="126"/>
      <c r="EL48" s="127"/>
      <c r="EM48" s="82">
        <f>AVERAGE(EM49:EM52)</f>
        <v>0</v>
      </c>
      <c r="EN48" s="126"/>
      <c r="EO48" s="127"/>
      <c r="EP48" s="82">
        <f>AVERAGE(EP49:EP52)</f>
        <v>0</v>
      </c>
      <c r="EQ48" s="85">
        <f t="array" ref="EQ48">IFERROR(_xlfn.LET(
_xlpm.datos,CHOOSE({1;2;3;4;5;6;7;8;9;10;11;12;13;13;14;15;16;17;18;19;20;21;22;23;23;24;25;26;27;28;29;30;31;32;33;34;35;36;37;38;39;40;41;42;43;44;45;46;47},E48,H48,K48,N48,Q48,T48,W48,Z48,AC48,AF48,AI48,AL48,AO48,AR48,AU48,AX48,BA48,BD48,BG48,BJ48,BP48,BS48,BV48,BY48,CB48,CE48,CH48,CK48,CN48,CQ48,CT48,CW48,CZ48,DC48,DF48,DI48,DL48,DO48,DR48,DU48,DX48,EA48,ED48,EG48,EJ48,EM48,EP48),
AVERAGE(_xlfn._xlws.FILTER(_xlpm.datos,(_xlpm.datos&lt;&gt;0)*(_xlpm.datos&lt;&gt;"")))
),0)</f>
        <v>0</v>
      </c>
      <c r="ER48" s="162" t="str">
        <f t="array" ref="ER48">_xlfn.IFS(EQ48&gt;=91.5%,"MENSUAL",EQ48&gt;=75%,"QUINCENAL",EQ48&lt;75%,"SEMANAL")</f>
        <v>SEMANAL</v>
      </c>
    </row>
    <row r="49" ht="16" customHeight="1" spans="1:148" x14ac:dyDescent="0.25">
      <c r="A49" s="282" t="s">
        <v>124</v>
      </c>
      <c r="B49" s="101"/>
      <c r="C49" s="102"/>
      <c r="D49" s="103">
        <v>5</v>
      </c>
      <c r="E49" s="104">
        <f t="shared" ref="E49:E52" si="240">C49/D49</f>
        <v>0</v>
      </c>
      <c r="F49" s="102"/>
      <c r="G49" s="103">
        <v>5</v>
      </c>
      <c r="H49" s="104">
        <f t="shared" ref="H49:H52" si="241">F49/G49</f>
        <v>0</v>
      </c>
      <c r="I49" s="105"/>
      <c r="J49" s="103">
        <v>5</v>
      </c>
      <c r="K49" s="104">
        <f t="shared" ref="K49:K52" si="242">I49/J49</f>
        <v>0</v>
      </c>
      <c r="L49" s="105"/>
      <c r="M49" s="103">
        <v>5</v>
      </c>
      <c r="N49" s="104">
        <f t="shared" ref="N49:N52" si="243">L49/M49</f>
        <v>0</v>
      </c>
      <c r="O49" s="106"/>
      <c r="P49" s="107">
        <v>5</v>
      </c>
      <c r="Q49" s="104">
        <f t="shared" ref="Q49:Q52" si="244">O49/P49</f>
        <v>0</v>
      </c>
      <c r="R49" s="102"/>
      <c r="S49" s="107">
        <v>5</v>
      </c>
      <c r="T49" s="104">
        <f t="shared" ref="T49:T52" si="245">R49/S49</f>
        <v>0</v>
      </c>
      <c r="U49" s="102"/>
      <c r="V49" s="107">
        <v>5</v>
      </c>
      <c r="W49" s="104">
        <f t="shared" ref="W49:W52" si="246">U49/V49</f>
        <v>0</v>
      </c>
      <c r="X49" s="102"/>
      <c r="Y49" s="107">
        <v>5</v>
      </c>
      <c r="Z49" s="104">
        <f t="shared" ref="Z49:Z52" si="247">X49/Y49</f>
        <v>0</v>
      </c>
      <c r="AA49" s="106"/>
      <c r="AB49" s="107">
        <v>5</v>
      </c>
      <c r="AC49" s="104">
        <f t="shared" ref="AC49:AC52" si="248">AA49/AB49</f>
        <v>0</v>
      </c>
      <c r="AD49" s="106"/>
      <c r="AE49" s="107">
        <v>5</v>
      </c>
      <c r="AF49" s="104">
        <f t="shared" ref="AF49:AF52" si="249">AD49/AE49</f>
        <v>0</v>
      </c>
      <c r="AG49" s="106"/>
      <c r="AH49" s="107">
        <v>5</v>
      </c>
      <c r="AI49" s="104">
        <f t="shared" ref="AI49:AI52" si="250">AG49/AH49</f>
        <v>0</v>
      </c>
      <c r="AJ49" s="106"/>
      <c r="AK49" s="107">
        <v>5</v>
      </c>
      <c r="AL49" s="104">
        <f t="shared" ref="AL49:AL52" si="251">AJ49/AK49</f>
        <v>0</v>
      </c>
      <c r="AM49" s="102"/>
      <c r="AN49" s="1">
        <v>5</v>
      </c>
      <c r="AO49" s="104">
        <f t="shared" ref="AO49:AO52" si="252">AM49/AN49</f>
        <v>0</v>
      </c>
      <c r="AP49" s="102"/>
      <c r="AQ49" s="1">
        <v>5</v>
      </c>
      <c r="AR49" s="104">
        <f t="shared" ref="AR49:AR52" si="253">AP49/AQ49</f>
        <v>0</v>
      </c>
      <c r="AS49" s="102"/>
      <c r="AT49" s="1">
        <v>5</v>
      </c>
      <c r="AU49" s="104">
        <f t="shared" ref="AU49:AU52" si="254">AS49/AT49</f>
        <v>0</v>
      </c>
      <c r="AV49" s="102"/>
      <c r="AW49" s="1">
        <v>5</v>
      </c>
      <c r="AX49" s="104">
        <f t="shared" ref="AX49:AX52" si="255">AV49/AW49</f>
        <v>0</v>
      </c>
      <c r="AY49" s="102"/>
      <c r="AZ49" s="1">
        <v>5</v>
      </c>
      <c r="BA49" s="104">
        <f t="shared" ref="BA49:BA52" si="256">AY49/AZ49</f>
        <v>0</v>
      </c>
      <c r="BB49" s="102"/>
      <c r="BC49" s="1">
        <v>5</v>
      </c>
      <c r="BD49" s="104">
        <f t="shared" ref="BD49:BD52" si="257">BB49/BC49</f>
        <v>0</v>
      </c>
      <c r="BE49" s="102"/>
      <c r="BF49" s="1">
        <v>5</v>
      </c>
      <c r="BG49" s="104">
        <f t="shared" ref="BG49:BG52" si="258">BE49/BF49</f>
        <v>0</v>
      </c>
      <c r="BH49" s="102"/>
      <c r="BI49" s="1">
        <v>5</v>
      </c>
      <c r="BJ49" s="104">
        <f t="shared" ref="BJ49:BJ52" si="259">BH49/BI49</f>
        <v>0</v>
      </c>
      <c r="BK49" s="102"/>
      <c r="BL49" s="1">
        <v>5</v>
      </c>
      <c r="BM49" s="104">
        <f t="shared" ref="BM49:BM52" si="260">BK49/BL49</f>
        <v>0</v>
      </c>
      <c r="BN49" s="102"/>
      <c r="BO49" s="1">
        <v>5</v>
      </c>
      <c r="BP49" s="104">
        <f t="shared" ref="BP49:BP52" si="261">BN49/BO49</f>
        <v>0</v>
      </c>
      <c r="BQ49" s="102"/>
      <c r="BR49" s="1">
        <v>5</v>
      </c>
      <c r="BS49" s="104">
        <f t="shared" ref="BS49:BS52" si="262">BQ49/BR49</f>
        <v>0</v>
      </c>
      <c r="BT49" s="102"/>
      <c r="BU49" s="1">
        <v>5</v>
      </c>
      <c r="BV49" s="104">
        <f t="shared" ref="BV49:BV52" si="263">BT49/BU49</f>
        <v>0</v>
      </c>
      <c r="BW49" s="102"/>
      <c r="BX49" s="1">
        <v>5</v>
      </c>
      <c r="BY49" s="104">
        <f t="shared" ref="BY49:BY52" si="264">BW49/BX49</f>
        <v>0</v>
      </c>
      <c r="BZ49" s="102"/>
      <c r="CA49" s="1">
        <v>5</v>
      </c>
      <c r="CB49" s="104">
        <f t="shared" ref="CB49:CB52" si="265">BZ49/CA49</f>
        <v>0</v>
      </c>
      <c r="CC49" s="102"/>
      <c r="CD49" s="1">
        <v>5</v>
      </c>
      <c r="CE49" s="104">
        <f t="shared" ref="CE49:CE52" si="266">CC49/CD49</f>
        <v>0</v>
      </c>
      <c r="CF49" s="102"/>
      <c r="CG49" s="1">
        <v>5</v>
      </c>
      <c r="CH49" s="104">
        <f t="shared" ref="CH49:CH52" si="267">CF49/CG49</f>
        <v>0</v>
      </c>
      <c r="CI49" s="102"/>
      <c r="CJ49" s="1">
        <v>5</v>
      </c>
      <c r="CK49" s="104">
        <f t="shared" ref="CK49:CK52" si="268">CI49/CJ49</f>
        <v>0</v>
      </c>
      <c r="CL49" s="102"/>
      <c r="CM49" s="1">
        <v>5</v>
      </c>
      <c r="CN49" s="104">
        <f t="shared" ref="CN49:CN52" si="269">CL49/CM49</f>
        <v>0</v>
      </c>
      <c r="CO49" s="102"/>
      <c r="CP49" s="1">
        <v>5</v>
      </c>
      <c r="CQ49" s="104">
        <f t="shared" ref="CQ49:CQ52" si="270">CO49/CP49</f>
        <v>0</v>
      </c>
      <c r="CR49" s="102"/>
      <c r="CS49" s="1">
        <v>5</v>
      </c>
      <c r="CT49" s="104">
        <f t="shared" ref="CT49:CT52" si="271">CR49/CS49</f>
        <v>0</v>
      </c>
      <c r="CU49" s="102"/>
      <c r="CV49" s="1">
        <v>5</v>
      </c>
      <c r="CW49" s="104">
        <f t="shared" ref="CW49:CW52" si="272">CU49/CV49</f>
        <v>0</v>
      </c>
      <c r="CX49" s="102"/>
      <c r="CY49" s="1">
        <v>5</v>
      </c>
      <c r="CZ49" s="104">
        <f t="shared" ref="CZ49:CZ52" si="273">CX49/CY49</f>
        <v>0</v>
      </c>
      <c r="DA49" s="102"/>
      <c r="DB49" s="1">
        <v>5</v>
      </c>
      <c r="DC49" s="104">
        <f t="shared" ref="DC49:DC52" si="274">DA49/DB49</f>
        <v>0</v>
      </c>
      <c r="DD49" s="102"/>
      <c r="DE49" s="1">
        <v>5</v>
      </c>
      <c r="DF49" s="104">
        <f t="shared" ref="DF49:DF52" si="275">DD49/DE49</f>
        <v>0</v>
      </c>
      <c r="DG49" s="102"/>
      <c r="DH49" s="1">
        <v>5</v>
      </c>
      <c r="DI49" s="104">
        <f t="shared" ref="DI49:DI52" si="276">DG49/DH49</f>
        <v>0</v>
      </c>
      <c r="DJ49" s="102"/>
      <c r="DK49" s="1">
        <v>5</v>
      </c>
      <c r="DL49" s="104">
        <f t="shared" ref="DL49:DL52" si="277">DJ49/DK49</f>
        <v>0</v>
      </c>
      <c r="DM49" s="102"/>
      <c r="DN49" s="1">
        <v>5</v>
      </c>
      <c r="DO49" s="104">
        <f t="shared" ref="DO49:DO52" si="278">DM49/DN49</f>
        <v>0</v>
      </c>
      <c r="DP49" s="102"/>
      <c r="DQ49" s="1">
        <v>5</v>
      </c>
      <c r="DR49" s="104">
        <f t="shared" ref="DR49:DR52" si="279">DP49/DQ49</f>
        <v>0</v>
      </c>
      <c r="DS49" s="102"/>
      <c r="DT49" s="1">
        <v>5</v>
      </c>
      <c r="DU49" s="104">
        <f t="shared" ref="DU49:DU52" si="280">DS49/DT49</f>
        <v>0</v>
      </c>
      <c r="DV49" s="102"/>
      <c r="DW49" s="1">
        <v>5</v>
      </c>
      <c r="DX49" s="104">
        <f t="shared" ref="DX49:DX52" si="281">DV49/DW49</f>
        <v>0</v>
      </c>
      <c r="DY49" s="102"/>
      <c r="DZ49" s="1">
        <v>5</v>
      </c>
      <c r="EA49" s="104">
        <f t="shared" ref="EA49:EA52" si="282">DY49/DZ49</f>
        <v>0</v>
      </c>
      <c r="EB49" s="102"/>
      <c r="EC49" s="1">
        <v>5</v>
      </c>
      <c r="ED49" s="104">
        <f t="shared" ref="ED49:ED52" si="283">EB49/EC49</f>
        <v>0</v>
      </c>
      <c r="EE49" s="102"/>
      <c r="EF49" s="1">
        <v>5</v>
      </c>
      <c r="EG49" s="104">
        <f t="shared" ref="EG49:EG52" si="284">EE49/EF49</f>
        <v>0</v>
      </c>
      <c r="EH49" s="102"/>
      <c r="EI49" s="1">
        <v>5</v>
      </c>
      <c r="EJ49" s="104">
        <f t="shared" ref="EJ49:EJ52" si="285">EH49/EI49</f>
        <v>0</v>
      </c>
      <c r="EK49" s="102"/>
      <c r="EL49" s="1">
        <v>5</v>
      </c>
      <c r="EM49" s="104">
        <f t="shared" ref="EM49:EM52" si="286">EK49/EL49</f>
        <v>0</v>
      </c>
      <c r="EN49" s="102"/>
      <c r="EO49" s="1">
        <v>5</v>
      </c>
      <c r="EP49" s="104">
        <f t="shared" ref="EP49:EP52" si="287">EN49/EO49</f>
        <v>0</v>
      </c>
      <c r="EQ49" s="85">
        <f t="array" ref="EQ49">IFERROR(_xlfn.LET(
_xlpm.datos,CHOOSE({1;2;3;4;5;6;7;8;9;10;11;12;13;13;14;15;16;17;18;19;20;21;22;23;23;24;25;26;27;28;29;30;31;32;33;34;35;36;37;38;39;40;41;42;43;44;45;46;47},E49,H49,K49,N49,Q49,T49,W49,Z49,AC49,AF49,AI49,AL49,AO49,AR49,AU49,AX49,BA49,BD49,BG49,BJ49,BP49,BS49,BV49,BY49,CB49,CE49,CH49,CK49,CN49,CQ49,CT49,CW49,CZ49,DC49,DF49,DI49,DL49,DO49,DR49,DU49,DX49,EA49,ED49,EG49,EJ49,EM49,EP49),
AVERAGE(_xlfn._xlws.FILTER(_xlpm.datos,(_xlpm.datos&lt;&gt;0)*(_xlpm.datos&lt;&gt;"")))
),0)</f>
        <v>0</v>
      </c>
      <c r="ER49" s="162" t="str">
        <f t="array" ref="ER49">_xlfn.IFS(EQ49&gt;=91.5%,"MENSUAL",EQ49&gt;=75%,"QUINCENAL",EQ49&lt;75%,"SEMANAL")</f>
        <v>SEMANAL</v>
      </c>
    </row>
    <row r="50" ht="38.5" customHeight="1" spans="1:148" x14ac:dyDescent="0.25">
      <c r="A50" s="284" t="s">
        <v>238</v>
      </c>
      <c r="B50" s="101"/>
      <c r="C50" s="102"/>
      <c r="D50" s="103">
        <v>5</v>
      </c>
      <c r="E50" s="104">
        <f t="shared" si="240"/>
        <v>0</v>
      </c>
      <c r="F50" s="102"/>
      <c r="G50" s="103">
        <v>5</v>
      </c>
      <c r="H50" s="104">
        <f t="shared" si="241"/>
        <v>0</v>
      </c>
      <c r="I50" s="105"/>
      <c r="J50" s="103">
        <v>5</v>
      </c>
      <c r="K50" s="104">
        <f t="shared" si="242"/>
        <v>0</v>
      </c>
      <c r="L50" s="105"/>
      <c r="M50" s="103">
        <v>5</v>
      </c>
      <c r="N50" s="104">
        <f t="shared" si="243"/>
        <v>0</v>
      </c>
      <c r="O50" s="106"/>
      <c r="P50" s="107">
        <v>5</v>
      </c>
      <c r="Q50" s="104">
        <f t="shared" si="244"/>
        <v>0</v>
      </c>
      <c r="R50" s="102"/>
      <c r="S50" s="107">
        <v>5</v>
      </c>
      <c r="T50" s="104">
        <f t="shared" si="245"/>
        <v>0</v>
      </c>
      <c r="U50" s="102"/>
      <c r="V50" s="107">
        <v>5</v>
      </c>
      <c r="W50" s="104">
        <f t="shared" si="246"/>
        <v>0</v>
      </c>
      <c r="X50" s="102"/>
      <c r="Y50" s="107">
        <v>5</v>
      </c>
      <c r="Z50" s="104">
        <f t="shared" si="247"/>
        <v>0</v>
      </c>
      <c r="AA50" s="106"/>
      <c r="AB50" s="107">
        <v>5</v>
      </c>
      <c r="AC50" s="104">
        <f t="shared" si="248"/>
        <v>0</v>
      </c>
      <c r="AD50" s="106"/>
      <c r="AE50" s="107">
        <v>5</v>
      </c>
      <c r="AF50" s="104">
        <f t="shared" si="249"/>
        <v>0</v>
      </c>
      <c r="AG50" s="106"/>
      <c r="AH50" s="107">
        <v>5</v>
      </c>
      <c r="AI50" s="104">
        <f t="shared" si="250"/>
        <v>0</v>
      </c>
      <c r="AJ50" s="106"/>
      <c r="AK50" s="107">
        <v>5</v>
      </c>
      <c r="AL50" s="104">
        <f t="shared" si="251"/>
        <v>0</v>
      </c>
      <c r="AM50" s="102"/>
      <c r="AN50" s="1">
        <v>5</v>
      </c>
      <c r="AO50" s="104">
        <f t="shared" si="252"/>
        <v>0</v>
      </c>
      <c r="AP50" s="102"/>
      <c r="AQ50" s="1">
        <v>5</v>
      </c>
      <c r="AR50" s="104">
        <f t="shared" si="253"/>
        <v>0</v>
      </c>
      <c r="AS50" s="102"/>
      <c r="AT50" s="1">
        <v>5</v>
      </c>
      <c r="AU50" s="104">
        <f t="shared" si="254"/>
        <v>0</v>
      </c>
      <c r="AV50" s="102"/>
      <c r="AW50" s="1">
        <v>5</v>
      </c>
      <c r="AX50" s="104">
        <f t="shared" si="255"/>
        <v>0</v>
      </c>
      <c r="AY50" s="102"/>
      <c r="AZ50" s="1">
        <v>5</v>
      </c>
      <c r="BA50" s="104">
        <f t="shared" si="256"/>
        <v>0</v>
      </c>
      <c r="BB50" s="102"/>
      <c r="BC50" s="1">
        <v>5</v>
      </c>
      <c r="BD50" s="104">
        <f t="shared" si="257"/>
        <v>0</v>
      </c>
      <c r="BE50" s="102"/>
      <c r="BF50" s="1">
        <v>5</v>
      </c>
      <c r="BG50" s="104">
        <f t="shared" si="258"/>
        <v>0</v>
      </c>
      <c r="BH50" s="102"/>
      <c r="BI50" s="1">
        <v>5</v>
      </c>
      <c r="BJ50" s="104">
        <f t="shared" si="259"/>
        <v>0</v>
      </c>
      <c r="BK50" s="102"/>
      <c r="BL50" s="1">
        <v>5</v>
      </c>
      <c r="BM50" s="104">
        <f t="shared" si="260"/>
        <v>0</v>
      </c>
      <c r="BN50" s="102"/>
      <c r="BO50" s="1">
        <v>5</v>
      </c>
      <c r="BP50" s="104">
        <f t="shared" si="261"/>
        <v>0</v>
      </c>
      <c r="BQ50" s="102"/>
      <c r="BR50" s="1">
        <v>5</v>
      </c>
      <c r="BS50" s="104">
        <f t="shared" si="262"/>
        <v>0</v>
      </c>
      <c r="BT50" s="102"/>
      <c r="BU50" s="1">
        <v>5</v>
      </c>
      <c r="BV50" s="104">
        <f t="shared" si="263"/>
        <v>0</v>
      </c>
      <c r="BW50" s="102"/>
      <c r="BX50" s="1">
        <v>5</v>
      </c>
      <c r="BY50" s="104">
        <f t="shared" si="264"/>
        <v>0</v>
      </c>
      <c r="BZ50" s="102"/>
      <c r="CA50" s="1">
        <v>5</v>
      </c>
      <c r="CB50" s="104">
        <f t="shared" si="265"/>
        <v>0</v>
      </c>
      <c r="CC50" s="102"/>
      <c r="CD50" s="1">
        <v>5</v>
      </c>
      <c r="CE50" s="104">
        <f t="shared" si="266"/>
        <v>0</v>
      </c>
      <c r="CF50" s="102"/>
      <c r="CG50" s="1">
        <v>5</v>
      </c>
      <c r="CH50" s="104">
        <f t="shared" si="267"/>
        <v>0</v>
      </c>
      <c r="CI50" s="102"/>
      <c r="CJ50" s="1">
        <v>5</v>
      </c>
      <c r="CK50" s="104">
        <f t="shared" si="268"/>
        <v>0</v>
      </c>
      <c r="CL50" s="102"/>
      <c r="CM50" s="1">
        <v>5</v>
      </c>
      <c r="CN50" s="104">
        <f t="shared" si="269"/>
        <v>0</v>
      </c>
      <c r="CO50" s="102"/>
      <c r="CP50" s="1">
        <v>5</v>
      </c>
      <c r="CQ50" s="104">
        <f t="shared" si="270"/>
        <v>0</v>
      </c>
      <c r="CR50" s="102"/>
      <c r="CS50" s="1">
        <v>5</v>
      </c>
      <c r="CT50" s="104">
        <f t="shared" si="271"/>
        <v>0</v>
      </c>
      <c r="CU50" s="102"/>
      <c r="CV50" s="1">
        <v>5</v>
      </c>
      <c r="CW50" s="104">
        <f t="shared" si="272"/>
        <v>0</v>
      </c>
      <c r="CX50" s="102"/>
      <c r="CY50" s="1">
        <v>5</v>
      </c>
      <c r="CZ50" s="104">
        <f t="shared" si="273"/>
        <v>0</v>
      </c>
      <c r="DA50" s="102"/>
      <c r="DB50" s="1">
        <v>5</v>
      </c>
      <c r="DC50" s="104">
        <f t="shared" si="274"/>
        <v>0</v>
      </c>
      <c r="DD50" s="102"/>
      <c r="DE50" s="1">
        <v>5</v>
      </c>
      <c r="DF50" s="104">
        <f t="shared" si="275"/>
        <v>0</v>
      </c>
      <c r="DG50" s="102"/>
      <c r="DH50" s="1">
        <v>5</v>
      </c>
      <c r="DI50" s="104">
        <f t="shared" si="276"/>
        <v>0</v>
      </c>
      <c r="DJ50" s="102"/>
      <c r="DK50" s="1">
        <v>5</v>
      </c>
      <c r="DL50" s="104">
        <f t="shared" si="277"/>
        <v>0</v>
      </c>
      <c r="DM50" s="102"/>
      <c r="DN50" s="1">
        <v>5</v>
      </c>
      <c r="DO50" s="104">
        <f t="shared" si="278"/>
        <v>0</v>
      </c>
      <c r="DP50" s="102"/>
      <c r="DQ50" s="1">
        <v>5</v>
      </c>
      <c r="DR50" s="104">
        <f t="shared" si="279"/>
        <v>0</v>
      </c>
      <c r="DS50" s="102"/>
      <c r="DT50" s="1">
        <v>5</v>
      </c>
      <c r="DU50" s="104">
        <f t="shared" si="280"/>
        <v>0</v>
      </c>
      <c r="DV50" s="102"/>
      <c r="DW50" s="1">
        <v>5</v>
      </c>
      <c r="DX50" s="104">
        <f t="shared" si="281"/>
        <v>0</v>
      </c>
      <c r="DY50" s="102"/>
      <c r="DZ50" s="1">
        <v>5</v>
      </c>
      <c r="EA50" s="104">
        <f t="shared" si="282"/>
        <v>0</v>
      </c>
      <c r="EB50" s="102"/>
      <c r="EC50" s="1">
        <v>5</v>
      </c>
      <c r="ED50" s="104">
        <f t="shared" si="283"/>
        <v>0</v>
      </c>
      <c r="EE50" s="102"/>
      <c r="EF50" s="1">
        <v>5</v>
      </c>
      <c r="EG50" s="104">
        <f t="shared" si="284"/>
        <v>0</v>
      </c>
      <c r="EH50" s="102"/>
      <c r="EI50" s="1">
        <v>5</v>
      </c>
      <c r="EJ50" s="104">
        <f t="shared" si="285"/>
        <v>0</v>
      </c>
      <c r="EK50" s="102"/>
      <c r="EL50" s="1">
        <v>5</v>
      </c>
      <c r="EM50" s="104">
        <f t="shared" si="286"/>
        <v>0</v>
      </c>
      <c r="EN50" s="102"/>
      <c r="EO50" s="1">
        <v>5</v>
      </c>
      <c r="EP50" s="104">
        <f t="shared" si="287"/>
        <v>0</v>
      </c>
      <c r="EQ50" s="85">
        <f t="array" ref="EQ50">IFERROR(_xlfn.LET(
_xlpm.datos,CHOOSE({1;2;3;4;5;6;7;8;9;10;11;12;13;13;14;15;16;17;18;19;20;21;22;23;23;24;25;26;27;28;29;30;31;32;33;34;35;36;37;38;39;40;41;42;43;44;45;46;47},E50,H50,K50,N50,Q50,T50,W50,Z50,AC50,AF50,AI50,AL50,AO50,AR50,AU50,AX50,BA50,BD50,BG50,BJ50,BP50,BS50,BV50,BY50,CB50,CE50,CH50,CK50,CN50,CQ50,CT50,CW50,CZ50,DC50,DF50,DI50,DL50,DO50,DR50,DU50,DX50,EA50,ED50,EG50,EJ50,EM50,EP50),
AVERAGE(_xlfn._xlws.FILTER(_xlpm.datos,(_xlpm.datos&lt;&gt;0)*(_xlpm.datos&lt;&gt;"")))
),0)</f>
        <v>0</v>
      </c>
      <c r="ER50" s="162" t="str">
        <f t="array" ref="ER50">_xlfn.IFS(EQ50&gt;=91.5%,"MENSUAL",EQ50&gt;=75%,"QUINCENAL",EQ50&lt;75%,"SEMANAL")</f>
        <v>SEMANAL</v>
      </c>
    </row>
    <row r="51" ht="16" customHeight="1" spans="1:148" x14ac:dyDescent="0.25">
      <c r="A51" s="285" t="s">
        <v>125</v>
      </c>
      <c r="B51" s="101"/>
      <c r="C51" s="102"/>
      <c r="D51" s="103">
        <v>5</v>
      </c>
      <c r="E51" s="104">
        <f t="shared" si="240"/>
        <v>0</v>
      </c>
      <c r="F51" s="102"/>
      <c r="G51" s="103">
        <v>5</v>
      </c>
      <c r="H51" s="104">
        <f t="shared" si="241"/>
        <v>0</v>
      </c>
      <c r="I51" s="105"/>
      <c r="J51" s="103">
        <v>5</v>
      </c>
      <c r="K51" s="104">
        <f t="shared" si="242"/>
        <v>0</v>
      </c>
      <c r="L51" s="105"/>
      <c r="M51" s="103">
        <v>5</v>
      </c>
      <c r="N51" s="104">
        <f t="shared" si="243"/>
        <v>0</v>
      </c>
      <c r="O51" s="106"/>
      <c r="P51" s="107">
        <v>5</v>
      </c>
      <c r="Q51" s="104">
        <f t="shared" si="244"/>
        <v>0</v>
      </c>
      <c r="R51" s="102"/>
      <c r="S51" s="107">
        <v>5</v>
      </c>
      <c r="T51" s="104">
        <f t="shared" si="245"/>
        <v>0</v>
      </c>
      <c r="U51" s="102"/>
      <c r="V51" s="107">
        <v>5</v>
      </c>
      <c r="W51" s="104">
        <f t="shared" si="246"/>
        <v>0</v>
      </c>
      <c r="X51" s="102"/>
      <c r="Y51" s="107">
        <v>5</v>
      </c>
      <c r="Z51" s="104">
        <f t="shared" si="247"/>
        <v>0</v>
      </c>
      <c r="AA51" s="106"/>
      <c r="AB51" s="107">
        <v>5</v>
      </c>
      <c r="AC51" s="104">
        <f t="shared" si="248"/>
        <v>0</v>
      </c>
      <c r="AD51" s="106"/>
      <c r="AE51" s="107">
        <v>5</v>
      </c>
      <c r="AF51" s="104">
        <f t="shared" si="249"/>
        <v>0</v>
      </c>
      <c r="AG51" s="106"/>
      <c r="AH51" s="107">
        <v>5</v>
      </c>
      <c r="AI51" s="104">
        <f t="shared" si="250"/>
        <v>0</v>
      </c>
      <c r="AJ51" s="106"/>
      <c r="AK51" s="107">
        <v>5</v>
      </c>
      <c r="AL51" s="104">
        <f t="shared" si="251"/>
        <v>0</v>
      </c>
      <c r="AM51" s="102"/>
      <c r="AN51" s="1">
        <v>5</v>
      </c>
      <c r="AO51" s="104">
        <f t="shared" si="252"/>
        <v>0</v>
      </c>
      <c r="AP51" s="102"/>
      <c r="AQ51" s="1">
        <v>5</v>
      </c>
      <c r="AR51" s="104">
        <f t="shared" si="253"/>
        <v>0</v>
      </c>
      <c r="AS51" s="102"/>
      <c r="AT51" s="1">
        <v>5</v>
      </c>
      <c r="AU51" s="104">
        <f t="shared" si="254"/>
        <v>0</v>
      </c>
      <c r="AV51" s="102"/>
      <c r="AW51" s="1">
        <v>5</v>
      </c>
      <c r="AX51" s="104">
        <f t="shared" si="255"/>
        <v>0</v>
      </c>
      <c r="AY51" s="102"/>
      <c r="AZ51" s="1">
        <v>5</v>
      </c>
      <c r="BA51" s="104">
        <f t="shared" si="256"/>
        <v>0</v>
      </c>
      <c r="BB51" s="102"/>
      <c r="BC51" s="1">
        <v>5</v>
      </c>
      <c r="BD51" s="104">
        <f t="shared" si="257"/>
        <v>0</v>
      </c>
      <c r="BE51" s="102"/>
      <c r="BF51" s="1">
        <v>5</v>
      </c>
      <c r="BG51" s="104">
        <f t="shared" si="258"/>
        <v>0</v>
      </c>
      <c r="BH51" s="102"/>
      <c r="BI51" s="1">
        <v>5</v>
      </c>
      <c r="BJ51" s="104">
        <f t="shared" si="259"/>
        <v>0</v>
      </c>
      <c r="BK51" s="102"/>
      <c r="BL51" s="1">
        <v>5</v>
      </c>
      <c r="BM51" s="104">
        <f t="shared" si="260"/>
        <v>0</v>
      </c>
      <c r="BN51" s="102"/>
      <c r="BO51" s="1">
        <v>5</v>
      </c>
      <c r="BP51" s="104">
        <f t="shared" si="261"/>
        <v>0</v>
      </c>
      <c r="BQ51" s="102"/>
      <c r="BR51" s="1">
        <v>5</v>
      </c>
      <c r="BS51" s="104">
        <f t="shared" si="262"/>
        <v>0</v>
      </c>
      <c r="BT51" s="102"/>
      <c r="BU51" s="1">
        <v>5</v>
      </c>
      <c r="BV51" s="104">
        <f t="shared" si="263"/>
        <v>0</v>
      </c>
      <c r="BW51" s="102"/>
      <c r="BX51" s="1">
        <v>5</v>
      </c>
      <c r="BY51" s="104">
        <f t="shared" si="264"/>
        <v>0</v>
      </c>
      <c r="BZ51" s="102"/>
      <c r="CA51" s="1">
        <v>5</v>
      </c>
      <c r="CB51" s="104">
        <f t="shared" si="265"/>
        <v>0</v>
      </c>
      <c r="CC51" s="102"/>
      <c r="CD51" s="1">
        <v>5</v>
      </c>
      <c r="CE51" s="104">
        <f t="shared" si="266"/>
        <v>0</v>
      </c>
      <c r="CF51" s="102"/>
      <c r="CG51" s="1">
        <v>5</v>
      </c>
      <c r="CH51" s="104">
        <f t="shared" si="267"/>
        <v>0</v>
      </c>
      <c r="CI51" s="102"/>
      <c r="CJ51" s="1">
        <v>5</v>
      </c>
      <c r="CK51" s="104">
        <f t="shared" si="268"/>
        <v>0</v>
      </c>
      <c r="CL51" s="102"/>
      <c r="CM51" s="1">
        <v>5</v>
      </c>
      <c r="CN51" s="104">
        <f t="shared" si="269"/>
        <v>0</v>
      </c>
      <c r="CO51" s="102"/>
      <c r="CP51" s="1">
        <v>5</v>
      </c>
      <c r="CQ51" s="104">
        <f t="shared" si="270"/>
        <v>0</v>
      </c>
      <c r="CR51" s="102"/>
      <c r="CS51" s="1">
        <v>5</v>
      </c>
      <c r="CT51" s="104">
        <f t="shared" si="271"/>
        <v>0</v>
      </c>
      <c r="CU51" s="102"/>
      <c r="CV51" s="1">
        <v>5</v>
      </c>
      <c r="CW51" s="104">
        <f t="shared" si="272"/>
        <v>0</v>
      </c>
      <c r="CX51" s="102"/>
      <c r="CY51" s="1">
        <v>5</v>
      </c>
      <c r="CZ51" s="104">
        <f t="shared" si="273"/>
        <v>0</v>
      </c>
      <c r="DA51" s="102"/>
      <c r="DB51" s="1">
        <v>5</v>
      </c>
      <c r="DC51" s="104">
        <f t="shared" si="274"/>
        <v>0</v>
      </c>
      <c r="DD51" s="102"/>
      <c r="DE51" s="1">
        <v>5</v>
      </c>
      <c r="DF51" s="104">
        <f t="shared" si="275"/>
        <v>0</v>
      </c>
      <c r="DG51" s="102"/>
      <c r="DH51" s="1">
        <v>5</v>
      </c>
      <c r="DI51" s="104">
        <f t="shared" si="276"/>
        <v>0</v>
      </c>
      <c r="DJ51" s="102"/>
      <c r="DK51" s="1">
        <v>5</v>
      </c>
      <c r="DL51" s="104">
        <f t="shared" si="277"/>
        <v>0</v>
      </c>
      <c r="DM51" s="102"/>
      <c r="DN51" s="1">
        <v>5</v>
      </c>
      <c r="DO51" s="104">
        <f t="shared" si="278"/>
        <v>0</v>
      </c>
      <c r="DP51" s="102"/>
      <c r="DQ51" s="1">
        <v>5</v>
      </c>
      <c r="DR51" s="104">
        <f t="shared" si="279"/>
        <v>0</v>
      </c>
      <c r="DS51" s="102"/>
      <c r="DT51" s="1">
        <v>5</v>
      </c>
      <c r="DU51" s="104">
        <f t="shared" si="280"/>
        <v>0</v>
      </c>
      <c r="DV51" s="102"/>
      <c r="DW51" s="1">
        <v>5</v>
      </c>
      <c r="DX51" s="104">
        <f t="shared" si="281"/>
        <v>0</v>
      </c>
      <c r="DY51" s="102"/>
      <c r="DZ51" s="1">
        <v>5</v>
      </c>
      <c r="EA51" s="104">
        <f t="shared" si="282"/>
        <v>0</v>
      </c>
      <c r="EB51" s="102"/>
      <c r="EC51" s="1">
        <v>5</v>
      </c>
      <c r="ED51" s="104">
        <f t="shared" si="283"/>
        <v>0</v>
      </c>
      <c r="EE51" s="102"/>
      <c r="EF51" s="1">
        <v>5</v>
      </c>
      <c r="EG51" s="104">
        <f t="shared" si="284"/>
        <v>0</v>
      </c>
      <c r="EH51" s="102"/>
      <c r="EI51" s="1">
        <v>5</v>
      </c>
      <c r="EJ51" s="104">
        <f t="shared" si="285"/>
        <v>0</v>
      </c>
      <c r="EK51" s="102"/>
      <c r="EL51" s="1">
        <v>5</v>
      </c>
      <c r="EM51" s="104">
        <f t="shared" si="286"/>
        <v>0</v>
      </c>
      <c r="EN51" s="102"/>
      <c r="EO51" s="1">
        <v>5</v>
      </c>
      <c r="EP51" s="104">
        <f t="shared" si="287"/>
        <v>0</v>
      </c>
      <c r="EQ51" s="85">
        <f t="array" ref="EQ51">IFERROR(_xlfn.LET(
_xlpm.datos,CHOOSE({1;2;3;4;5;6;7;8;9;10;11;12;13;13;14;15;16;17;18;19;20;21;22;23;23;24;25;26;27;28;29;30;31;32;33;34;35;36;37;38;39;40;41;42;43;44;45;46;47},E51,H51,K51,N51,Q51,T51,W51,Z51,AC51,AF51,AI51,AL51,AO51,AR51,AU51,AX51,BA51,BD51,BG51,BJ51,BP51,BS51,BV51,BY51,CB51,CE51,CH51,CK51,CN51,CQ51,CT51,CW51,CZ51,DC51,DF51,DI51,DL51,DO51,DR51,DU51,DX51,EA51,ED51,EG51,EJ51,EM51,EP51),
AVERAGE(_xlfn._xlws.FILTER(_xlpm.datos,(_xlpm.datos&lt;&gt;0)*(_xlpm.datos&lt;&gt;"")))
),0)</f>
        <v>0</v>
      </c>
      <c r="ER51" s="162" t="str">
        <f t="array" ref="ER51">_xlfn.IFS(EQ51&gt;=91.5%,"MENSUAL",EQ51&gt;=75%,"QUINCENAL",EQ51&lt;75%,"SEMANAL")</f>
        <v>SEMANAL</v>
      </c>
    </row>
    <row r="52" ht="25.5" customHeight="1" spans="1:148" x14ac:dyDescent="0.25">
      <c r="A52" s="171" t="s">
        <v>239</v>
      </c>
      <c r="B52" s="101"/>
      <c r="C52" s="102"/>
      <c r="D52" s="103">
        <v>5</v>
      </c>
      <c r="E52" s="104">
        <f t="shared" si="240"/>
        <v>0</v>
      </c>
      <c r="F52" s="102"/>
      <c r="G52" s="103">
        <v>5</v>
      </c>
      <c r="H52" s="104">
        <f t="shared" si="241"/>
        <v>0</v>
      </c>
      <c r="I52" s="105"/>
      <c r="J52" s="103">
        <v>5</v>
      </c>
      <c r="K52" s="104">
        <f t="shared" si="242"/>
        <v>0</v>
      </c>
      <c r="L52" s="105"/>
      <c r="M52" s="103">
        <v>5</v>
      </c>
      <c r="N52" s="104">
        <f t="shared" si="243"/>
        <v>0</v>
      </c>
      <c r="O52" s="106"/>
      <c r="P52" s="107">
        <v>5</v>
      </c>
      <c r="Q52" s="104">
        <f t="shared" si="244"/>
        <v>0</v>
      </c>
      <c r="R52" s="102"/>
      <c r="S52" s="107">
        <v>5</v>
      </c>
      <c r="T52" s="104">
        <f t="shared" si="245"/>
        <v>0</v>
      </c>
      <c r="U52" s="102"/>
      <c r="V52" s="107">
        <v>5</v>
      </c>
      <c r="W52" s="104">
        <f t="shared" si="246"/>
        <v>0</v>
      </c>
      <c r="X52" s="102"/>
      <c r="Y52" s="107">
        <v>5</v>
      </c>
      <c r="Z52" s="104">
        <f t="shared" si="247"/>
        <v>0</v>
      </c>
      <c r="AA52" s="106"/>
      <c r="AB52" s="107">
        <v>5</v>
      </c>
      <c r="AC52" s="104">
        <f t="shared" si="248"/>
        <v>0</v>
      </c>
      <c r="AD52" s="106"/>
      <c r="AE52" s="107">
        <v>5</v>
      </c>
      <c r="AF52" s="104">
        <f t="shared" si="249"/>
        <v>0</v>
      </c>
      <c r="AG52" s="106"/>
      <c r="AH52" s="107">
        <v>5</v>
      </c>
      <c r="AI52" s="104">
        <f t="shared" si="250"/>
        <v>0</v>
      </c>
      <c r="AJ52" s="106"/>
      <c r="AK52" s="107">
        <v>5</v>
      </c>
      <c r="AL52" s="104">
        <f t="shared" si="251"/>
        <v>0</v>
      </c>
      <c r="AM52" s="102"/>
      <c r="AN52" s="1">
        <v>5</v>
      </c>
      <c r="AO52" s="104">
        <f t="shared" si="252"/>
        <v>0</v>
      </c>
      <c r="AP52" s="102"/>
      <c r="AQ52" s="1">
        <v>5</v>
      </c>
      <c r="AR52" s="104">
        <f t="shared" si="253"/>
        <v>0</v>
      </c>
      <c r="AS52" s="102"/>
      <c r="AT52" s="1">
        <v>5</v>
      </c>
      <c r="AU52" s="104">
        <f t="shared" si="254"/>
        <v>0</v>
      </c>
      <c r="AV52" s="102"/>
      <c r="AW52" s="1">
        <v>5</v>
      </c>
      <c r="AX52" s="104">
        <f t="shared" si="255"/>
        <v>0</v>
      </c>
      <c r="AY52" s="102"/>
      <c r="AZ52" s="1">
        <v>5</v>
      </c>
      <c r="BA52" s="104">
        <f t="shared" si="256"/>
        <v>0</v>
      </c>
      <c r="BB52" s="102"/>
      <c r="BC52" s="1">
        <v>5</v>
      </c>
      <c r="BD52" s="104">
        <f t="shared" si="257"/>
        <v>0</v>
      </c>
      <c r="BE52" s="102"/>
      <c r="BF52" s="1">
        <v>5</v>
      </c>
      <c r="BG52" s="104">
        <f t="shared" si="258"/>
        <v>0</v>
      </c>
      <c r="BH52" s="102"/>
      <c r="BI52" s="1">
        <v>5</v>
      </c>
      <c r="BJ52" s="104">
        <f t="shared" si="259"/>
        <v>0</v>
      </c>
      <c r="BK52" s="102"/>
      <c r="BL52" s="1">
        <v>5</v>
      </c>
      <c r="BM52" s="104">
        <f t="shared" si="260"/>
        <v>0</v>
      </c>
      <c r="BN52" s="102"/>
      <c r="BO52" s="1">
        <v>5</v>
      </c>
      <c r="BP52" s="104">
        <f t="shared" si="261"/>
        <v>0</v>
      </c>
      <c r="BQ52" s="102"/>
      <c r="BR52" s="1">
        <v>5</v>
      </c>
      <c r="BS52" s="104">
        <f t="shared" si="262"/>
        <v>0</v>
      </c>
      <c r="BT52" s="102"/>
      <c r="BU52" s="1">
        <v>5</v>
      </c>
      <c r="BV52" s="104">
        <f t="shared" si="263"/>
        <v>0</v>
      </c>
      <c r="BW52" s="102"/>
      <c r="BX52" s="1">
        <v>5</v>
      </c>
      <c r="BY52" s="104">
        <f t="shared" si="264"/>
        <v>0</v>
      </c>
      <c r="BZ52" s="102"/>
      <c r="CA52" s="1">
        <v>5</v>
      </c>
      <c r="CB52" s="104">
        <f t="shared" si="265"/>
        <v>0</v>
      </c>
      <c r="CC52" s="102"/>
      <c r="CD52" s="1">
        <v>5</v>
      </c>
      <c r="CE52" s="104">
        <f t="shared" si="266"/>
        <v>0</v>
      </c>
      <c r="CF52" s="102"/>
      <c r="CG52" s="1">
        <v>5</v>
      </c>
      <c r="CH52" s="104">
        <f t="shared" si="267"/>
        <v>0</v>
      </c>
      <c r="CI52" s="102"/>
      <c r="CJ52" s="1">
        <v>5</v>
      </c>
      <c r="CK52" s="104">
        <f t="shared" si="268"/>
        <v>0</v>
      </c>
      <c r="CL52" s="102"/>
      <c r="CM52" s="1">
        <v>5</v>
      </c>
      <c r="CN52" s="104">
        <f t="shared" si="269"/>
        <v>0</v>
      </c>
      <c r="CO52" s="102"/>
      <c r="CP52" s="1">
        <v>5</v>
      </c>
      <c r="CQ52" s="104">
        <f t="shared" si="270"/>
        <v>0</v>
      </c>
      <c r="CR52" s="102"/>
      <c r="CS52" s="1">
        <v>5</v>
      </c>
      <c r="CT52" s="104">
        <f t="shared" si="271"/>
        <v>0</v>
      </c>
      <c r="CU52" s="102"/>
      <c r="CV52" s="1">
        <v>5</v>
      </c>
      <c r="CW52" s="104">
        <f t="shared" si="272"/>
        <v>0</v>
      </c>
      <c r="CX52" s="102"/>
      <c r="CY52" s="1">
        <v>5</v>
      </c>
      <c r="CZ52" s="104">
        <f t="shared" si="273"/>
        <v>0</v>
      </c>
      <c r="DA52" s="102"/>
      <c r="DB52" s="1">
        <v>5</v>
      </c>
      <c r="DC52" s="104">
        <f t="shared" si="274"/>
        <v>0</v>
      </c>
      <c r="DD52" s="102"/>
      <c r="DE52" s="1">
        <v>5</v>
      </c>
      <c r="DF52" s="104">
        <f t="shared" si="275"/>
        <v>0</v>
      </c>
      <c r="DG52" s="102"/>
      <c r="DH52" s="1">
        <v>5</v>
      </c>
      <c r="DI52" s="104">
        <f t="shared" si="276"/>
        <v>0</v>
      </c>
      <c r="DJ52" s="102"/>
      <c r="DK52" s="1">
        <v>5</v>
      </c>
      <c r="DL52" s="104">
        <f t="shared" si="277"/>
        <v>0</v>
      </c>
      <c r="DM52" s="102"/>
      <c r="DN52" s="1">
        <v>5</v>
      </c>
      <c r="DO52" s="104">
        <f t="shared" si="278"/>
        <v>0</v>
      </c>
      <c r="DP52" s="102"/>
      <c r="DQ52" s="1">
        <v>5</v>
      </c>
      <c r="DR52" s="104">
        <f t="shared" si="279"/>
        <v>0</v>
      </c>
      <c r="DS52" s="102"/>
      <c r="DT52" s="1">
        <v>5</v>
      </c>
      <c r="DU52" s="104">
        <f t="shared" si="280"/>
        <v>0</v>
      </c>
      <c r="DV52" s="102"/>
      <c r="DW52" s="1">
        <v>5</v>
      </c>
      <c r="DX52" s="104">
        <f t="shared" si="281"/>
        <v>0</v>
      </c>
      <c r="DY52" s="102"/>
      <c r="DZ52" s="1">
        <v>5</v>
      </c>
      <c r="EA52" s="104">
        <f t="shared" si="282"/>
        <v>0</v>
      </c>
      <c r="EB52" s="102"/>
      <c r="EC52" s="1">
        <v>5</v>
      </c>
      <c r="ED52" s="104">
        <f t="shared" si="283"/>
        <v>0</v>
      </c>
      <c r="EE52" s="102"/>
      <c r="EF52" s="1">
        <v>5</v>
      </c>
      <c r="EG52" s="104">
        <f t="shared" si="284"/>
        <v>0</v>
      </c>
      <c r="EH52" s="102"/>
      <c r="EI52" s="1">
        <v>5</v>
      </c>
      <c r="EJ52" s="104">
        <f t="shared" si="285"/>
        <v>0</v>
      </c>
      <c r="EK52" s="102"/>
      <c r="EL52" s="1">
        <v>5</v>
      </c>
      <c r="EM52" s="104">
        <f t="shared" si="286"/>
        <v>0</v>
      </c>
      <c r="EN52" s="102"/>
      <c r="EO52" s="1">
        <v>5</v>
      </c>
      <c r="EP52" s="104">
        <f t="shared" si="287"/>
        <v>0</v>
      </c>
      <c r="EQ52" s="85">
        <f t="array" ref="EQ52">IFERROR(_xlfn.LET(
_xlpm.datos,CHOOSE({1;2;3;4;5;6;7;8;9;10;11;12;13;13;14;15;16;17;18;19;20;21;22;23;23;24;25;26;27;28;29;30;31;32;33;34;35;36;37;38;39;40;41;42;43;44;45;46;47},E52,H52,K52,N52,Q52,T52,W52,Z52,AC52,AF52,AI52,AL52,AO52,AR52,AU52,AX52,BA52,BD52,BG52,BJ52,BP52,BS52,BV52,BY52,CB52,CE52,CH52,CK52,CN52,CQ52,CT52,CW52,CZ52,DC52,DF52,DI52,DL52,DO52,DR52,DU52,DX52,EA52,ED52,EG52,EJ52,EM52,EP52),
AVERAGE(_xlfn._xlws.FILTER(_xlpm.datos,(_xlpm.datos&lt;&gt;0)*(_xlpm.datos&lt;&gt;"")))
),0)</f>
        <v>0</v>
      </c>
      <c r="ER52" s="162" t="str">
        <f t="array" ref="ER52">_xlfn.IFS(EQ52&gt;=91.5%,"MENSUAL",EQ52&gt;=75%,"QUINCENAL",EQ52&lt;75%,"SEMANAL")</f>
        <v>SEMANAL</v>
      </c>
    </row>
    <row r="53" ht="16" customHeight="1" spans="1:148" x14ac:dyDescent="0.25">
      <c r="A53" s="124" t="s">
        <v>128</v>
      </c>
      <c r="B53" s="125"/>
      <c r="C53" s="126"/>
      <c r="D53" s="127"/>
      <c r="E53" s="82">
        <f>AVERAGE(E54)</f>
        <v>0</v>
      </c>
      <c r="F53" s="126"/>
      <c r="G53" s="127"/>
      <c r="H53" s="82">
        <f>AVERAGE(H54)</f>
        <v>0</v>
      </c>
      <c r="I53" s="126"/>
      <c r="J53" s="127"/>
      <c r="K53" s="82">
        <f>AVERAGE(K54)</f>
        <v>0</v>
      </c>
      <c r="L53" s="126"/>
      <c r="M53" s="127"/>
      <c r="N53" s="82">
        <f>AVERAGE(N54)</f>
        <v>0</v>
      </c>
      <c r="O53" s="126"/>
      <c r="P53" s="127"/>
      <c r="Q53" s="82">
        <f>AVERAGE(Q54)</f>
        <v>0</v>
      </c>
      <c r="R53" s="126"/>
      <c r="S53" s="127"/>
      <c r="T53" s="82">
        <f>AVERAGE(T54)</f>
        <v>0</v>
      </c>
      <c r="U53" s="126"/>
      <c r="V53" s="127"/>
      <c r="W53" s="82">
        <f>AVERAGE(W54)</f>
        <v>0</v>
      </c>
      <c r="X53" s="126"/>
      <c r="Y53" s="127"/>
      <c r="Z53" s="82">
        <f>AVERAGE(Z54)</f>
        <v>0</v>
      </c>
      <c r="AA53" s="126"/>
      <c r="AB53" s="127"/>
      <c r="AC53" s="82">
        <f>AVERAGE(AC54)</f>
        <v>0</v>
      </c>
      <c r="AD53" s="126"/>
      <c r="AE53" s="127"/>
      <c r="AF53" s="82">
        <f>AVERAGE(AF54)</f>
        <v>0</v>
      </c>
      <c r="AG53" s="126"/>
      <c r="AH53" s="127"/>
      <c r="AI53" s="82">
        <f>AVERAGE(AI54)</f>
        <v>0</v>
      </c>
      <c r="AJ53" s="126"/>
      <c r="AK53" s="127"/>
      <c r="AL53" s="82">
        <f>AVERAGE(AL54)</f>
        <v>0</v>
      </c>
      <c r="AM53" s="126"/>
      <c r="AN53" s="136"/>
      <c r="AO53" s="82">
        <f>AVERAGE(AO54)</f>
        <v>0</v>
      </c>
      <c r="AP53" s="128"/>
      <c r="AQ53" s="129"/>
      <c r="AR53" s="82">
        <f>AVERAGE(AR54)</f>
        <v>0</v>
      </c>
      <c r="AS53" s="130"/>
      <c r="AT53" s="129"/>
      <c r="AU53" s="82">
        <f>AVERAGE(AU54)</f>
        <v>0</v>
      </c>
      <c r="AV53" s="126"/>
      <c r="AW53" s="136"/>
      <c r="AX53" s="82">
        <f>AVERAGE(AX54)</f>
        <v>0</v>
      </c>
      <c r="AY53" s="137"/>
      <c r="AZ53" s="138"/>
      <c r="BA53" s="82">
        <f>AVERAGE(BA54)</f>
        <v>0</v>
      </c>
      <c r="BB53" s="128"/>
      <c r="BC53" s="132"/>
      <c r="BD53" s="82">
        <f>AVERAGE(BD54)</f>
        <v>0</v>
      </c>
      <c r="BE53" s="128"/>
      <c r="BF53" s="132"/>
      <c r="BG53" s="82">
        <f>AVERAGE(BG54)</f>
        <v>0</v>
      </c>
      <c r="BH53" s="128"/>
      <c r="BI53" s="132"/>
      <c r="BJ53" s="82">
        <f>AVERAGE(BJ54)</f>
        <v>0</v>
      </c>
      <c r="BK53" s="128"/>
      <c r="BL53" s="132"/>
      <c r="BM53" s="82">
        <f>AVERAGE(BM54)</f>
        <v>0</v>
      </c>
      <c r="BN53" s="128"/>
      <c r="BO53" s="132"/>
      <c r="BP53" s="82">
        <f>AVERAGE(BP54)</f>
        <v>0</v>
      </c>
      <c r="BQ53" s="128"/>
      <c r="BR53" s="132"/>
      <c r="BS53" s="82">
        <f>AVERAGE(BS54)</f>
        <v>0</v>
      </c>
      <c r="BT53" s="128"/>
      <c r="BU53" s="132"/>
      <c r="BV53" s="82">
        <f>AVERAGE(BV54)</f>
        <v>0</v>
      </c>
      <c r="BW53" s="128"/>
      <c r="BX53" s="132"/>
      <c r="BY53" s="82">
        <f>AVERAGE(BY54)</f>
        <v>0</v>
      </c>
      <c r="BZ53" s="126"/>
      <c r="CA53" s="127"/>
      <c r="CB53" s="82">
        <f>AVERAGE(CB54)</f>
        <v>0</v>
      </c>
      <c r="CC53" s="126"/>
      <c r="CD53" s="127"/>
      <c r="CE53" s="82">
        <f>AVERAGE(CE54)</f>
        <v>0</v>
      </c>
      <c r="CF53" s="126"/>
      <c r="CG53" s="127"/>
      <c r="CH53" s="82">
        <f>AVERAGE(CH54)</f>
        <v>0</v>
      </c>
      <c r="CI53" s="126"/>
      <c r="CJ53" s="127"/>
      <c r="CK53" s="82">
        <f>AVERAGE(CK54)</f>
        <v>0</v>
      </c>
      <c r="CL53" s="126"/>
      <c r="CM53" s="127"/>
      <c r="CN53" s="82">
        <f>AVERAGE(CN54)</f>
        <v>0</v>
      </c>
      <c r="CO53" s="126"/>
      <c r="CP53" s="127"/>
      <c r="CQ53" s="82">
        <f>AVERAGE(CQ54)</f>
        <v>0</v>
      </c>
      <c r="CR53" s="126"/>
      <c r="CS53" s="127"/>
      <c r="CT53" s="82">
        <f>AVERAGE(CT54)</f>
        <v>0</v>
      </c>
      <c r="CU53" s="126"/>
      <c r="CV53" s="127"/>
      <c r="CW53" s="82">
        <f>AVERAGE(CW54)</f>
        <v>0</v>
      </c>
      <c r="CX53" s="126"/>
      <c r="CY53" s="127"/>
      <c r="CZ53" s="82">
        <f>AVERAGE(CZ54)</f>
        <v>0</v>
      </c>
      <c r="DA53" s="126"/>
      <c r="DB53" s="127"/>
      <c r="DC53" s="82">
        <f>AVERAGE(DC54)</f>
        <v>0</v>
      </c>
      <c r="DD53" s="126"/>
      <c r="DE53" s="127"/>
      <c r="DF53" s="82">
        <f>AVERAGE(DF54)</f>
        <v>0</v>
      </c>
      <c r="DG53" s="126"/>
      <c r="DH53" s="127"/>
      <c r="DI53" s="82">
        <f>AVERAGE(DI54)</f>
        <v>0</v>
      </c>
      <c r="DJ53" s="126"/>
      <c r="DK53" s="127"/>
      <c r="DL53" s="82">
        <f>AVERAGE(DL54)</f>
        <v>0</v>
      </c>
      <c r="DM53" s="126"/>
      <c r="DN53" s="127"/>
      <c r="DO53" s="82">
        <f>AVERAGE(DO54)</f>
        <v>0</v>
      </c>
      <c r="DP53" s="126"/>
      <c r="DQ53" s="127"/>
      <c r="DR53" s="82">
        <f>AVERAGE(DR54)</f>
        <v>0</v>
      </c>
      <c r="DS53" s="126"/>
      <c r="DT53" s="127"/>
      <c r="DU53" s="82">
        <f>AVERAGE(DU54)</f>
        <v>0</v>
      </c>
      <c r="DV53" s="126"/>
      <c r="DW53" s="127"/>
      <c r="DX53" s="82">
        <f>AVERAGE(DX54)</f>
        <v>0</v>
      </c>
      <c r="DY53" s="126"/>
      <c r="DZ53" s="127"/>
      <c r="EA53" s="82">
        <f>AVERAGE(EA54)</f>
        <v>0</v>
      </c>
      <c r="EB53" s="126"/>
      <c r="EC53" s="127"/>
      <c r="ED53" s="82">
        <f>AVERAGE(ED54)</f>
        <v>0</v>
      </c>
      <c r="EE53" s="126"/>
      <c r="EF53" s="127"/>
      <c r="EG53" s="82">
        <f>AVERAGE(EG54)</f>
        <v>0</v>
      </c>
      <c r="EH53" s="126"/>
      <c r="EI53" s="127"/>
      <c r="EJ53" s="82">
        <f>AVERAGE(EJ54)</f>
        <v>0</v>
      </c>
      <c r="EK53" s="126"/>
      <c r="EL53" s="127"/>
      <c r="EM53" s="82">
        <f>AVERAGE(EM54)</f>
        <v>0</v>
      </c>
      <c r="EN53" s="126"/>
      <c r="EO53" s="127"/>
      <c r="EP53" s="82">
        <f>AVERAGE(EP54)</f>
        <v>0</v>
      </c>
      <c r="EQ53" s="85">
        <f t="array" ref="EQ53">IFERROR(_xlfn.LET(
_xlpm.datos,CHOOSE({1;2;3;4;5;6;7;8;9;10;11;12;13;13;14;15;16;17;18;19;20;21;22;23;23;24;25;26;27;28;29;30;31;32;33;34;35;36;37;38;39;40;41;42;43;44;45;46;47},E53,H53,K53,N53,Q53,T53,W53,Z53,AC53,AF53,AI53,AL53,AO53,AR53,AU53,AX53,BA53,BD53,BG53,BJ53,BP53,BS53,BV53,BY53,CB53,CE53,CH53,CK53,CN53,CQ53,CT53,CW53,CZ53,DC53,DF53,DI53,DL53,DO53,DR53,DU53,DX53,EA53,ED53,EG53,EJ53,EM53,EP53),
AVERAGE(_xlfn._xlws.FILTER(_xlpm.datos,(_xlpm.datos&lt;&gt;0)*(_xlpm.datos&lt;&gt;"")))
),0)</f>
        <v>0</v>
      </c>
      <c r="ER53" s="162" t="str">
        <f t="array" ref="ER53">_xlfn.IFS(EQ53&gt;=91.5%,"MENSUAL",EQ53&gt;=75%,"QUINCENAL",EQ53&lt;75%,"SEMANAL")</f>
        <v>SEMANAL</v>
      </c>
    </row>
    <row r="54" ht="27" customHeight="1" spans="1:148" x14ac:dyDescent="0.25">
      <c r="A54" s="144" t="s">
        <v>157</v>
      </c>
      <c r="B54" s="101"/>
      <c r="C54" s="102"/>
      <c r="D54" s="103">
        <v>5</v>
      </c>
      <c r="E54" s="104">
        <f t="shared" ref="E54" si="288">C54/D54</f>
        <v>0</v>
      </c>
      <c r="F54" s="102"/>
      <c r="G54" s="103">
        <v>5</v>
      </c>
      <c r="H54" s="104">
        <f t="shared" ref="H54" si="289">F54/G54</f>
        <v>0</v>
      </c>
      <c r="I54" s="105"/>
      <c r="J54" s="103">
        <v>5</v>
      </c>
      <c r="K54" s="104">
        <f t="shared" ref="K54" si="290">I54/J54</f>
        <v>0</v>
      </c>
      <c r="L54" s="105"/>
      <c r="M54" s="103">
        <v>5</v>
      </c>
      <c r="N54" s="104">
        <f t="shared" ref="N54" si="291">L54/M54</f>
        <v>0</v>
      </c>
      <c r="O54" s="106"/>
      <c r="P54" s="107">
        <v>5</v>
      </c>
      <c r="Q54" s="104">
        <f t="shared" ref="Q54" si="292">O54/P54</f>
        <v>0</v>
      </c>
      <c r="R54" s="102"/>
      <c r="S54" s="107">
        <v>5</v>
      </c>
      <c r="T54" s="104">
        <f t="shared" ref="T54" si="293">R54/S54</f>
        <v>0</v>
      </c>
      <c r="U54" s="102"/>
      <c r="V54" s="107">
        <v>5</v>
      </c>
      <c r="W54" s="104">
        <f t="shared" ref="W54" si="294">U54/V54</f>
        <v>0</v>
      </c>
      <c r="X54" s="102"/>
      <c r="Y54" s="107">
        <v>5</v>
      </c>
      <c r="Z54" s="104">
        <f t="shared" ref="Z54" si="295">X54/Y54</f>
        <v>0</v>
      </c>
      <c r="AA54" s="106"/>
      <c r="AB54" s="107">
        <v>5</v>
      </c>
      <c r="AC54" s="104">
        <f t="shared" ref="AC54" si="296">AA54/AB54</f>
        <v>0</v>
      </c>
      <c r="AD54" s="106"/>
      <c r="AE54" s="107">
        <v>5</v>
      </c>
      <c r="AF54" s="104">
        <f t="shared" ref="AF54" si="297">AD54/AE54</f>
        <v>0</v>
      </c>
      <c r="AG54" s="106"/>
      <c r="AH54" s="107">
        <v>5</v>
      </c>
      <c r="AI54" s="104">
        <f t="shared" ref="AI54" si="298">AG54/AH54</f>
        <v>0</v>
      </c>
      <c r="AJ54" s="106"/>
      <c r="AK54" s="107">
        <v>5</v>
      </c>
      <c r="AL54" s="104">
        <f t="shared" ref="AL54" si="299">AJ54/AK54</f>
        <v>0</v>
      </c>
      <c r="AM54" s="102"/>
      <c r="AN54" s="1">
        <v>5</v>
      </c>
      <c r="AO54" s="104">
        <f t="shared" ref="AO54" si="300">AM54/AN54</f>
        <v>0</v>
      </c>
      <c r="AP54" s="102"/>
      <c r="AQ54" s="1">
        <v>5</v>
      </c>
      <c r="AR54" s="104">
        <f t="shared" ref="AR54" si="301">AP54/AQ54</f>
        <v>0</v>
      </c>
      <c r="AS54" s="102"/>
      <c r="AT54" s="1">
        <v>5</v>
      </c>
      <c r="AU54" s="104">
        <f t="shared" ref="AU54" si="302">AS54/AT54</f>
        <v>0</v>
      </c>
      <c r="AV54" s="102"/>
      <c r="AW54" s="1">
        <v>5</v>
      </c>
      <c r="AX54" s="104">
        <f t="shared" ref="AX54" si="303">AV54/AW54</f>
        <v>0</v>
      </c>
      <c r="AY54" s="102"/>
      <c r="AZ54" s="1">
        <v>5</v>
      </c>
      <c r="BA54" s="104">
        <f t="shared" ref="BA54" si="304">AY54/AZ54</f>
        <v>0</v>
      </c>
      <c r="BB54" s="102"/>
      <c r="BC54" s="1">
        <v>5</v>
      </c>
      <c r="BD54" s="104">
        <f t="shared" ref="BD54" si="305">BB54/BC54</f>
        <v>0</v>
      </c>
      <c r="BE54" s="102"/>
      <c r="BF54" s="1">
        <v>5</v>
      </c>
      <c r="BG54" s="104">
        <f t="shared" ref="BG54" si="306">BE54/BF54</f>
        <v>0</v>
      </c>
      <c r="BH54" s="102"/>
      <c r="BI54" s="1">
        <v>5</v>
      </c>
      <c r="BJ54" s="104">
        <f t="shared" ref="BJ54" si="307">BH54/BI54</f>
        <v>0</v>
      </c>
      <c r="BK54" s="102"/>
      <c r="BL54" s="1">
        <v>5</v>
      </c>
      <c r="BM54" s="104">
        <f t="shared" ref="BM54" si="308">BK54/BL54</f>
        <v>0</v>
      </c>
      <c r="BN54" s="102"/>
      <c r="BO54" s="1">
        <v>5</v>
      </c>
      <c r="BP54" s="104">
        <f t="shared" ref="BP54" si="309">BN54/BO54</f>
        <v>0</v>
      </c>
      <c r="BQ54" s="102"/>
      <c r="BR54" s="1">
        <v>5</v>
      </c>
      <c r="BS54" s="104">
        <f t="shared" ref="BS54" si="310">BQ54/BR54</f>
        <v>0</v>
      </c>
      <c r="BT54" s="102"/>
      <c r="BU54" s="1">
        <v>5</v>
      </c>
      <c r="BV54" s="104">
        <f t="shared" ref="BV54" si="311">BT54/BU54</f>
        <v>0</v>
      </c>
      <c r="BW54" s="102"/>
      <c r="BX54" s="1">
        <v>5</v>
      </c>
      <c r="BY54" s="104">
        <f t="shared" ref="BY54" si="312">BW54/BX54</f>
        <v>0</v>
      </c>
      <c r="BZ54" s="102"/>
      <c r="CA54" s="1">
        <v>5</v>
      </c>
      <c r="CB54" s="104">
        <f t="shared" ref="CB54" si="313">BZ54/CA54</f>
        <v>0</v>
      </c>
      <c r="CC54" s="102"/>
      <c r="CD54" s="1">
        <v>5</v>
      </c>
      <c r="CE54" s="104">
        <f t="shared" ref="CE54" si="314">CC54/CD54</f>
        <v>0</v>
      </c>
      <c r="CF54" s="102"/>
      <c r="CG54" s="1">
        <v>5</v>
      </c>
      <c r="CH54" s="104">
        <f t="shared" ref="CH54" si="315">CF54/CG54</f>
        <v>0</v>
      </c>
      <c r="CI54" s="102"/>
      <c r="CJ54" s="1">
        <v>5</v>
      </c>
      <c r="CK54" s="104">
        <f t="shared" ref="CK54" si="316">CI54/CJ54</f>
        <v>0</v>
      </c>
      <c r="CL54" s="102"/>
      <c r="CM54" s="1">
        <v>5</v>
      </c>
      <c r="CN54" s="104">
        <f t="shared" ref="CN54" si="317">CL54/CM54</f>
        <v>0</v>
      </c>
      <c r="CO54" s="102"/>
      <c r="CP54" s="1">
        <v>5</v>
      </c>
      <c r="CQ54" s="104">
        <f t="shared" ref="CQ54" si="318">CO54/CP54</f>
        <v>0</v>
      </c>
      <c r="CR54" s="102"/>
      <c r="CS54" s="1">
        <v>5</v>
      </c>
      <c r="CT54" s="104">
        <f t="shared" ref="CT54" si="319">CR54/CS54</f>
        <v>0</v>
      </c>
      <c r="CU54" s="102"/>
      <c r="CV54" s="1">
        <v>5</v>
      </c>
      <c r="CW54" s="104">
        <f t="shared" ref="CW54" si="320">CU54/CV54</f>
        <v>0</v>
      </c>
      <c r="CX54" s="102"/>
      <c r="CY54" s="1">
        <v>5</v>
      </c>
      <c r="CZ54" s="104">
        <f t="shared" ref="CZ54" si="321">CX54/CY54</f>
        <v>0</v>
      </c>
      <c r="DA54" s="102"/>
      <c r="DB54" s="1">
        <v>5</v>
      </c>
      <c r="DC54" s="104">
        <f t="shared" ref="DC54" si="322">DA54/DB54</f>
        <v>0</v>
      </c>
      <c r="DD54" s="102"/>
      <c r="DE54" s="1">
        <v>5</v>
      </c>
      <c r="DF54" s="104">
        <f t="shared" ref="DF54" si="323">DD54/DE54</f>
        <v>0</v>
      </c>
      <c r="DG54" s="102"/>
      <c r="DH54" s="1">
        <v>5</v>
      </c>
      <c r="DI54" s="104">
        <f t="shared" ref="DI54" si="324">DG54/DH54</f>
        <v>0</v>
      </c>
      <c r="DJ54" s="102"/>
      <c r="DK54" s="1">
        <v>5</v>
      </c>
      <c r="DL54" s="104">
        <f t="shared" ref="DL54" si="325">DJ54/DK54</f>
        <v>0</v>
      </c>
      <c r="DM54" s="102"/>
      <c r="DN54" s="1">
        <v>5</v>
      </c>
      <c r="DO54" s="104">
        <f t="shared" ref="DO54" si="326">DM54/DN54</f>
        <v>0</v>
      </c>
      <c r="DP54" s="102"/>
      <c r="DQ54" s="1">
        <v>5</v>
      </c>
      <c r="DR54" s="104">
        <f t="shared" ref="DR54" si="327">DP54/DQ54</f>
        <v>0</v>
      </c>
      <c r="DS54" s="102"/>
      <c r="DT54" s="1">
        <v>5</v>
      </c>
      <c r="DU54" s="104">
        <f t="shared" ref="DU54" si="328">DS54/DT54</f>
        <v>0</v>
      </c>
      <c r="DV54" s="102"/>
      <c r="DW54" s="1">
        <v>5</v>
      </c>
      <c r="DX54" s="104">
        <f t="shared" ref="DX54" si="329">DV54/DW54</f>
        <v>0</v>
      </c>
      <c r="DY54" s="102"/>
      <c r="DZ54" s="1">
        <v>5</v>
      </c>
      <c r="EA54" s="104">
        <f t="shared" ref="EA54" si="330">DY54/DZ54</f>
        <v>0</v>
      </c>
      <c r="EB54" s="102"/>
      <c r="EC54" s="1">
        <v>5</v>
      </c>
      <c r="ED54" s="104">
        <f t="shared" ref="ED54" si="331">EB54/EC54</f>
        <v>0</v>
      </c>
      <c r="EE54" s="102"/>
      <c r="EF54" s="1">
        <v>5</v>
      </c>
      <c r="EG54" s="104">
        <f t="shared" ref="EG54" si="332">EE54/EF54</f>
        <v>0</v>
      </c>
      <c r="EH54" s="102"/>
      <c r="EI54" s="1">
        <v>5</v>
      </c>
      <c r="EJ54" s="104">
        <f t="shared" ref="EJ54" si="333">EH54/EI54</f>
        <v>0</v>
      </c>
      <c r="EK54" s="102"/>
      <c r="EL54" s="1">
        <v>5</v>
      </c>
      <c r="EM54" s="104">
        <f t="shared" ref="EM54" si="334">EK54/EL54</f>
        <v>0</v>
      </c>
      <c r="EN54" s="102"/>
      <c r="EO54" s="1">
        <v>5</v>
      </c>
      <c r="EP54" s="104">
        <f t="shared" ref="EP54" si="335">EN54/EO54</f>
        <v>0</v>
      </c>
      <c r="EQ54" s="85">
        <f t="array" ref="EQ54">IFERROR(_xlfn.LET(
_xlpm.datos,CHOOSE({1;2;3;4;5;6;7;8;9;10;11;12;13;13;14;15;16;17;18;19;20;21;22;23;23;24;25;26;27;28;29;30;31;32;33;34;35;36;37;38;39;40;41;42;43;44;45;46;47},E54,H54,K54,N54,Q54,T54,W54,Z54,AC54,AF54,AI54,AL54,AO54,AR54,AU54,AX54,BA54,BD54,BG54,BJ54,BP54,BS54,BV54,BY54,CB54,CE54,CH54,CK54,CN54,CQ54,CT54,CW54,CZ54,DC54,DF54,DI54,DL54,DO54,DR54,DU54,DX54,EA54,ED54,EG54,EJ54,EM54,EP54),
AVERAGE(_xlfn._xlws.FILTER(_xlpm.datos,(_xlpm.datos&lt;&gt;0)*(_xlpm.datos&lt;&gt;"")))
),0)</f>
        <v>0</v>
      </c>
      <c r="ER54" s="162" t="str">
        <f t="array" ref="ER54">_xlfn.IFS(EQ54&gt;=91.5%,"MENSUAL",EQ54&gt;=75%,"QUINCENAL",EQ54&lt;75%,"SEMANAL")</f>
        <v>SEMANAL</v>
      </c>
    </row>
    <row r="55" ht="16" customHeight="1" spans="1:148" x14ac:dyDescent="0.25">
      <c r="A55" s="179" t="s">
        <v>158</v>
      </c>
      <c r="B55" s="180"/>
      <c r="C55" s="126"/>
      <c r="D55" s="127"/>
      <c r="E55" s="82">
        <f>AVERAGE(E56:E57)</f>
        <v>0</v>
      </c>
      <c r="F55" s="126"/>
      <c r="G55" s="127"/>
      <c r="H55" s="82">
        <f>AVERAGE(H56:H57)</f>
        <v>0</v>
      </c>
      <c r="I55" s="126"/>
      <c r="J55" s="127"/>
      <c r="K55" s="82">
        <f>AVERAGE(K56:K57)</f>
        <v>0</v>
      </c>
      <c r="L55" s="126"/>
      <c r="M55" s="127"/>
      <c r="N55" s="82">
        <f>AVERAGE(N56:N57)</f>
        <v>0</v>
      </c>
      <c r="O55" s="126"/>
      <c r="P55" s="127"/>
      <c r="Q55" s="82">
        <f>AVERAGE(Q56:Q57)</f>
        <v>0</v>
      </c>
      <c r="R55" s="126"/>
      <c r="S55" s="127"/>
      <c r="T55" s="82">
        <f>AVERAGE(T56:T57)</f>
        <v>0</v>
      </c>
      <c r="U55" s="126"/>
      <c r="V55" s="127"/>
      <c r="W55" s="82">
        <f>AVERAGE(W56:W57)</f>
        <v>0</v>
      </c>
      <c r="X55" s="126"/>
      <c r="Y55" s="127"/>
      <c r="Z55" s="82">
        <f>AVERAGE(Z56:Z57)</f>
        <v>0</v>
      </c>
      <c r="AA55" s="126"/>
      <c r="AB55" s="127"/>
      <c r="AC55" s="82">
        <f>AVERAGE(AC56:AC57)</f>
        <v>0</v>
      </c>
      <c r="AD55" s="126"/>
      <c r="AE55" s="127"/>
      <c r="AF55" s="82">
        <f>AVERAGE(AF56:AF57)</f>
        <v>0</v>
      </c>
      <c r="AG55" s="126"/>
      <c r="AH55" s="127"/>
      <c r="AI55" s="82">
        <f>AVERAGE(AI56:AI57)</f>
        <v>0</v>
      </c>
      <c r="AJ55" s="126"/>
      <c r="AK55" s="127"/>
      <c r="AL55" s="82">
        <f>AVERAGE(AL56:AL57)</f>
        <v>0</v>
      </c>
      <c r="AM55" s="126"/>
      <c r="AN55" s="136"/>
      <c r="AO55" s="82">
        <f>AVERAGE(AO56:AO57)</f>
        <v>0</v>
      </c>
      <c r="AP55" s="128"/>
      <c r="AQ55" s="129"/>
      <c r="AR55" s="82">
        <f>AVERAGE(AR56:AR57)</f>
        <v>0</v>
      </c>
      <c r="AS55" s="130"/>
      <c r="AT55" s="129"/>
      <c r="AU55" s="82">
        <f>AVERAGE(AU56:AU57)</f>
        <v>0</v>
      </c>
      <c r="AV55" s="126"/>
      <c r="AW55" s="136"/>
      <c r="AX55" s="82">
        <f>AVERAGE(AX56:AX57)</f>
        <v>0</v>
      </c>
      <c r="AY55" s="137"/>
      <c r="AZ55" s="138"/>
      <c r="BA55" s="82">
        <f>AVERAGE(BA56:BA57)</f>
        <v>0</v>
      </c>
      <c r="BB55" s="128"/>
      <c r="BC55" s="132"/>
      <c r="BD55" s="82">
        <f>AVERAGE(BD56:BD57)</f>
        <v>0</v>
      </c>
      <c r="BE55" s="128"/>
      <c r="BF55" s="132"/>
      <c r="BG55" s="82">
        <f>AVERAGE(BG56:BG57)</f>
        <v>0</v>
      </c>
      <c r="BH55" s="128"/>
      <c r="BI55" s="132"/>
      <c r="BJ55" s="82">
        <f>AVERAGE(BJ56:BJ57)</f>
        <v>0</v>
      </c>
      <c r="BK55" s="128"/>
      <c r="BL55" s="132"/>
      <c r="BM55" s="82">
        <f>AVERAGE(BM56:BM57)</f>
        <v>0</v>
      </c>
      <c r="BN55" s="128"/>
      <c r="BO55" s="132"/>
      <c r="BP55" s="82">
        <f>AVERAGE(BP56:BP57)</f>
        <v>0</v>
      </c>
      <c r="BQ55" s="128"/>
      <c r="BR55" s="132"/>
      <c r="BS55" s="82">
        <f>AVERAGE(BS56:BS57)</f>
        <v>0</v>
      </c>
      <c r="BT55" s="128"/>
      <c r="BU55" s="132"/>
      <c r="BV55" s="82">
        <f>AVERAGE(BV56:BV57)</f>
        <v>0</v>
      </c>
      <c r="BW55" s="128"/>
      <c r="BX55" s="132"/>
      <c r="BY55" s="82">
        <f>AVERAGE(BY56:BY57)</f>
        <v>0</v>
      </c>
      <c r="BZ55" s="126"/>
      <c r="CA55" s="127"/>
      <c r="CB55" s="82">
        <f>AVERAGE(CB56:CB57)</f>
        <v>0</v>
      </c>
      <c r="CC55" s="126"/>
      <c r="CD55" s="127"/>
      <c r="CE55" s="82">
        <f>AVERAGE(CE56:CE57)</f>
        <v>0</v>
      </c>
      <c r="CF55" s="126"/>
      <c r="CG55" s="127"/>
      <c r="CH55" s="82">
        <f>AVERAGE(CH56:CH57)</f>
        <v>0</v>
      </c>
      <c r="CI55" s="126"/>
      <c r="CJ55" s="127"/>
      <c r="CK55" s="82">
        <f>AVERAGE(CK56:CK57)</f>
        <v>0</v>
      </c>
      <c r="CL55" s="126"/>
      <c r="CM55" s="127"/>
      <c r="CN55" s="82">
        <f>AVERAGE(CN56:CN57)</f>
        <v>0</v>
      </c>
      <c r="CO55" s="126"/>
      <c r="CP55" s="127"/>
      <c r="CQ55" s="82">
        <f>AVERAGE(CQ56:CQ57)</f>
        <v>0</v>
      </c>
      <c r="CR55" s="126"/>
      <c r="CS55" s="127"/>
      <c r="CT55" s="82">
        <f>AVERAGE(CT56:CT57)</f>
        <v>0</v>
      </c>
      <c r="CU55" s="126"/>
      <c r="CV55" s="127"/>
      <c r="CW55" s="82">
        <f>AVERAGE(CW56:CW57)</f>
        <v>0</v>
      </c>
      <c r="CX55" s="126"/>
      <c r="CY55" s="127"/>
      <c r="CZ55" s="82">
        <f>AVERAGE(CZ56:CZ57)</f>
        <v>0</v>
      </c>
      <c r="DA55" s="126"/>
      <c r="DB55" s="127"/>
      <c r="DC55" s="82">
        <f>AVERAGE(DC56:DC57)</f>
        <v>0</v>
      </c>
      <c r="DD55" s="126"/>
      <c r="DE55" s="127"/>
      <c r="DF55" s="82">
        <f>AVERAGE(DF56:DF57)</f>
        <v>0</v>
      </c>
      <c r="DG55" s="126"/>
      <c r="DH55" s="127"/>
      <c r="DI55" s="82">
        <f>AVERAGE(DI56:DI57)</f>
        <v>0</v>
      </c>
      <c r="DJ55" s="126"/>
      <c r="DK55" s="127"/>
      <c r="DL55" s="82">
        <f>AVERAGE(DL56:DL57)</f>
        <v>0</v>
      </c>
      <c r="DM55" s="126"/>
      <c r="DN55" s="127"/>
      <c r="DO55" s="82">
        <f>AVERAGE(DO56:DO57)</f>
        <v>0</v>
      </c>
      <c r="DP55" s="126"/>
      <c r="DQ55" s="127"/>
      <c r="DR55" s="82">
        <f>AVERAGE(DR56:DR57)</f>
        <v>0</v>
      </c>
      <c r="DS55" s="126"/>
      <c r="DT55" s="127"/>
      <c r="DU55" s="82">
        <f>AVERAGE(DU56:DU57)</f>
        <v>0</v>
      </c>
      <c r="DV55" s="126"/>
      <c r="DW55" s="127"/>
      <c r="DX55" s="82">
        <f>AVERAGE(DX56:DX57)</f>
        <v>0</v>
      </c>
      <c r="DY55" s="126"/>
      <c r="DZ55" s="127"/>
      <c r="EA55" s="82">
        <f>AVERAGE(EA56:EA57)</f>
        <v>0</v>
      </c>
      <c r="EB55" s="126"/>
      <c r="EC55" s="127"/>
      <c r="ED55" s="82">
        <f>AVERAGE(ED56:ED57)</f>
        <v>0</v>
      </c>
      <c r="EE55" s="126"/>
      <c r="EF55" s="127"/>
      <c r="EG55" s="82">
        <f>AVERAGE(EG56:EG57)</f>
        <v>0</v>
      </c>
      <c r="EH55" s="126"/>
      <c r="EI55" s="127"/>
      <c r="EJ55" s="82">
        <f>AVERAGE(EJ56:EJ57)</f>
        <v>0</v>
      </c>
      <c r="EK55" s="126"/>
      <c r="EL55" s="127"/>
      <c r="EM55" s="82">
        <f>AVERAGE(EM56:EM57)</f>
        <v>0</v>
      </c>
      <c r="EN55" s="126"/>
      <c r="EO55" s="127"/>
      <c r="EP55" s="82">
        <f>AVERAGE(EP56:EP57)</f>
        <v>0</v>
      </c>
      <c r="EQ55" s="85">
        <f t="array" ref="EQ55">IFERROR(_xlfn.LET(
_xlpm.datos,CHOOSE({1;2;3;4;5;6;7;8;9;10;11;12;13;13;14;15;16;17;18;19;20;21;22;23;23;24;25;26;27;28;29;30;31;32;33;34;35;36;37;38;39;40;41;42;43;44;45;46;47},E55,H55,K55,N55,Q55,T55,W55,Z55,AC55,AF55,AI55,AL55,AO55,AR55,AU55,AX55,BA55,BD55,BG55,BJ55,BP55,BS55,BV55,BY55,CB55,CE55,CH55,CK55,CN55,CQ55,CT55,CW55,CZ55,DC55,DF55,DI55,DL55,DO55,DR55,DU55,DX55,EA55,ED55,EG55,EJ55,EM55,EP55),
AVERAGE(_xlfn._xlws.FILTER(_xlpm.datos,(_xlpm.datos&lt;&gt;0)*(_xlpm.datos&lt;&gt;"")))
),0)</f>
        <v>0</v>
      </c>
      <c r="ER55" s="162" t="str">
        <f t="array" ref="ER55">_xlfn.IFS(EQ55&gt;=91.5%,"MENSUAL",EQ55&gt;=75%,"QUINCENAL",EQ55&lt;75%,"SEMANAL")</f>
        <v>SEMANAL</v>
      </c>
    </row>
    <row r="56" ht="16" customHeight="1" spans="1:148" x14ac:dyDescent="0.25">
      <c r="A56" s="181" t="s">
        <v>230</v>
      </c>
      <c r="B56" s="182"/>
      <c r="C56" s="102"/>
      <c r="D56" s="103">
        <v>5</v>
      </c>
      <c r="E56" s="104">
        <f t="shared" ref="E56:E57" si="336">C56/D56</f>
        <v>0</v>
      </c>
      <c r="F56" s="102"/>
      <c r="G56" s="103">
        <v>5</v>
      </c>
      <c r="H56" s="104">
        <f t="shared" ref="H56:H57" si="337">F56/G56</f>
        <v>0</v>
      </c>
      <c r="I56" s="105"/>
      <c r="J56" s="103">
        <v>5</v>
      </c>
      <c r="K56" s="104">
        <f t="shared" ref="K56:K57" si="338">I56/J56</f>
        <v>0</v>
      </c>
      <c r="L56" s="105"/>
      <c r="M56" s="103">
        <v>5</v>
      </c>
      <c r="N56" s="104">
        <f t="shared" ref="N56:N57" si="339">L56/M56</f>
        <v>0</v>
      </c>
      <c r="O56" s="106"/>
      <c r="P56" s="107">
        <v>5</v>
      </c>
      <c r="Q56" s="104">
        <f t="shared" ref="Q56:Q57" si="340">O56/P56</f>
        <v>0</v>
      </c>
      <c r="R56" s="102"/>
      <c r="S56" s="107">
        <v>5</v>
      </c>
      <c r="T56" s="104">
        <f t="shared" ref="T56:T57" si="341">R56/S56</f>
        <v>0</v>
      </c>
      <c r="U56" s="102"/>
      <c r="V56" s="107">
        <v>5</v>
      </c>
      <c r="W56" s="104">
        <f t="shared" ref="W56:W57" si="342">U56/V56</f>
        <v>0</v>
      </c>
      <c r="X56" s="102"/>
      <c r="Y56" s="107">
        <v>5</v>
      </c>
      <c r="Z56" s="104">
        <f t="shared" ref="Z56:Z57" si="343">X56/Y56</f>
        <v>0</v>
      </c>
      <c r="AA56" s="106"/>
      <c r="AB56" s="107">
        <v>5</v>
      </c>
      <c r="AC56" s="104">
        <f t="shared" ref="AC56:AC57" si="344">AA56/AB56</f>
        <v>0</v>
      </c>
      <c r="AD56" s="106"/>
      <c r="AE56" s="107">
        <v>5</v>
      </c>
      <c r="AF56" s="104">
        <f t="shared" ref="AF56:AF57" si="345">AD56/AE56</f>
        <v>0</v>
      </c>
      <c r="AG56" s="106"/>
      <c r="AH56" s="107">
        <v>5</v>
      </c>
      <c r="AI56" s="104">
        <f t="shared" ref="AI56:AI57" si="346">AG56/AH56</f>
        <v>0</v>
      </c>
      <c r="AJ56" s="106"/>
      <c r="AK56" s="107">
        <v>5</v>
      </c>
      <c r="AL56" s="104">
        <f t="shared" ref="AL56:AL57" si="347">AJ56/AK56</f>
        <v>0</v>
      </c>
      <c r="AM56" s="102"/>
      <c r="AN56" s="1">
        <v>5</v>
      </c>
      <c r="AO56" s="104">
        <f t="shared" ref="AO56:AO57" si="348">AM56/AN56</f>
        <v>0</v>
      </c>
      <c r="AP56" s="102"/>
      <c r="AQ56" s="1">
        <v>5</v>
      </c>
      <c r="AR56" s="104">
        <f t="shared" ref="AR56:AR57" si="349">AP56/AQ56</f>
        <v>0</v>
      </c>
      <c r="AS56" s="102"/>
      <c r="AT56" s="1">
        <v>5</v>
      </c>
      <c r="AU56" s="104">
        <f t="shared" ref="AU56:AU57" si="350">AS56/AT56</f>
        <v>0</v>
      </c>
      <c r="AV56" s="102"/>
      <c r="AW56" s="1">
        <v>5</v>
      </c>
      <c r="AX56" s="104">
        <f t="shared" ref="AX56:AX57" si="351">AV56/AW56</f>
        <v>0</v>
      </c>
      <c r="AY56" s="102"/>
      <c r="AZ56" s="1">
        <v>5</v>
      </c>
      <c r="BA56" s="104">
        <f t="shared" ref="BA56:BA57" si="352">AY56/AZ56</f>
        <v>0</v>
      </c>
      <c r="BB56" s="102"/>
      <c r="BC56" s="1">
        <v>5</v>
      </c>
      <c r="BD56" s="104">
        <f t="shared" ref="BD56:BD57" si="353">BB56/BC56</f>
        <v>0</v>
      </c>
      <c r="BE56" s="102"/>
      <c r="BF56" s="1">
        <v>5</v>
      </c>
      <c r="BG56" s="104">
        <f t="shared" ref="BG56:BG57" si="354">BE56/BF56</f>
        <v>0</v>
      </c>
      <c r="BH56" s="102"/>
      <c r="BI56" s="1">
        <v>5</v>
      </c>
      <c r="BJ56" s="104">
        <f t="shared" ref="BJ56:BJ57" si="355">BH56/BI56</f>
        <v>0</v>
      </c>
      <c r="BK56" s="102"/>
      <c r="BL56" s="1">
        <v>5</v>
      </c>
      <c r="BM56" s="104">
        <f t="shared" ref="BM56:BM57" si="356">BK56/BL56</f>
        <v>0</v>
      </c>
      <c r="BN56" s="102"/>
      <c r="BO56" s="1">
        <v>5</v>
      </c>
      <c r="BP56" s="104">
        <f t="shared" ref="BP56:BP57" si="357">BN56/BO56</f>
        <v>0</v>
      </c>
      <c r="BQ56" s="102"/>
      <c r="BR56" s="1">
        <v>5</v>
      </c>
      <c r="BS56" s="104">
        <f t="shared" ref="BS56:BS57" si="358">BQ56/BR56</f>
        <v>0</v>
      </c>
      <c r="BT56" s="102"/>
      <c r="BU56" s="1">
        <v>5</v>
      </c>
      <c r="BV56" s="104">
        <f t="shared" ref="BV56:BV57" si="359">BT56/BU56</f>
        <v>0</v>
      </c>
      <c r="BW56" s="102"/>
      <c r="BX56" s="1">
        <v>5</v>
      </c>
      <c r="BY56" s="104">
        <f t="shared" ref="BY56:BY57" si="360">BW56/BX56</f>
        <v>0</v>
      </c>
      <c r="BZ56" s="102"/>
      <c r="CA56" s="1">
        <v>5</v>
      </c>
      <c r="CB56" s="104">
        <f t="shared" ref="CB56:CB57" si="361">BZ56/CA56</f>
        <v>0</v>
      </c>
      <c r="CC56" s="102"/>
      <c r="CD56" s="1">
        <v>5</v>
      </c>
      <c r="CE56" s="104">
        <f t="shared" ref="CE56:CE57" si="362">CC56/CD56</f>
        <v>0</v>
      </c>
      <c r="CF56" s="102"/>
      <c r="CG56" s="1">
        <v>5</v>
      </c>
      <c r="CH56" s="104">
        <f t="shared" ref="CH56:CH57" si="363">CF56/CG56</f>
        <v>0</v>
      </c>
      <c r="CI56" s="102"/>
      <c r="CJ56" s="1">
        <v>5</v>
      </c>
      <c r="CK56" s="104">
        <f t="shared" ref="CK56:CK57" si="364">CI56/CJ56</f>
        <v>0</v>
      </c>
      <c r="CL56" s="102"/>
      <c r="CM56" s="1">
        <v>5</v>
      </c>
      <c r="CN56" s="104">
        <f t="shared" ref="CN56:CN57" si="365">CL56/CM56</f>
        <v>0</v>
      </c>
      <c r="CO56" s="102"/>
      <c r="CP56" s="1">
        <v>5</v>
      </c>
      <c r="CQ56" s="104">
        <f t="shared" ref="CQ56:CQ57" si="366">CO56/CP56</f>
        <v>0</v>
      </c>
      <c r="CR56" s="102"/>
      <c r="CS56" s="1">
        <v>5</v>
      </c>
      <c r="CT56" s="104">
        <f t="shared" ref="CT56:CT57" si="367">CR56/CS56</f>
        <v>0</v>
      </c>
      <c r="CU56" s="102"/>
      <c r="CV56" s="1">
        <v>5</v>
      </c>
      <c r="CW56" s="104">
        <f t="shared" ref="CW56:CW57" si="368">CU56/CV56</f>
        <v>0</v>
      </c>
      <c r="CX56" s="102"/>
      <c r="CY56" s="1">
        <v>5</v>
      </c>
      <c r="CZ56" s="104">
        <f t="shared" ref="CZ56:CZ57" si="369">CX56/CY56</f>
        <v>0</v>
      </c>
      <c r="DA56" s="102"/>
      <c r="DB56" s="1">
        <v>5</v>
      </c>
      <c r="DC56" s="104">
        <f t="shared" ref="DC56:DC57" si="370">DA56/DB56</f>
        <v>0</v>
      </c>
      <c r="DD56" s="102"/>
      <c r="DE56" s="1">
        <v>5</v>
      </c>
      <c r="DF56" s="104">
        <f t="shared" ref="DF56:DF57" si="371">DD56/DE56</f>
        <v>0</v>
      </c>
      <c r="DG56" s="102"/>
      <c r="DH56" s="1">
        <v>5</v>
      </c>
      <c r="DI56" s="104">
        <f t="shared" ref="DI56:DI57" si="372">DG56/DH56</f>
        <v>0</v>
      </c>
      <c r="DJ56" s="102"/>
      <c r="DK56" s="1">
        <v>5</v>
      </c>
      <c r="DL56" s="104">
        <f t="shared" ref="DL56:DL57" si="373">DJ56/DK56</f>
        <v>0</v>
      </c>
      <c r="DM56" s="102"/>
      <c r="DN56" s="1">
        <v>5</v>
      </c>
      <c r="DO56" s="104">
        <f t="shared" ref="DO56:DO57" si="374">DM56/DN56</f>
        <v>0</v>
      </c>
      <c r="DP56" s="102"/>
      <c r="DQ56" s="1">
        <v>5</v>
      </c>
      <c r="DR56" s="104">
        <f t="shared" ref="DR56:DR57" si="375">DP56/DQ56</f>
        <v>0</v>
      </c>
      <c r="DS56" s="102"/>
      <c r="DT56" s="1">
        <v>5</v>
      </c>
      <c r="DU56" s="104">
        <f t="shared" ref="DU56:DU57" si="376">DS56/DT56</f>
        <v>0</v>
      </c>
      <c r="DV56" s="102"/>
      <c r="DW56" s="1">
        <v>5</v>
      </c>
      <c r="DX56" s="104">
        <f t="shared" ref="DX56:DX57" si="377">DV56/DW56</f>
        <v>0</v>
      </c>
      <c r="DY56" s="102"/>
      <c r="DZ56" s="1">
        <v>5</v>
      </c>
      <c r="EA56" s="104">
        <f t="shared" ref="EA56:EA57" si="378">DY56/DZ56</f>
        <v>0</v>
      </c>
      <c r="EB56" s="102"/>
      <c r="EC56" s="1">
        <v>5</v>
      </c>
      <c r="ED56" s="104">
        <f t="shared" ref="ED56:ED57" si="379">EB56/EC56</f>
        <v>0</v>
      </c>
      <c r="EE56" s="102"/>
      <c r="EF56" s="1">
        <v>5</v>
      </c>
      <c r="EG56" s="104">
        <f t="shared" ref="EG56:EG57" si="380">EE56/EF56</f>
        <v>0</v>
      </c>
      <c r="EH56" s="102"/>
      <c r="EI56" s="1">
        <v>5</v>
      </c>
      <c r="EJ56" s="104">
        <f t="shared" ref="EJ56:EJ57" si="381">EH56/EI56</f>
        <v>0</v>
      </c>
      <c r="EK56" s="102"/>
      <c r="EL56" s="1">
        <v>5</v>
      </c>
      <c r="EM56" s="104">
        <f t="shared" ref="EM56:EM57" si="382">EK56/EL56</f>
        <v>0</v>
      </c>
      <c r="EN56" s="102"/>
      <c r="EO56" s="1">
        <v>5</v>
      </c>
      <c r="EP56" s="104">
        <f t="shared" ref="EP56:EP57" si="383">EN56/EO56</f>
        <v>0</v>
      </c>
      <c r="EQ56" s="85">
        <f t="array" ref="EQ56">IFERROR(_xlfn.LET(
_xlpm.datos,CHOOSE({1;2;3;4;5;6;7;8;9;10;11;12;13;13;14;15;16;17;18;19;20;21;22;23;23;24;25;26;27;28;29;30;31;32;33;34;35;36;37;38;39;40;41;42;43;44;45;46;47},E56,H56,K56,N56,Q56,T56,W56,Z56,AC56,AF56,AI56,AL56,AO56,AR56,AU56,AX56,BA56,BD56,BG56,BJ56,BP56,BS56,BV56,BY56,CB56,CE56,CH56,CK56,CN56,CQ56,CT56,CW56,CZ56,DC56,DF56,DI56,DL56,DO56,DR56,DU56,DX56,EA56,ED56,EG56,EJ56,EM56,EP56),
AVERAGE(_xlfn._xlws.FILTER(_xlpm.datos,(_xlpm.datos&lt;&gt;0)*(_xlpm.datos&lt;&gt;"")))
),0)</f>
        <v>0</v>
      </c>
      <c r="ER56" s="162" t="str">
        <f t="array" ref="ER56">_xlfn.IFS(EQ56&gt;=91.5%,"MENSUAL",EQ56&gt;=75%,"QUINCENAL",EQ56&lt;75%,"SEMANAL")</f>
        <v>SEMANAL</v>
      </c>
    </row>
    <row r="57" ht="21.5" customHeight="1" spans="1:148" s="286" customFormat="1" x14ac:dyDescent="0.25">
      <c r="A57" s="281" t="s">
        <v>231</v>
      </c>
      <c r="B57" s="166"/>
      <c r="C57" s="116"/>
      <c r="D57" s="117">
        <v>5</v>
      </c>
      <c r="E57" s="118">
        <f t="shared" si="336"/>
        <v>0</v>
      </c>
      <c r="F57" s="116"/>
      <c r="G57" s="117">
        <v>5</v>
      </c>
      <c r="H57" s="118">
        <f t="shared" si="337"/>
        <v>0</v>
      </c>
      <c r="I57" s="119"/>
      <c r="J57" s="117">
        <v>5</v>
      </c>
      <c r="K57" s="118">
        <f t="shared" si="338"/>
        <v>0</v>
      </c>
      <c r="L57" s="119"/>
      <c r="M57" s="117">
        <v>5</v>
      </c>
      <c r="N57" s="118">
        <f t="shared" si="339"/>
        <v>0</v>
      </c>
      <c r="O57" s="120"/>
      <c r="P57" s="121">
        <v>5</v>
      </c>
      <c r="Q57" s="118">
        <f t="shared" si="340"/>
        <v>0</v>
      </c>
      <c r="R57" s="116"/>
      <c r="S57" s="121">
        <v>5</v>
      </c>
      <c r="T57" s="118">
        <f t="shared" si="341"/>
        <v>0</v>
      </c>
      <c r="U57" s="116"/>
      <c r="V57" s="121">
        <v>5</v>
      </c>
      <c r="W57" s="118">
        <f t="shared" si="342"/>
        <v>0</v>
      </c>
      <c r="X57" s="116"/>
      <c r="Y57" s="121">
        <v>5</v>
      </c>
      <c r="Z57" s="118">
        <f t="shared" si="343"/>
        <v>0</v>
      </c>
      <c r="AA57" s="120"/>
      <c r="AB57" s="121">
        <v>5</v>
      </c>
      <c r="AC57" s="118">
        <f t="shared" si="344"/>
        <v>0</v>
      </c>
      <c r="AD57" s="120"/>
      <c r="AE57" s="121">
        <v>5</v>
      </c>
      <c r="AF57" s="118">
        <f t="shared" si="345"/>
        <v>0</v>
      </c>
      <c r="AG57" s="120"/>
      <c r="AH57" s="121">
        <v>5</v>
      </c>
      <c r="AI57" s="118">
        <f t="shared" si="346"/>
        <v>0</v>
      </c>
      <c r="AJ57" s="120"/>
      <c r="AK57" s="121">
        <v>5</v>
      </c>
      <c r="AL57" s="118">
        <f t="shared" si="347"/>
        <v>0</v>
      </c>
      <c r="AM57" s="116"/>
      <c r="AN57" s="122">
        <v>5</v>
      </c>
      <c r="AO57" s="118">
        <f t="shared" si="348"/>
        <v>0</v>
      </c>
      <c r="AP57" s="116"/>
      <c r="AQ57" s="122">
        <v>5</v>
      </c>
      <c r="AR57" s="118">
        <f t="shared" si="349"/>
        <v>0</v>
      </c>
      <c r="AS57" s="116"/>
      <c r="AT57" s="122">
        <v>5</v>
      </c>
      <c r="AU57" s="118">
        <f t="shared" si="350"/>
        <v>0</v>
      </c>
      <c r="AV57" s="116"/>
      <c r="AW57" s="122">
        <v>5</v>
      </c>
      <c r="AX57" s="118">
        <f t="shared" si="351"/>
        <v>0</v>
      </c>
      <c r="AY57" s="116"/>
      <c r="AZ57" s="122">
        <v>5</v>
      </c>
      <c r="BA57" s="118">
        <f t="shared" si="352"/>
        <v>0</v>
      </c>
      <c r="BB57" s="116"/>
      <c r="BC57" s="122">
        <v>5</v>
      </c>
      <c r="BD57" s="118">
        <f t="shared" si="353"/>
        <v>0</v>
      </c>
      <c r="BE57" s="116"/>
      <c r="BF57" s="122">
        <v>5</v>
      </c>
      <c r="BG57" s="118">
        <f t="shared" si="354"/>
        <v>0</v>
      </c>
      <c r="BH57" s="116"/>
      <c r="BI57" s="122">
        <v>5</v>
      </c>
      <c r="BJ57" s="118">
        <f t="shared" si="355"/>
        <v>0</v>
      </c>
      <c r="BK57" s="116"/>
      <c r="BL57" s="122">
        <v>5</v>
      </c>
      <c r="BM57" s="118">
        <f t="shared" si="356"/>
        <v>0</v>
      </c>
      <c r="BN57" s="116"/>
      <c r="BO57" s="122">
        <v>5</v>
      </c>
      <c r="BP57" s="118">
        <f t="shared" si="357"/>
        <v>0</v>
      </c>
      <c r="BQ57" s="116"/>
      <c r="BR57" s="122">
        <v>5</v>
      </c>
      <c r="BS57" s="118">
        <f t="shared" si="358"/>
        <v>0</v>
      </c>
      <c r="BT57" s="116"/>
      <c r="BU57" s="122">
        <v>5</v>
      </c>
      <c r="BV57" s="118">
        <f t="shared" si="359"/>
        <v>0</v>
      </c>
      <c r="BW57" s="116"/>
      <c r="BX57" s="122">
        <v>5</v>
      </c>
      <c r="BY57" s="118">
        <f t="shared" si="360"/>
        <v>0</v>
      </c>
      <c r="BZ57" s="116"/>
      <c r="CA57" s="122">
        <v>5</v>
      </c>
      <c r="CB57" s="118">
        <f t="shared" si="361"/>
        <v>0</v>
      </c>
      <c r="CC57" s="116"/>
      <c r="CD57" s="122">
        <v>5</v>
      </c>
      <c r="CE57" s="118">
        <f t="shared" si="362"/>
        <v>0</v>
      </c>
      <c r="CF57" s="116"/>
      <c r="CG57" s="122">
        <v>5</v>
      </c>
      <c r="CH57" s="118">
        <f t="shared" si="363"/>
        <v>0</v>
      </c>
      <c r="CI57" s="116"/>
      <c r="CJ57" s="122">
        <v>5</v>
      </c>
      <c r="CK57" s="118">
        <f t="shared" si="364"/>
        <v>0</v>
      </c>
      <c r="CL57" s="116"/>
      <c r="CM57" s="122">
        <v>5</v>
      </c>
      <c r="CN57" s="118">
        <f t="shared" si="365"/>
        <v>0</v>
      </c>
      <c r="CO57" s="116"/>
      <c r="CP57" s="122">
        <v>5</v>
      </c>
      <c r="CQ57" s="118">
        <f t="shared" si="366"/>
        <v>0</v>
      </c>
      <c r="CR57" s="116"/>
      <c r="CS57" s="122">
        <v>5</v>
      </c>
      <c r="CT57" s="118">
        <f t="shared" si="367"/>
        <v>0</v>
      </c>
      <c r="CU57" s="116"/>
      <c r="CV57" s="122">
        <v>5</v>
      </c>
      <c r="CW57" s="118">
        <f t="shared" si="368"/>
        <v>0</v>
      </c>
      <c r="CX57" s="116"/>
      <c r="CY57" s="122">
        <v>5</v>
      </c>
      <c r="CZ57" s="118">
        <f t="shared" si="369"/>
        <v>0</v>
      </c>
      <c r="DA57" s="116"/>
      <c r="DB57" s="122">
        <v>5</v>
      </c>
      <c r="DC57" s="118">
        <f t="shared" si="370"/>
        <v>0</v>
      </c>
      <c r="DD57" s="116"/>
      <c r="DE57" s="122">
        <v>5</v>
      </c>
      <c r="DF57" s="118">
        <f t="shared" si="371"/>
        <v>0</v>
      </c>
      <c r="DG57" s="116"/>
      <c r="DH57" s="122">
        <v>5</v>
      </c>
      <c r="DI57" s="118">
        <f t="shared" si="372"/>
        <v>0</v>
      </c>
      <c r="DJ57" s="116"/>
      <c r="DK57" s="122">
        <v>5</v>
      </c>
      <c r="DL57" s="118">
        <f t="shared" si="373"/>
        <v>0</v>
      </c>
      <c r="DM57" s="116"/>
      <c r="DN57" s="122">
        <v>5</v>
      </c>
      <c r="DO57" s="118">
        <f t="shared" si="374"/>
        <v>0</v>
      </c>
      <c r="DP57" s="116"/>
      <c r="DQ57" s="122">
        <v>5</v>
      </c>
      <c r="DR57" s="118">
        <f t="shared" si="375"/>
        <v>0</v>
      </c>
      <c r="DS57" s="116"/>
      <c r="DT57" s="122">
        <v>5</v>
      </c>
      <c r="DU57" s="118">
        <f t="shared" si="376"/>
        <v>0</v>
      </c>
      <c r="DV57" s="116"/>
      <c r="DW57" s="122">
        <v>5</v>
      </c>
      <c r="DX57" s="118">
        <f t="shared" si="377"/>
        <v>0</v>
      </c>
      <c r="DY57" s="116"/>
      <c r="DZ57" s="122">
        <v>5</v>
      </c>
      <c r="EA57" s="118">
        <f t="shared" si="378"/>
        <v>0</v>
      </c>
      <c r="EB57" s="116"/>
      <c r="EC57" s="122">
        <v>5</v>
      </c>
      <c r="ED57" s="118">
        <f t="shared" si="379"/>
        <v>0</v>
      </c>
      <c r="EE57" s="116"/>
      <c r="EF57" s="122">
        <v>5</v>
      </c>
      <c r="EG57" s="118">
        <f t="shared" si="380"/>
        <v>0</v>
      </c>
      <c r="EH57" s="116"/>
      <c r="EI57" s="122">
        <v>5</v>
      </c>
      <c r="EJ57" s="118">
        <f t="shared" si="381"/>
        <v>0</v>
      </c>
      <c r="EK57" s="116"/>
      <c r="EL57" s="122">
        <v>5</v>
      </c>
      <c r="EM57" s="118">
        <f t="shared" si="382"/>
        <v>0</v>
      </c>
      <c r="EN57" s="116"/>
      <c r="EO57" s="122">
        <v>5</v>
      </c>
      <c r="EP57" s="118">
        <f t="shared" si="383"/>
        <v>0</v>
      </c>
      <c r="EQ57" s="85">
        <f t="array" ref="EQ57">IFERROR(_xlfn.LET(
_xlpm.datos,CHOOSE({1;2;3;4;5;6;7;8;9;10;11;12;13;13;14;15;16;17;18;19;20;21;22;23;23;24;25;26;27;28;29;30;31;32;33;34;35;36;37;38;39;40;41;42;43;44;45;46;47},E57,H57,K57,N57,Q57,T57,W57,Z57,AC57,AF57,AI57,AL57,AO57,AR57,AU57,AX57,BA57,BD57,BG57,BJ57,BP57,BS57,BV57,BY57,CB57,CE57,CH57,CK57,CN57,CQ57,CT57,CW57,CZ57,DC57,DF57,DI57,DL57,DO57,DR57,DU57,DX57,EA57,ED57,EG57,EJ57,EM57,EP57),
AVERAGE(_xlfn._xlws.FILTER(_xlpm.datos,(_xlpm.datos&lt;&gt;0)*(_xlpm.datos&lt;&gt;"")))
),0)</f>
        <v>0</v>
      </c>
      <c r="ER57" s="253" t="str">
        <f t="array" ref="ER57">_xlfn.IFS(EQ57&gt;=91.5%,"MENSUAL",EQ57&gt;=75%,"QUINCENAL",EQ57&lt;75%,"SEMANAL")</f>
        <v>SEMANAL</v>
      </c>
    </row>
    <row r="58" ht="16" customHeight="1" spans="1:148" s="286" customFormat="1" x14ac:dyDescent="0.25">
      <c r="A58" s="185" t="s">
        <v>130</v>
      </c>
      <c r="B58" s="186"/>
      <c r="C58" s="126"/>
      <c r="D58" s="127"/>
      <c r="E58" s="82">
        <f>AVERAGE(E59:E61)</f>
        <v>0</v>
      </c>
      <c r="F58" s="126"/>
      <c r="G58" s="127"/>
      <c r="H58" s="82">
        <f>AVERAGE(H59:H61)</f>
        <v>0</v>
      </c>
      <c r="I58" s="126"/>
      <c r="J58" s="127"/>
      <c r="K58" s="82">
        <f>AVERAGE(K59:K61)</f>
        <v>0</v>
      </c>
      <c r="L58" s="126"/>
      <c r="M58" s="127"/>
      <c r="N58" s="82">
        <f>AVERAGE(N59:N61)</f>
        <v>0</v>
      </c>
      <c r="O58" s="126"/>
      <c r="P58" s="127"/>
      <c r="Q58" s="82">
        <f>AVERAGE(Q59:Q61)</f>
        <v>0</v>
      </c>
      <c r="R58" s="126"/>
      <c r="S58" s="127"/>
      <c r="T58" s="82">
        <f>AVERAGE(T59:T61)</f>
        <v>0</v>
      </c>
      <c r="U58" s="126"/>
      <c r="V58" s="127"/>
      <c r="W58" s="82">
        <f>AVERAGE(W59:W61)</f>
        <v>0</v>
      </c>
      <c r="X58" s="126"/>
      <c r="Y58" s="127"/>
      <c r="Z58" s="82">
        <f>AVERAGE(Z59:Z61)</f>
        <v>0</v>
      </c>
      <c r="AA58" s="126"/>
      <c r="AB58" s="127"/>
      <c r="AC58" s="82">
        <f>AVERAGE(AC59:AC61)</f>
        <v>0</v>
      </c>
      <c r="AD58" s="126"/>
      <c r="AE58" s="127"/>
      <c r="AF58" s="82">
        <f>AVERAGE(AF59:AF61)</f>
        <v>0</v>
      </c>
      <c r="AG58" s="126"/>
      <c r="AH58" s="127"/>
      <c r="AI58" s="82">
        <f>AVERAGE(AI59:AI61)</f>
        <v>0</v>
      </c>
      <c r="AJ58" s="126"/>
      <c r="AK58" s="127"/>
      <c r="AL58" s="82">
        <f>AVERAGE(AL59:AL61)</f>
        <v>0</v>
      </c>
      <c r="AM58" s="126"/>
      <c r="AN58" s="136"/>
      <c r="AO58" s="82">
        <f>AVERAGE(AO59:AO61)</f>
        <v>0</v>
      </c>
      <c r="AP58" s="128"/>
      <c r="AQ58" s="129"/>
      <c r="AR58" s="82">
        <f>AVERAGE(AR59:AR61)</f>
        <v>0</v>
      </c>
      <c r="AS58" s="130"/>
      <c r="AT58" s="129"/>
      <c r="AU58" s="82">
        <f>AVERAGE(AU59:AU61)</f>
        <v>0</v>
      </c>
      <c r="AV58" s="126"/>
      <c r="AW58" s="136"/>
      <c r="AX58" s="82">
        <f>AVERAGE(AX59:AX61)</f>
        <v>0</v>
      </c>
      <c r="AY58" s="137"/>
      <c r="AZ58" s="138"/>
      <c r="BA58" s="82">
        <f>AVERAGE(BA59:BA61)</f>
        <v>0</v>
      </c>
      <c r="BB58" s="128"/>
      <c r="BC58" s="132"/>
      <c r="BD58" s="82">
        <f>AVERAGE(BD59:BD61)</f>
        <v>0</v>
      </c>
      <c r="BE58" s="128"/>
      <c r="BF58" s="132"/>
      <c r="BG58" s="82">
        <f>AVERAGE(BG59:BG61)</f>
        <v>0</v>
      </c>
      <c r="BH58" s="128"/>
      <c r="BI58" s="132"/>
      <c r="BJ58" s="82">
        <f>AVERAGE(BJ59:BJ61)</f>
        <v>0</v>
      </c>
      <c r="BK58" s="128"/>
      <c r="BL58" s="132"/>
      <c r="BM58" s="82">
        <f>AVERAGE(BM59:BM61)</f>
        <v>0</v>
      </c>
      <c r="BN58" s="128"/>
      <c r="BO58" s="132"/>
      <c r="BP58" s="82">
        <f>AVERAGE(BP59:BP61)</f>
        <v>0</v>
      </c>
      <c r="BQ58" s="128"/>
      <c r="BR58" s="132"/>
      <c r="BS58" s="82">
        <f>AVERAGE(BS59:BS61)</f>
        <v>0</v>
      </c>
      <c r="BT58" s="128"/>
      <c r="BU58" s="132"/>
      <c r="BV58" s="82">
        <f>AVERAGE(BV59:BV61)</f>
        <v>0</v>
      </c>
      <c r="BW58" s="128"/>
      <c r="BX58" s="132"/>
      <c r="BY58" s="82">
        <f>AVERAGE(BY59:BY61)</f>
        <v>0</v>
      </c>
      <c r="BZ58" s="126"/>
      <c r="CA58" s="127"/>
      <c r="CB58" s="82">
        <f>AVERAGE(CB59:CB61)</f>
        <v>0</v>
      </c>
      <c r="CC58" s="126"/>
      <c r="CD58" s="127"/>
      <c r="CE58" s="82">
        <f>AVERAGE(CE59:CE61)</f>
        <v>0</v>
      </c>
      <c r="CF58" s="126"/>
      <c r="CG58" s="127"/>
      <c r="CH58" s="82">
        <f>AVERAGE(CH59:CH61)</f>
        <v>0</v>
      </c>
      <c r="CI58" s="126"/>
      <c r="CJ58" s="127"/>
      <c r="CK58" s="82">
        <f>AVERAGE(CK59:CK61)</f>
        <v>0</v>
      </c>
      <c r="CL58" s="126"/>
      <c r="CM58" s="127"/>
      <c r="CN58" s="82">
        <f>AVERAGE(CN59:CN61)</f>
        <v>0</v>
      </c>
      <c r="CO58" s="126"/>
      <c r="CP58" s="127"/>
      <c r="CQ58" s="82">
        <f>AVERAGE(CQ59:CQ61)</f>
        <v>0</v>
      </c>
      <c r="CR58" s="126"/>
      <c r="CS58" s="127"/>
      <c r="CT58" s="82">
        <f>AVERAGE(CT59:CT61)</f>
        <v>0</v>
      </c>
      <c r="CU58" s="126"/>
      <c r="CV58" s="127"/>
      <c r="CW58" s="82">
        <f>AVERAGE(CW59:CW61)</f>
        <v>0</v>
      </c>
      <c r="CX58" s="126"/>
      <c r="CY58" s="127"/>
      <c r="CZ58" s="82">
        <f>AVERAGE(CZ59:CZ61)</f>
        <v>0</v>
      </c>
      <c r="DA58" s="126"/>
      <c r="DB58" s="127"/>
      <c r="DC58" s="82">
        <f>AVERAGE(DC59:DC61)</f>
        <v>0</v>
      </c>
      <c r="DD58" s="126"/>
      <c r="DE58" s="127"/>
      <c r="DF58" s="82">
        <f>AVERAGE(DF59:DF61)</f>
        <v>0</v>
      </c>
      <c r="DG58" s="126"/>
      <c r="DH58" s="127"/>
      <c r="DI58" s="82">
        <f>AVERAGE(DI59:DI61)</f>
        <v>0</v>
      </c>
      <c r="DJ58" s="126"/>
      <c r="DK58" s="127"/>
      <c r="DL58" s="82">
        <f>AVERAGE(DL59:DL61)</f>
        <v>0</v>
      </c>
      <c r="DM58" s="126"/>
      <c r="DN58" s="127"/>
      <c r="DO58" s="82">
        <f>AVERAGE(DO59:DO61)</f>
        <v>0</v>
      </c>
      <c r="DP58" s="126"/>
      <c r="DQ58" s="127"/>
      <c r="DR58" s="82">
        <f>AVERAGE(DR59:DR61)</f>
        <v>0</v>
      </c>
      <c r="DS58" s="126"/>
      <c r="DT58" s="127"/>
      <c r="DU58" s="82">
        <f>AVERAGE(DU59:DU61)</f>
        <v>0</v>
      </c>
      <c r="DV58" s="126"/>
      <c r="DW58" s="127"/>
      <c r="DX58" s="82">
        <f>AVERAGE(DX59:DX61)</f>
        <v>0</v>
      </c>
      <c r="DY58" s="126"/>
      <c r="DZ58" s="127"/>
      <c r="EA58" s="82">
        <f>AVERAGE(EA59:EA61)</f>
        <v>0</v>
      </c>
      <c r="EB58" s="126"/>
      <c r="EC58" s="127"/>
      <c r="ED58" s="82">
        <f>AVERAGE(ED59:ED61)</f>
        <v>0</v>
      </c>
      <c r="EE58" s="126"/>
      <c r="EF58" s="127"/>
      <c r="EG58" s="82">
        <f>AVERAGE(EG59:EG61)</f>
        <v>0</v>
      </c>
      <c r="EH58" s="126"/>
      <c r="EI58" s="127"/>
      <c r="EJ58" s="82">
        <f>AVERAGE(EJ59:EJ61)</f>
        <v>0</v>
      </c>
      <c r="EK58" s="126"/>
      <c r="EL58" s="127"/>
      <c r="EM58" s="82">
        <f>AVERAGE(EM59:EM61)</f>
        <v>0</v>
      </c>
      <c r="EN58" s="126"/>
      <c r="EO58" s="127"/>
      <c r="EP58" s="82">
        <f>AVERAGE(EP59:EP61)</f>
        <v>0</v>
      </c>
      <c r="EQ58" s="85">
        <f t="array" ref="EQ58">IFERROR(_xlfn.LET(
_xlpm.datos,CHOOSE({1;2;3;4;5;6;7;8;9;10;11;12;13;13;14;15;16;17;18;19;20;21;22;23;23;24;25;26;27;28;29;30;31;32;33;34;35;36;37;38;39;40;41;42;43;44;45;46;47},E58,H58,K58,N58,Q58,T58,W58,Z58,AC58,AF58,AI58,AL58,AO58,AR58,AU58,AX58,BA58,BD58,BG58,BJ58,BP58,BS58,BV58,BY58,CB58,CE58,CH58,CK58,CN58,CQ58,CT58,CW58,CZ58,DC58,DF58,DI58,DL58,DO58,DR58,DU58,DX58,EA58,ED58,EG58,EJ58,EM58,EP58),
AVERAGE(_xlfn._xlws.FILTER(_xlpm.datos,(_xlpm.datos&lt;&gt;0)*(_xlpm.datos&lt;&gt;"")))
),0)</f>
        <v>0</v>
      </c>
      <c r="ER58" s="162" t="str">
        <f t="array" ref="ER58">_xlfn.IFS(EQ58&gt;=91.5%,"MENSUAL",EQ58&gt;=75%,"QUINCENAL",EQ58&lt;75%,"SEMANAL")</f>
        <v>SEMANAL</v>
      </c>
    </row>
    <row r="59" ht="16" customHeight="1" spans="1:148" s="286" customFormat="1" x14ac:dyDescent="0.25">
      <c r="A59" s="181" t="s">
        <v>232</v>
      </c>
      <c r="B59" s="187"/>
      <c r="C59" s="102"/>
      <c r="D59" s="103">
        <v>5</v>
      </c>
      <c r="E59" s="104">
        <f t="shared" ref="E59:E61" si="384">C59/D59</f>
        <v>0</v>
      </c>
      <c r="F59" s="102"/>
      <c r="G59" s="103">
        <v>5</v>
      </c>
      <c r="H59" s="104">
        <f t="shared" ref="H59:H61" si="385">F59/G59</f>
        <v>0</v>
      </c>
      <c r="I59" s="105"/>
      <c r="J59" s="103">
        <v>5</v>
      </c>
      <c r="K59" s="104">
        <f t="shared" ref="K59:K61" si="386">I59/J59</f>
        <v>0</v>
      </c>
      <c r="L59" s="105"/>
      <c r="M59" s="103">
        <v>5</v>
      </c>
      <c r="N59" s="104">
        <f t="shared" ref="N59:N61" si="387">L59/M59</f>
        <v>0</v>
      </c>
      <c r="O59" s="106"/>
      <c r="P59" s="107">
        <v>5</v>
      </c>
      <c r="Q59" s="104">
        <f t="shared" ref="Q59:Q61" si="388">O59/P59</f>
        <v>0</v>
      </c>
      <c r="R59" s="102"/>
      <c r="S59" s="107">
        <v>5</v>
      </c>
      <c r="T59" s="104">
        <f t="shared" ref="T59:T61" si="389">R59/S59</f>
        <v>0</v>
      </c>
      <c r="U59" s="102"/>
      <c r="V59" s="107">
        <v>5</v>
      </c>
      <c r="W59" s="104">
        <f t="shared" ref="W59:W61" si="390">U59/V59</f>
        <v>0</v>
      </c>
      <c r="X59" s="102"/>
      <c r="Y59" s="107">
        <v>5</v>
      </c>
      <c r="Z59" s="104">
        <f t="shared" ref="Z59:Z61" si="391">X59/Y59</f>
        <v>0</v>
      </c>
      <c r="AA59" s="106"/>
      <c r="AB59" s="107">
        <v>5</v>
      </c>
      <c r="AC59" s="104">
        <f t="shared" ref="AC59:AC61" si="392">AA59/AB59</f>
        <v>0</v>
      </c>
      <c r="AD59" s="106"/>
      <c r="AE59" s="107">
        <v>5</v>
      </c>
      <c r="AF59" s="104">
        <f t="shared" ref="AF59:AF61" si="393">AD59/AE59</f>
        <v>0</v>
      </c>
      <c r="AG59" s="106"/>
      <c r="AH59" s="107">
        <v>5</v>
      </c>
      <c r="AI59" s="104">
        <f t="shared" ref="AI59:AI61" si="394">AG59/AH59</f>
        <v>0</v>
      </c>
      <c r="AJ59" s="106"/>
      <c r="AK59" s="107">
        <v>5</v>
      </c>
      <c r="AL59" s="104">
        <f t="shared" ref="AL59:AL61" si="395">AJ59/AK59</f>
        <v>0</v>
      </c>
      <c r="AM59" s="102"/>
      <c r="AN59" s="1">
        <v>5</v>
      </c>
      <c r="AO59" s="104">
        <f t="shared" ref="AO59:AO61" si="396">AM59/AN59</f>
        <v>0</v>
      </c>
      <c r="AP59" s="102"/>
      <c r="AQ59" s="1">
        <v>5</v>
      </c>
      <c r="AR59" s="104">
        <f t="shared" ref="AR59:AR61" si="397">AP59/AQ59</f>
        <v>0</v>
      </c>
      <c r="AS59" s="102"/>
      <c r="AT59" s="1">
        <v>5</v>
      </c>
      <c r="AU59" s="104">
        <f t="shared" ref="AU59:AU61" si="398">AS59/AT59</f>
        <v>0</v>
      </c>
      <c r="AV59" s="102"/>
      <c r="AW59" s="1">
        <v>5</v>
      </c>
      <c r="AX59" s="104">
        <f t="shared" ref="AX59:AX61" si="399">AV59/AW59</f>
        <v>0</v>
      </c>
      <c r="AY59" s="102"/>
      <c r="AZ59" s="1">
        <v>5</v>
      </c>
      <c r="BA59" s="104">
        <f t="shared" ref="BA59:BA61" si="400">AY59/AZ59</f>
        <v>0</v>
      </c>
      <c r="BB59" s="102"/>
      <c r="BC59" s="1">
        <v>5</v>
      </c>
      <c r="BD59" s="104">
        <f t="shared" ref="BD59:BD61" si="401">BB59/BC59</f>
        <v>0</v>
      </c>
      <c r="BE59" s="102"/>
      <c r="BF59" s="1">
        <v>5</v>
      </c>
      <c r="BG59" s="104">
        <f t="shared" ref="BG59:BG61" si="402">BE59/BF59</f>
        <v>0</v>
      </c>
      <c r="BH59" s="102"/>
      <c r="BI59" s="1">
        <v>5</v>
      </c>
      <c r="BJ59" s="104">
        <f t="shared" ref="BJ59:BJ61" si="403">BH59/BI59</f>
        <v>0</v>
      </c>
      <c r="BK59" s="102"/>
      <c r="BL59" s="1">
        <v>5</v>
      </c>
      <c r="BM59" s="104">
        <f t="shared" ref="BM59:BM61" si="404">BK59/BL59</f>
        <v>0</v>
      </c>
      <c r="BN59" s="102"/>
      <c r="BO59" s="1">
        <v>5</v>
      </c>
      <c r="BP59" s="104">
        <f t="shared" ref="BP59:BP61" si="405">BN59/BO59</f>
        <v>0</v>
      </c>
      <c r="BQ59" s="102"/>
      <c r="BR59" s="1">
        <v>5</v>
      </c>
      <c r="BS59" s="104">
        <f t="shared" ref="BS59:BS61" si="406">BQ59/BR59</f>
        <v>0</v>
      </c>
      <c r="BT59" s="102"/>
      <c r="BU59" s="1">
        <v>5</v>
      </c>
      <c r="BV59" s="104">
        <f t="shared" ref="BV59:BV61" si="407">BT59/BU59</f>
        <v>0</v>
      </c>
      <c r="BW59" s="102"/>
      <c r="BX59" s="1">
        <v>5</v>
      </c>
      <c r="BY59" s="104">
        <f t="shared" ref="BY59:BY61" si="408">BW59/BX59</f>
        <v>0</v>
      </c>
      <c r="BZ59" s="102"/>
      <c r="CA59" s="1">
        <v>5</v>
      </c>
      <c r="CB59" s="104">
        <f t="shared" ref="CB59:CB61" si="409">BZ59/CA59</f>
        <v>0</v>
      </c>
      <c r="CC59" s="102"/>
      <c r="CD59" s="1">
        <v>5</v>
      </c>
      <c r="CE59" s="104">
        <f t="shared" ref="CE59:CE61" si="410">CC59/CD59</f>
        <v>0</v>
      </c>
      <c r="CF59" s="102"/>
      <c r="CG59" s="1">
        <v>5</v>
      </c>
      <c r="CH59" s="104">
        <f t="shared" ref="CH59:CH61" si="411">CF59/CG59</f>
        <v>0</v>
      </c>
      <c r="CI59" s="102"/>
      <c r="CJ59" s="1">
        <v>5</v>
      </c>
      <c r="CK59" s="104">
        <f t="shared" ref="CK59:CK61" si="412">CI59/CJ59</f>
        <v>0</v>
      </c>
      <c r="CL59" s="102"/>
      <c r="CM59" s="1">
        <v>5</v>
      </c>
      <c r="CN59" s="104">
        <f t="shared" ref="CN59:CN61" si="413">CL59/CM59</f>
        <v>0</v>
      </c>
      <c r="CO59" s="102"/>
      <c r="CP59" s="1">
        <v>5</v>
      </c>
      <c r="CQ59" s="104">
        <f t="shared" ref="CQ59:CQ61" si="414">CO59/CP59</f>
        <v>0</v>
      </c>
      <c r="CR59" s="102"/>
      <c r="CS59" s="1">
        <v>5</v>
      </c>
      <c r="CT59" s="104">
        <f t="shared" ref="CT59:CT61" si="415">CR59/CS59</f>
        <v>0</v>
      </c>
      <c r="CU59" s="102"/>
      <c r="CV59" s="1">
        <v>5</v>
      </c>
      <c r="CW59" s="104">
        <f t="shared" ref="CW59:CW61" si="416">CU59/CV59</f>
        <v>0</v>
      </c>
      <c r="CX59" s="102"/>
      <c r="CY59" s="1">
        <v>5</v>
      </c>
      <c r="CZ59" s="104">
        <f t="shared" ref="CZ59:CZ61" si="417">CX59/CY59</f>
        <v>0</v>
      </c>
      <c r="DA59" s="102"/>
      <c r="DB59" s="1">
        <v>5</v>
      </c>
      <c r="DC59" s="104">
        <f t="shared" ref="DC59:DC61" si="418">DA59/DB59</f>
        <v>0</v>
      </c>
      <c r="DD59" s="102"/>
      <c r="DE59" s="1">
        <v>5</v>
      </c>
      <c r="DF59" s="104">
        <f t="shared" ref="DF59:DF61" si="419">DD59/DE59</f>
        <v>0</v>
      </c>
      <c r="DG59" s="102"/>
      <c r="DH59" s="1">
        <v>5</v>
      </c>
      <c r="DI59" s="104">
        <f t="shared" ref="DI59:DI61" si="420">DG59/DH59</f>
        <v>0</v>
      </c>
      <c r="DJ59" s="102"/>
      <c r="DK59" s="1">
        <v>5</v>
      </c>
      <c r="DL59" s="104">
        <f t="shared" ref="DL59:DL61" si="421">DJ59/DK59</f>
        <v>0</v>
      </c>
      <c r="DM59" s="102"/>
      <c r="DN59" s="1">
        <v>5</v>
      </c>
      <c r="DO59" s="104">
        <f t="shared" ref="DO59:DO61" si="422">DM59/DN59</f>
        <v>0</v>
      </c>
      <c r="DP59" s="102"/>
      <c r="DQ59" s="1">
        <v>5</v>
      </c>
      <c r="DR59" s="104">
        <f t="shared" ref="DR59:DR61" si="423">DP59/DQ59</f>
        <v>0</v>
      </c>
      <c r="DS59" s="102"/>
      <c r="DT59" s="1">
        <v>5</v>
      </c>
      <c r="DU59" s="104">
        <f t="shared" ref="DU59:DU61" si="424">DS59/DT59</f>
        <v>0</v>
      </c>
      <c r="DV59" s="102"/>
      <c r="DW59" s="1">
        <v>5</v>
      </c>
      <c r="DX59" s="104">
        <f t="shared" ref="DX59:DX61" si="425">DV59/DW59</f>
        <v>0</v>
      </c>
      <c r="DY59" s="102"/>
      <c r="DZ59" s="1">
        <v>5</v>
      </c>
      <c r="EA59" s="104">
        <f t="shared" ref="EA59:EA61" si="426">DY59/DZ59</f>
        <v>0</v>
      </c>
      <c r="EB59" s="102"/>
      <c r="EC59" s="1">
        <v>5</v>
      </c>
      <c r="ED59" s="104">
        <f t="shared" ref="ED59:ED61" si="427">EB59/EC59</f>
        <v>0</v>
      </c>
      <c r="EE59" s="102"/>
      <c r="EF59" s="1">
        <v>5</v>
      </c>
      <c r="EG59" s="104">
        <f t="shared" ref="EG59:EG61" si="428">EE59/EF59</f>
        <v>0</v>
      </c>
      <c r="EH59" s="102"/>
      <c r="EI59" s="1">
        <v>5</v>
      </c>
      <c r="EJ59" s="104">
        <f t="shared" ref="EJ59:EJ61" si="429">EH59/EI59</f>
        <v>0</v>
      </c>
      <c r="EK59" s="102"/>
      <c r="EL59" s="1">
        <v>5</v>
      </c>
      <c r="EM59" s="104">
        <f t="shared" ref="EM59:EM61" si="430">EK59/EL59</f>
        <v>0</v>
      </c>
      <c r="EN59" s="102"/>
      <c r="EO59" s="1">
        <v>5</v>
      </c>
      <c r="EP59" s="104">
        <f t="shared" ref="EP59:EP61" si="431">EN59/EO59</f>
        <v>0</v>
      </c>
      <c r="EQ59" s="85">
        <f t="array" ref="EQ59">IFERROR(_xlfn.LET(
_xlpm.datos,CHOOSE({1;2;3;4;5;6;7;8;9;10;11;12;13;13;14;15;16;17;18;19;20;21;22;23;23;24;25;26;27;28;29;30;31;32;33;34;35;36;37;38;39;40;41;42;43;44;45;46;47},E59,H59,K59,N59,Q59,T59,W59,Z59,AC59,AF59,AI59,AL59,AO59,AR59,AU59,AX59,BA59,BD59,BG59,BJ59,BP59,BS59,BV59,BY59,CB59,CE59,CH59,CK59,CN59,CQ59,CT59,CW59,CZ59,DC59,DF59,DI59,DL59,DO59,DR59,DU59,DX59,EA59,ED59,EG59,EJ59,EM59,EP59),
AVERAGE(_xlfn._xlws.FILTER(_xlpm.datos,(_xlpm.datos&lt;&gt;0)*(_xlpm.datos&lt;&gt;"")))
),0)</f>
        <v>0</v>
      </c>
      <c r="ER59" s="162" t="str">
        <f t="array" ref="ER59">_xlfn.IFS(EQ59&gt;=91.5%,"MENSUAL",EQ59&gt;=75%,"QUINCENAL",EQ59&lt;75%,"SEMANAL")</f>
        <v>SEMANAL</v>
      </c>
    </row>
    <row r="60" ht="16" customHeight="1" spans="1:148" s="286" customFormat="1" x14ac:dyDescent="0.25">
      <c r="A60" s="183" t="s">
        <v>233</v>
      </c>
      <c r="B60" s="188"/>
      <c r="C60" s="102"/>
      <c r="D60" s="103">
        <v>5</v>
      </c>
      <c r="E60" s="104">
        <f t="shared" si="384"/>
        <v>0</v>
      </c>
      <c r="F60" s="102"/>
      <c r="G60" s="103">
        <v>5</v>
      </c>
      <c r="H60" s="104">
        <f t="shared" si="385"/>
        <v>0</v>
      </c>
      <c r="I60" s="105"/>
      <c r="J60" s="103">
        <v>5</v>
      </c>
      <c r="K60" s="104">
        <f t="shared" si="386"/>
        <v>0</v>
      </c>
      <c r="L60" s="105"/>
      <c r="M60" s="103">
        <v>5</v>
      </c>
      <c r="N60" s="104">
        <f t="shared" si="387"/>
        <v>0</v>
      </c>
      <c r="O60" s="106"/>
      <c r="P60" s="107">
        <v>5</v>
      </c>
      <c r="Q60" s="104">
        <f t="shared" si="388"/>
        <v>0</v>
      </c>
      <c r="R60" s="102"/>
      <c r="S60" s="107">
        <v>5</v>
      </c>
      <c r="T60" s="104">
        <f t="shared" si="389"/>
        <v>0</v>
      </c>
      <c r="U60" s="102"/>
      <c r="V60" s="107">
        <v>5</v>
      </c>
      <c r="W60" s="104">
        <f t="shared" si="390"/>
        <v>0</v>
      </c>
      <c r="X60" s="102"/>
      <c r="Y60" s="107">
        <v>5</v>
      </c>
      <c r="Z60" s="104">
        <f t="shared" si="391"/>
        <v>0</v>
      </c>
      <c r="AA60" s="106"/>
      <c r="AB60" s="107">
        <v>5</v>
      </c>
      <c r="AC60" s="104">
        <f t="shared" si="392"/>
        <v>0</v>
      </c>
      <c r="AD60" s="106"/>
      <c r="AE60" s="107">
        <v>5</v>
      </c>
      <c r="AF60" s="104">
        <f t="shared" si="393"/>
        <v>0</v>
      </c>
      <c r="AG60" s="106"/>
      <c r="AH60" s="107">
        <v>5</v>
      </c>
      <c r="AI60" s="104">
        <f t="shared" si="394"/>
        <v>0</v>
      </c>
      <c r="AJ60" s="106"/>
      <c r="AK60" s="107">
        <v>5</v>
      </c>
      <c r="AL60" s="104">
        <f t="shared" si="395"/>
        <v>0</v>
      </c>
      <c r="AM60" s="102"/>
      <c r="AN60" s="1">
        <v>5</v>
      </c>
      <c r="AO60" s="104">
        <f t="shared" si="396"/>
        <v>0</v>
      </c>
      <c r="AP60" s="102"/>
      <c r="AQ60" s="1">
        <v>5</v>
      </c>
      <c r="AR60" s="104">
        <f t="shared" si="397"/>
        <v>0</v>
      </c>
      <c r="AS60" s="102"/>
      <c r="AT60" s="1">
        <v>5</v>
      </c>
      <c r="AU60" s="104">
        <f t="shared" si="398"/>
        <v>0</v>
      </c>
      <c r="AV60" s="102"/>
      <c r="AW60" s="1">
        <v>5</v>
      </c>
      <c r="AX60" s="104">
        <f t="shared" si="399"/>
        <v>0</v>
      </c>
      <c r="AY60" s="102"/>
      <c r="AZ60" s="1">
        <v>5</v>
      </c>
      <c r="BA60" s="104">
        <f t="shared" si="400"/>
        <v>0</v>
      </c>
      <c r="BB60" s="102"/>
      <c r="BC60" s="1">
        <v>5</v>
      </c>
      <c r="BD60" s="104">
        <f t="shared" si="401"/>
        <v>0</v>
      </c>
      <c r="BE60" s="102"/>
      <c r="BF60" s="1">
        <v>5</v>
      </c>
      <c r="BG60" s="104">
        <f t="shared" si="402"/>
        <v>0</v>
      </c>
      <c r="BH60" s="102"/>
      <c r="BI60" s="1">
        <v>5</v>
      </c>
      <c r="BJ60" s="104">
        <f t="shared" si="403"/>
        <v>0</v>
      </c>
      <c r="BK60" s="102"/>
      <c r="BL60" s="1">
        <v>5</v>
      </c>
      <c r="BM60" s="104">
        <f t="shared" si="404"/>
        <v>0</v>
      </c>
      <c r="BN60" s="102"/>
      <c r="BO60" s="1">
        <v>5</v>
      </c>
      <c r="BP60" s="104">
        <f t="shared" si="405"/>
        <v>0</v>
      </c>
      <c r="BQ60" s="102"/>
      <c r="BR60" s="1">
        <v>5</v>
      </c>
      <c r="BS60" s="104">
        <f t="shared" si="406"/>
        <v>0</v>
      </c>
      <c r="BT60" s="102"/>
      <c r="BU60" s="1">
        <v>5</v>
      </c>
      <c r="BV60" s="104">
        <f t="shared" si="407"/>
        <v>0</v>
      </c>
      <c r="BW60" s="102"/>
      <c r="BX60" s="1">
        <v>5</v>
      </c>
      <c r="BY60" s="104">
        <f t="shared" si="408"/>
        <v>0</v>
      </c>
      <c r="BZ60" s="102"/>
      <c r="CA60" s="1">
        <v>5</v>
      </c>
      <c r="CB60" s="104">
        <f t="shared" si="409"/>
        <v>0</v>
      </c>
      <c r="CC60" s="102"/>
      <c r="CD60" s="1">
        <v>5</v>
      </c>
      <c r="CE60" s="104">
        <f t="shared" si="410"/>
        <v>0</v>
      </c>
      <c r="CF60" s="102"/>
      <c r="CG60" s="1">
        <v>5</v>
      </c>
      <c r="CH60" s="104">
        <f t="shared" si="411"/>
        <v>0</v>
      </c>
      <c r="CI60" s="102"/>
      <c r="CJ60" s="1">
        <v>5</v>
      </c>
      <c r="CK60" s="104">
        <f t="shared" si="412"/>
        <v>0</v>
      </c>
      <c r="CL60" s="102"/>
      <c r="CM60" s="1">
        <v>5</v>
      </c>
      <c r="CN60" s="104">
        <f t="shared" si="413"/>
        <v>0</v>
      </c>
      <c r="CO60" s="102"/>
      <c r="CP60" s="1">
        <v>5</v>
      </c>
      <c r="CQ60" s="104">
        <f t="shared" si="414"/>
        <v>0</v>
      </c>
      <c r="CR60" s="102"/>
      <c r="CS60" s="1">
        <v>5</v>
      </c>
      <c r="CT60" s="104">
        <f t="shared" si="415"/>
        <v>0</v>
      </c>
      <c r="CU60" s="102"/>
      <c r="CV60" s="1">
        <v>5</v>
      </c>
      <c r="CW60" s="104">
        <f t="shared" si="416"/>
        <v>0</v>
      </c>
      <c r="CX60" s="102"/>
      <c r="CY60" s="1">
        <v>5</v>
      </c>
      <c r="CZ60" s="104">
        <f t="shared" si="417"/>
        <v>0</v>
      </c>
      <c r="DA60" s="102"/>
      <c r="DB60" s="1">
        <v>5</v>
      </c>
      <c r="DC60" s="104">
        <f t="shared" si="418"/>
        <v>0</v>
      </c>
      <c r="DD60" s="102"/>
      <c r="DE60" s="1">
        <v>5</v>
      </c>
      <c r="DF60" s="104">
        <f t="shared" si="419"/>
        <v>0</v>
      </c>
      <c r="DG60" s="102"/>
      <c r="DH60" s="1">
        <v>5</v>
      </c>
      <c r="DI60" s="104">
        <f t="shared" si="420"/>
        <v>0</v>
      </c>
      <c r="DJ60" s="102"/>
      <c r="DK60" s="1">
        <v>5</v>
      </c>
      <c r="DL60" s="104">
        <f t="shared" si="421"/>
        <v>0</v>
      </c>
      <c r="DM60" s="102"/>
      <c r="DN60" s="1">
        <v>5</v>
      </c>
      <c r="DO60" s="104">
        <f t="shared" si="422"/>
        <v>0</v>
      </c>
      <c r="DP60" s="102"/>
      <c r="DQ60" s="1">
        <v>5</v>
      </c>
      <c r="DR60" s="104">
        <f t="shared" si="423"/>
        <v>0</v>
      </c>
      <c r="DS60" s="102"/>
      <c r="DT60" s="1">
        <v>5</v>
      </c>
      <c r="DU60" s="104">
        <f t="shared" si="424"/>
        <v>0</v>
      </c>
      <c r="DV60" s="102"/>
      <c r="DW60" s="1">
        <v>5</v>
      </c>
      <c r="DX60" s="104">
        <f t="shared" si="425"/>
        <v>0</v>
      </c>
      <c r="DY60" s="102"/>
      <c r="DZ60" s="1">
        <v>5</v>
      </c>
      <c r="EA60" s="104">
        <f t="shared" si="426"/>
        <v>0</v>
      </c>
      <c r="EB60" s="102"/>
      <c r="EC60" s="1">
        <v>5</v>
      </c>
      <c r="ED60" s="104">
        <f t="shared" si="427"/>
        <v>0</v>
      </c>
      <c r="EE60" s="102"/>
      <c r="EF60" s="1">
        <v>5</v>
      </c>
      <c r="EG60" s="104">
        <f t="shared" si="428"/>
        <v>0</v>
      </c>
      <c r="EH60" s="102"/>
      <c r="EI60" s="1">
        <v>5</v>
      </c>
      <c r="EJ60" s="104">
        <f t="shared" si="429"/>
        <v>0</v>
      </c>
      <c r="EK60" s="102"/>
      <c r="EL60" s="1">
        <v>5</v>
      </c>
      <c r="EM60" s="104">
        <f t="shared" si="430"/>
        <v>0</v>
      </c>
      <c r="EN60" s="102"/>
      <c r="EO60" s="1">
        <v>5</v>
      </c>
      <c r="EP60" s="104">
        <f t="shared" si="431"/>
        <v>0</v>
      </c>
      <c r="EQ60" s="85">
        <f t="array" ref="EQ60">IFERROR(_xlfn.LET(
_xlpm.datos,CHOOSE({1;2;3;4;5;6;7;8;9;10;11;12;13;13;14;15;16;17;18;19;20;21;22;23;23;24;25;26;27;28;29;30;31;32;33;34;35;36;37;38;39;40;41;42;43;44;45;46;47},E60,H60,K60,N60,Q60,T60,W60,Z60,AC60,AF60,AI60,AL60,AO60,AR60,AU60,AX60,BA60,BD60,BG60,BJ60,BP60,BS60,BV60,BY60,CB60,CE60,CH60,CK60,CN60,CQ60,CT60,CW60,CZ60,DC60,DF60,DI60,DL60,DO60,DR60,DU60,DX60,EA60,ED60,EG60,EJ60,EM60,EP60),
AVERAGE(_xlfn._xlws.FILTER(_xlpm.datos,(_xlpm.datos&lt;&gt;0)*(_xlpm.datos&lt;&gt;"")))
),0)</f>
        <v>0</v>
      </c>
      <c r="ER60" s="162" t="str">
        <f t="array" ref="ER60">_xlfn.IFS(EQ60&gt;=91.5%,"MENSUAL",EQ60&gt;=75%,"QUINCENAL",EQ60&lt;75%,"SEMANAL")</f>
        <v>SEMANAL</v>
      </c>
    </row>
    <row r="61" ht="16" customHeight="1" spans="1:148" s="286" customFormat="1" x14ac:dyDescent="0.25">
      <c r="A61" s="184" t="s">
        <v>234</v>
      </c>
      <c r="B61" s="191"/>
      <c r="C61" s="151"/>
      <c r="D61" s="152">
        <v>5</v>
      </c>
      <c r="E61" s="153">
        <f t="shared" si="384"/>
        <v>0</v>
      </c>
      <c r="F61" s="151"/>
      <c r="G61" s="152">
        <v>5</v>
      </c>
      <c r="H61" s="153">
        <f t="shared" si="385"/>
        <v>0</v>
      </c>
      <c r="I61" s="154"/>
      <c r="J61" s="152">
        <v>5</v>
      </c>
      <c r="K61" s="153">
        <f t="shared" si="386"/>
        <v>0</v>
      </c>
      <c r="L61" s="154"/>
      <c r="M61" s="152">
        <v>5</v>
      </c>
      <c r="N61" s="153">
        <f t="shared" si="387"/>
        <v>0</v>
      </c>
      <c r="O61" s="155"/>
      <c r="P61" s="156">
        <v>5</v>
      </c>
      <c r="Q61" s="153">
        <f t="shared" si="388"/>
        <v>0</v>
      </c>
      <c r="R61" s="151"/>
      <c r="S61" s="156">
        <v>5</v>
      </c>
      <c r="T61" s="153">
        <f t="shared" si="389"/>
        <v>0</v>
      </c>
      <c r="U61" s="151"/>
      <c r="V61" s="156">
        <v>5</v>
      </c>
      <c r="W61" s="153">
        <f t="shared" si="390"/>
        <v>0</v>
      </c>
      <c r="X61" s="151"/>
      <c r="Y61" s="156">
        <v>5</v>
      </c>
      <c r="Z61" s="153">
        <f t="shared" si="391"/>
        <v>0</v>
      </c>
      <c r="AA61" s="155"/>
      <c r="AB61" s="156">
        <v>5</v>
      </c>
      <c r="AC61" s="153">
        <f t="shared" si="392"/>
        <v>0</v>
      </c>
      <c r="AD61" s="155"/>
      <c r="AE61" s="156">
        <v>5</v>
      </c>
      <c r="AF61" s="153">
        <f t="shared" si="393"/>
        <v>0</v>
      </c>
      <c r="AG61" s="155"/>
      <c r="AH61" s="156">
        <v>5</v>
      </c>
      <c r="AI61" s="153">
        <f t="shared" si="394"/>
        <v>0</v>
      </c>
      <c r="AJ61" s="155"/>
      <c r="AK61" s="156">
        <v>5</v>
      </c>
      <c r="AL61" s="153">
        <f t="shared" si="395"/>
        <v>0</v>
      </c>
      <c r="AM61" s="151"/>
      <c r="AN61" s="157">
        <v>5</v>
      </c>
      <c r="AO61" s="153">
        <f t="shared" si="396"/>
        <v>0</v>
      </c>
      <c r="AP61" s="151"/>
      <c r="AQ61" s="157">
        <v>5</v>
      </c>
      <c r="AR61" s="153">
        <f t="shared" si="397"/>
        <v>0</v>
      </c>
      <c r="AS61" s="151"/>
      <c r="AT61" s="157">
        <v>5</v>
      </c>
      <c r="AU61" s="153">
        <f t="shared" si="398"/>
        <v>0</v>
      </c>
      <c r="AV61" s="151"/>
      <c r="AW61" s="157">
        <v>5</v>
      </c>
      <c r="AX61" s="153">
        <f t="shared" si="399"/>
        <v>0</v>
      </c>
      <c r="AY61" s="151"/>
      <c r="AZ61" s="157">
        <v>5</v>
      </c>
      <c r="BA61" s="153">
        <f t="shared" si="400"/>
        <v>0</v>
      </c>
      <c r="BB61" s="151"/>
      <c r="BC61" s="157">
        <v>5</v>
      </c>
      <c r="BD61" s="153">
        <f t="shared" si="401"/>
        <v>0</v>
      </c>
      <c r="BE61" s="151"/>
      <c r="BF61" s="157">
        <v>5</v>
      </c>
      <c r="BG61" s="153">
        <f t="shared" si="402"/>
        <v>0</v>
      </c>
      <c r="BH61" s="151"/>
      <c r="BI61" s="157">
        <v>5</v>
      </c>
      <c r="BJ61" s="153">
        <f t="shared" si="403"/>
        <v>0</v>
      </c>
      <c r="BK61" s="151"/>
      <c r="BL61" s="157">
        <v>5</v>
      </c>
      <c r="BM61" s="153">
        <f t="shared" si="404"/>
        <v>0</v>
      </c>
      <c r="BN61" s="151"/>
      <c r="BO61" s="157">
        <v>5</v>
      </c>
      <c r="BP61" s="153">
        <f t="shared" si="405"/>
        <v>0</v>
      </c>
      <c r="BQ61" s="151"/>
      <c r="BR61" s="157">
        <v>5</v>
      </c>
      <c r="BS61" s="153">
        <f t="shared" si="406"/>
        <v>0</v>
      </c>
      <c r="BT61" s="151"/>
      <c r="BU61" s="157">
        <v>5</v>
      </c>
      <c r="BV61" s="153">
        <f t="shared" si="407"/>
        <v>0</v>
      </c>
      <c r="BW61" s="151"/>
      <c r="BX61" s="157">
        <v>5</v>
      </c>
      <c r="BY61" s="153">
        <f t="shared" si="408"/>
        <v>0</v>
      </c>
      <c r="BZ61" s="151"/>
      <c r="CA61" s="157">
        <v>5</v>
      </c>
      <c r="CB61" s="153">
        <f t="shared" si="409"/>
        <v>0</v>
      </c>
      <c r="CC61" s="151"/>
      <c r="CD61" s="157">
        <v>5</v>
      </c>
      <c r="CE61" s="153">
        <f t="shared" si="410"/>
        <v>0</v>
      </c>
      <c r="CF61" s="151"/>
      <c r="CG61" s="157">
        <v>5</v>
      </c>
      <c r="CH61" s="153">
        <f t="shared" si="411"/>
        <v>0</v>
      </c>
      <c r="CI61" s="151"/>
      <c r="CJ61" s="157">
        <v>5</v>
      </c>
      <c r="CK61" s="153">
        <f t="shared" si="412"/>
        <v>0</v>
      </c>
      <c r="CL61" s="151"/>
      <c r="CM61" s="157">
        <v>5</v>
      </c>
      <c r="CN61" s="153">
        <f t="shared" si="413"/>
        <v>0</v>
      </c>
      <c r="CO61" s="151"/>
      <c r="CP61" s="157">
        <v>5</v>
      </c>
      <c r="CQ61" s="153">
        <f t="shared" si="414"/>
        <v>0</v>
      </c>
      <c r="CR61" s="151"/>
      <c r="CS61" s="157">
        <v>5</v>
      </c>
      <c r="CT61" s="153">
        <f t="shared" si="415"/>
        <v>0</v>
      </c>
      <c r="CU61" s="151"/>
      <c r="CV61" s="157">
        <v>5</v>
      </c>
      <c r="CW61" s="153">
        <f t="shared" si="416"/>
        <v>0</v>
      </c>
      <c r="CX61" s="151"/>
      <c r="CY61" s="157">
        <v>5</v>
      </c>
      <c r="CZ61" s="153">
        <f t="shared" si="417"/>
        <v>0</v>
      </c>
      <c r="DA61" s="151"/>
      <c r="DB61" s="157">
        <v>5</v>
      </c>
      <c r="DC61" s="153">
        <f t="shared" si="418"/>
        <v>0</v>
      </c>
      <c r="DD61" s="151"/>
      <c r="DE61" s="157">
        <v>5</v>
      </c>
      <c r="DF61" s="153">
        <f t="shared" si="419"/>
        <v>0</v>
      </c>
      <c r="DG61" s="151"/>
      <c r="DH61" s="157">
        <v>5</v>
      </c>
      <c r="DI61" s="153">
        <f t="shared" si="420"/>
        <v>0</v>
      </c>
      <c r="DJ61" s="151"/>
      <c r="DK61" s="157">
        <v>5</v>
      </c>
      <c r="DL61" s="153">
        <f t="shared" si="421"/>
        <v>0</v>
      </c>
      <c r="DM61" s="151"/>
      <c r="DN61" s="157">
        <v>5</v>
      </c>
      <c r="DO61" s="153">
        <f t="shared" si="422"/>
        <v>0</v>
      </c>
      <c r="DP61" s="151"/>
      <c r="DQ61" s="157">
        <v>5</v>
      </c>
      <c r="DR61" s="153">
        <f t="shared" si="423"/>
        <v>0</v>
      </c>
      <c r="DS61" s="151"/>
      <c r="DT61" s="157">
        <v>5</v>
      </c>
      <c r="DU61" s="153">
        <f t="shared" si="424"/>
        <v>0</v>
      </c>
      <c r="DV61" s="151"/>
      <c r="DW61" s="157">
        <v>5</v>
      </c>
      <c r="DX61" s="153">
        <f t="shared" si="425"/>
        <v>0</v>
      </c>
      <c r="DY61" s="151"/>
      <c r="DZ61" s="157">
        <v>5</v>
      </c>
      <c r="EA61" s="153">
        <f t="shared" si="426"/>
        <v>0</v>
      </c>
      <c r="EB61" s="151"/>
      <c r="EC61" s="157">
        <v>5</v>
      </c>
      <c r="ED61" s="153">
        <f t="shared" si="427"/>
        <v>0</v>
      </c>
      <c r="EE61" s="151"/>
      <c r="EF61" s="157">
        <v>5</v>
      </c>
      <c r="EG61" s="153">
        <f t="shared" si="428"/>
        <v>0</v>
      </c>
      <c r="EH61" s="151"/>
      <c r="EI61" s="157">
        <v>5</v>
      </c>
      <c r="EJ61" s="153">
        <f t="shared" si="429"/>
        <v>0</v>
      </c>
      <c r="EK61" s="151"/>
      <c r="EL61" s="157">
        <v>5</v>
      </c>
      <c r="EM61" s="153">
        <f t="shared" si="430"/>
        <v>0</v>
      </c>
      <c r="EN61" s="151"/>
      <c r="EO61" s="157">
        <v>5</v>
      </c>
      <c r="EP61" s="153">
        <f t="shared" si="431"/>
        <v>0</v>
      </c>
      <c r="EQ61" s="85">
        <f t="array" ref="EQ61">IFERROR(_xlfn.LET(
_xlpm.datos,CHOOSE({1;2;3;4;5;6;7;8;9;10;11;12;13;13;14;15;16;17;18;19;20;21;22;23;23;24;25;26;27;28;29;30;31;32;33;34;35;36;37;38;39;40;41;42;43;44;45;46;47},E61,H61,K61,N61,Q61,T61,W61,Z61,AC61,AF61,AI61,AL61,AO61,AR61,AU61,AX61,BA61,BD61,BG61,BJ61,BP61,BS61,BV61,BY61,CB61,CE61,CH61,CK61,CN61,CQ61,CT61,CW61,CZ61,DC61,DF61,DI61,DL61,DO61,DR61,DU61,DX61,EA61,ED61,EG61,EJ61,EM61,EP61),
AVERAGE(_xlfn._xlws.FILTER(_xlpm.datos,(_xlpm.datos&lt;&gt;0)*(_xlpm.datos&lt;&gt;"")))
),0)</f>
        <v>0</v>
      </c>
      <c r="ER61" s="162" t="str">
        <f t="array" ref="ER61">_xlfn.IFS(EQ61&gt;=91.5%,"MENSUAL",EQ61&gt;=75%,"QUINCENAL",EQ61&lt;75%,"SEMANAL")</f>
        <v>SEMANAL</v>
      </c>
    </row>
    <row r="62" spans="51:148" s="286" customFormat="1" x14ac:dyDescent="0.25">
      <c r="AY62" s="12"/>
      <c r="AZ62" s="12"/>
      <c r="BC62" s="12"/>
      <c r="BF62" s="12"/>
      <c r="BI62" s="12"/>
      <c r="BP62" s="12"/>
      <c r="BV62" s="12"/>
      <c r="CB62" s="12"/>
      <c r="CH62" s="12"/>
      <c r="CJ62" s="12"/>
      <c r="CN62" s="12"/>
      <c r="CP62" s="12"/>
      <c r="CS62" s="12"/>
      <c r="CV62" s="12"/>
      <c r="DA62" s="12"/>
      <c r="DB62" s="12"/>
      <c r="DC62" s="12"/>
      <c r="DD62" s="12"/>
      <c r="DE62" s="12"/>
      <c r="DF62" s="12"/>
      <c r="DG62" s="12"/>
      <c r="DH62" s="12"/>
      <c r="DI62" s="12"/>
      <c r="DJ62" s="12"/>
      <c r="DK62" s="12"/>
      <c r="DL62" s="12"/>
      <c r="DM62" s="12"/>
      <c r="DN62" s="12"/>
      <c r="DO62" s="12"/>
      <c r="DP62" s="12"/>
      <c r="DQ62" s="12"/>
      <c r="DR62" s="12"/>
      <c r="DS62" s="12"/>
      <c r="DT62" s="12"/>
      <c r="DU62" s="12"/>
      <c r="DV62" s="12"/>
      <c r="DW62" s="12"/>
      <c r="DX62" s="12"/>
      <c r="DY62" s="12"/>
      <c r="DZ62" s="12"/>
      <c r="EA62" s="12"/>
      <c r="EB62" s="12"/>
      <c r="EC62" s="12"/>
      <c r="ED62" s="12"/>
      <c r="EG62" s="12"/>
      <c r="EH62" s="12"/>
      <c r="EI62" s="12"/>
      <c r="EJ62" s="12"/>
      <c r="EK62" s="12"/>
      <c r="EL62" s="12"/>
      <c r="EM62" s="12"/>
      <c r="EN62" s="12"/>
      <c r="EO62" s="12"/>
      <c r="EP62" s="12"/>
      <c r="EQ62" s="12"/>
      <c r="ER62" s="12"/>
    </row>
    <row r="63" spans="51:148" s="286" customFormat="1" x14ac:dyDescent="0.25">
      <c r="AY63" s="12"/>
      <c r="AZ63" s="12"/>
      <c r="BC63" s="12"/>
      <c r="BF63" s="12"/>
      <c r="BI63" s="12"/>
      <c r="BP63" s="12"/>
      <c r="BV63" s="12"/>
      <c r="CB63" s="12"/>
      <c r="CH63" s="12"/>
      <c r="CJ63" s="12"/>
      <c r="CN63" s="12"/>
      <c r="CP63" s="12"/>
      <c r="CS63" s="12"/>
      <c r="CV63" s="12"/>
      <c r="DA63" s="12"/>
      <c r="DB63" s="12"/>
      <c r="DC63" s="12"/>
      <c r="DD63" s="12"/>
      <c r="DE63" s="12"/>
      <c r="DF63" s="12"/>
      <c r="DG63" s="12"/>
      <c r="DH63" s="12"/>
      <c r="DI63" s="12"/>
      <c r="DJ63" s="12"/>
      <c r="DK63" s="12"/>
      <c r="DL63" s="12"/>
      <c r="DM63" s="12"/>
      <c r="DN63" s="12"/>
      <c r="DO63" s="12"/>
      <c r="DP63" s="12"/>
      <c r="DQ63" s="12"/>
      <c r="DR63" s="12"/>
      <c r="DS63" s="12"/>
      <c r="DT63" s="12"/>
      <c r="DU63" s="12"/>
      <c r="DV63" s="12"/>
      <c r="DW63" s="12"/>
      <c r="DX63" s="12"/>
      <c r="DY63" s="12"/>
      <c r="DZ63" s="12"/>
      <c r="EA63" s="12"/>
      <c r="EB63" s="12"/>
      <c r="EC63" s="12"/>
      <c r="ED63" s="12"/>
      <c r="EG63" s="12"/>
      <c r="EH63" s="12"/>
      <c r="EI63" s="12"/>
      <c r="EJ63" s="12"/>
      <c r="EK63" s="12"/>
      <c r="EL63" s="12"/>
      <c r="EM63" s="12"/>
      <c r="EN63" s="12"/>
      <c r="EO63" s="12"/>
      <c r="EP63" s="12"/>
      <c r="EQ63" s="12"/>
      <c r="ER63" s="12"/>
    </row>
    <row r="64" spans="88:100" x14ac:dyDescent="0.25">
      <c r="CJ64" s="12"/>
      <c r="CP64" s="12"/>
      <c r="CS64" s="12"/>
      <c r="CV64" s="12"/>
    </row>
    <row r="65" spans="88:100" x14ac:dyDescent="0.25">
      <c r="CJ65" s="12"/>
      <c r="CP65" s="12"/>
      <c r="CS65" s="12"/>
      <c r="CV65" s="12"/>
    </row>
    <row r="66" spans="88:100" x14ac:dyDescent="0.25">
      <c r="CJ66" s="12"/>
      <c r="CP66" s="12"/>
      <c r="CS66" s="12"/>
      <c r="CV66" s="12"/>
    </row>
    <row r="67" spans="88:100" x14ac:dyDescent="0.25">
      <c r="CJ67" s="12"/>
      <c r="CP67" s="12"/>
      <c r="CS67" s="12"/>
      <c r="CV67" s="12"/>
    </row>
    <row r="68" spans="88:100" x14ac:dyDescent="0.25">
      <c r="CJ68" s="12"/>
      <c r="CP68" s="12"/>
      <c r="CS68" s="12"/>
      <c r="CV68" s="12"/>
    </row>
    <row r="69" spans="88:100" x14ac:dyDescent="0.25">
      <c r="CJ69" s="12"/>
      <c r="CP69" s="12"/>
      <c r="CS69" s="12"/>
      <c r="CV69" s="12"/>
    </row>
    <row r="70" spans="52:100" x14ac:dyDescent="0.25">
      <c r="AZ70" s="160"/>
      <c r="CJ70" s="12"/>
      <c r="CP70" s="12"/>
      <c r="CS70" s="12"/>
      <c r="CV70" s="12"/>
    </row>
    <row r="71" spans="88:100" x14ac:dyDescent="0.25">
      <c r="CJ71" s="12"/>
      <c r="CP71" s="12"/>
      <c r="CS71" s="12"/>
      <c r="CV71" s="12"/>
    </row>
    <row r="72" spans="88:100" x14ac:dyDescent="0.25">
      <c r="CJ72" s="12"/>
      <c r="CP72" s="12"/>
      <c r="CS72" s="12"/>
      <c r="CV72" s="12"/>
    </row>
    <row r="73" spans="88:100" x14ac:dyDescent="0.25">
      <c r="CJ73" s="12"/>
      <c r="CS73" s="12"/>
      <c r="CV73" s="12"/>
    </row>
    <row r="74" spans="88:100" x14ac:dyDescent="0.25">
      <c r="CJ74" s="12"/>
      <c r="CS74" s="12"/>
      <c r="CV74" s="12"/>
    </row>
    <row r="75" spans="88:100" x14ac:dyDescent="0.25">
      <c r="CJ75" s="12"/>
      <c r="CS75" s="12"/>
      <c r="CV75" s="12"/>
    </row>
    <row r="76" spans="88:100" x14ac:dyDescent="0.25">
      <c r="CJ76" s="12"/>
      <c r="CV76" s="12"/>
    </row>
    <row r="77" spans="88:88" x14ac:dyDescent="0.25">
      <c r="CJ77" s="12"/>
    </row>
  </sheetData>
  <mergeCells count="50">
    <mergeCell ref="C6:E6"/>
    <mergeCell ref="F6:H6"/>
    <mergeCell ref="I6:K6"/>
    <mergeCell ref="L6:N6"/>
    <mergeCell ref="O6:Q6"/>
    <mergeCell ref="R6:T6"/>
    <mergeCell ref="U6:W6"/>
    <mergeCell ref="X6:Z6"/>
    <mergeCell ref="AA6:AC6"/>
    <mergeCell ref="AD6:AF6"/>
    <mergeCell ref="AG6:AI6"/>
    <mergeCell ref="AJ6:AL6"/>
    <mergeCell ref="AM6:AO6"/>
    <mergeCell ref="AP6:AR6"/>
    <mergeCell ref="AS6:AU6"/>
    <mergeCell ref="AV6:AX6"/>
    <mergeCell ref="AY6:BA6"/>
    <mergeCell ref="BB6:BD6"/>
    <mergeCell ref="BE6:BG6"/>
    <mergeCell ref="BH6:BJ6"/>
    <mergeCell ref="BK6:BM6"/>
    <mergeCell ref="BN6:BP6"/>
    <mergeCell ref="BQ6:BS6"/>
    <mergeCell ref="BT6:BV6"/>
    <mergeCell ref="BW6:BY6"/>
    <mergeCell ref="BZ6:CB6"/>
    <mergeCell ref="CC6:CE6"/>
    <mergeCell ref="CF6:CH6"/>
    <mergeCell ref="CI6:CK6"/>
    <mergeCell ref="CL6:CN6"/>
    <mergeCell ref="CO6:CQ6"/>
    <mergeCell ref="CR6:CT6"/>
    <mergeCell ref="CU6:CW6"/>
    <mergeCell ref="CX6:CZ6"/>
    <mergeCell ref="DA6:DC6"/>
    <mergeCell ref="DD6:DF6"/>
    <mergeCell ref="DG6:DI6"/>
    <mergeCell ref="DJ6:DL6"/>
    <mergeCell ref="DM6:DO6"/>
    <mergeCell ref="DP6:DR6"/>
    <mergeCell ref="DS6:DU6"/>
    <mergeCell ref="DV6:DX6"/>
    <mergeCell ref="DY6:EA6"/>
    <mergeCell ref="EB6:ED6"/>
    <mergeCell ref="EE6:EG6"/>
    <mergeCell ref="EH6:EJ6"/>
    <mergeCell ref="EK6:EM6"/>
    <mergeCell ref="EN6:EP6"/>
    <mergeCell ref="EQ6:EQ7"/>
    <mergeCell ref="ER6:ER7"/>
  </mergeCells>
  <conditionalFormatting sqref="ER8:ER61">
    <cfRule type="containsText" dxfId="18" priority="1">
      <formula>NOT(ISERROR(SEARCH("QUINCENAL",ER8)))</formula>
    </cfRule>
    <cfRule type="containsText" dxfId="19" priority="2">
      <formula>NOT(ISERROR(SEARCH("MENSUAL",ER8)))</formula>
    </cfRule>
    <cfRule type="containsText" dxfId="20" priority="3">
      <formula>NOT(ISERROR(SEARCH("QUINCENAL",ER8)))</formula>
    </cfRule>
  </conditionalFormatting>
  <pageMargins left="0.7" right="0.7" top="0.75" bottom="0.75" header="0.3" footer="0.3"/>
  <pageSetup orientation="portrait" horizontalDpi="4294967295" verticalDpi="4294967295" scale="100" fitToWidth="1" fitToHeight="1" firstPageNumber="1" useFirstPageNumber="1" copies="1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INICIO</vt:lpstr>
      <vt:lpstr>CONFIG</vt:lpstr>
      <vt:lpstr>1. Prev_Frecuencias almacén</vt:lpstr>
      <vt:lpstr>2. Prev_Frecu Caliente (dia)</vt:lpstr>
      <vt:lpstr>3. Prev_Frecuenc Calient(noche)</vt:lpstr>
      <vt:lpstr>7. Prev_Frecuencia Comedor</vt:lpstr>
      <vt:lpstr>4. Prev_Frecuencia Despachos</vt:lpstr>
      <vt:lpstr>5. Prev_Frecuencia Transportes</vt:lpstr>
      <vt:lpstr>ACUMULADO-ALMACÉN</vt:lpstr>
      <vt:lpstr>ACUMULADO-COCINA CALIENTE DIA</vt:lpstr>
      <vt:lpstr>ACUMULADO-COCINA CALIENTE NOCHE</vt:lpstr>
      <vt:lpstr>ACUMULADO-COMEDOR</vt:lpstr>
      <vt:lpstr>ACUMULADO-DESPACHOS</vt:lpstr>
      <vt:lpstr>ACUMULADO-TRANSPORTES</vt:lpstr>
      <vt:lpstr>LISTA SEMANA</vt:lpstr>
      <vt:lpstr>LISTA 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Mcamacho</dc:creator>
  <cp:lastModifiedBy>Wilfrido David Hamburger Arroyo</cp:lastModifiedBy>
  <cp:lastPrinted>2016-02-29T21:11:30Z</cp:lastPrinted>
  <dcterms:created xsi:type="dcterms:W3CDTF">2011-12-23T21:04:27Z</dcterms:created>
  <dcterms:modified xsi:type="dcterms:W3CDTF">2026-07-16T15:15:24Z</dcterms:modified>
</cp:coreProperties>
</file>